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13_ncr:1_{FCF71053-C897-4228-8514-5F9E90175148}" xr6:coauthVersionLast="47" xr6:coauthVersionMax="47" xr10:uidLastSave="{00000000-0000-0000-0000-000000000000}"/>
  <bookViews>
    <workbookView xWindow="-100" yWindow="-100" windowWidth="21467" windowHeight="11443" tabRatio="500" xr2:uid="{00000000-000D-0000-FFFF-FFFF00000000}"/>
  </bookViews>
  <sheets>
    <sheet name="Travel Summary" sheetId="1" r:id="rId1"/>
  </sheets>
  <definedNames>
    <definedName name="_xlnm._FilterDatabase" localSheetId="0" hidden="1">'Travel Summary'!$A$1:$I$76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" l="1"/>
  <c r="C3" i="1"/>
  <c r="C4" i="1"/>
  <c r="D5" i="1"/>
  <c r="C6" i="1"/>
  <c r="C7" i="1"/>
  <c r="D8" i="1"/>
  <c r="D9" i="1"/>
  <c r="C10" i="1"/>
  <c r="C11" i="1"/>
  <c r="C12" i="1"/>
  <c r="D13" i="1"/>
  <c r="D14" i="1"/>
  <c r="C15" i="1"/>
  <c r="C16" i="1"/>
  <c r="D17" i="1"/>
  <c r="C18" i="1"/>
  <c r="D19" i="1"/>
  <c r="C20" i="1"/>
  <c r="C21" i="1"/>
  <c r="C22" i="1"/>
  <c r="D23" i="1"/>
  <c r="C24" i="1"/>
  <c r="C25" i="1"/>
  <c r="C26" i="1"/>
  <c r="D27" i="1"/>
  <c r="D28" i="1"/>
  <c r="C29" i="1"/>
  <c r="C30" i="1"/>
  <c r="C31" i="1"/>
  <c r="D32" i="1"/>
  <c r="C33" i="1"/>
  <c r="D34" i="1"/>
  <c r="C35" i="1"/>
  <c r="C36" i="1"/>
  <c r="D37" i="1"/>
  <c r="C38" i="1"/>
  <c r="D39" i="1"/>
  <c r="C40" i="1"/>
  <c r="C41" i="1"/>
  <c r="D42" i="1"/>
  <c r="C44" i="1"/>
  <c r="C45" i="1"/>
  <c r="D46" i="1"/>
  <c r="C47" i="1"/>
  <c r="D49" i="1"/>
  <c r="C50" i="1"/>
  <c r="C53" i="1"/>
  <c r="D56" i="1"/>
  <c r="C57" i="1"/>
  <c r="D58" i="1"/>
  <c r="D60" i="1"/>
  <c r="D63" i="1"/>
  <c r="C64" i="1"/>
  <c r="D66" i="1"/>
  <c r="C67" i="1"/>
  <c r="D69" i="1"/>
  <c r="C71" i="1"/>
  <c r="D73" i="1"/>
  <c r="C75" i="1"/>
  <c r="C8" i="1"/>
  <c r="D6" i="1"/>
  <c r="C5" i="1"/>
  <c r="C2" i="1"/>
  <c r="C76" i="1" l="1"/>
  <c r="D76" i="1"/>
</calcChain>
</file>

<file path=xl/sharedStrings.xml><?xml version="1.0" encoding="utf-8"?>
<sst xmlns="http://schemas.openxmlformats.org/spreadsheetml/2006/main" count="295" uniqueCount="111">
  <si>
    <t>Date</t>
  </si>
  <si>
    <t>Time</t>
  </si>
  <si>
    <t>Ride Type</t>
  </si>
  <si>
    <t>From</t>
  </si>
  <si>
    <t>To</t>
  </si>
  <si>
    <t>21:19</t>
  </si>
  <si>
    <t>Cab Economy Ride</t>
  </si>
  <si>
    <t>Aerocity, New Delhi</t>
  </si>
  <si>
    <t>Airtel Relationship Centre, Moti Bagh</t>
  </si>
  <si>
    <t>22:22</t>
  </si>
  <si>
    <t>Bike Metro Ride</t>
  </si>
  <si>
    <t>Punjabi Bagh Metro Station</t>
  </si>
  <si>
    <t>MaaShakti Apartments, Paschim Vihar</t>
  </si>
  <si>
    <t>11:04</t>
  </si>
  <si>
    <t>Bike Lite Ride</t>
  </si>
  <si>
    <t>Caddie Commercial Tower, Aerocity</t>
  </si>
  <si>
    <t>H43F+65, New Delhi</t>
  </si>
  <si>
    <t>Hyatt Residency, Aerocity</t>
  </si>
  <si>
    <t>Dhaula Kuan Enclave</t>
  </si>
  <si>
    <t>22:21</t>
  </si>
  <si>
    <t>Metro Station Punjabi Bagh West</t>
  </si>
  <si>
    <t>A-1/340, Paschim Vihar</t>
  </si>
  <si>
    <t>10:45</t>
  </si>
  <si>
    <t>Bike Ride</t>
  </si>
  <si>
    <t>Asset Area 4, IGI Airport</t>
  </si>
  <si>
    <t>19:05</t>
  </si>
  <si>
    <t>Shop No 5, Dhaula Kuan Enclave</t>
  </si>
  <si>
    <t>10:02</t>
  </si>
  <si>
    <t>Block A2, Paschim Vihar</t>
  </si>
  <si>
    <t>H43F+832, Aerocity</t>
  </si>
  <si>
    <t>18:35</t>
  </si>
  <si>
    <t>Auto Priority Ride</t>
  </si>
  <si>
    <t>GE JFWTC, Bengaluru</t>
  </si>
  <si>
    <t>Vivanta Taj, ITPB</t>
  </si>
  <si>
    <t>10:49</t>
  </si>
  <si>
    <t>Auto Ride</t>
  </si>
  <si>
    <t>P2 Unispace, EPIP Zone</t>
  </si>
  <si>
    <t>19:09</t>
  </si>
  <si>
    <t>20:40</t>
  </si>
  <si>
    <t>Cab AC Priority Ride</t>
  </si>
  <si>
    <t>Kundalahalli, Brookefield</t>
  </si>
  <si>
    <t>21:43</t>
  </si>
  <si>
    <t>Cab AC Ride</t>
  </si>
  <si>
    <t>Palm Meadows Resort</t>
  </si>
  <si>
    <t>10:47</t>
  </si>
  <si>
    <t>M2 Phase 1, Whitefield</t>
  </si>
  <si>
    <t>11:11</t>
  </si>
  <si>
    <t>Palm Meadows, Whitefield</t>
  </si>
  <si>
    <t>19:31</t>
  </si>
  <si>
    <t>14:43</t>
  </si>
  <si>
    <t>Hotel Avenue 25, Whitefield</t>
  </si>
  <si>
    <t>23:09</t>
  </si>
  <si>
    <t>Spa &amp; Fitness Center, Whitefield</t>
  </si>
  <si>
    <t>11:25</t>
  </si>
  <si>
    <t>20:31</t>
  </si>
  <si>
    <t>L&amp;T Infotech, Whitefield</t>
  </si>
  <si>
    <t>Marathahalli</t>
  </si>
  <si>
    <t>11:33</t>
  </si>
  <si>
    <t>16:00</t>
  </si>
  <si>
    <t>Kempegowda Int'l Airport, BLR</t>
  </si>
  <si>
    <t>22:56</t>
  </si>
  <si>
    <t>Indira Gandhi Int'l Airport, DEL</t>
  </si>
  <si>
    <t>10:12</t>
  </si>
  <si>
    <t>A2 Block, Paschim Vihar</t>
  </si>
  <si>
    <t>New Delhi</t>
  </si>
  <si>
    <t>21:11</t>
  </si>
  <si>
    <t>10:07</t>
  </si>
  <si>
    <t>Aerocity Access Rd</t>
  </si>
  <si>
    <t>20:57</t>
  </si>
  <si>
    <t>DLF Cyber City, Gurugram</t>
  </si>
  <si>
    <t>Dhaula Kuan</t>
  </si>
  <si>
    <t>21:54</t>
  </si>
  <si>
    <t>Benito Juarez Marg, Moti Bagh</t>
  </si>
  <si>
    <t>Paschim Vihar</t>
  </si>
  <si>
    <t>10:01</t>
  </si>
  <si>
    <t>20:21</t>
  </si>
  <si>
    <t>Feroz Shah Kotla Fort</t>
  </si>
  <si>
    <t>09:57</t>
  </si>
  <si>
    <t>IGI Airport, Aerocity</t>
  </si>
  <si>
    <t>20:22</t>
  </si>
  <si>
    <t>World Mark 1, Aerocity</t>
  </si>
  <si>
    <t>22:14</t>
  </si>
  <si>
    <t>Punjabi Bagh West Metro</t>
  </si>
  <si>
    <t>Block A1, Paschim Vihar</t>
  </si>
  <si>
    <t>21:47</t>
  </si>
  <si>
    <t>10:24</t>
  </si>
  <si>
    <t>Auto Lite Ride</t>
  </si>
  <si>
    <t>Old Delhi, Kashmere Gate</t>
  </si>
  <si>
    <t>10:37</t>
  </si>
  <si>
    <t>Durgabai Deshmukh Metro Station</t>
  </si>
  <si>
    <t>10:32</t>
  </si>
  <si>
    <t>11:03</t>
  </si>
  <si>
    <t>22:23</t>
  </si>
  <si>
    <t>Andaz Residency, Aerocity</t>
  </si>
  <si>
    <t>10:54</t>
  </si>
  <si>
    <t>23:05</t>
  </si>
  <si>
    <t>10:40</t>
  </si>
  <si>
    <t>21:56</t>
  </si>
  <si>
    <t>Punjabi Bagh Coop Housing</t>
  </si>
  <si>
    <t>Total</t>
  </si>
  <si>
    <t>Morning</t>
  </si>
  <si>
    <t>Evening</t>
  </si>
  <si>
    <t>Metro</t>
  </si>
  <si>
    <t>Day</t>
  </si>
  <si>
    <t>Tuesday</t>
  </si>
  <si>
    <t>Monday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</si>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</sst>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double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/>
    <xf numFmtId="164" fontId="5" fillId="0" borderId="5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64" fontId="1" fillId="0" borderId="2" xfId="1" applyNumberFormat="1" applyBorder="1" applyAlignment="1">
      <alignment horizontal="left" vertical="center" wrapText="1"/>
    </xf>
    <xf numFmtId="43" fontId="1" fillId="0" borderId="2" xfId="1" applyBorder="1" applyAlignment="1">
      <alignment horizontal="left" vertical="center" wrapText="1"/>
    </xf>
    <xf numFmtId="164" fontId="1" fillId="0" borderId="2" xfId="1" applyNumberForma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43" fontId="1" fillId="0" borderId="2" xfId="1" applyBorder="1" applyAlignment="1">
      <alignment horizontal="right"/>
    </xf>
    <xf numFmtId="14" fontId="1" fillId="0" borderId="2" xfId="1" applyNumberFormat="1" applyBorder="1" applyAlignment="1">
      <alignment horizontal="left" vertical="center" wrapText="1"/>
    </xf>
    <xf numFmtId="43" fontId="1" fillId="0" borderId="2" xfId="1" applyBorder="1"/>
    <xf numFmtId="3" fontId="1" fillId="0" borderId="2" xfId="0" applyNumberFormat="1" applyFont="1" applyBorder="1" applyAlignment="1">
      <alignment horizontal="right"/>
    </xf>
    <xf numFmtId="0" fontId="0" fillId="0" borderId="2" xfId="0" applyBorder="1"/>
    <xf numFmtId="0" fontId="0" fillId="0" borderId="6" xfId="0" applyBorder="1"/>
    <xf numFmtId="164" fontId="3" fillId="0" borderId="2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9D04B3E5-008D-457D-A945-DEDFE94439B8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Normal="100" workbookViewId="0">
      <pane ySplit="1" topLeftCell="A47" activePane="bottomLeft" state="frozen"/>
      <selection pane="bottomLeft"/>
    </sheetView>
  </sheetViews>
  <sheetFormatPr defaultColWidth="8.69921875" defaultRowHeight="14.4" x14ac:dyDescent="0.3"/>
  <cols>
    <col min="1" max="1" width="10.09765625" bestFit="1" customWidth="1"/>
    <col min="2" max="2" width="10.3984375" bestFit="1" customWidth="1"/>
    <col min="3" max="3" width="13.09765625" bestFit="1" customWidth="1"/>
    <col min="4" max="4" width="12.8984375" bestFit="1" customWidth="1"/>
    <col min="5" max="5" width="8" customWidth="1"/>
    <col min="6" max="6" width="18" customWidth="1"/>
    <col min="7" max="8" width="30" customWidth="1"/>
  </cols>
  <sheetData>
    <row r="1" spans="1:8" x14ac:dyDescent="0.3">
      <c r="A1" s="9" t="s">
        <v>0</v>
      </c>
      <c r="B1" s="9" t="s">
        <v>103</v>
      </c>
      <c r="C1" s="9" t="s">
        <v>100</v>
      </c>
      <c r="D1" s="9" t="s">
        <v>101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10">
        <v>46168</v>
      </c>
      <c r="B2" s="10" t="s">
        <v>104</v>
      </c>
      <c r="C2" s="11">
        <f>44+21</f>
        <v>65</v>
      </c>
      <c r="D2" s="12">
        <f>0</f>
        <v>0</v>
      </c>
      <c r="E2" s="6"/>
      <c r="F2" s="5" t="s">
        <v>102</v>
      </c>
      <c r="G2" s="2"/>
      <c r="H2" s="2"/>
    </row>
    <row r="3" spans="1:8" ht="25.5" x14ac:dyDescent="0.3">
      <c r="A3" s="10">
        <v>46168</v>
      </c>
      <c r="B3" s="10" t="s">
        <v>104</v>
      </c>
      <c r="C3" s="12">
        <f>0</f>
        <v>0</v>
      </c>
      <c r="D3" s="13">
        <v>172</v>
      </c>
      <c r="E3" s="6" t="s">
        <v>5</v>
      </c>
      <c r="F3" s="2" t="s">
        <v>6</v>
      </c>
      <c r="G3" s="2" t="s">
        <v>7</v>
      </c>
      <c r="H3" s="2" t="s">
        <v>8</v>
      </c>
    </row>
    <row r="4" spans="1:8" x14ac:dyDescent="0.3">
      <c r="A4" s="10">
        <v>46168</v>
      </c>
      <c r="B4" s="10" t="s">
        <v>104</v>
      </c>
      <c r="C4" s="12">
        <f>0</f>
        <v>0</v>
      </c>
      <c r="D4" s="11">
        <v>43</v>
      </c>
      <c r="E4" s="6"/>
      <c r="F4" s="5" t="s">
        <v>102</v>
      </c>
      <c r="G4" s="2"/>
      <c r="H4" s="2"/>
    </row>
    <row r="5" spans="1:8" x14ac:dyDescent="0.3">
      <c r="A5" s="10">
        <v>46175</v>
      </c>
      <c r="B5" s="10" t="s">
        <v>104</v>
      </c>
      <c r="C5" s="11">
        <f>44+21</f>
        <v>65</v>
      </c>
      <c r="D5" s="12">
        <f>0</f>
        <v>0</v>
      </c>
      <c r="E5" s="6"/>
      <c r="F5" s="5" t="s">
        <v>102</v>
      </c>
      <c r="G5" s="2"/>
      <c r="H5" s="2"/>
    </row>
    <row r="6" spans="1:8" x14ac:dyDescent="0.3">
      <c r="A6" s="10">
        <v>46175</v>
      </c>
      <c r="B6" s="10" t="s">
        <v>104</v>
      </c>
      <c r="C6" s="12">
        <f>0</f>
        <v>0</v>
      </c>
      <c r="D6" s="11">
        <f>32+21</f>
        <v>53</v>
      </c>
      <c r="E6" s="6"/>
      <c r="F6" s="5" t="s">
        <v>102</v>
      </c>
      <c r="G6" s="2"/>
      <c r="H6" s="2"/>
    </row>
    <row r="7" spans="1:8" ht="25.5" x14ac:dyDescent="0.3">
      <c r="A7" s="10">
        <v>46175</v>
      </c>
      <c r="B7" s="10" t="s">
        <v>104</v>
      </c>
      <c r="C7" s="12">
        <f>0</f>
        <v>0</v>
      </c>
      <c r="D7" s="14">
        <v>46</v>
      </c>
      <c r="E7" s="6" t="s">
        <v>9</v>
      </c>
      <c r="F7" s="2" t="s">
        <v>10</v>
      </c>
      <c r="G7" s="2" t="s">
        <v>11</v>
      </c>
      <c r="H7" s="2" t="s">
        <v>12</v>
      </c>
    </row>
    <row r="8" spans="1:8" x14ac:dyDescent="0.3">
      <c r="A8" s="10">
        <v>46181</v>
      </c>
      <c r="B8" s="10" t="s">
        <v>105</v>
      </c>
      <c r="C8" s="11">
        <f>44+21</f>
        <v>65</v>
      </c>
      <c r="D8" s="15">
        <f>0</f>
        <v>0</v>
      </c>
      <c r="E8" s="6"/>
      <c r="F8" s="5" t="s">
        <v>102</v>
      </c>
      <c r="G8" s="2"/>
      <c r="H8" s="2"/>
    </row>
    <row r="9" spans="1:8" x14ac:dyDescent="0.3">
      <c r="A9" s="10">
        <v>46181</v>
      </c>
      <c r="B9" s="10" t="s">
        <v>105</v>
      </c>
      <c r="C9" s="14">
        <v>27</v>
      </c>
      <c r="D9" s="12">
        <f>0</f>
        <v>0</v>
      </c>
      <c r="E9" s="6" t="s">
        <v>13</v>
      </c>
      <c r="F9" s="2" t="s">
        <v>14</v>
      </c>
      <c r="G9" s="2" t="s">
        <v>15</v>
      </c>
      <c r="H9" s="2" t="s">
        <v>16</v>
      </c>
    </row>
    <row r="10" spans="1:8" x14ac:dyDescent="0.3">
      <c r="A10" s="10">
        <v>46182</v>
      </c>
      <c r="B10" s="10" t="s">
        <v>104</v>
      </c>
      <c r="C10" s="12">
        <f>0</f>
        <v>0</v>
      </c>
      <c r="D10" s="13">
        <v>198</v>
      </c>
      <c r="E10" s="6" t="s">
        <v>5</v>
      </c>
      <c r="F10" s="2" t="s">
        <v>6</v>
      </c>
      <c r="G10" s="2" t="s">
        <v>17</v>
      </c>
      <c r="H10" s="2" t="s">
        <v>18</v>
      </c>
    </row>
    <row r="11" spans="1:8" x14ac:dyDescent="0.3">
      <c r="A11" s="10">
        <v>46182</v>
      </c>
      <c r="B11" s="10" t="s">
        <v>104</v>
      </c>
      <c r="C11" s="12">
        <f>0</f>
        <v>0</v>
      </c>
      <c r="D11" s="11">
        <v>53</v>
      </c>
      <c r="E11" s="6"/>
      <c r="F11" s="5" t="s">
        <v>102</v>
      </c>
      <c r="G11" s="2"/>
      <c r="H11" s="2"/>
    </row>
    <row r="12" spans="1:8" x14ac:dyDescent="0.3">
      <c r="A12" s="16">
        <v>46182</v>
      </c>
      <c r="B12" s="10" t="s">
        <v>104</v>
      </c>
      <c r="C12" s="12">
        <f>0</f>
        <v>0</v>
      </c>
      <c r="D12" s="13">
        <v>47</v>
      </c>
      <c r="E12" s="6" t="s">
        <v>19</v>
      </c>
      <c r="F12" s="2" t="s">
        <v>10</v>
      </c>
      <c r="G12" s="2" t="s">
        <v>20</v>
      </c>
      <c r="H12" s="2" t="s">
        <v>21</v>
      </c>
    </row>
    <row r="13" spans="1:8" x14ac:dyDescent="0.3">
      <c r="A13" s="16">
        <v>46183</v>
      </c>
      <c r="B13" s="10" t="s">
        <v>106</v>
      </c>
      <c r="C13" s="11">
        <v>65</v>
      </c>
      <c r="D13" s="15">
        <f>0</f>
        <v>0</v>
      </c>
      <c r="E13" s="6"/>
      <c r="F13" s="5" t="s">
        <v>102</v>
      </c>
      <c r="G13" s="2"/>
      <c r="H13" s="2"/>
    </row>
    <row r="14" spans="1:8" x14ac:dyDescent="0.3">
      <c r="A14" s="16">
        <v>46183</v>
      </c>
      <c r="B14" s="10" t="s">
        <v>106</v>
      </c>
      <c r="C14" s="13">
        <v>29</v>
      </c>
      <c r="D14" s="12">
        <f>0</f>
        <v>0</v>
      </c>
      <c r="E14" s="6" t="s">
        <v>22</v>
      </c>
      <c r="F14" s="2" t="s">
        <v>23</v>
      </c>
      <c r="G14" s="2" t="s">
        <v>15</v>
      </c>
      <c r="H14" s="2" t="s">
        <v>24</v>
      </c>
    </row>
    <row r="15" spans="1:8" x14ac:dyDescent="0.3">
      <c r="A15" s="16">
        <v>46183</v>
      </c>
      <c r="B15" s="10" t="s">
        <v>106</v>
      </c>
      <c r="C15" s="12">
        <f>0</f>
        <v>0</v>
      </c>
      <c r="D15" s="14">
        <v>285</v>
      </c>
      <c r="E15" s="6" t="s">
        <v>25</v>
      </c>
      <c r="F15" s="2" t="s">
        <v>6</v>
      </c>
      <c r="G15" s="2" t="s">
        <v>7</v>
      </c>
      <c r="H15" s="2" t="s">
        <v>26</v>
      </c>
    </row>
    <row r="16" spans="1:8" x14ac:dyDescent="0.3">
      <c r="A16" s="16">
        <v>46183</v>
      </c>
      <c r="B16" s="10" t="s">
        <v>106</v>
      </c>
      <c r="C16" s="12">
        <f>0</f>
        <v>0</v>
      </c>
      <c r="D16" s="11">
        <v>43</v>
      </c>
      <c r="E16" s="6"/>
      <c r="F16" s="5" t="s">
        <v>102</v>
      </c>
      <c r="G16" s="2"/>
      <c r="H16" s="2"/>
    </row>
    <row r="17" spans="1:8" x14ac:dyDescent="0.3">
      <c r="A17" s="16">
        <v>46184</v>
      </c>
      <c r="B17" s="10" t="s">
        <v>107</v>
      </c>
      <c r="C17" s="14">
        <v>340</v>
      </c>
      <c r="D17" s="12">
        <f>0</f>
        <v>0</v>
      </c>
      <c r="E17" s="6" t="s">
        <v>27</v>
      </c>
      <c r="F17" s="2" t="s">
        <v>6</v>
      </c>
      <c r="G17" s="2" t="s">
        <v>28</v>
      </c>
      <c r="H17" s="2" t="s">
        <v>29</v>
      </c>
    </row>
    <row r="18" spans="1:8" x14ac:dyDescent="0.3">
      <c r="A18" s="16">
        <v>46184</v>
      </c>
      <c r="B18" s="10" t="s">
        <v>107</v>
      </c>
      <c r="C18" s="15">
        <f>0</f>
        <v>0</v>
      </c>
      <c r="D18" s="11">
        <v>65</v>
      </c>
      <c r="E18" s="6"/>
      <c r="F18" s="5" t="s">
        <v>102</v>
      </c>
      <c r="G18" s="2"/>
      <c r="H18" s="2"/>
    </row>
    <row r="19" spans="1:8" x14ac:dyDescent="0.3">
      <c r="A19" s="16">
        <v>46185</v>
      </c>
      <c r="B19" s="10" t="s">
        <v>108</v>
      </c>
      <c r="C19" s="14">
        <v>65</v>
      </c>
      <c r="D19" s="12">
        <f>0</f>
        <v>0</v>
      </c>
      <c r="E19" s="6"/>
      <c r="F19" s="5" t="s">
        <v>102</v>
      </c>
      <c r="G19" s="2"/>
      <c r="H19" s="2"/>
    </row>
    <row r="20" spans="1:8" x14ac:dyDescent="0.3">
      <c r="A20" s="16">
        <v>46185</v>
      </c>
      <c r="B20" s="10" t="s">
        <v>108</v>
      </c>
      <c r="C20" s="15">
        <f>0</f>
        <v>0</v>
      </c>
      <c r="D20" s="11">
        <v>53</v>
      </c>
      <c r="E20" s="6"/>
      <c r="F20" s="5" t="s">
        <v>102</v>
      </c>
      <c r="G20" s="2"/>
      <c r="H20" s="2"/>
    </row>
    <row r="21" spans="1:8" x14ac:dyDescent="0.3">
      <c r="A21" s="16">
        <v>46185</v>
      </c>
      <c r="B21" s="10" t="s">
        <v>108</v>
      </c>
      <c r="C21" s="12">
        <f>0</f>
        <v>0</v>
      </c>
      <c r="D21" s="14">
        <v>45</v>
      </c>
      <c r="E21" s="6" t="s">
        <v>19</v>
      </c>
      <c r="F21" s="2" t="s">
        <v>10</v>
      </c>
      <c r="G21" s="2" t="s">
        <v>11</v>
      </c>
      <c r="H21" s="2" t="s">
        <v>21</v>
      </c>
    </row>
    <row r="22" spans="1:8" x14ac:dyDescent="0.3">
      <c r="A22" s="16">
        <v>46188</v>
      </c>
      <c r="B22" s="10" t="s">
        <v>105</v>
      </c>
      <c r="C22" s="12">
        <f>0</f>
        <v>0</v>
      </c>
      <c r="D22" s="14">
        <v>114</v>
      </c>
      <c r="E22" s="6" t="s">
        <v>30</v>
      </c>
      <c r="F22" s="2" t="s">
        <v>31</v>
      </c>
      <c r="G22" s="2" t="s">
        <v>32</v>
      </c>
      <c r="H22" s="2" t="s">
        <v>33</v>
      </c>
    </row>
    <row r="23" spans="1:8" x14ac:dyDescent="0.3">
      <c r="A23" s="16">
        <v>46189</v>
      </c>
      <c r="B23" s="10" t="s">
        <v>104</v>
      </c>
      <c r="C23" s="14">
        <v>86</v>
      </c>
      <c r="D23" s="12">
        <f>0</f>
        <v>0</v>
      </c>
      <c r="E23" s="6" t="s">
        <v>34</v>
      </c>
      <c r="F23" s="2" t="s">
        <v>35</v>
      </c>
      <c r="G23" s="2" t="s">
        <v>33</v>
      </c>
      <c r="H23" s="2" t="s">
        <v>36</v>
      </c>
    </row>
    <row r="24" spans="1:8" x14ac:dyDescent="0.3">
      <c r="A24" s="16">
        <v>46189</v>
      </c>
      <c r="B24" s="10" t="s">
        <v>104</v>
      </c>
      <c r="C24" s="12">
        <f>0</f>
        <v>0</v>
      </c>
      <c r="D24" s="14">
        <v>125</v>
      </c>
      <c r="E24" s="6" t="s">
        <v>37</v>
      </c>
      <c r="F24" s="2" t="s">
        <v>35</v>
      </c>
      <c r="G24" s="2" t="s">
        <v>32</v>
      </c>
      <c r="H24" s="2" t="s">
        <v>33</v>
      </c>
    </row>
    <row r="25" spans="1:8" x14ac:dyDescent="0.3">
      <c r="A25" s="16">
        <v>46190</v>
      </c>
      <c r="B25" s="10" t="s">
        <v>106</v>
      </c>
      <c r="C25" s="12">
        <f>0</f>
        <v>0</v>
      </c>
      <c r="D25" s="14">
        <v>199</v>
      </c>
      <c r="E25" s="6" t="s">
        <v>38</v>
      </c>
      <c r="F25" s="2" t="s">
        <v>39</v>
      </c>
      <c r="G25" s="2" t="s">
        <v>40</v>
      </c>
      <c r="H25" s="2" t="s">
        <v>33</v>
      </c>
    </row>
    <row r="26" spans="1:8" x14ac:dyDescent="0.3">
      <c r="A26" s="16">
        <v>46190</v>
      </c>
      <c r="B26" s="10" t="s">
        <v>106</v>
      </c>
      <c r="C26" s="12">
        <f>0</f>
        <v>0</v>
      </c>
      <c r="D26" s="14">
        <v>197</v>
      </c>
      <c r="E26" s="6" t="s">
        <v>41</v>
      </c>
      <c r="F26" s="2" t="s">
        <v>42</v>
      </c>
      <c r="G26" s="2" t="s">
        <v>33</v>
      </c>
      <c r="H26" s="2" t="s">
        <v>43</v>
      </c>
    </row>
    <row r="27" spans="1:8" x14ac:dyDescent="0.3">
      <c r="A27" s="16">
        <v>46191</v>
      </c>
      <c r="B27" s="10" t="s">
        <v>107</v>
      </c>
      <c r="C27" s="14">
        <v>238</v>
      </c>
      <c r="D27" s="12">
        <f>0</f>
        <v>0</v>
      </c>
      <c r="E27" s="6" t="s">
        <v>44</v>
      </c>
      <c r="F27" s="2" t="s">
        <v>42</v>
      </c>
      <c r="G27" s="2" t="s">
        <v>45</v>
      </c>
      <c r="H27" s="2" t="s">
        <v>32</v>
      </c>
    </row>
    <row r="28" spans="1:8" x14ac:dyDescent="0.3">
      <c r="A28" s="16">
        <v>46192</v>
      </c>
      <c r="B28" s="10" t="s">
        <v>108</v>
      </c>
      <c r="C28" s="14">
        <v>107</v>
      </c>
      <c r="D28" s="12">
        <f>0</f>
        <v>0</v>
      </c>
      <c r="E28" s="6" t="s">
        <v>46</v>
      </c>
      <c r="F28" s="2" t="s">
        <v>31</v>
      </c>
      <c r="G28" s="2" t="s">
        <v>47</v>
      </c>
      <c r="H28" s="2" t="s">
        <v>32</v>
      </c>
    </row>
    <row r="29" spans="1:8" x14ac:dyDescent="0.3">
      <c r="A29" s="16">
        <v>46192</v>
      </c>
      <c r="B29" s="10" t="s">
        <v>108</v>
      </c>
      <c r="C29" s="12">
        <f>0</f>
        <v>0</v>
      </c>
      <c r="D29" s="14">
        <v>158</v>
      </c>
      <c r="E29" s="6" t="s">
        <v>48</v>
      </c>
      <c r="F29" s="2" t="s">
        <v>42</v>
      </c>
      <c r="G29" s="2" t="s">
        <v>32</v>
      </c>
      <c r="H29" s="2" t="s">
        <v>40</v>
      </c>
    </row>
    <row r="30" spans="1:8" x14ac:dyDescent="0.3">
      <c r="A30" s="16">
        <v>46193</v>
      </c>
      <c r="B30" s="10" t="s">
        <v>109</v>
      </c>
      <c r="C30" s="12">
        <f>0</f>
        <v>0</v>
      </c>
      <c r="D30" s="14">
        <v>180</v>
      </c>
      <c r="E30" s="6" t="s">
        <v>49</v>
      </c>
      <c r="F30" s="2" t="s">
        <v>31</v>
      </c>
      <c r="G30" s="2" t="s">
        <v>50</v>
      </c>
      <c r="H30" s="2" t="s">
        <v>33</v>
      </c>
    </row>
    <row r="31" spans="1:8" x14ac:dyDescent="0.3">
      <c r="A31" s="16">
        <v>46193</v>
      </c>
      <c r="B31" s="10" t="s">
        <v>109</v>
      </c>
      <c r="C31" s="12">
        <f>0</f>
        <v>0</v>
      </c>
      <c r="D31" s="14">
        <v>171</v>
      </c>
      <c r="E31" s="6" t="s">
        <v>51</v>
      </c>
      <c r="F31" s="2" t="s">
        <v>35</v>
      </c>
      <c r="G31" s="2" t="s">
        <v>33</v>
      </c>
      <c r="H31" s="2" t="s">
        <v>52</v>
      </c>
    </row>
    <row r="32" spans="1:8" x14ac:dyDescent="0.3">
      <c r="A32" s="16">
        <v>46195</v>
      </c>
      <c r="B32" s="10" t="s">
        <v>105</v>
      </c>
      <c r="C32" s="14">
        <v>177</v>
      </c>
      <c r="D32" s="12">
        <f>0</f>
        <v>0</v>
      </c>
      <c r="E32" s="6" t="s">
        <v>53</v>
      </c>
      <c r="F32" s="2" t="s">
        <v>39</v>
      </c>
      <c r="G32" s="2" t="s">
        <v>47</v>
      </c>
      <c r="H32" s="2" t="s">
        <v>32</v>
      </c>
    </row>
    <row r="33" spans="1:8" x14ac:dyDescent="0.3">
      <c r="A33" s="16">
        <v>46195</v>
      </c>
      <c r="B33" s="10" t="s">
        <v>105</v>
      </c>
      <c r="C33" s="12">
        <f>0</f>
        <v>0</v>
      </c>
      <c r="D33" s="14">
        <v>185</v>
      </c>
      <c r="E33" s="6" t="s">
        <v>54</v>
      </c>
      <c r="F33" s="2" t="s">
        <v>42</v>
      </c>
      <c r="G33" s="2" t="s">
        <v>55</v>
      </c>
      <c r="H33" s="2" t="s">
        <v>56</v>
      </c>
    </row>
    <row r="34" spans="1:8" x14ac:dyDescent="0.3">
      <c r="A34" s="16">
        <v>46196</v>
      </c>
      <c r="B34" s="10" t="s">
        <v>104</v>
      </c>
      <c r="C34" s="14">
        <v>166</v>
      </c>
      <c r="D34" s="12">
        <f>0</f>
        <v>0</v>
      </c>
      <c r="E34" s="6" t="s">
        <v>57</v>
      </c>
      <c r="F34" s="2" t="s">
        <v>42</v>
      </c>
      <c r="G34" s="2" t="s">
        <v>43</v>
      </c>
      <c r="H34" s="2" t="s">
        <v>32</v>
      </c>
    </row>
    <row r="35" spans="1:8" x14ac:dyDescent="0.3">
      <c r="A35" s="16">
        <v>46196</v>
      </c>
      <c r="B35" s="10" t="s">
        <v>104</v>
      </c>
      <c r="C35" s="12">
        <f>0</f>
        <v>0</v>
      </c>
      <c r="D35" s="14">
        <v>778</v>
      </c>
      <c r="E35" s="6" t="s">
        <v>58</v>
      </c>
      <c r="F35" s="2" t="s">
        <v>42</v>
      </c>
      <c r="G35" s="2" t="s">
        <v>32</v>
      </c>
      <c r="H35" s="2" t="s">
        <v>59</v>
      </c>
    </row>
    <row r="36" spans="1:8" x14ac:dyDescent="0.3">
      <c r="A36" s="16">
        <v>46196</v>
      </c>
      <c r="B36" s="10" t="s">
        <v>104</v>
      </c>
      <c r="C36" s="12">
        <f>0</f>
        <v>0</v>
      </c>
      <c r="D36" s="14">
        <v>366</v>
      </c>
      <c r="E36" s="6" t="s">
        <v>60</v>
      </c>
      <c r="F36" s="2" t="s">
        <v>35</v>
      </c>
      <c r="G36" s="2" t="s">
        <v>61</v>
      </c>
      <c r="H36" s="2" t="s">
        <v>21</v>
      </c>
    </row>
    <row r="37" spans="1:8" x14ac:dyDescent="0.3">
      <c r="A37" s="16">
        <v>46197</v>
      </c>
      <c r="B37" s="10" t="s">
        <v>106</v>
      </c>
      <c r="C37" s="14">
        <v>350</v>
      </c>
      <c r="D37" s="17">
        <f>0</f>
        <v>0</v>
      </c>
      <c r="E37" s="6" t="s">
        <v>62</v>
      </c>
      <c r="F37" s="2" t="s">
        <v>6</v>
      </c>
      <c r="G37" s="2" t="s">
        <v>63</v>
      </c>
      <c r="H37" s="2" t="s">
        <v>64</v>
      </c>
    </row>
    <row r="38" spans="1:8" x14ac:dyDescent="0.3">
      <c r="A38" s="16">
        <v>46197</v>
      </c>
      <c r="B38" s="10" t="s">
        <v>106</v>
      </c>
      <c r="C38" s="15">
        <f>0</f>
        <v>0</v>
      </c>
      <c r="D38" s="18">
        <v>65</v>
      </c>
      <c r="E38" s="6"/>
      <c r="F38" s="5" t="s">
        <v>102</v>
      </c>
      <c r="G38" s="2"/>
      <c r="H38" s="2"/>
    </row>
    <row r="39" spans="1:8" x14ac:dyDescent="0.3">
      <c r="A39" s="16">
        <v>46198</v>
      </c>
      <c r="B39" s="10" t="s">
        <v>107</v>
      </c>
      <c r="C39" s="14">
        <v>65</v>
      </c>
      <c r="D39" s="15">
        <f>0</f>
        <v>0</v>
      </c>
      <c r="E39" s="6"/>
      <c r="F39" s="5" t="s">
        <v>102</v>
      </c>
      <c r="G39" s="2"/>
      <c r="H39" s="2"/>
    </row>
    <row r="40" spans="1:8" x14ac:dyDescent="0.3">
      <c r="A40" s="16">
        <v>46198</v>
      </c>
      <c r="B40" s="10" t="s">
        <v>107</v>
      </c>
      <c r="C40" s="15">
        <f>0</f>
        <v>0</v>
      </c>
      <c r="D40" s="18">
        <v>53</v>
      </c>
      <c r="E40" s="6"/>
      <c r="F40" s="5" t="s">
        <v>102</v>
      </c>
      <c r="G40" s="2"/>
      <c r="H40" s="2"/>
    </row>
    <row r="41" spans="1:8" x14ac:dyDescent="0.3">
      <c r="A41" s="16">
        <v>46198</v>
      </c>
      <c r="B41" s="10" t="s">
        <v>107</v>
      </c>
      <c r="C41" s="12">
        <f>0</f>
        <v>0</v>
      </c>
      <c r="D41" s="14">
        <v>40</v>
      </c>
      <c r="E41" s="6" t="s">
        <v>65</v>
      </c>
      <c r="F41" s="2" t="s">
        <v>14</v>
      </c>
      <c r="G41" s="2" t="s">
        <v>20</v>
      </c>
      <c r="H41" s="2" t="s">
        <v>28</v>
      </c>
    </row>
    <row r="42" spans="1:8" ht="25.5" x14ac:dyDescent="0.3">
      <c r="A42" s="16">
        <v>46199</v>
      </c>
      <c r="B42" s="10" t="s">
        <v>108</v>
      </c>
      <c r="C42" s="14">
        <v>356</v>
      </c>
      <c r="D42" s="12">
        <f>0</f>
        <v>0</v>
      </c>
      <c r="E42" s="6" t="s">
        <v>66</v>
      </c>
      <c r="F42" s="2" t="s">
        <v>6</v>
      </c>
      <c r="G42" s="2" t="s">
        <v>12</v>
      </c>
      <c r="H42" s="2" t="s">
        <v>67</v>
      </c>
    </row>
    <row r="43" spans="1:8" x14ac:dyDescent="0.3">
      <c r="A43" s="16">
        <v>46199</v>
      </c>
      <c r="B43" s="10" t="s">
        <v>108</v>
      </c>
      <c r="C43" s="14"/>
      <c r="D43" s="11">
        <v>65</v>
      </c>
      <c r="E43" s="6"/>
      <c r="F43" s="5" t="s">
        <v>102</v>
      </c>
      <c r="G43" s="2"/>
      <c r="H43" s="2"/>
    </row>
    <row r="44" spans="1:8" x14ac:dyDescent="0.3">
      <c r="A44" s="16">
        <v>46204</v>
      </c>
      <c r="B44" s="10" t="s">
        <v>106</v>
      </c>
      <c r="C44" s="12">
        <f>0</f>
        <v>0</v>
      </c>
      <c r="D44" s="14">
        <v>435</v>
      </c>
      <c r="E44" s="6" t="s">
        <v>68</v>
      </c>
      <c r="F44" s="2" t="s">
        <v>6</v>
      </c>
      <c r="G44" s="2" t="s">
        <v>69</v>
      </c>
      <c r="H44" s="2" t="s">
        <v>70</v>
      </c>
    </row>
    <row r="45" spans="1:8" x14ac:dyDescent="0.3">
      <c r="A45" s="16">
        <v>46204</v>
      </c>
      <c r="B45" s="10" t="s">
        <v>106</v>
      </c>
      <c r="C45" s="12">
        <f>0</f>
        <v>0</v>
      </c>
      <c r="D45" s="14">
        <v>208</v>
      </c>
      <c r="E45" s="6" t="s">
        <v>71</v>
      </c>
      <c r="F45" s="2" t="s">
        <v>35</v>
      </c>
      <c r="G45" s="2" t="s">
        <v>72</v>
      </c>
      <c r="H45" s="2" t="s">
        <v>73</v>
      </c>
    </row>
    <row r="46" spans="1:8" ht="25.5" x14ac:dyDescent="0.3">
      <c r="A46" s="16">
        <v>46205</v>
      </c>
      <c r="B46" s="10" t="s">
        <v>107</v>
      </c>
      <c r="C46" s="14">
        <v>380</v>
      </c>
      <c r="D46" s="12">
        <f>0</f>
        <v>0</v>
      </c>
      <c r="E46" s="6" t="s">
        <v>74</v>
      </c>
      <c r="F46" s="2" t="s">
        <v>6</v>
      </c>
      <c r="G46" s="2" t="s">
        <v>12</v>
      </c>
      <c r="H46" s="2" t="s">
        <v>67</v>
      </c>
    </row>
    <row r="47" spans="1:8" x14ac:dyDescent="0.3">
      <c r="A47" s="16">
        <v>46205</v>
      </c>
      <c r="B47" s="10" t="s">
        <v>107</v>
      </c>
      <c r="C47" s="12">
        <f>0</f>
        <v>0</v>
      </c>
      <c r="D47" s="14">
        <v>171</v>
      </c>
      <c r="E47" s="6" t="s">
        <v>75</v>
      </c>
      <c r="F47" s="2" t="s">
        <v>6</v>
      </c>
      <c r="G47" s="2" t="s">
        <v>76</v>
      </c>
      <c r="H47" s="2" t="s">
        <v>70</v>
      </c>
    </row>
    <row r="48" spans="1:8" x14ac:dyDescent="0.3">
      <c r="A48" s="16">
        <v>46205</v>
      </c>
      <c r="B48" s="10" t="s">
        <v>107</v>
      </c>
      <c r="C48" s="12"/>
      <c r="D48" s="14">
        <v>53</v>
      </c>
      <c r="E48" s="6"/>
      <c r="F48" s="5" t="s">
        <v>102</v>
      </c>
      <c r="G48" s="2"/>
      <c r="H48" s="2"/>
    </row>
    <row r="49" spans="1:8" ht="25.5" x14ac:dyDescent="0.3">
      <c r="A49" s="16">
        <v>46206</v>
      </c>
      <c r="B49" s="10" t="s">
        <v>108</v>
      </c>
      <c r="C49" s="14">
        <v>342</v>
      </c>
      <c r="D49" s="12">
        <f>0</f>
        <v>0</v>
      </c>
      <c r="E49" s="6" t="s">
        <v>77</v>
      </c>
      <c r="F49" s="2" t="s">
        <v>6</v>
      </c>
      <c r="G49" s="2" t="s">
        <v>12</v>
      </c>
      <c r="H49" s="2" t="s">
        <v>78</v>
      </c>
    </row>
    <row r="50" spans="1:8" x14ac:dyDescent="0.3">
      <c r="A50" s="16">
        <v>46206</v>
      </c>
      <c r="B50" s="10" t="s">
        <v>108</v>
      </c>
      <c r="C50" s="12">
        <f>0</f>
        <v>0</v>
      </c>
      <c r="D50" s="14">
        <v>81</v>
      </c>
      <c r="E50" s="6" t="s">
        <v>79</v>
      </c>
      <c r="F50" s="2" t="s">
        <v>35</v>
      </c>
      <c r="G50" s="2" t="s">
        <v>76</v>
      </c>
      <c r="H50" s="2" t="s">
        <v>80</v>
      </c>
    </row>
    <row r="51" spans="1:8" x14ac:dyDescent="0.3">
      <c r="A51" s="16">
        <v>46209</v>
      </c>
      <c r="B51" s="10" t="s">
        <v>105</v>
      </c>
      <c r="C51" s="11">
        <v>65</v>
      </c>
      <c r="D51" s="14"/>
      <c r="E51" s="6"/>
      <c r="F51" s="5" t="s">
        <v>102</v>
      </c>
      <c r="G51" s="2"/>
      <c r="H51" s="2"/>
    </row>
    <row r="52" spans="1:8" x14ac:dyDescent="0.3">
      <c r="A52" s="16">
        <v>46209</v>
      </c>
      <c r="B52" s="10" t="s">
        <v>105</v>
      </c>
      <c r="C52" s="11"/>
      <c r="D52" s="14">
        <v>53</v>
      </c>
      <c r="E52" s="6"/>
      <c r="F52" s="5" t="s">
        <v>102</v>
      </c>
      <c r="G52" s="2"/>
      <c r="H52" s="2"/>
    </row>
    <row r="53" spans="1:8" x14ac:dyDescent="0.3">
      <c r="A53" s="16">
        <v>46209</v>
      </c>
      <c r="B53" s="10" t="s">
        <v>105</v>
      </c>
      <c r="C53" s="12">
        <f>0</f>
        <v>0</v>
      </c>
      <c r="D53" s="14">
        <v>46</v>
      </c>
      <c r="E53" s="6" t="s">
        <v>81</v>
      </c>
      <c r="F53" s="2" t="s">
        <v>10</v>
      </c>
      <c r="G53" s="2" t="s">
        <v>82</v>
      </c>
      <c r="H53" s="2" t="s">
        <v>83</v>
      </c>
    </row>
    <row r="54" spans="1:8" x14ac:dyDescent="0.3">
      <c r="A54" s="16">
        <v>46210</v>
      </c>
      <c r="B54" s="10" t="s">
        <v>104</v>
      </c>
      <c r="C54" s="11">
        <v>65</v>
      </c>
      <c r="D54" s="14"/>
      <c r="E54" s="6"/>
      <c r="F54" s="5" t="s">
        <v>102</v>
      </c>
      <c r="G54" s="2"/>
      <c r="H54" s="2"/>
    </row>
    <row r="55" spans="1:8" x14ac:dyDescent="0.3">
      <c r="A55" s="16">
        <v>46210</v>
      </c>
      <c r="B55" s="10" t="s">
        <v>104</v>
      </c>
      <c r="C55" s="19"/>
      <c r="D55" s="11">
        <v>65</v>
      </c>
      <c r="E55" s="6"/>
      <c r="F55" s="5" t="s">
        <v>102</v>
      </c>
      <c r="G55" s="2"/>
      <c r="H55" s="2"/>
    </row>
    <row r="56" spans="1:8" x14ac:dyDescent="0.3">
      <c r="A56" s="16">
        <v>46211</v>
      </c>
      <c r="B56" s="10" t="s">
        <v>106</v>
      </c>
      <c r="C56" s="14">
        <v>337</v>
      </c>
      <c r="D56" s="12">
        <f>0</f>
        <v>0</v>
      </c>
      <c r="E56" s="6" t="s">
        <v>77</v>
      </c>
      <c r="F56" s="2" t="s">
        <v>6</v>
      </c>
      <c r="G56" s="2" t="s">
        <v>21</v>
      </c>
      <c r="H56" s="2" t="s">
        <v>15</v>
      </c>
    </row>
    <row r="57" spans="1:8" x14ac:dyDescent="0.3">
      <c r="A57" s="16">
        <v>46211</v>
      </c>
      <c r="B57" s="10" t="s">
        <v>106</v>
      </c>
      <c r="C57" s="12">
        <f>0</f>
        <v>0</v>
      </c>
      <c r="D57" s="14">
        <v>326</v>
      </c>
      <c r="E57" s="6" t="s">
        <v>84</v>
      </c>
      <c r="F57" s="2" t="s">
        <v>6</v>
      </c>
      <c r="G57" s="2" t="s">
        <v>67</v>
      </c>
      <c r="H57" s="2" t="s">
        <v>21</v>
      </c>
    </row>
    <row r="58" spans="1:8" ht="25.5" hidden="1" x14ac:dyDescent="0.3">
      <c r="A58" s="16">
        <v>46243</v>
      </c>
      <c r="B58" s="10" t="s">
        <v>110</v>
      </c>
      <c r="C58" s="14">
        <v>305</v>
      </c>
      <c r="D58" s="17">
        <f>0</f>
        <v>0</v>
      </c>
      <c r="E58" s="6" t="s">
        <v>85</v>
      </c>
      <c r="F58" s="2" t="s">
        <v>86</v>
      </c>
      <c r="G58" s="2" t="s">
        <v>12</v>
      </c>
      <c r="H58" s="2" t="s">
        <v>87</v>
      </c>
    </row>
    <row r="59" spans="1:8" x14ac:dyDescent="0.3">
      <c r="A59" s="16">
        <v>46244</v>
      </c>
      <c r="B59" s="10" t="s">
        <v>105</v>
      </c>
      <c r="C59" s="14">
        <v>43</v>
      </c>
      <c r="D59" s="17"/>
      <c r="E59" s="6"/>
      <c r="F59" s="5" t="s">
        <v>102</v>
      </c>
      <c r="G59" s="2"/>
      <c r="H59" s="2"/>
    </row>
    <row r="60" spans="1:8" x14ac:dyDescent="0.3">
      <c r="A60" s="16">
        <v>46244</v>
      </c>
      <c r="B60" s="10" t="s">
        <v>105</v>
      </c>
      <c r="C60" s="14">
        <v>175</v>
      </c>
      <c r="D60" s="12">
        <f>0</f>
        <v>0</v>
      </c>
      <c r="E60" s="6" t="s">
        <v>88</v>
      </c>
      <c r="F60" s="2" t="s">
        <v>6</v>
      </c>
      <c r="G60" s="2" t="s">
        <v>89</v>
      </c>
      <c r="H60" s="2" t="s">
        <v>15</v>
      </c>
    </row>
    <row r="61" spans="1:8" x14ac:dyDescent="0.3">
      <c r="A61" s="16">
        <v>46244</v>
      </c>
      <c r="B61" s="10" t="s">
        <v>105</v>
      </c>
      <c r="C61" s="14"/>
      <c r="D61" s="12">
        <v>65</v>
      </c>
      <c r="E61" s="6"/>
      <c r="F61" s="5" t="s">
        <v>102</v>
      </c>
      <c r="G61" s="2"/>
      <c r="H61" s="2"/>
    </row>
    <row r="62" spans="1:8" x14ac:dyDescent="0.3">
      <c r="A62" s="16">
        <v>46245</v>
      </c>
      <c r="B62" s="10" t="s">
        <v>104</v>
      </c>
      <c r="C62" s="14">
        <v>43</v>
      </c>
      <c r="D62" s="12"/>
      <c r="E62" s="6"/>
      <c r="F62" s="5" t="s">
        <v>102</v>
      </c>
      <c r="G62" s="2"/>
      <c r="H62" s="2"/>
    </row>
    <row r="63" spans="1:8" x14ac:dyDescent="0.3">
      <c r="A63" s="16">
        <v>46245</v>
      </c>
      <c r="B63" s="10" t="s">
        <v>104</v>
      </c>
      <c r="C63" s="14">
        <v>173</v>
      </c>
      <c r="D63" s="12">
        <f>0</f>
        <v>0</v>
      </c>
      <c r="E63" s="6" t="s">
        <v>90</v>
      </c>
      <c r="F63" s="2" t="s">
        <v>6</v>
      </c>
      <c r="G63" s="2" t="s">
        <v>89</v>
      </c>
      <c r="H63" s="2" t="s">
        <v>67</v>
      </c>
    </row>
    <row r="64" spans="1:8" x14ac:dyDescent="0.3">
      <c r="A64" s="16">
        <v>46245</v>
      </c>
      <c r="B64" s="10" t="s">
        <v>104</v>
      </c>
      <c r="C64" s="12">
        <f>0</f>
        <v>0</v>
      </c>
      <c r="D64" s="14">
        <v>297</v>
      </c>
      <c r="E64" s="6" t="s">
        <v>41</v>
      </c>
      <c r="F64" s="2" t="s">
        <v>6</v>
      </c>
      <c r="G64" s="2" t="s">
        <v>67</v>
      </c>
      <c r="H64" s="2" t="s">
        <v>28</v>
      </c>
    </row>
    <row r="65" spans="1:8" x14ac:dyDescent="0.3">
      <c r="A65" s="16">
        <v>46246</v>
      </c>
      <c r="B65" s="10" t="s">
        <v>106</v>
      </c>
      <c r="C65" s="11">
        <v>65</v>
      </c>
      <c r="D65" s="14"/>
      <c r="E65" s="6"/>
      <c r="F65" s="2" t="s">
        <v>102</v>
      </c>
      <c r="G65" s="2"/>
      <c r="H65" s="2"/>
    </row>
    <row r="66" spans="1:8" x14ac:dyDescent="0.3">
      <c r="A66" s="16">
        <v>46246</v>
      </c>
      <c r="B66" s="10" t="s">
        <v>106</v>
      </c>
      <c r="C66" s="14">
        <v>24</v>
      </c>
      <c r="D66" s="12">
        <f>0</f>
        <v>0</v>
      </c>
      <c r="E66" s="6" t="s">
        <v>91</v>
      </c>
      <c r="F66" s="2" t="s">
        <v>14</v>
      </c>
      <c r="G66" s="2" t="s">
        <v>80</v>
      </c>
      <c r="H66" s="2" t="s">
        <v>67</v>
      </c>
    </row>
    <row r="67" spans="1:8" x14ac:dyDescent="0.3">
      <c r="A67" s="16">
        <v>46246</v>
      </c>
      <c r="B67" s="10" t="s">
        <v>106</v>
      </c>
      <c r="C67" s="12">
        <f>0</f>
        <v>0</v>
      </c>
      <c r="D67" s="14">
        <v>319</v>
      </c>
      <c r="E67" s="6" t="s">
        <v>92</v>
      </c>
      <c r="F67" s="2" t="s">
        <v>6</v>
      </c>
      <c r="G67" s="2" t="s">
        <v>93</v>
      </c>
      <c r="H67" s="2" t="s">
        <v>21</v>
      </c>
    </row>
    <row r="68" spans="1:8" x14ac:dyDescent="0.3">
      <c r="A68" s="16">
        <v>46247</v>
      </c>
      <c r="B68" s="10" t="s">
        <v>107</v>
      </c>
      <c r="C68" s="11">
        <v>65</v>
      </c>
      <c r="D68" s="14"/>
      <c r="E68" s="6"/>
      <c r="F68" s="2" t="s">
        <v>102</v>
      </c>
      <c r="G68" s="2"/>
      <c r="H68" s="2"/>
    </row>
    <row r="69" spans="1:8" x14ac:dyDescent="0.3">
      <c r="A69" s="16">
        <v>46247</v>
      </c>
      <c r="B69" s="10" t="s">
        <v>107</v>
      </c>
      <c r="C69" s="14">
        <v>29</v>
      </c>
      <c r="D69" s="12">
        <f>0</f>
        <v>0</v>
      </c>
      <c r="E69" s="6" t="s">
        <v>94</v>
      </c>
      <c r="F69" s="2" t="s">
        <v>23</v>
      </c>
      <c r="G69" s="2" t="s">
        <v>80</v>
      </c>
      <c r="H69" s="2" t="s">
        <v>67</v>
      </c>
    </row>
    <row r="70" spans="1:8" x14ac:dyDescent="0.3">
      <c r="A70" s="16">
        <v>46247</v>
      </c>
      <c r="B70" s="10" t="s">
        <v>107</v>
      </c>
      <c r="C70" s="14"/>
      <c r="D70" s="12"/>
      <c r="E70" s="6"/>
      <c r="F70" s="5" t="s">
        <v>102</v>
      </c>
      <c r="G70" s="2"/>
      <c r="H70" s="2"/>
    </row>
    <row r="71" spans="1:8" x14ac:dyDescent="0.3">
      <c r="A71" s="16">
        <v>46247</v>
      </c>
      <c r="B71" s="10" t="s">
        <v>107</v>
      </c>
      <c r="C71" s="12">
        <f>0</f>
        <v>0</v>
      </c>
      <c r="D71" s="14">
        <v>228</v>
      </c>
      <c r="E71" s="6" t="s">
        <v>95</v>
      </c>
      <c r="F71" s="2" t="s">
        <v>6</v>
      </c>
      <c r="G71" s="2" t="s">
        <v>18</v>
      </c>
      <c r="H71" s="2" t="s">
        <v>21</v>
      </c>
    </row>
    <row r="72" spans="1:8" x14ac:dyDescent="0.3">
      <c r="A72" s="16">
        <v>46248</v>
      </c>
      <c r="B72" s="10" t="s">
        <v>108</v>
      </c>
      <c r="C72" s="14">
        <v>43</v>
      </c>
      <c r="D72" s="12"/>
      <c r="E72" s="6"/>
      <c r="F72" s="5" t="s">
        <v>102</v>
      </c>
      <c r="G72" s="2"/>
      <c r="H72" s="2"/>
    </row>
    <row r="73" spans="1:8" x14ac:dyDescent="0.3">
      <c r="A73" s="16">
        <v>46248</v>
      </c>
      <c r="B73" s="10" t="s">
        <v>108</v>
      </c>
      <c r="C73" s="14">
        <v>174</v>
      </c>
      <c r="D73" s="12">
        <f>0</f>
        <v>0</v>
      </c>
      <c r="E73" s="6" t="s">
        <v>96</v>
      </c>
      <c r="F73" s="2" t="s">
        <v>6</v>
      </c>
      <c r="G73" s="2" t="s">
        <v>89</v>
      </c>
      <c r="H73" s="2" t="s">
        <v>67</v>
      </c>
    </row>
    <row r="74" spans="1:8" x14ac:dyDescent="0.3">
      <c r="A74" s="16">
        <v>46248</v>
      </c>
      <c r="B74" s="10" t="s">
        <v>108</v>
      </c>
      <c r="C74" s="14"/>
      <c r="D74" s="11">
        <v>53</v>
      </c>
      <c r="E74" s="6"/>
      <c r="F74" s="5" t="s">
        <v>102</v>
      </c>
      <c r="G74" s="2"/>
      <c r="H74" s="2"/>
    </row>
    <row r="75" spans="1:8" ht="25.5" x14ac:dyDescent="0.3">
      <c r="A75" s="16">
        <v>46248</v>
      </c>
      <c r="B75" s="10" t="s">
        <v>108</v>
      </c>
      <c r="C75" s="12">
        <f>0</f>
        <v>0</v>
      </c>
      <c r="D75" s="21">
        <v>48</v>
      </c>
      <c r="E75" s="6" t="s">
        <v>97</v>
      </c>
      <c r="F75" s="2" t="s">
        <v>14</v>
      </c>
      <c r="G75" s="2" t="s">
        <v>98</v>
      </c>
      <c r="H75" s="2" t="s">
        <v>12</v>
      </c>
    </row>
    <row r="76" spans="1:8" ht="14.95" thickBot="1" x14ac:dyDescent="0.35">
      <c r="A76" s="7"/>
      <c r="B76" s="20"/>
      <c r="C76" s="8">
        <f>SUM(C2:C75)</f>
        <v>4594</v>
      </c>
      <c r="D76" s="8">
        <f>SUM(D2:D75)</f>
        <v>6247</v>
      </c>
      <c r="E76" s="3"/>
      <c r="F76" s="3"/>
      <c r="G76" s="3"/>
      <c r="H76" s="4" t="s">
        <v>99</v>
      </c>
    </row>
    <row r="77" spans="1:8" ht="14.95" thickTop="1" x14ac:dyDescent="0.3"/>
  </sheetData>
  <autoFilter ref="A1:I7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Sharma, Akshit</cp:lastModifiedBy>
  <cp:revision>0</cp:revision>
  <dcterms:created xsi:type="dcterms:W3CDTF">2026-08-24T05:46:26Z</dcterms:created>
  <dcterms:modified xsi:type="dcterms:W3CDTF">2026-09-09T04:02:45Z</dcterms:modified>
  <dc:language>en-US</dc:language>
</cp:coreProperties>
</file>