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sharma19\Downloads\GE India\ROU &amp; Lease\WIND\"/>
    </mc:Choice>
  </mc:AlternateContent>
  <xr:revisionPtr revIDLastSave="0" documentId="13_ncr:1_{87E09A5D-665F-4EE8-96B4-A1B733332FA3}" xr6:coauthVersionLast="47" xr6:coauthVersionMax="47" xr10:uidLastSave="{00000000-0000-0000-0000-000000000000}"/>
  <bookViews>
    <workbookView xWindow="-100" yWindow="-100" windowWidth="21467" windowHeight="11443" activeTab="1" xr2:uid="{00000000-000D-0000-FFFF-FFFF00000000}"/>
  </bookViews>
  <sheets>
    <sheet name="Summary" sheetId="13" r:id="rId1"/>
    <sheet name="Rent Alpha Detail" sheetId="5" r:id="rId2"/>
    <sheet name="Rent Alpha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5" l="1"/>
  <c r="J27" i="5"/>
  <c r="J26" i="5"/>
  <c r="J24" i="5"/>
  <c r="C4" i="13"/>
  <c r="BT41" i="11" l="1"/>
  <c r="BK41" i="11"/>
  <c r="BD41" i="11"/>
  <c r="BA41" i="11"/>
  <c r="AL41" i="11"/>
  <c r="AI41" i="11"/>
  <c r="AC41" i="11"/>
  <c r="AC42" i="11" s="1"/>
  <c r="Z41" i="11"/>
  <c r="T41" i="11"/>
  <c r="Q41" i="11"/>
  <c r="BT39" i="11"/>
  <c r="BQ39" i="11"/>
  <c r="BQ41" i="11" s="1"/>
  <c r="BN39" i="11"/>
  <c r="BN41" i="11" s="1"/>
  <c r="BK39" i="11"/>
  <c r="BH39" i="11"/>
  <c r="BD39" i="11"/>
  <c r="BA39" i="11"/>
  <c r="AX39" i="11"/>
  <c r="AX41" i="11" s="1"/>
  <c r="AU39" i="11"/>
  <c r="AU41" i="11" s="1"/>
  <c r="AR39" i="11"/>
  <c r="AR41" i="11" s="1"/>
  <c r="AO39" i="11"/>
  <c r="AO41" i="11" s="1"/>
  <c r="AL39" i="11"/>
  <c r="AI39" i="11"/>
  <c r="AF39" i="11"/>
  <c r="AF41" i="11" s="1"/>
  <c r="AC39" i="11"/>
  <c r="Z39" i="11"/>
  <c r="W39" i="11"/>
  <c r="W41" i="11" s="1"/>
  <c r="T39" i="11"/>
  <c r="Q39" i="11"/>
  <c r="N39" i="11"/>
  <c r="N41" i="11" s="1"/>
  <c r="K39" i="11"/>
  <c r="K41" i="11" s="1"/>
  <c r="Q35" i="11"/>
  <c r="N35" i="11"/>
  <c r="K35" i="11"/>
  <c r="BT33" i="11"/>
  <c r="BS33" i="11"/>
  <c r="BR33" i="11"/>
  <c r="BQ33" i="11"/>
  <c r="J23" i="5" s="1"/>
  <c r="J25" i="5" s="1"/>
  <c r="BP33" i="11"/>
  <c r="BO33" i="11"/>
  <c r="BM33" i="11"/>
  <c r="BL33" i="11"/>
  <c r="BJ33" i="11"/>
  <c r="BI33" i="11"/>
  <c r="BG33" i="11"/>
  <c r="BF33" i="11"/>
  <c r="BC33" i="11"/>
  <c r="BB33" i="11"/>
  <c r="AZ33" i="11"/>
  <c r="AY33" i="11"/>
  <c r="AW33" i="11"/>
  <c r="AV33" i="11"/>
  <c r="AT33" i="11"/>
  <c r="AS33" i="11"/>
  <c r="AQ33" i="11"/>
  <c r="AP33" i="11"/>
  <c r="AN33" i="11"/>
  <c r="AM33" i="11"/>
  <c r="AK33" i="11"/>
  <c r="AJ33" i="11"/>
  <c r="AH33" i="11"/>
  <c r="AG33" i="11"/>
  <c r="AE33" i="11"/>
  <c r="AD33" i="11"/>
  <c r="AB33" i="11"/>
  <c r="AA33" i="11"/>
  <c r="Y33" i="11"/>
  <c r="X33" i="11"/>
  <c r="V33" i="11"/>
  <c r="U33" i="11"/>
  <c r="S33" i="11"/>
  <c r="R33" i="11"/>
  <c r="P33" i="11"/>
  <c r="O33" i="11"/>
  <c r="M33" i="11"/>
  <c r="L33" i="11"/>
  <c r="J33" i="11"/>
  <c r="I33" i="11"/>
  <c r="F30" i="11"/>
  <c r="T29" i="11"/>
  <c r="W29" i="11" s="1"/>
  <c r="Z29" i="11" s="1"/>
  <c r="AC29" i="11" s="1"/>
  <c r="AF29" i="11" s="1"/>
  <c r="AI29" i="11" s="1"/>
  <c r="AL29" i="11" s="1"/>
  <c r="AO29" i="11" s="1"/>
  <c r="AR29" i="11" s="1"/>
  <c r="AU29" i="11" s="1"/>
  <c r="AX29" i="11" s="1"/>
  <c r="BA29" i="11" s="1"/>
  <c r="BD29" i="11" s="1"/>
  <c r="BH29" i="11" s="1"/>
  <c r="BK29" i="11" s="1"/>
  <c r="BN29" i="11" s="1"/>
  <c r="Q29" i="11"/>
  <c r="N29" i="11"/>
  <c r="F29" i="11"/>
  <c r="G29" i="11" s="1"/>
  <c r="F27" i="11"/>
  <c r="W26" i="11"/>
  <c r="Z26" i="11" s="1"/>
  <c r="AC26" i="11" s="1"/>
  <c r="AF26" i="11" s="1"/>
  <c r="AI26" i="11" s="1"/>
  <c r="AL26" i="11" s="1"/>
  <c r="AO26" i="11" s="1"/>
  <c r="AR26" i="11" s="1"/>
  <c r="AU26" i="11" s="1"/>
  <c r="AX26" i="11" s="1"/>
  <c r="BA26" i="11" s="1"/>
  <c r="BD26" i="11" s="1"/>
  <c r="BH26" i="11" s="1"/>
  <c r="BK26" i="11" s="1"/>
  <c r="BN26" i="11" s="1"/>
  <c r="T26" i="11"/>
  <c r="Q26" i="11"/>
  <c r="N26" i="11"/>
  <c r="F26" i="11"/>
  <c r="F24" i="11"/>
  <c r="Q23" i="11"/>
  <c r="T23" i="11" s="1"/>
  <c r="W23" i="11" s="1"/>
  <c r="Z23" i="11" s="1"/>
  <c r="AC23" i="11" s="1"/>
  <c r="AF23" i="11" s="1"/>
  <c r="AI23" i="11" s="1"/>
  <c r="AL23" i="11" s="1"/>
  <c r="AO23" i="11" s="1"/>
  <c r="AR23" i="11" s="1"/>
  <c r="AU23" i="11" s="1"/>
  <c r="AX23" i="11" s="1"/>
  <c r="BA23" i="11" s="1"/>
  <c r="BD23" i="11" s="1"/>
  <c r="BH23" i="11" s="1"/>
  <c r="BK23" i="11" s="1"/>
  <c r="N23" i="11"/>
  <c r="F23" i="11"/>
  <c r="G23" i="11" s="1"/>
  <c r="F21" i="11"/>
  <c r="BQ20" i="11"/>
  <c r="K20" i="11"/>
  <c r="N20" i="11" s="1"/>
  <c r="Q20" i="11" s="1"/>
  <c r="T20" i="11" s="1"/>
  <c r="W20" i="11" s="1"/>
  <c r="Z20" i="11" s="1"/>
  <c r="AC20" i="11" s="1"/>
  <c r="AF20" i="11" s="1"/>
  <c r="AI20" i="11" s="1"/>
  <c r="AL20" i="11" s="1"/>
  <c r="AO20" i="11" s="1"/>
  <c r="AR20" i="11" s="1"/>
  <c r="AU20" i="11" s="1"/>
  <c r="AX20" i="11" s="1"/>
  <c r="BA20" i="11" s="1"/>
  <c r="BD20" i="11" s="1"/>
  <c r="BH20" i="11" s="1"/>
  <c r="BK20" i="11" s="1"/>
  <c r="G20" i="11"/>
  <c r="F20" i="11"/>
  <c r="F18" i="11"/>
  <c r="BN17" i="11"/>
  <c r="K17" i="11"/>
  <c r="N17" i="11" s="1"/>
  <c r="Q17" i="11" s="1"/>
  <c r="T17" i="11" s="1"/>
  <c r="W17" i="11" s="1"/>
  <c r="Z17" i="11" s="1"/>
  <c r="AC17" i="11" s="1"/>
  <c r="AF17" i="11" s="1"/>
  <c r="AI17" i="11" s="1"/>
  <c r="AL17" i="11" s="1"/>
  <c r="AO17" i="11" s="1"/>
  <c r="AR17" i="11" s="1"/>
  <c r="AU17" i="11" s="1"/>
  <c r="AX17" i="11" s="1"/>
  <c r="BA17" i="11" s="1"/>
  <c r="BD17" i="11" s="1"/>
  <c r="BH17" i="11" s="1"/>
  <c r="BK17" i="11" s="1"/>
  <c r="G17" i="11"/>
  <c r="F17" i="11"/>
  <c r="F15" i="11"/>
  <c r="BN14" i="11"/>
  <c r="K14" i="11"/>
  <c r="N14" i="11" s="1"/>
  <c r="Q14" i="11" s="1"/>
  <c r="T14" i="11" s="1"/>
  <c r="W14" i="11" s="1"/>
  <c r="Z14" i="11" s="1"/>
  <c r="AC14" i="11" s="1"/>
  <c r="AF14" i="11" s="1"/>
  <c r="AI14" i="11" s="1"/>
  <c r="AL14" i="11" s="1"/>
  <c r="AO14" i="11" s="1"/>
  <c r="AR14" i="11" s="1"/>
  <c r="AU14" i="11" s="1"/>
  <c r="AX14" i="11" s="1"/>
  <c r="BA14" i="11" s="1"/>
  <c r="BD14" i="11" s="1"/>
  <c r="BH14" i="11" s="1"/>
  <c r="BK14" i="11" s="1"/>
  <c r="G14" i="11"/>
  <c r="F14" i="11"/>
  <c r="F12" i="11"/>
  <c r="BN11" i="11"/>
  <c r="Q11" i="11"/>
  <c r="T11" i="11" s="1"/>
  <c r="W11" i="11" s="1"/>
  <c r="Z11" i="11" s="1"/>
  <c r="AC11" i="11" s="1"/>
  <c r="AF11" i="11" s="1"/>
  <c r="AI11" i="11" s="1"/>
  <c r="AL11" i="11" s="1"/>
  <c r="AO11" i="11" s="1"/>
  <c r="AR11" i="11" s="1"/>
  <c r="AU11" i="11" s="1"/>
  <c r="AX11" i="11" s="1"/>
  <c r="BA11" i="11" s="1"/>
  <c r="BD11" i="11" s="1"/>
  <c r="BH11" i="11" s="1"/>
  <c r="BK11" i="11" s="1"/>
  <c r="K11" i="11"/>
  <c r="N11" i="11" s="1"/>
  <c r="F11" i="11"/>
  <c r="G11" i="11" s="1"/>
  <c r="F9" i="11"/>
  <c r="BN8" i="11"/>
  <c r="K8" i="11"/>
  <c r="N8" i="11" s="1"/>
  <c r="Q8" i="11" s="1"/>
  <c r="T8" i="11" s="1"/>
  <c r="W8" i="11" s="1"/>
  <c r="Z8" i="11" s="1"/>
  <c r="AC8" i="11" s="1"/>
  <c r="AF8" i="11" s="1"/>
  <c r="AI8" i="11" s="1"/>
  <c r="AL8" i="11" s="1"/>
  <c r="AO8" i="11" s="1"/>
  <c r="AR8" i="11" s="1"/>
  <c r="AU8" i="11" s="1"/>
  <c r="AX8" i="11" s="1"/>
  <c r="BA8" i="11" s="1"/>
  <c r="BD8" i="11" s="1"/>
  <c r="BH8" i="11" s="1"/>
  <c r="BK8" i="11" s="1"/>
  <c r="F8" i="11"/>
  <c r="G8" i="11" s="1"/>
  <c r="F6" i="11"/>
  <c r="BN5" i="11" s="1"/>
  <c r="K5" i="11"/>
  <c r="F5" i="11"/>
  <c r="T2" i="11"/>
  <c r="T35" i="11" s="1"/>
  <c r="Q2" i="11"/>
  <c r="N2" i="11"/>
  <c r="F17" i="5"/>
  <c r="D17" i="5"/>
  <c r="G13" i="5"/>
  <c r="G12" i="5"/>
  <c r="G11" i="5"/>
  <c r="G10" i="5"/>
  <c r="G8" i="5"/>
  <c r="G7" i="5"/>
  <c r="W2" i="11" l="1"/>
  <c r="BN33" i="11"/>
  <c r="BH41" i="11"/>
  <c r="F42" i="11"/>
  <c r="E17" i="5"/>
  <c r="F33" i="11"/>
  <c r="K33" i="11"/>
  <c r="K37" i="11" s="1"/>
  <c r="G26" i="11"/>
  <c r="G17" i="5"/>
  <c r="G5" i="11"/>
  <c r="G33" i="11" s="1"/>
  <c r="N5" i="11"/>
  <c r="Q5" i="11" l="1"/>
  <c r="N33" i="11"/>
  <c r="N37" i="11" s="1"/>
  <c r="W35" i="11"/>
  <c r="Z2" i="11"/>
  <c r="Q33" i="11" l="1"/>
  <c r="Q37" i="11" s="1"/>
  <c r="T5" i="11"/>
  <c r="Z35" i="11"/>
  <c r="AC2" i="11"/>
  <c r="W5" i="11" l="1"/>
  <c r="T33" i="11"/>
  <c r="T37" i="11" s="1"/>
  <c r="AC35" i="11"/>
  <c r="AF2" i="11"/>
  <c r="AI2" i="11" l="1"/>
  <c r="AF35" i="11"/>
  <c r="W33" i="11"/>
  <c r="W37" i="11" s="1"/>
  <c r="Z5" i="11"/>
  <c r="AI35" i="11" l="1"/>
  <c r="AL2" i="11"/>
  <c r="AC5" i="11"/>
  <c r="Z33" i="11"/>
  <c r="Z37" i="11" s="1"/>
  <c r="AL35" i="11" l="1"/>
  <c r="AO2" i="11"/>
  <c r="AC33" i="11"/>
  <c r="AC37" i="11" s="1"/>
  <c r="AF5" i="11"/>
  <c r="AF33" i="11" l="1"/>
  <c r="AF37" i="11" s="1"/>
  <c r="AF38" i="11" s="1"/>
  <c r="AI5" i="11"/>
  <c r="AO35" i="11"/>
  <c r="AR2" i="11"/>
  <c r="AC38" i="11"/>
  <c r="AD38" i="11"/>
  <c r="AL5" i="11" l="1"/>
  <c r="AI33" i="11"/>
  <c r="AI37" i="11" s="1"/>
  <c r="AI38" i="11" s="1"/>
  <c r="AU2" i="11"/>
  <c r="AR35" i="11"/>
  <c r="AL33" i="11" l="1"/>
  <c r="AL37" i="11" s="1"/>
  <c r="AL38" i="11" s="1"/>
  <c r="AO5" i="11"/>
  <c r="AU35" i="11"/>
  <c r="AX2" i="11"/>
  <c r="AO33" i="11" l="1"/>
  <c r="AO37" i="11" s="1"/>
  <c r="AO38" i="11" s="1"/>
  <c r="AR5" i="11"/>
  <c r="AX35" i="11"/>
  <c r="BA2" i="11"/>
  <c r="AR33" i="11" l="1"/>
  <c r="AR37" i="11" s="1"/>
  <c r="AU5" i="11"/>
  <c r="BD2" i="11"/>
  <c r="BA35" i="11"/>
  <c r="BD35" i="11" l="1"/>
  <c r="BH2" i="11"/>
  <c r="AU33" i="11"/>
  <c r="AU37" i="11" s="1"/>
  <c r="AX5" i="11"/>
  <c r="BH35" i="11" l="1"/>
  <c r="BK2" i="11"/>
  <c r="BA5" i="11"/>
  <c r="AX33" i="11"/>
  <c r="AX37" i="11" s="1"/>
  <c r="BD5" i="11" l="1"/>
  <c r="BA33" i="11"/>
  <c r="BA37" i="11" s="1"/>
  <c r="BK35" i="11"/>
  <c r="BN2" i="11"/>
  <c r="BD33" i="11" l="1"/>
  <c r="BD37" i="11" s="1"/>
  <c r="BH5" i="11"/>
  <c r="BQ2" i="11"/>
  <c r="BN35" i="11"/>
  <c r="BN37" i="11" s="1"/>
  <c r="BH33" i="11" l="1"/>
  <c r="BK5" i="11"/>
  <c r="BK33" i="11" s="1"/>
  <c r="BK37" i="11" s="1"/>
  <c r="BT2" i="11"/>
  <c r="BT35" i="11" s="1"/>
  <c r="BT37" i="11" s="1"/>
  <c r="BQ35" i="11"/>
  <c r="BQ37" i="11" s="1"/>
  <c r="I10" i="5" l="1"/>
  <c r="BH37" i="11"/>
  <c r="H12" i="5" s="1"/>
  <c r="I11" i="5" l="1"/>
  <c r="I12" i="5" s="1"/>
  <c r="M3" i="5"/>
  <c r="F37" i="11"/>
  <c r="H17" i="5"/>
  <c r="K3" i="5" l="1"/>
  <c r="I17" i="5"/>
  <c r="N3" i="5" s="1"/>
  <c r="L3" i="5" s="1"/>
  <c r="H16" i="5"/>
  <c r="H6" i="5" l="1"/>
  <c r="K17" i="5"/>
  <c r="C5" i="13" s="1"/>
  <c r="K18" i="5"/>
  <c r="F40" i="11" l="1"/>
  <c r="H7" i="5"/>
  <c r="I6" i="5" s="1"/>
  <c r="F43" i="11" l="1"/>
  <c r="BT40" i="11"/>
  <c r="BQ40" i="11"/>
  <c r="BK40" i="11"/>
  <c r="BN40" i="11"/>
  <c r="BH40" i="11"/>
  <c r="I13" i="5"/>
  <c r="BH43" i="11" l="1"/>
  <c r="BT43" i="11"/>
  <c r="BQ43" i="11"/>
  <c r="BN43" i="11"/>
  <c r="BK43" i="11"/>
  <c r="I7" i="5" l="1"/>
  <c r="I8" i="5" l="1"/>
  <c r="C6" i="13"/>
  <c r="C7" i="13" s="1"/>
</calcChain>
</file>

<file path=xl/sharedStrings.xml><?xml version="1.0" encoding="utf-8"?>
<sst xmlns="http://schemas.openxmlformats.org/spreadsheetml/2006/main" count="81" uniqueCount="63">
  <si>
    <t>Agreement Number</t>
  </si>
  <si>
    <t>Rental</t>
  </si>
  <si>
    <t>Total Rental</t>
  </si>
  <si>
    <t>GEI/0006</t>
  </si>
  <si>
    <t>From</t>
  </si>
  <si>
    <t>To</t>
  </si>
  <si>
    <t>GEI/0007</t>
  </si>
  <si>
    <t>GEI/0008</t>
  </si>
  <si>
    <t>GEI/0005</t>
  </si>
  <si>
    <t>GEI/0009</t>
  </si>
  <si>
    <t>GEI/0010</t>
  </si>
  <si>
    <t>GEI/0011</t>
  </si>
  <si>
    <t>GEI/0012</t>
  </si>
  <si>
    <t>GEI/0013</t>
  </si>
  <si>
    <t>Period</t>
  </si>
  <si>
    <t>Depreciation</t>
  </si>
  <si>
    <t>ROU</t>
  </si>
  <si>
    <t>2021-22</t>
  </si>
  <si>
    <t>2022-23</t>
  </si>
  <si>
    <t>2023-24</t>
  </si>
  <si>
    <t>2024-25</t>
  </si>
  <si>
    <t>2025-26</t>
  </si>
  <si>
    <t>Total Value</t>
  </si>
  <si>
    <t>Lease Liablity</t>
  </si>
  <si>
    <t>Repayment</t>
  </si>
  <si>
    <t>Interest</t>
  </si>
  <si>
    <t>Particulars</t>
  </si>
  <si>
    <t>P&amp;L Impact</t>
  </si>
  <si>
    <t>Closing Balance</t>
  </si>
  <si>
    <t>Balance Lease Liablity</t>
  </si>
  <si>
    <t>&gt;&gt; Revised ROU &gt;&gt;</t>
  </si>
  <si>
    <t>&gt;&gt; Revised Liability &gt;&gt;</t>
  </si>
  <si>
    <t>2024-25 (Actual)</t>
  </si>
  <si>
    <t>&gt;&gt; Actual ROU &gt;&gt;</t>
  </si>
  <si>
    <t>&gt;&gt; Actual Liability &gt;&gt;</t>
  </si>
  <si>
    <t>2024-25 Should have been</t>
  </si>
  <si>
    <t xml:space="preserve">Revised Opening ROU </t>
  </si>
  <si>
    <t>Total Days left</t>
  </si>
  <si>
    <t>Total repayments</t>
  </si>
  <si>
    <t>Present value of Lease Liability</t>
  </si>
  <si>
    <t>Discounting factor</t>
  </si>
  <si>
    <t>Depreciation per Qtr</t>
  </si>
  <si>
    <t>No of days in Qtr</t>
  </si>
  <si>
    <t>Differnce in Opening ROU has been added to ROU</t>
  </si>
  <si>
    <t>Current year Schedule (Modification of lease Liabilities)</t>
  </si>
  <si>
    <t>Till last Year (actual)</t>
  </si>
  <si>
    <t>ROU DR</t>
  </si>
  <si>
    <t>To Lease Liability</t>
  </si>
  <si>
    <t>2025-26 (Mar 2026)</t>
  </si>
  <si>
    <t>ROU -Closing balance</t>
  </si>
  <si>
    <t>Opening Balnce</t>
  </si>
  <si>
    <t>Add :Interest</t>
  </si>
  <si>
    <t>=&gt; Closing Liability</t>
  </si>
  <si>
    <t>Less:Repayment</t>
  </si>
  <si>
    <t>&gt;&gt;&gt;Interest = Closing Liability + Repayment - Opening Balance</t>
  </si>
  <si>
    <t xml:space="preserve"> </t>
  </si>
  <si>
    <t>Opening Balance</t>
  </si>
  <si>
    <t>Modification</t>
  </si>
  <si>
    <t>Amortization</t>
  </si>
  <si>
    <t>Repayment as per LY</t>
  </si>
  <si>
    <t>Repayment as per CY</t>
  </si>
  <si>
    <t>Increase in LL</t>
  </si>
  <si>
    <t>INCREASE IN LL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</si>
</sst>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43" fontId="2" fillId="0" borderId="0" xfId="1" applyFont="1"/>
    <xf numFmtId="165" fontId="2" fillId="0" borderId="0" xfId="1" applyNumberFormat="1" applyFont="1"/>
    <xf numFmtId="43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2" borderId="0" xfId="0" applyFont="1" applyFill="1"/>
    <xf numFmtId="9" fontId="2" fillId="0" borderId="0" xfId="0" applyNumberFormat="1" applyFont="1"/>
    <xf numFmtId="2" fontId="2" fillId="0" borderId="0" xfId="0" applyNumberFormat="1" applyFont="1"/>
    <xf numFmtId="43" fontId="3" fillId="0" borderId="0" xfId="1" applyFont="1"/>
    <xf numFmtId="164" fontId="3" fillId="0" borderId="0" xfId="0" applyNumberFormat="1" applyFont="1"/>
    <xf numFmtId="4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left"/>
    </xf>
    <xf numFmtId="9" fontId="6" fillId="0" borderId="0" xfId="0" applyNumberFormat="1" applyFont="1" applyAlignment="1">
      <alignment horizontal="center"/>
    </xf>
    <xf numFmtId="0" fontId="6" fillId="0" borderId="0" xfId="0" applyFont="1"/>
    <xf numFmtId="43" fontId="6" fillId="3" borderId="2" xfId="0" applyNumberFormat="1" applyFont="1" applyFill="1" applyBorder="1"/>
    <xf numFmtId="43" fontId="7" fillId="2" borderId="2" xfId="0" applyNumberFormat="1" applyFont="1" applyFill="1" applyBorder="1" applyAlignment="1">
      <alignment horizontal="center"/>
    </xf>
    <xf numFmtId="43" fontId="2" fillId="3" borderId="2" xfId="0" applyNumberFormat="1" applyFont="1" applyFill="1" applyBorder="1"/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3" fontId="4" fillId="3" borderId="3" xfId="1" applyFont="1" applyFill="1" applyBorder="1"/>
    <xf numFmtId="43" fontId="3" fillId="2" borderId="3" xfId="1" applyFont="1" applyFill="1" applyBorder="1"/>
    <xf numFmtId="43" fontId="2" fillId="3" borderId="3" xfId="1" applyFont="1" applyFill="1" applyBorder="1"/>
    <xf numFmtId="43" fontId="5" fillId="3" borderId="3" xfId="1" applyFont="1" applyFill="1" applyBorder="1"/>
    <xf numFmtId="164" fontId="2" fillId="0" borderId="0" xfId="0" applyNumberFormat="1" applyFont="1"/>
    <xf numFmtId="4" fontId="2" fillId="0" borderId="0" xfId="0" applyNumberFormat="1" applyFont="1"/>
    <xf numFmtId="43" fontId="6" fillId="0" borderId="0" xfId="0" applyNumberFormat="1" applyFont="1"/>
    <xf numFmtId="0" fontId="6" fillId="2" borderId="0" xfId="0" applyFont="1" applyFill="1" applyAlignment="1">
      <alignment wrapText="1"/>
    </xf>
    <xf numFmtId="43" fontId="7" fillId="0" borderId="0" xfId="0" applyNumberFormat="1" applyFont="1"/>
    <xf numFmtId="0" fontId="6" fillId="3" borderId="4" xfId="0" applyFont="1" applyFill="1" applyBorder="1"/>
    <xf numFmtId="0" fontId="2" fillId="3" borderId="4" xfId="0" applyFont="1" applyFill="1" applyBorder="1"/>
    <xf numFmtId="0" fontId="6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164" fontId="6" fillId="0" borderId="0" xfId="0" applyNumberFormat="1" applyFont="1"/>
    <xf numFmtId="43" fontId="2" fillId="0" borderId="0" xfId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43" fontId="2" fillId="0" borderId="7" xfId="0" applyNumberFormat="1" applyFont="1" applyBorder="1"/>
    <xf numFmtId="43" fontId="6" fillId="0" borderId="7" xfId="0" applyNumberFormat="1" applyFont="1" applyBorder="1"/>
    <xf numFmtId="0" fontId="2" fillId="0" borderId="0" xfId="0" applyFont="1" applyAlignment="1">
      <alignment vertical="center"/>
    </xf>
    <xf numFmtId="4" fontId="6" fillId="0" borderId="0" xfId="0" applyNumberFormat="1" applyFont="1"/>
    <xf numFmtId="43" fontId="6" fillId="2" borderId="3" xfId="1" applyFont="1" applyFill="1" applyBorder="1"/>
    <xf numFmtId="43" fontId="3" fillId="0" borderId="3" xfId="1" applyFont="1" applyFill="1" applyBorder="1"/>
    <xf numFmtId="43" fontId="8" fillId="0" borderId="3" xfId="1" applyFont="1" applyFill="1" applyBorder="1"/>
    <xf numFmtId="43" fontId="7" fillId="0" borderId="3" xfId="1" applyFont="1" applyFill="1" applyBorder="1"/>
    <xf numFmtId="0" fontId="7" fillId="0" borderId="4" xfId="0" applyFont="1" applyBorder="1" applyAlignment="1">
      <alignment horizontal="center" vertical="center"/>
    </xf>
    <xf numFmtId="43" fontId="2" fillId="2" borderId="3" xfId="1" applyFont="1" applyFill="1" applyBorder="1"/>
    <xf numFmtId="49" fontId="2" fillId="0" borderId="0" xfId="0" applyNumberFormat="1" applyFont="1"/>
    <xf numFmtId="165" fontId="9" fillId="0" borderId="0" xfId="1" applyNumberFormat="1" applyFont="1"/>
    <xf numFmtId="165" fontId="10" fillId="0" borderId="1" xfId="1" applyNumberFormat="1" applyFont="1" applyBorder="1"/>
    <xf numFmtId="165" fontId="9" fillId="0" borderId="1" xfId="1" applyNumberFormat="1" applyFont="1" applyBorder="1"/>
    <xf numFmtId="0" fontId="10" fillId="0" borderId="0" xfId="0" applyFont="1"/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43" fontId="2" fillId="0" borderId="1" xfId="0" applyNumberFormat="1" applyFont="1" applyBorder="1"/>
    <xf numFmtId="43" fontId="6" fillId="0" borderId="1" xfId="0" applyNumberFormat="1" applyFont="1" applyBorder="1"/>
    <xf numFmtId="2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449D-4215-41F7-894E-92A1C644B5AE}">
  <dimension ref="B3:C7"/>
  <sheetViews>
    <sheetView workbookViewId="0">
      <selection activeCell="G12" sqref="G12"/>
    </sheetView>
  </sheetViews>
  <sheetFormatPr defaultRowHeight="14.4" x14ac:dyDescent="0.3"/>
  <cols>
    <col min="2" max="2" width="14.59765625" bestFit="1" customWidth="1"/>
    <col min="3" max="3" width="10.8984375" bestFit="1" customWidth="1"/>
  </cols>
  <sheetData>
    <row r="3" spans="2:3" x14ac:dyDescent="0.3">
      <c r="B3" s="60" t="s">
        <v>16</v>
      </c>
      <c r="C3" s="57"/>
    </row>
    <row r="4" spans="2:3" x14ac:dyDescent="0.3">
      <c r="B4" s="58" t="s">
        <v>56</v>
      </c>
      <c r="C4" s="58">
        <f>'Rent Alpha Detail'!G7</f>
        <v>40015641.330341697</v>
      </c>
    </row>
    <row r="5" spans="2:3" x14ac:dyDescent="0.3">
      <c r="B5" s="59" t="s">
        <v>57</v>
      </c>
      <c r="C5" s="59">
        <f>'Rent Alpha Detail'!K17</f>
        <v>4521159.2690808922</v>
      </c>
    </row>
    <row r="6" spans="2:3" x14ac:dyDescent="0.3">
      <c r="B6" s="59" t="s">
        <v>58</v>
      </c>
      <c r="C6" s="59">
        <f>-'Rent Alpha Detail'!I7</f>
        <v>-35727323.55777856</v>
      </c>
    </row>
    <row r="7" spans="2:3" x14ac:dyDescent="0.3">
      <c r="B7" s="58" t="s">
        <v>28</v>
      </c>
      <c r="C7" s="58">
        <f>C4+C5+C6</f>
        <v>8809477.0416440293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4F9F-72F2-47E0-85AA-23754828EB82}">
  <sheetPr codeName="Sheet2"/>
  <dimension ref="A1:N34"/>
  <sheetViews>
    <sheetView showGridLines="0" tabSelected="1" topLeftCell="A5" zoomScale="80" zoomScaleNormal="80" workbookViewId="0">
      <selection activeCell="J27" sqref="J27"/>
    </sheetView>
  </sheetViews>
  <sheetFormatPr defaultColWidth="8.69921875" defaultRowHeight="16.100000000000001" x14ac:dyDescent="0.35"/>
  <cols>
    <col min="1" max="1" width="3.69921875" style="2" bestFit="1" customWidth="1"/>
    <col min="2" max="2" width="20.5" style="1" bestFit="1" customWidth="1"/>
    <col min="3" max="3" width="16.796875" style="2" bestFit="1" customWidth="1"/>
    <col min="4" max="5" width="17.296875" style="1" bestFit="1" customWidth="1"/>
    <col min="6" max="6" width="16.09765625" style="1" bestFit="1" customWidth="1"/>
    <col min="7" max="7" width="19.59765625" style="1" bestFit="1" customWidth="1"/>
    <col min="8" max="8" width="25.19921875" style="1" bestFit="1" customWidth="1"/>
    <col min="9" max="9" width="19.296875" style="1" bestFit="1" customWidth="1"/>
    <col min="10" max="10" width="24.5" style="1" bestFit="1" customWidth="1"/>
    <col min="11" max="11" width="15.09765625" style="1" bestFit="1" customWidth="1"/>
    <col min="12" max="12" width="16.296875" style="1" bestFit="1" customWidth="1"/>
    <col min="13" max="14" width="15.09765625" style="1" bestFit="1" customWidth="1"/>
    <col min="15" max="16384" width="8.69921875" style="1"/>
  </cols>
  <sheetData>
    <row r="1" spans="1:14" s="48" customFormat="1" ht="16.649999999999999" thickBot="1" x14ac:dyDescent="0.35">
      <c r="A1" s="61" t="s">
        <v>44</v>
      </c>
      <c r="B1" s="62"/>
      <c r="C1" s="62"/>
      <c r="D1" s="62"/>
      <c r="E1" s="62"/>
      <c r="F1" s="62"/>
      <c r="G1" s="62"/>
      <c r="H1" s="62"/>
      <c r="I1" s="62"/>
    </row>
    <row r="2" spans="1:14" x14ac:dyDescent="0.35">
      <c r="K2" s="1" t="s">
        <v>50</v>
      </c>
      <c r="L2" s="1" t="s">
        <v>51</v>
      </c>
      <c r="M2" s="1" t="s">
        <v>53</v>
      </c>
      <c r="N2" s="56" t="s">
        <v>52</v>
      </c>
    </row>
    <row r="3" spans="1:14" s="21" customFormat="1" x14ac:dyDescent="0.35">
      <c r="A3" s="18"/>
      <c r="B3" s="19" t="s">
        <v>26</v>
      </c>
      <c r="C3" s="20"/>
      <c r="D3" s="18"/>
      <c r="E3" s="18"/>
      <c r="F3" s="18"/>
      <c r="G3" s="18" t="s">
        <v>32</v>
      </c>
      <c r="H3" s="18" t="s">
        <v>35</v>
      </c>
      <c r="I3" s="18" t="s">
        <v>48</v>
      </c>
      <c r="K3" s="33">
        <f>H17</f>
        <v>32215701.143724956</v>
      </c>
      <c r="L3" s="41">
        <f>N3+M3-K3</f>
        <v>2835218.9933752045</v>
      </c>
      <c r="M3" s="33">
        <f>I10</f>
        <v>33093224.376969598</v>
      </c>
      <c r="N3" s="33">
        <f>I17</f>
        <v>1957695.7601305582</v>
      </c>
    </row>
    <row r="4" spans="1:14" ht="16.649999999999999" thickBot="1" x14ac:dyDescent="0.4"/>
    <row r="5" spans="1:14" x14ac:dyDescent="0.35">
      <c r="G5" s="22" t="s">
        <v>33</v>
      </c>
      <c r="H5" s="23" t="s">
        <v>30</v>
      </c>
      <c r="I5" s="24"/>
    </row>
    <row r="6" spans="1:14" x14ac:dyDescent="0.35">
      <c r="A6" s="25">
        <v>0.08</v>
      </c>
      <c r="B6" s="1" t="s">
        <v>16</v>
      </c>
      <c r="C6" s="26"/>
      <c r="D6" s="8"/>
      <c r="E6" s="8"/>
      <c r="F6" s="8"/>
      <c r="G6" s="27"/>
      <c r="H6" s="28">
        <f>40015641.3303417-H16</f>
        <v>44536800.599422589</v>
      </c>
      <c r="I6" s="55">
        <f>H7</f>
        <v>44536800.599422589</v>
      </c>
      <c r="J6" s="6"/>
    </row>
    <row r="7" spans="1:14" x14ac:dyDescent="0.35">
      <c r="B7" s="1" t="s">
        <v>15</v>
      </c>
      <c r="C7" s="26"/>
      <c r="D7" s="8"/>
      <c r="E7" s="8"/>
      <c r="F7" s="8"/>
      <c r="G7" s="30">
        <f>H24</f>
        <v>40015641.330341697</v>
      </c>
      <c r="H7" s="52">
        <f>H6</f>
        <v>44536800.599422589</v>
      </c>
      <c r="I7" s="29">
        <f>SUM('Rent Alpha'!BH43:BQ43)</f>
        <v>35727323.55777856</v>
      </c>
      <c r="J7" s="31"/>
    </row>
    <row r="8" spans="1:14" x14ac:dyDescent="0.35">
      <c r="B8" s="21" t="s">
        <v>49</v>
      </c>
      <c r="D8" s="31"/>
      <c r="E8" s="31"/>
      <c r="F8" s="31"/>
      <c r="G8" s="27">
        <f>G25</f>
        <v>40015641.330341697</v>
      </c>
      <c r="H8" s="53"/>
      <c r="I8" s="50">
        <f>I6-I7</f>
        <v>8809477.0416440293</v>
      </c>
      <c r="J8" s="31"/>
    </row>
    <row r="9" spans="1:14" x14ac:dyDescent="0.35">
      <c r="B9" s="1" t="s">
        <v>23</v>
      </c>
      <c r="C9" s="26"/>
      <c r="G9" s="27"/>
      <c r="H9" s="51"/>
      <c r="I9" s="29"/>
    </row>
    <row r="10" spans="1:14" x14ac:dyDescent="0.35">
      <c r="B10" s="1" t="s">
        <v>24</v>
      </c>
      <c r="C10" s="26"/>
      <c r="D10" s="8"/>
      <c r="E10" s="8"/>
      <c r="F10" s="8"/>
      <c r="G10" s="27">
        <f>G27</f>
        <v>45528432</v>
      </c>
      <c r="H10" s="51"/>
      <c r="I10" s="29">
        <f>SUM('Rent Alpha'!BH33:BQ33)</f>
        <v>33093224.376969598</v>
      </c>
      <c r="J10" s="32"/>
    </row>
    <row r="11" spans="1:14" x14ac:dyDescent="0.35">
      <c r="B11" s="21" t="s">
        <v>25</v>
      </c>
      <c r="C11" s="26"/>
      <c r="D11" s="6"/>
      <c r="E11" s="6"/>
      <c r="F11" s="6"/>
      <c r="G11" s="27">
        <f>G28</f>
        <v>-3153040.5232571736</v>
      </c>
      <c r="H11" s="51"/>
      <c r="I11" s="55">
        <f>SUM('Rent Alpha'!BH37:BQ37)-I10</f>
        <v>-2835218.9933752008</v>
      </c>
      <c r="J11" s="49" t="s">
        <v>54</v>
      </c>
    </row>
    <row r="12" spans="1:14" x14ac:dyDescent="0.35">
      <c r="D12" s="31"/>
      <c r="E12" s="31"/>
      <c r="F12" s="31"/>
      <c r="G12" s="30">
        <f>G29</f>
        <v>27694541.874644063</v>
      </c>
      <c r="H12" s="53">
        <f>SUM('Rent Alpha'!BH37:BT37)</f>
        <v>32215701.143724956</v>
      </c>
      <c r="I12" s="50">
        <f>H12-I10-I11</f>
        <v>1957695.7601305582</v>
      </c>
      <c r="J12" s="31" t="s">
        <v>55</v>
      </c>
    </row>
    <row r="13" spans="1:14" x14ac:dyDescent="0.35">
      <c r="B13" s="21" t="s">
        <v>27</v>
      </c>
      <c r="C13" s="18"/>
      <c r="D13" s="33"/>
      <c r="E13" s="33"/>
      <c r="F13" s="33"/>
      <c r="G13" s="30">
        <f>G30</f>
        <v>-2359750.1464011297</v>
      </c>
      <c r="H13" s="53"/>
      <c r="I13" s="29">
        <f>I6-SUM(I10:I11)</f>
        <v>14278795.215828191</v>
      </c>
    </row>
    <row r="14" spans="1:14" x14ac:dyDescent="0.35">
      <c r="G14" s="27"/>
      <c r="H14" s="51"/>
      <c r="I14" s="29"/>
    </row>
    <row r="15" spans="1:14" x14ac:dyDescent="0.35">
      <c r="G15" s="27"/>
      <c r="H15" s="51"/>
      <c r="I15" s="29"/>
    </row>
    <row r="16" spans="1:14" ht="48.2" x14ac:dyDescent="0.35">
      <c r="E16" s="8"/>
      <c r="G16" s="27"/>
      <c r="H16" s="52">
        <f>G17-H17</f>
        <v>-4521159.2690808922</v>
      </c>
      <c r="I16" s="29"/>
      <c r="J16" s="34" t="s">
        <v>43</v>
      </c>
    </row>
    <row r="17" spans="1:11" x14ac:dyDescent="0.35">
      <c r="B17" s="1" t="s">
        <v>29</v>
      </c>
      <c r="D17" s="8">
        <f>C9-D10-D11</f>
        <v>0</v>
      </c>
      <c r="E17" s="8">
        <f>D17-E10-E11</f>
        <v>0</v>
      </c>
      <c r="F17" s="35">
        <f>F34</f>
        <v>70069933.35138689</v>
      </c>
      <c r="G17" s="30">
        <f>F17-G10-G11</f>
        <v>27694541.874644063</v>
      </c>
      <c r="H17" s="53">
        <f>H12</f>
        <v>32215701.143724956</v>
      </c>
      <c r="I17" s="50">
        <f>H17-I10-I11</f>
        <v>1957695.7601305582</v>
      </c>
      <c r="J17" s="1" t="s">
        <v>46</v>
      </c>
      <c r="K17" s="8">
        <f>-H16</f>
        <v>4521159.2690808922</v>
      </c>
    </row>
    <row r="18" spans="1:11" ht="16.649999999999999" thickBot="1" x14ac:dyDescent="0.4">
      <c r="G18" s="36" t="s">
        <v>34</v>
      </c>
      <c r="H18" s="54" t="s">
        <v>31</v>
      </c>
      <c r="I18" s="37"/>
      <c r="J18" s="1" t="s">
        <v>47</v>
      </c>
      <c r="K18" s="8">
        <f>H16</f>
        <v>-4521159.2690808922</v>
      </c>
    </row>
    <row r="19" spans="1:11" ht="16.649999999999999" thickBot="1" x14ac:dyDescent="0.4"/>
    <row r="20" spans="1:11" s="48" customFormat="1" ht="16.649999999999999" thickBot="1" x14ac:dyDescent="0.35">
      <c r="A20" s="61" t="s">
        <v>45</v>
      </c>
      <c r="B20" s="62"/>
      <c r="C20" s="62"/>
      <c r="D20" s="62"/>
      <c r="E20" s="62"/>
      <c r="F20" s="62"/>
      <c r="G20" s="62"/>
      <c r="H20" s="62"/>
      <c r="I20" s="62"/>
    </row>
    <row r="21" spans="1:11" x14ac:dyDescent="0.35">
      <c r="A21" s="38"/>
      <c r="B21" s="19" t="s">
        <v>26</v>
      </c>
      <c r="C21" s="20" t="s">
        <v>22</v>
      </c>
      <c r="D21" s="18" t="s">
        <v>17</v>
      </c>
      <c r="E21" s="18" t="s">
        <v>18</v>
      </c>
      <c r="F21" s="18" t="s">
        <v>19</v>
      </c>
      <c r="G21" s="18" t="s">
        <v>20</v>
      </c>
      <c r="H21" s="18" t="s">
        <v>21</v>
      </c>
      <c r="I21" s="18"/>
      <c r="J21" s="8"/>
    </row>
    <row r="22" spans="1:11" x14ac:dyDescent="0.35">
      <c r="A22" s="39"/>
      <c r="J22" s="6"/>
    </row>
    <row r="23" spans="1:11" x14ac:dyDescent="0.35">
      <c r="A23" s="40">
        <v>0.08</v>
      </c>
      <c r="B23" s="1" t="s">
        <v>16</v>
      </c>
      <c r="C23" s="26">
        <v>200187838.545764</v>
      </c>
      <c r="D23" s="8"/>
      <c r="E23" s="8"/>
      <c r="F23" s="8"/>
      <c r="G23" s="8"/>
      <c r="H23" s="8"/>
      <c r="J23" s="63">
        <f>SUM('Rent Alpha'!BH33:BT33)</f>
        <v>35265405.834061347</v>
      </c>
      <c r="K23" s="1" t="s">
        <v>60</v>
      </c>
    </row>
    <row r="24" spans="1:11" x14ac:dyDescent="0.35">
      <c r="A24" s="39"/>
      <c r="B24" s="1" t="s">
        <v>15</v>
      </c>
      <c r="C24" s="26">
        <v>200187838.54576421</v>
      </c>
      <c r="D24" s="8">
        <v>40015641.330341697</v>
      </c>
      <c r="E24" s="8">
        <v>40015641.330341697</v>
      </c>
      <c r="F24" s="8">
        <v>40125273.224397428</v>
      </c>
      <c r="G24" s="8">
        <v>40015641.330341697</v>
      </c>
      <c r="H24" s="8">
        <v>40015641.330341697</v>
      </c>
      <c r="I24" s="33"/>
      <c r="J24" s="63">
        <f>H27</f>
        <v>30263410</v>
      </c>
      <c r="K24" s="1" t="s">
        <v>59</v>
      </c>
    </row>
    <row r="25" spans="1:11" x14ac:dyDescent="0.35">
      <c r="A25" s="39"/>
      <c r="D25" s="31">
        <v>160172197.21542251</v>
      </c>
      <c r="E25" s="31">
        <v>120156555.88508081</v>
      </c>
      <c r="F25" s="31">
        <v>80031282.660683393</v>
      </c>
      <c r="G25" s="31">
        <v>40015641.330341697</v>
      </c>
      <c r="H25" s="31">
        <v>0</v>
      </c>
      <c r="I25" s="41"/>
      <c r="J25" s="64">
        <f>J23-J24</f>
        <v>5001995.8340613469</v>
      </c>
      <c r="K25" s="1" t="s">
        <v>61</v>
      </c>
    </row>
    <row r="26" spans="1:11" x14ac:dyDescent="0.35">
      <c r="A26" s="39"/>
      <c r="B26" s="1" t="s">
        <v>23</v>
      </c>
      <c r="C26" s="26">
        <v>200187838.54576421</v>
      </c>
      <c r="J26" s="65">
        <f>AVERAGE('Rent Alpha'!BH35:BT35)</f>
        <v>0.91024819874681706</v>
      </c>
    </row>
    <row r="27" spans="1:11" x14ac:dyDescent="0.35">
      <c r="A27" s="39"/>
      <c r="B27" s="1" t="s">
        <v>24</v>
      </c>
      <c r="C27" s="26">
        <v>210204955</v>
      </c>
      <c r="D27" s="8">
        <v>43356249</v>
      </c>
      <c r="E27" s="8">
        <v>45528432</v>
      </c>
      <c r="F27" s="8">
        <v>45528432</v>
      </c>
      <c r="G27" s="8">
        <v>45528432</v>
      </c>
      <c r="H27" s="8">
        <v>30263410</v>
      </c>
      <c r="I27" s="42"/>
      <c r="J27" s="63">
        <f>J25*J26</f>
        <v>4553057.6980934236</v>
      </c>
      <c r="K27" s="1" t="s">
        <v>62</v>
      </c>
    </row>
    <row r="28" spans="1:11" x14ac:dyDescent="0.35">
      <c r="A28" s="39"/>
      <c r="B28" s="1" t="s">
        <v>25</v>
      </c>
      <c r="C28" s="26">
        <v>-10017116.454235785</v>
      </c>
      <c r="D28" s="42">
        <v>-548600.40430359542</v>
      </c>
      <c r="E28" s="42">
        <v>-1441074.707596764</v>
      </c>
      <c r="F28" s="42">
        <v>-2305532.6937223077</v>
      </c>
      <c r="G28" s="42">
        <v>-3153040.5232571736</v>
      </c>
      <c r="H28" s="42">
        <v>-2568868.125355944</v>
      </c>
      <c r="I28" s="42"/>
    </row>
    <row r="29" spans="1:11" x14ac:dyDescent="0.35">
      <c r="A29" s="39"/>
      <c r="D29" s="31">
        <v>157380189.95006782</v>
      </c>
      <c r="E29" s="31">
        <v>113292832.65766458</v>
      </c>
      <c r="F29" s="31">
        <v>70069933.35138689</v>
      </c>
      <c r="G29" s="31">
        <v>27694541.874644063</v>
      </c>
      <c r="H29" s="31">
        <v>7.4505805969238281E-9</v>
      </c>
      <c r="I29" s="31"/>
      <c r="J29" s="8">
        <f>J25-'Rent Alpha'!BT33</f>
        <v>2829814.3769695968</v>
      </c>
    </row>
    <row r="30" spans="1:11" x14ac:dyDescent="0.35">
      <c r="A30" s="39"/>
      <c r="B30" s="21" t="s">
        <v>27</v>
      </c>
      <c r="C30" s="18"/>
      <c r="D30" s="33">
        <v>-2792007.2653547078</v>
      </c>
      <c r="E30" s="33">
        <v>-4071715.9620615393</v>
      </c>
      <c r="F30" s="33">
        <v>-3097626.081880264</v>
      </c>
      <c r="G30" s="33">
        <v>-2359750.1464011297</v>
      </c>
      <c r="H30" s="33">
        <v>12321099.455697641</v>
      </c>
      <c r="I30" s="33"/>
    </row>
    <row r="31" spans="1:11" x14ac:dyDescent="0.35">
      <c r="A31" s="39"/>
    </row>
    <row r="32" spans="1:11" x14ac:dyDescent="0.35">
      <c r="A32" s="39"/>
    </row>
    <row r="33" spans="1:9" x14ac:dyDescent="0.35">
      <c r="A33" s="39"/>
      <c r="E33" s="8"/>
    </row>
    <row r="34" spans="1:9" ht="16.649999999999999" thickBot="1" x14ac:dyDescent="0.4">
      <c r="A34" s="43"/>
      <c r="B34" s="44" t="s">
        <v>29</v>
      </c>
      <c r="C34" s="45"/>
      <c r="D34" s="46">
        <v>157380189.95006782</v>
      </c>
      <c r="E34" s="46">
        <v>113292832.65766458</v>
      </c>
      <c r="F34" s="46">
        <v>70069933.35138689</v>
      </c>
      <c r="G34" s="46">
        <v>27694541.874644063</v>
      </c>
      <c r="H34" s="46">
        <v>7.4505805969238281E-9</v>
      </c>
      <c r="I34" s="47"/>
    </row>
  </sheetData>
  <mergeCells count="2">
    <mergeCell ref="A20:I20"/>
    <mergeCell ref="A1:I1"/>
  </mergeCells>
  <pageMargins left="0.7" right="0.7" top="0.75" bottom="0.75" header="0.3" footer="0.3"/>
  <pageSetup orientation="portrait" r:id="rId1"/>
  <ignoredErrors>
    <ignoredError sqref="H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24D6-960D-44BC-9C99-625462C97724}">
  <sheetPr codeName="Sheet3"/>
  <dimension ref="A2:BT50"/>
  <sheetViews>
    <sheetView zoomScale="70" zoomScaleNormal="70" workbookViewId="0">
      <pane xSplit="6" ySplit="3" topLeftCell="BL18" activePane="bottomRight" state="frozen"/>
      <selection pane="topRight" activeCell="H1" sqref="H1"/>
      <selection pane="bottomLeft" activeCell="A4" sqref="A4"/>
      <selection pane="bottomRight" activeCell="BN47" sqref="BN47:BT47"/>
    </sheetView>
  </sheetViews>
  <sheetFormatPr defaultColWidth="8.69921875" defaultRowHeight="16.100000000000001" x14ac:dyDescent="0.35"/>
  <cols>
    <col min="1" max="1" width="19.296875" style="1" bestFit="1" customWidth="1"/>
    <col min="2" max="2" width="11.09765625" style="1" bestFit="1" customWidth="1"/>
    <col min="3" max="3" width="12.5" style="1" bestFit="1" customWidth="1"/>
    <col min="4" max="4" width="30" style="1" bestFit="1" customWidth="1"/>
    <col min="5" max="5" width="7" style="1" bestFit="1" customWidth="1"/>
    <col min="6" max="7" width="16.796875" style="1" bestFit="1" customWidth="1"/>
    <col min="8" max="8" width="3.796875" style="1" bestFit="1" customWidth="1"/>
    <col min="9" max="9" width="7.3984375" style="1" bestFit="1" customWidth="1"/>
    <col min="10" max="10" width="8.19921875" style="1" bestFit="1" customWidth="1"/>
    <col min="11" max="11" width="14.3984375" style="1" bestFit="1" customWidth="1"/>
    <col min="12" max="12" width="6.5" style="1" bestFit="1" customWidth="1"/>
    <col min="13" max="13" width="7.59765625" style="1" bestFit="1" customWidth="1"/>
    <col min="14" max="14" width="15.5" style="1" bestFit="1" customWidth="1"/>
    <col min="15" max="15" width="7.296875" style="1" bestFit="1" customWidth="1"/>
    <col min="16" max="16" width="7.69921875" style="1" bestFit="1" customWidth="1"/>
    <col min="17" max="17" width="15.5" style="1" bestFit="1" customWidth="1"/>
    <col min="18" max="18" width="7" style="1" bestFit="1" customWidth="1"/>
    <col min="19" max="19" width="7.3984375" style="1" bestFit="1" customWidth="1"/>
    <col min="20" max="20" width="15.5" style="1" bestFit="1" customWidth="1"/>
    <col min="21" max="21" width="7.3984375" style="1" bestFit="1" customWidth="1"/>
    <col min="22" max="22" width="8.19921875" style="1" bestFit="1" customWidth="1"/>
    <col min="23" max="23" width="15.5" style="1" bestFit="1" customWidth="1"/>
    <col min="24" max="24" width="6.5" style="1" bestFit="1" customWidth="1"/>
    <col min="25" max="25" width="7.59765625" style="1" bestFit="1" customWidth="1"/>
    <col min="26" max="26" width="15.5" style="1" bestFit="1" customWidth="1"/>
    <col min="27" max="27" width="7.296875" style="1" bestFit="1" customWidth="1"/>
    <col min="28" max="28" width="7.69921875" style="1" bestFit="1" customWidth="1"/>
    <col min="29" max="29" width="15.5" style="1" bestFit="1" customWidth="1"/>
    <col min="30" max="30" width="14.3984375" style="1" bestFit="1" customWidth="1"/>
    <col min="31" max="31" width="7.3984375" style="1" bestFit="1" customWidth="1"/>
    <col min="32" max="32" width="15.5" style="1" bestFit="1" customWidth="1"/>
    <col min="33" max="33" width="7.3984375" style="1" bestFit="1" customWidth="1"/>
    <col min="34" max="34" width="8.19921875" style="1" bestFit="1" customWidth="1"/>
    <col min="35" max="35" width="15.5" style="1" bestFit="1" customWidth="1"/>
    <col min="36" max="36" width="6.5" style="1" bestFit="1" customWidth="1"/>
    <col min="37" max="37" width="7.59765625" style="1" bestFit="1" customWidth="1"/>
    <col min="38" max="38" width="15.5" style="1" bestFit="1" customWidth="1"/>
    <col min="39" max="39" width="7.296875" style="1" bestFit="1" customWidth="1"/>
    <col min="40" max="40" width="7.69921875" style="1" bestFit="1" customWidth="1"/>
    <col min="41" max="41" width="15.5" style="1" bestFit="1" customWidth="1"/>
    <col min="42" max="42" width="7" style="1" bestFit="1" customWidth="1"/>
    <col min="43" max="43" width="7.3984375" style="1" bestFit="1" customWidth="1"/>
    <col min="44" max="44" width="15.5" style="1" bestFit="1" customWidth="1"/>
    <col min="45" max="45" width="7.3984375" style="1" bestFit="1" customWidth="1"/>
    <col min="46" max="46" width="8.19921875" style="1" bestFit="1" customWidth="1"/>
    <col min="47" max="47" width="15.5" style="1" bestFit="1" customWidth="1"/>
    <col min="48" max="48" width="6.5" style="1" bestFit="1" customWidth="1"/>
    <col min="49" max="49" width="7.59765625" style="1" bestFit="1" customWidth="1"/>
    <col min="50" max="50" width="15.5" style="1" bestFit="1" customWidth="1"/>
    <col min="51" max="51" width="7.296875" style="1" bestFit="1" customWidth="1"/>
    <col min="52" max="52" width="7.69921875" style="1" bestFit="1" customWidth="1"/>
    <col min="53" max="53" width="15.5" style="1" bestFit="1" customWidth="1"/>
    <col min="54" max="54" width="7" style="1" bestFit="1" customWidth="1"/>
    <col min="55" max="55" width="7.3984375" style="1" bestFit="1" customWidth="1"/>
    <col min="56" max="56" width="15.5" style="1" bestFit="1" customWidth="1"/>
    <col min="57" max="57" width="15" style="1" customWidth="1"/>
    <col min="58" max="58" width="7.3984375" style="1" bestFit="1" customWidth="1"/>
    <col min="59" max="59" width="8.19921875" style="1" bestFit="1" customWidth="1"/>
    <col min="60" max="60" width="18" style="1" customWidth="1"/>
    <col min="61" max="61" width="6.5" style="1" bestFit="1" customWidth="1"/>
    <col min="62" max="62" width="7.59765625" style="1" bestFit="1" customWidth="1"/>
    <col min="63" max="63" width="18" style="1" customWidth="1"/>
    <col min="64" max="64" width="7.296875" style="1" bestFit="1" customWidth="1"/>
    <col min="65" max="65" width="7.69921875" style="1" bestFit="1" customWidth="1"/>
    <col min="66" max="66" width="14.59765625" style="1" bestFit="1" customWidth="1"/>
    <col min="67" max="67" width="7" style="1" bestFit="1" customWidth="1"/>
    <col min="68" max="68" width="7.3984375" style="1" bestFit="1" customWidth="1"/>
    <col min="69" max="69" width="14.59765625" style="1" bestFit="1" customWidth="1"/>
    <col min="70" max="70" width="7.3984375" style="1" bestFit="1" customWidth="1"/>
    <col min="71" max="71" width="8.19921875" style="1" bestFit="1" customWidth="1"/>
    <col min="72" max="72" width="14.59765625" style="1" bestFit="1" customWidth="1"/>
    <col min="73" max="16384" width="8.69921875" style="1"/>
  </cols>
  <sheetData>
    <row r="2" spans="1:72" x14ac:dyDescent="0.35">
      <c r="K2" s="1">
        <v>0.25</v>
      </c>
      <c r="N2" s="1">
        <f>K2+0.25</f>
        <v>0.5</v>
      </c>
      <c r="Q2" s="1">
        <f>N2+0.25</f>
        <v>0.75</v>
      </c>
      <c r="T2" s="1">
        <f>Q2+0.25</f>
        <v>1</v>
      </c>
      <c r="W2" s="1">
        <f>T2+0.25</f>
        <v>1.25</v>
      </c>
      <c r="Z2" s="1">
        <f>W2+0.25</f>
        <v>1.5</v>
      </c>
      <c r="AC2" s="1">
        <f>Z2+0.25</f>
        <v>1.75</v>
      </c>
      <c r="AF2" s="1">
        <f>AC2+0.25</f>
        <v>2</v>
      </c>
      <c r="AI2" s="1">
        <f>AF2+0.25</f>
        <v>2.25</v>
      </c>
      <c r="AL2" s="1">
        <f>AI2+0.25</f>
        <v>2.5</v>
      </c>
      <c r="AO2" s="1">
        <f>AL2+0.25</f>
        <v>2.75</v>
      </c>
      <c r="AR2" s="1">
        <f>AO2+0.25</f>
        <v>3</v>
      </c>
      <c r="AU2" s="1">
        <f>AR2+0.25</f>
        <v>3.25</v>
      </c>
      <c r="AX2" s="1">
        <f>AU2+0.25</f>
        <v>3.5</v>
      </c>
      <c r="BA2" s="1">
        <f>AX2+0.25</f>
        <v>3.75</v>
      </c>
      <c r="BD2" s="1">
        <f>BA2+0.25</f>
        <v>4</v>
      </c>
      <c r="BH2" s="1">
        <f>BD2+0.25</f>
        <v>4.25</v>
      </c>
      <c r="BK2" s="1">
        <f>BH2+0.25</f>
        <v>4.5</v>
      </c>
      <c r="BN2" s="1">
        <f>BK2+0.25</f>
        <v>4.75</v>
      </c>
      <c r="BQ2" s="1">
        <f>BN2+0.25</f>
        <v>5</v>
      </c>
      <c r="BT2" s="1">
        <f>BQ2+0.25</f>
        <v>5.25</v>
      </c>
    </row>
    <row r="3" spans="1:72" x14ac:dyDescent="0.35">
      <c r="A3" s="1" t="s">
        <v>0</v>
      </c>
      <c r="B3" s="2" t="s">
        <v>4</v>
      </c>
      <c r="C3" s="2" t="s">
        <v>5</v>
      </c>
      <c r="D3" s="2" t="s">
        <v>1</v>
      </c>
      <c r="E3" s="2" t="s">
        <v>14</v>
      </c>
      <c r="F3" s="2" t="s">
        <v>2</v>
      </c>
      <c r="I3" s="3">
        <v>44287</v>
      </c>
      <c r="J3" s="3">
        <v>44317</v>
      </c>
      <c r="K3" s="3">
        <v>44348</v>
      </c>
      <c r="L3" s="3">
        <v>44378</v>
      </c>
      <c r="M3" s="3">
        <v>44409</v>
      </c>
      <c r="N3" s="3">
        <v>44440</v>
      </c>
      <c r="O3" s="3">
        <v>44470</v>
      </c>
      <c r="P3" s="3">
        <v>44501</v>
      </c>
      <c r="Q3" s="3">
        <v>44531</v>
      </c>
      <c r="R3" s="3">
        <v>44562</v>
      </c>
      <c r="S3" s="3">
        <v>44593</v>
      </c>
      <c r="T3" s="3">
        <v>44621</v>
      </c>
      <c r="U3" s="3">
        <v>44652</v>
      </c>
      <c r="V3" s="3">
        <v>44682</v>
      </c>
      <c r="W3" s="3">
        <v>44713</v>
      </c>
      <c r="X3" s="3">
        <v>44743</v>
      </c>
      <c r="Y3" s="3">
        <v>44774</v>
      </c>
      <c r="Z3" s="3">
        <v>44805</v>
      </c>
      <c r="AA3" s="3">
        <v>44835</v>
      </c>
      <c r="AB3" s="3">
        <v>44866</v>
      </c>
      <c r="AC3" s="3">
        <v>44896</v>
      </c>
      <c r="AD3" s="3">
        <v>44927</v>
      </c>
      <c r="AE3" s="3">
        <v>44958</v>
      </c>
      <c r="AF3" s="3">
        <v>44986</v>
      </c>
      <c r="AG3" s="3">
        <v>45017</v>
      </c>
      <c r="AH3" s="3">
        <v>45047</v>
      </c>
      <c r="AI3" s="3">
        <v>45078</v>
      </c>
      <c r="AJ3" s="3">
        <v>45108</v>
      </c>
      <c r="AK3" s="3">
        <v>45139</v>
      </c>
      <c r="AL3" s="3">
        <v>45170</v>
      </c>
      <c r="AM3" s="3">
        <v>45200</v>
      </c>
      <c r="AN3" s="3">
        <v>45231</v>
      </c>
      <c r="AO3" s="3">
        <v>45261</v>
      </c>
      <c r="AP3" s="3">
        <v>45292</v>
      </c>
      <c r="AQ3" s="3">
        <v>45323</v>
      </c>
      <c r="AR3" s="3">
        <v>45352</v>
      </c>
      <c r="AS3" s="3">
        <v>45383</v>
      </c>
      <c r="AT3" s="3">
        <v>45413</v>
      </c>
      <c r="AU3" s="3">
        <v>45444</v>
      </c>
      <c r="AV3" s="3">
        <v>45474</v>
      </c>
      <c r="AW3" s="3">
        <v>45505</v>
      </c>
      <c r="AX3" s="3">
        <v>45536</v>
      </c>
      <c r="AY3" s="3">
        <v>45566</v>
      </c>
      <c r="AZ3" s="3">
        <v>45597</v>
      </c>
      <c r="BA3" s="3">
        <v>45627</v>
      </c>
      <c r="BB3" s="3">
        <v>45658</v>
      </c>
      <c r="BC3" s="3">
        <v>45689</v>
      </c>
      <c r="BD3" s="3">
        <v>45717</v>
      </c>
      <c r="BE3" s="3"/>
      <c r="BF3" s="3">
        <v>45748</v>
      </c>
      <c r="BG3" s="3">
        <v>45778</v>
      </c>
      <c r="BH3" s="3">
        <v>45809</v>
      </c>
      <c r="BI3" s="3">
        <v>45839</v>
      </c>
      <c r="BJ3" s="3">
        <v>45870</v>
      </c>
      <c r="BK3" s="3">
        <v>45901</v>
      </c>
      <c r="BL3" s="3">
        <v>45931</v>
      </c>
      <c r="BM3" s="3">
        <v>45962</v>
      </c>
      <c r="BN3" s="3">
        <v>45992</v>
      </c>
      <c r="BO3" s="3">
        <v>46023</v>
      </c>
      <c r="BP3" s="3">
        <v>46054</v>
      </c>
      <c r="BQ3" s="3">
        <v>46082</v>
      </c>
      <c r="BR3" s="3">
        <v>46113</v>
      </c>
      <c r="BS3" s="3">
        <v>46143</v>
      </c>
      <c r="BT3" s="3">
        <v>46174</v>
      </c>
    </row>
    <row r="5" spans="1:72" x14ac:dyDescent="0.35">
      <c r="A5" s="4" t="s">
        <v>8</v>
      </c>
      <c r="B5" s="5">
        <v>44287</v>
      </c>
      <c r="C5" s="5">
        <v>45930</v>
      </c>
      <c r="D5" s="6">
        <v>1421039</v>
      </c>
      <c r="E5" s="7">
        <v>18</v>
      </c>
      <c r="F5" s="6">
        <f>D5*E5</f>
        <v>25578702</v>
      </c>
      <c r="G5" s="8">
        <f>SUM(F5:F6)</f>
        <v>25626070</v>
      </c>
      <c r="H5" s="8"/>
      <c r="I5" s="8"/>
      <c r="J5" s="8"/>
      <c r="K5" s="8">
        <f>D5</f>
        <v>1421039</v>
      </c>
      <c r="L5" s="8"/>
      <c r="M5" s="8"/>
      <c r="N5" s="8">
        <f>K5</f>
        <v>1421039</v>
      </c>
      <c r="O5" s="8"/>
      <c r="P5" s="8"/>
      <c r="Q5" s="8">
        <f>N5</f>
        <v>1421039</v>
      </c>
      <c r="R5" s="8"/>
      <c r="S5" s="8"/>
      <c r="T5" s="8">
        <f>Q5</f>
        <v>1421039</v>
      </c>
      <c r="U5" s="8"/>
      <c r="V5" s="8"/>
      <c r="W5" s="8">
        <f>T5</f>
        <v>1421039</v>
      </c>
      <c r="X5" s="8"/>
      <c r="Y5" s="8"/>
      <c r="Z5" s="8">
        <f>W5</f>
        <v>1421039</v>
      </c>
      <c r="AA5" s="8"/>
      <c r="AB5" s="8"/>
      <c r="AC5" s="8">
        <f>Z5</f>
        <v>1421039</v>
      </c>
      <c r="AD5" s="8"/>
      <c r="AE5" s="8"/>
      <c r="AF5" s="8">
        <f>AC5</f>
        <v>1421039</v>
      </c>
      <c r="AG5" s="8"/>
      <c r="AH5" s="8"/>
      <c r="AI5" s="8">
        <f>AF5</f>
        <v>1421039</v>
      </c>
      <c r="AJ5" s="8"/>
      <c r="AK5" s="8"/>
      <c r="AL5" s="8">
        <f>AI5</f>
        <v>1421039</v>
      </c>
      <c r="AM5" s="8"/>
      <c r="AN5" s="8"/>
      <c r="AO5" s="8">
        <f>AL5</f>
        <v>1421039</v>
      </c>
      <c r="AP5" s="8"/>
      <c r="AQ5" s="8"/>
      <c r="AR5" s="8">
        <f>AO5</f>
        <v>1421039</v>
      </c>
      <c r="AS5" s="8"/>
      <c r="AT5" s="8"/>
      <c r="AU5" s="8">
        <f>AR5</f>
        <v>1421039</v>
      </c>
      <c r="AV5" s="8"/>
      <c r="AW5" s="8"/>
      <c r="AX5" s="8">
        <f>AU5</f>
        <v>1421039</v>
      </c>
      <c r="AY5" s="8"/>
      <c r="AZ5" s="8"/>
      <c r="BA5" s="8">
        <f>AX5</f>
        <v>1421039</v>
      </c>
      <c r="BB5" s="8"/>
      <c r="BC5" s="8"/>
      <c r="BD5" s="8">
        <f>BA5</f>
        <v>1421039</v>
      </c>
      <c r="BE5" s="8"/>
      <c r="BF5" s="8"/>
      <c r="BG5" s="8"/>
      <c r="BH5" s="8">
        <f>BD5</f>
        <v>1421039</v>
      </c>
      <c r="BI5" s="8"/>
      <c r="BJ5" s="8"/>
      <c r="BK5" s="8">
        <f>BH5</f>
        <v>1421039</v>
      </c>
      <c r="BL5" s="8"/>
      <c r="BM5" s="8"/>
      <c r="BN5" s="8">
        <f>F6</f>
        <v>47368</v>
      </c>
      <c r="BO5" s="8"/>
      <c r="BP5" s="8"/>
    </row>
    <row r="6" spans="1:72" x14ac:dyDescent="0.35">
      <c r="A6" s="1" t="s">
        <v>8</v>
      </c>
      <c r="B6" s="5">
        <v>45931</v>
      </c>
      <c r="C6" s="5">
        <v>46022</v>
      </c>
      <c r="D6" s="6">
        <v>47368</v>
      </c>
      <c r="E6" s="7">
        <v>1</v>
      </c>
      <c r="F6" s="6">
        <f>D6*E6</f>
        <v>47368</v>
      </c>
    </row>
    <row r="7" spans="1:72" x14ac:dyDescent="0.35">
      <c r="E7" s="9"/>
    </row>
    <row r="8" spans="1:72" x14ac:dyDescent="0.35">
      <c r="A8" s="1" t="s">
        <v>3</v>
      </c>
      <c r="B8" s="5">
        <v>44287</v>
      </c>
      <c r="C8" s="5">
        <v>45930</v>
      </c>
      <c r="D8" s="6">
        <v>1136831</v>
      </c>
      <c r="E8" s="7">
        <v>18</v>
      </c>
      <c r="F8" s="6">
        <f>D8*E8</f>
        <v>20462958</v>
      </c>
      <c r="G8" s="8">
        <f>SUM(F8:F9)</f>
        <v>20660279</v>
      </c>
      <c r="H8" s="8"/>
      <c r="I8" s="8"/>
      <c r="J8" s="8"/>
      <c r="K8" s="8">
        <f>D8</f>
        <v>1136831</v>
      </c>
      <c r="L8" s="8"/>
      <c r="M8" s="8"/>
      <c r="N8" s="8">
        <f>K8</f>
        <v>1136831</v>
      </c>
      <c r="O8" s="8"/>
      <c r="P8" s="8"/>
      <c r="Q8" s="8">
        <f>N8</f>
        <v>1136831</v>
      </c>
      <c r="R8" s="8"/>
      <c r="S8" s="8"/>
      <c r="T8" s="8">
        <f>Q8</f>
        <v>1136831</v>
      </c>
      <c r="U8" s="8"/>
      <c r="V8" s="8"/>
      <c r="W8" s="8">
        <f>T8</f>
        <v>1136831</v>
      </c>
      <c r="X8" s="8"/>
      <c r="Y8" s="8"/>
      <c r="Z8" s="8">
        <f>W8</f>
        <v>1136831</v>
      </c>
      <c r="AA8" s="8"/>
      <c r="AB8" s="8"/>
      <c r="AC8" s="8">
        <f>Z8</f>
        <v>1136831</v>
      </c>
      <c r="AD8" s="8"/>
      <c r="AE8" s="8"/>
      <c r="AF8" s="8">
        <f>AC8</f>
        <v>1136831</v>
      </c>
      <c r="AG8" s="8"/>
      <c r="AH8" s="8"/>
      <c r="AI8" s="8">
        <f>AF8</f>
        <v>1136831</v>
      </c>
      <c r="AJ8" s="8"/>
      <c r="AK8" s="8"/>
      <c r="AL8" s="8">
        <f>AI8</f>
        <v>1136831</v>
      </c>
      <c r="AM8" s="8"/>
      <c r="AN8" s="8"/>
      <c r="AO8" s="8">
        <f>AL8</f>
        <v>1136831</v>
      </c>
      <c r="AP8" s="8"/>
      <c r="AQ8" s="8"/>
      <c r="AR8" s="8">
        <f>AO8</f>
        <v>1136831</v>
      </c>
      <c r="AS8" s="8"/>
      <c r="AT8" s="8"/>
      <c r="AU8" s="8">
        <f>AR8</f>
        <v>1136831</v>
      </c>
      <c r="AV8" s="8"/>
      <c r="AW8" s="8"/>
      <c r="AX8" s="8">
        <f>AU8</f>
        <v>1136831</v>
      </c>
      <c r="AY8" s="8"/>
      <c r="AZ8" s="8"/>
      <c r="BA8" s="8">
        <f>AX8</f>
        <v>1136831</v>
      </c>
      <c r="BB8" s="8"/>
      <c r="BC8" s="8"/>
      <c r="BD8" s="8">
        <f>BA8</f>
        <v>1136831</v>
      </c>
      <c r="BE8" s="8"/>
      <c r="BF8" s="8"/>
      <c r="BG8" s="8"/>
      <c r="BH8" s="8">
        <f>BD8</f>
        <v>1136831</v>
      </c>
      <c r="BI8" s="8"/>
      <c r="BJ8" s="8"/>
      <c r="BK8" s="8">
        <f>BH8</f>
        <v>1136831</v>
      </c>
      <c r="BL8" s="8"/>
      <c r="BM8" s="8"/>
      <c r="BN8" s="8">
        <f>F9</f>
        <v>197321</v>
      </c>
      <c r="BO8" s="8"/>
      <c r="BP8" s="8"/>
    </row>
    <row r="9" spans="1:72" x14ac:dyDescent="0.35">
      <c r="A9" s="1" t="s">
        <v>3</v>
      </c>
      <c r="B9" s="5">
        <v>45931</v>
      </c>
      <c r="C9" s="5">
        <v>46022</v>
      </c>
      <c r="D9" s="6">
        <v>197321</v>
      </c>
      <c r="E9" s="7">
        <v>1</v>
      </c>
      <c r="F9" s="6">
        <f>D9*E9</f>
        <v>197321</v>
      </c>
    </row>
    <row r="10" spans="1:72" x14ac:dyDescent="0.35">
      <c r="E10" s="9"/>
    </row>
    <row r="11" spans="1:72" x14ac:dyDescent="0.35">
      <c r="A11" s="1" t="s">
        <v>6</v>
      </c>
      <c r="B11" s="5">
        <v>44287</v>
      </c>
      <c r="C11" s="5">
        <v>45930</v>
      </c>
      <c r="D11" s="6">
        <v>2273662</v>
      </c>
      <c r="E11" s="9">
        <v>18</v>
      </c>
      <c r="F11" s="6">
        <f t="shared" ref="F11:F12" si="0">D11*E11</f>
        <v>40925916</v>
      </c>
      <c r="G11" s="8">
        <f>SUM(F11:F12)</f>
        <v>41566196</v>
      </c>
      <c r="H11" s="8"/>
      <c r="I11" s="8"/>
      <c r="J11" s="8"/>
      <c r="K11" s="8">
        <f>D11</f>
        <v>2273662</v>
      </c>
      <c r="L11" s="8"/>
      <c r="M11" s="8"/>
      <c r="N11" s="8">
        <f>K11</f>
        <v>2273662</v>
      </c>
      <c r="O11" s="8"/>
      <c r="P11" s="8"/>
      <c r="Q11" s="8">
        <f>N11</f>
        <v>2273662</v>
      </c>
      <c r="R11" s="8"/>
      <c r="S11" s="8"/>
      <c r="T11" s="8">
        <f>Q11</f>
        <v>2273662</v>
      </c>
      <c r="U11" s="8"/>
      <c r="V11" s="8"/>
      <c r="W11" s="8">
        <f>T11</f>
        <v>2273662</v>
      </c>
      <c r="X11" s="8"/>
      <c r="Y11" s="8"/>
      <c r="Z11" s="8">
        <f>W11</f>
        <v>2273662</v>
      </c>
      <c r="AA11" s="8"/>
      <c r="AB11" s="8"/>
      <c r="AC11" s="8">
        <f>Z11</f>
        <v>2273662</v>
      </c>
      <c r="AD11" s="8"/>
      <c r="AE11" s="8"/>
      <c r="AF11" s="8">
        <f>AC11</f>
        <v>2273662</v>
      </c>
      <c r="AG11" s="8"/>
      <c r="AH11" s="8"/>
      <c r="AI11" s="8">
        <f>AF11</f>
        <v>2273662</v>
      </c>
      <c r="AJ11" s="8"/>
      <c r="AK11" s="8"/>
      <c r="AL11" s="8">
        <f>AI11</f>
        <v>2273662</v>
      </c>
      <c r="AM11" s="8"/>
      <c r="AN11" s="8"/>
      <c r="AO11" s="8">
        <f>AL11</f>
        <v>2273662</v>
      </c>
      <c r="AP11" s="8"/>
      <c r="AQ11" s="8"/>
      <c r="AR11" s="8">
        <f>AO11</f>
        <v>2273662</v>
      </c>
      <c r="AS11" s="8"/>
      <c r="AT11" s="8"/>
      <c r="AU11" s="8">
        <f>AR11</f>
        <v>2273662</v>
      </c>
      <c r="AV11" s="8"/>
      <c r="AW11" s="8"/>
      <c r="AX11" s="8">
        <f>AU11</f>
        <v>2273662</v>
      </c>
      <c r="AY11" s="8"/>
      <c r="AZ11" s="8"/>
      <c r="BA11" s="8">
        <f>AX11</f>
        <v>2273662</v>
      </c>
      <c r="BB11" s="8"/>
      <c r="BC11" s="8"/>
      <c r="BD11" s="8">
        <f>BA11</f>
        <v>2273662</v>
      </c>
      <c r="BE11" s="8"/>
      <c r="BF11" s="8"/>
      <c r="BG11" s="8"/>
      <c r="BH11" s="8">
        <f>BD11</f>
        <v>2273662</v>
      </c>
      <c r="BI11" s="8"/>
      <c r="BJ11" s="8"/>
      <c r="BK11" s="8">
        <f>BH11</f>
        <v>2273662</v>
      </c>
      <c r="BL11" s="8"/>
      <c r="BM11" s="8"/>
      <c r="BN11" s="8">
        <f>F12</f>
        <v>640280</v>
      </c>
      <c r="BO11" s="8"/>
      <c r="BP11" s="8"/>
    </row>
    <row r="12" spans="1:72" x14ac:dyDescent="0.35">
      <c r="A12" s="1" t="s">
        <v>6</v>
      </c>
      <c r="B12" s="5">
        <v>45931</v>
      </c>
      <c r="C12" s="5">
        <v>46022</v>
      </c>
      <c r="D12" s="6">
        <v>640280</v>
      </c>
      <c r="E12" s="9">
        <v>1</v>
      </c>
      <c r="F12" s="6">
        <f t="shared" si="0"/>
        <v>640280</v>
      </c>
    </row>
    <row r="13" spans="1:72" x14ac:dyDescent="0.35">
      <c r="E13" s="9"/>
    </row>
    <row r="14" spans="1:72" x14ac:dyDescent="0.35">
      <c r="A14" s="1" t="s">
        <v>7</v>
      </c>
      <c r="B14" s="5">
        <v>44287</v>
      </c>
      <c r="C14" s="5">
        <v>45930</v>
      </c>
      <c r="D14" s="6">
        <v>1421039</v>
      </c>
      <c r="E14" s="9">
        <v>18</v>
      </c>
      <c r="F14" s="6">
        <f t="shared" ref="F14:F18" si="1">D14*E14</f>
        <v>25578702</v>
      </c>
      <c r="G14" s="8">
        <f>SUM(F14:F15)</f>
        <v>26194486</v>
      </c>
      <c r="H14" s="8"/>
      <c r="I14" s="8"/>
      <c r="J14" s="8"/>
      <c r="K14" s="8">
        <f>D14</f>
        <v>1421039</v>
      </c>
      <c r="L14" s="8"/>
      <c r="M14" s="8"/>
      <c r="N14" s="8">
        <f>K14</f>
        <v>1421039</v>
      </c>
      <c r="O14" s="8"/>
      <c r="P14" s="8"/>
      <c r="Q14" s="8">
        <f>N14</f>
        <v>1421039</v>
      </c>
      <c r="R14" s="8"/>
      <c r="S14" s="8"/>
      <c r="T14" s="8">
        <f>Q14</f>
        <v>1421039</v>
      </c>
      <c r="U14" s="8"/>
      <c r="V14" s="8"/>
      <c r="W14" s="8">
        <f>T14</f>
        <v>1421039</v>
      </c>
      <c r="X14" s="8"/>
      <c r="Y14" s="8"/>
      <c r="Z14" s="8">
        <f>W14</f>
        <v>1421039</v>
      </c>
      <c r="AA14" s="8"/>
      <c r="AB14" s="8"/>
      <c r="AC14" s="8">
        <f>Z14</f>
        <v>1421039</v>
      </c>
      <c r="AD14" s="8"/>
      <c r="AE14" s="8"/>
      <c r="AF14" s="8">
        <f>AC14</f>
        <v>1421039</v>
      </c>
      <c r="AG14" s="8"/>
      <c r="AH14" s="8"/>
      <c r="AI14" s="8">
        <f>AF14</f>
        <v>1421039</v>
      </c>
      <c r="AJ14" s="8"/>
      <c r="AK14" s="8"/>
      <c r="AL14" s="8">
        <f>AI14</f>
        <v>1421039</v>
      </c>
      <c r="AM14" s="8"/>
      <c r="AN14" s="8"/>
      <c r="AO14" s="8">
        <f>AL14</f>
        <v>1421039</v>
      </c>
      <c r="AP14" s="8"/>
      <c r="AQ14" s="8"/>
      <c r="AR14" s="8">
        <f>AO14</f>
        <v>1421039</v>
      </c>
      <c r="AS14" s="8"/>
      <c r="AT14" s="8"/>
      <c r="AU14" s="8">
        <f>AR14</f>
        <v>1421039</v>
      </c>
      <c r="AV14" s="8"/>
      <c r="AW14" s="8"/>
      <c r="AX14" s="8">
        <f>AU14</f>
        <v>1421039</v>
      </c>
      <c r="AY14" s="8"/>
      <c r="AZ14" s="8"/>
      <c r="BA14" s="8">
        <f>AX14</f>
        <v>1421039</v>
      </c>
      <c r="BB14" s="8"/>
      <c r="BC14" s="8"/>
      <c r="BD14" s="8">
        <f>BA14</f>
        <v>1421039</v>
      </c>
      <c r="BE14" s="8"/>
      <c r="BF14" s="8"/>
      <c r="BG14" s="8"/>
      <c r="BH14" s="8">
        <f>BD14</f>
        <v>1421039</v>
      </c>
      <c r="BI14" s="8"/>
      <c r="BJ14" s="8"/>
      <c r="BK14" s="8">
        <f>BH14</f>
        <v>1421039</v>
      </c>
      <c r="BL14" s="8"/>
      <c r="BM14" s="8"/>
      <c r="BN14" s="8">
        <f>F15</f>
        <v>615784</v>
      </c>
      <c r="BO14" s="8"/>
      <c r="BP14" s="8"/>
    </row>
    <row r="15" spans="1:72" x14ac:dyDescent="0.35">
      <c r="A15" s="1" t="s">
        <v>7</v>
      </c>
      <c r="B15" s="5">
        <v>45931</v>
      </c>
      <c r="C15" s="5">
        <v>46022</v>
      </c>
      <c r="D15" s="6">
        <v>615784</v>
      </c>
      <c r="E15" s="9">
        <v>1</v>
      </c>
      <c r="F15" s="6">
        <f t="shared" si="1"/>
        <v>615784</v>
      </c>
    </row>
    <row r="16" spans="1:72" x14ac:dyDescent="0.35">
      <c r="E16" s="9"/>
    </row>
    <row r="17" spans="1:72" x14ac:dyDescent="0.35">
      <c r="A17" s="1" t="s">
        <v>9</v>
      </c>
      <c r="B17" s="5">
        <v>44287</v>
      </c>
      <c r="C17" s="5">
        <v>45930</v>
      </c>
      <c r="D17" s="6">
        <v>852623</v>
      </c>
      <c r="E17" s="9">
        <v>18</v>
      </c>
      <c r="F17" s="6">
        <f t="shared" si="1"/>
        <v>15347214</v>
      </c>
      <c r="G17" s="8">
        <f>SUM(F17:F18)</f>
        <v>15713618</v>
      </c>
      <c r="H17" s="8"/>
      <c r="I17" s="8"/>
      <c r="J17" s="8"/>
      <c r="K17" s="8">
        <f>D17</f>
        <v>852623</v>
      </c>
      <c r="L17" s="8"/>
      <c r="M17" s="8"/>
      <c r="N17" s="8">
        <f>K17</f>
        <v>852623</v>
      </c>
      <c r="O17" s="8"/>
      <c r="P17" s="8"/>
      <c r="Q17" s="8">
        <f>N17</f>
        <v>852623</v>
      </c>
      <c r="R17" s="8"/>
      <c r="S17" s="8"/>
      <c r="T17" s="8">
        <f>Q17</f>
        <v>852623</v>
      </c>
      <c r="U17" s="8"/>
      <c r="V17" s="8"/>
      <c r="W17" s="8">
        <f>T17</f>
        <v>852623</v>
      </c>
      <c r="X17" s="8"/>
      <c r="Y17" s="8"/>
      <c r="Z17" s="8">
        <f>W17</f>
        <v>852623</v>
      </c>
      <c r="AA17" s="8"/>
      <c r="AB17" s="8"/>
      <c r="AC17" s="8">
        <f>Z17</f>
        <v>852623</v>
      </c>
      <c r="AD17" s="8"/>
      <c r="AE17" s="8"/>
      <c r="AF17" s="8">
        <f>AC17</f>
        <v>852623</v>
      </c>
      <c r="AG17" s="8"/>
      <c r="AH17" s="8"/>
      <c r="AI17" s="8">
        <f>AF17</f>
        <v>852623</v>
      </c>
      <c r="AJ17" s="8"/>
      <c r="AK17" s="8"/>
      <c r="AL17" s="8">
        <f>AI17</f>
        <v>852623</v>
      </c>
      <c r="AM17" s="8"/>
      <c r="AN17" s="8"/>
      <c r="AO17" s="8">
        <f>AL17</f>
        <v>852623</v>
      </c>
      <c r="AP17" s="8"/>
      <c r="AQ17" s="8"/>
      <c r="AR17" s="8">
        <f>AO17</f>
        <v>852623</v>
      </c>
      <c r="AS17" s="8"/>
      <c r="AT17" s="8"/>
      <c r="AU17" s="8">
        <f>AR17</f>
        <v>852623</v>
      </c>
      <c r="AV17" s="8"/>
      <c r="AW17" s="8"/>
      <c r="AX17" s="8">
        <f>AU17</f>
        <v>852623</v>
      </c>
      <c r="AY17" s="8"/>
      <c r="AZ17" s="8"/>
      <c r="BA17" s="8">
        <f>AX17</f>
        <v>852623</v>
      </c>
      <c r="BB17" s="8"/>
      <c r="BC17" s="8"/>
      <c r="BD17" s="8">
        <f>BA17</f>
        <v>852623</v>
      </c>
      <c r="BE17" s="8"/>
      <c r="BF17" s="8"/>
      <c r="BG17" s="8"/>
      <c r="BH17" s="8">
        <f>BD17</f>
        <v>852623</v>
      </c>
      <c r="BI17" s="8"/>
      <c r="BJ17" s="8"/>
      <c r="BK17" s="8">
        <f>BH17</f>
        <v>852623</v>
      </c>
      <c r="BL17" s="8"/>
      <c r="BM17" s="8"/>
      <c r="BN17" s="8">
        <f>F18</f>
        <v>366404</v>
      </c>
      <c r="BO17" s="8"/>
      <c r="BP17" s="8"/>
    </row>
    <row r="18" spans="1:72" x14ac:dyDescent="0.35">
      <c r="A18" s="1" t="s">
        <v>9</v>
      </c>
      <c r="B18" s="5">
        <v>45931</v>
      </c>
      <c r="C18" s="5">
        <v>46022</v>
      </c>
      <c r="D18" s="6">
        <v>366404</v>
      </c>
      <c r="E18" s="9">
        <v>1</v>
      </c>
      <c r="F18" s="6">
        <f t="shared" si="1"/>
        <v>366404</v>
      </c>
    </row>
    <row r="19" spans="1:72" x14ac:dyDescent="0.35">
      <c r="B19" s="5"/>
      <c r="C19" s="5"/>
      <c r="D19" s="6"/>
      <c r="E19" s="9"/>
      <c r="F19" s="6"/>
    </row>
    <row r="20" spans="1:72" x14ac:dyDescent="0.35">
      <c r="A20" s="1" t="s">
        <v>10</v>
      </c>
      <c r="B20" s="5">
        <v>44378</v>
      </c>
      <c r="C20" s="5">
        <v>46022</v>
      </c>
      <c r="D20" s="6">
        <v>1379649</v>
      </c>
      <c r="E20" s="9">
        <v>19</v>
      </c>
      <c r="F20" s="6">
        <f t="shared" ref="F20:F21" si="2">D20*E20</f>
        <v>26213331</v>
      </c>
      <c r="G20" s="8">
        <f>SUM(F20:F21)</f>
        <v>27501004</v>
      </c>
      <c r="H20" s="8"/>
      <c r="I20" s="8"/>
      <c r="J20" s="8"/>
      <c r="K20" s="8">
        <f>D20</f>
        <v>1379649</v>
      </c>
      <c r="L20" s="8"/>
      <c r="M20" s="8"/>
      <c r="N20" s="8">
        <f>K20</f>
        <v>1379649</v>
      </c>
      <c r="O20" s="8"/>
      <c r="P20" s="8"/>
      <c r="Q20" s="8">
        <f>N20</f>
        <v>1379649</v>
      </c>
      <c r="R20" s="8"/>
      <c r="S20" s="8"/>
      <c r="T20" s="8">
        <f>Q20</f>
        <v>1379649</v>
      </c>
      <c r="U20" s="8"/>
      <c r="V20" s="8"/>
      <c r="W20" s="8">
        <f>T20</f>
        <v>1379649</v>
      </c>
      <c r="X20" s="8"/>
      <c r="Y20" s="8"/>
      <c r="Z20" s="8">
        <f>W20</f>
        <v>1379649</v>
      </c>
      <c r="AA20" s="8"/>
      <c r="AB20" s="8"/>
      <c r="AC20" s="8">
        <f>Z20</f>
        <v>1379649</v>
      </c>
      <c r="AD20" s="8"/>
      <c r="AE20" s="8"/>
      <c r="AF20" s="8">
        <f>AC20</f>
        <v>1379649</v>
      </c>
      <c r="AG20" s="8"/>
      <c r="AH20" s="8"/>
      <c r="AI20" s="8">
        <f>AF20</f>
        <v>1379649</v>
      </c>
      <c r="AJ20" s="8"/>
      <c r="AK20" s="8"/>
      <c r="AL20" s="8">
        <f>AI20</f>
        <v>1379649</v>
      </c>
      <c r="AM20" s="8"/>
      <c r="AN20" s="8"/>
      <c r="AO20" s="8">
        <f>AL20</f>
        <v>1379649</v>
      </c>
      <c r="AP20" s="8"/>
      <c r="AQ20" s="8"/>
      <c r="AR20" s="8">
        <f>AO20</f>
        <v>1379649</v>
      </c>
      <c r="AS20" s="8"/>
      <c r="AT20" s="8"/>
      <c r="AU20" s="8">
        <f>AR20</f>
        <v>1379649</v>
      </c>
      <c r="AV20" s="8"/>
      <c r="AW20" s="8"/>
      <c r="AX20" s="8">
        <f>AU20</f>
        <v>1379649</v>
      </c>
      <c r="AY20" s="8"/>
      <c r="AZ20" s="8"/>
      <c r="BA20" s="8">
        <f>AX20</f>
        <v>1379649</v>
      </c>
      <c r="BB20" s="8"/>
      <c r="BC20" s="8"/>
      <c r="BD20" s="8">
        <f>BA20</f>
        <v>1379649</v>
      </c>
      <c r="BE20" s="8"/>
      <c r="BF20" s="8"/>
      <c r="BG20" s="8"/>
      <c r="BH20" s="8">
        <f>BD20</f>
        <v>1379649</v>
      </c>
      <c r="BI20" s="8"/>
      <c r="BJ20" s="8"/>
      <c r="BK20" s="8">
        <f>BH20</f>
        <v>1379649</v>
      </c>
      <c r="BL20" s="8"/>
      <c r="BM20" s="8"/>
      <c r="BN20" s="8">
        <v>1379649.4779040001</v>
      </c>
      <c r="BO20" s="8"/>
      <c r="BP20" s="8"/>
      <c r="BQ20" s="8">
        <f>F21</f>
        <v>1287673</v>
      </c>
    </row>
    <row r="21" spans="1:72" x14ac:dyDescent="0.35">
      <c r="A21" s="1" t="s">
        <v>10</v>
      </c>
      <c r="B21" s="5">
        <v>46023</v>
      </c>
      <c r="C21" s="5">
        <v>46106</v>
      </c>
      <c r="D21" s="6">
        <v>1287673</v>
      </c>
      <c r="E21" s="9">
        <v>1</v>
      </c>
      <c r="F21" s="6">
        <f t="shared" si="2"/>
        <v>1287673</v>
      </c>
    </row>
    <row r="22" spans="1:72" x14ac:dyDescent="0.35">
      <c r="B22" s="5"/>
      <c r="C22" s="5"/>
      <c r="D22" s="6"/>
      <c r="E22" s="9"/>
      <c r="F22" s="6"/>
    </row>
    <row r="23" spans="1:72" x14ac:dyDescent="0.35">
      <c r="A23" s="10" t="s">
        <v>11</v>
      </c>
      <c r="B23" s="5">
        <v>44470</v>
      </c>
      <c r="C23" s="5">
        <v>46112</v>
      </c>
      <c r="D23" s="6">
        <v>965755</v>
      </c>
      <c r="E23" s="9">
        <v>19</v>
      </c>
      <c r="F23" s="6">
        <f t="shared" ref="F23:F24" si="3">D23*E23</f>
        <v>18349345</v>
      </c>
      <c r="G23" s="8">
        <f>SUM(F23:F24)</f>
        <v>18778569</v>
      </c>
      <c r="H23" s="8"/>
      <c r="I23" s="8"/>
      <c r="J23" s="8"/>
      <c r="K23" s="8">
        <v>536530</v>
      </c>
      <c r="L23" s="8"/>
      <c r="M23" s="8"/>
      <c r="N23" s="8">
        <f>D23</f>
        <v>965755</v>
      </c>
      <c r="O23" s="8"/>
      <c r="P23" s="8"/>
      <c r="Q23" s="8">
        <f>D23</f>
        <v>965755</v>
      </c>
      <c r="R23" s="8"/>
      <c r="S23" s="8"/>
      <c r="T23" s="8">
        <f>Q23</f>
        <v>965755</v>
      </c>
      <c r="U23" s="8"/>
      <c r="V23" s="8"/>
      <c r="W23" s="8">
        <f>T23</f>
        <v>965755</v>
      </c>
      <c r="X23" s="8"/>
      <c r="Y23" s="8"/>
      <c r="Z23" s="8">
        <f>W23</f>
        <v>965755</v>
      </c>
      <c r="AA23" s="8"/>
      <c r="AB23" s="8"/>
      <c r="AC23" s="8">
        <f>Z23</f>
        <v>965755</v>
      </c>
      <c r="AD23" s="8"/>
      <c r="AE23" s="8"/>
      <c r="AF23" s="8">
        <f>AC23</f>
        <v>965755</v>
      </c>
      <c r="AG23" s="8"/>
      <c r="AH23" s="8"/>
      <c r="AI23" s="8">
        <f>AF23</f>
        <v>965755</v>
      </c>
      <c r="AJ23" s="8"/>
      <c r="AK23" s="8"/>
      <c r="AL23" s="8">
        <f>AI23</f>
        <v>965755</v>
      </c>
      <c r="AM23" s="8"/>
      <c r="AN23" s="8"/>
      <c r="AO23" s="8">
        <f>AL23</f>
        <v>965755</v>
      </c>
      <c r="AP23" s="8"/>
      <c r="AQ23" s="8"/>
      <c r="AR23" s="8">
        <f>AO23</f>
        <v>965755</v>
      </c>
      <c r="AS23" s="8"/>
      <c r="AT23" s="8"/>
      <c r="AU23" s="8">
        <f>AR23</f>
        <v>965755</v>
      </c>
      <c r="AV23" s="8"/>
      <c r="AW23" s="8"/>
      <c r="AX23" s="8">
        <f>AU23</f>
        <v>965755</v>
      </c>
      <c r="AY23" s="8"/>
      <c r="AZ23" s="8"/>
      <c r="BA23" s="8">
        <f>AX23</f>
        <v>965755</v>
      </c>
      <c r="BB23" s="8"/>
      <c r="BC23" s="8"/>
      <c r="BD23" s="8">
        <f>BA23</f>
        <v>965755</v>
      </c>
      <c r="BE23" s="8"/>
      <c r="BF23" s="8"/>
      <c r="BG23" s="8"/>
      <c r="BH23" s="8">
        <f>BD23</f>
        <v>965755</v>
      </c>
      <c r="BI23" s="8"/>
      <c r="BJ23" s="8"/>
      <c r="BK23" s="8">
        <f>BH23</f>
        <v>965755</v>
      </c>
      <c r="BL23" s="8"/>
      <c r="BM23" s="8"/>
      <c r="BN23" s="8">
        <v>965755</v>
      </c>
      <c r="BO23" s="8"/>
      <c r="BP23" s="8"/>
      <c r="BQ23" s="8">
        <v>965754.63</v>
      </c>
      <c r="BR23" s="8"/>
      <c r="BT23" s="6">
        <v>429224.28</v>
      </c>
    </row>
    <row r="24" spans="1:72" x14ac:dyDescent="0.35">
      <c r="A24" s="1" t="s">
        <v>11</v>
      </c>
      <c r="B24" s="5">
        <v>46113</v>
      </c>
      <c r="C24" s="5">
        <v>46191</v>
      </c>
      <c r="D24" s="6">
        <v>429224</v>
      </c>
      <c r="E24" s="9">
        <v>1</v>
      </c>
      <c r="F24" s="6">
        <f t="shared" si="3"/>
        <v>429224</v>
      </c>
      <c r="BT24" s="6"/>
    </row>
    <row r="25" spans="1:72" x14ac:dyDescent="0.35">
      <c r="E25" s="9"/>
      <c r="BT25" s="6"/>
    </row>
    <row r="26" spans="1:72" x14ac:dyDescent="0.35">
      <c r="A26" s="1" t="s">
        <v>12</v>
      </c>
      <c r="B26" s="5">
        <v>44470</v>
      </c>
      <c r="C26" s="5">
        <v>46112</v>
      </c>
      <c r="D26" s="6">
        <v>689825</v>
      </c>
      <c r="E26" s="9">
        <v>19</v>
      </c>
      <c r="F26" s="6">
        <f t="shared" ref="F26:F27" si="4">D26*E26</f>
        <v>13106675</v>
      </c>
      <c r="G26" s="8">
        <f>SUM(F26:F27)</f>
        <v>13704523</v>
      </c>
      <c r="H26" s="8"/>
      <c r="I26" s="8"/>
      <c r="J26" s="8"/>
      <c r="K26" s="8">
        <v>91977</v>
      </c>
      <c r="L26" s="8"/>
      <c r="M26" s="8"/>
      <c r="N26" s="8">
        <f>D26</f>
        <v>689825</v>
      </c>
      <c r="O26" s="8"/>
      <c r="P26" s="8"/>
      <c r="Q26" s="8">
        <f>D26</f>
        <v>689825</v>
      </c>
      <c r="R26" s="8"/>
      <c r="S26" s="8"/>
      <c r="T26" s="8">
        <f>Q26</f>
        <v>689825</v>
      </c>
      <c r="U26" s="8"/>
      <c r="V26" s="8"/>
      <c r="W26" s="8">
        <f>T26</f>
        <v>689825</v>
      </c>
      <c r="X26" s="8"/>
      <c r="Y26" s="8"/>
      <c r="Z26" s="8">
        <f>W26</f>
        <v>689825</v>
      </c>
      <c r="AA26" s="8"/>
      <c r="AB26" s="8"/>
      <c r="AC26" s="8">
        <f>Z26</f>
        <v>689825</v>
      </c>
      <c r="AD26" s="8"/>
      <c r="AE26" s="8"/>
      <c r="AF26" s="8">
        <f>AC26</f>
        <v>689825</v>
      </c>
      <c r="AG26" s="8"/>
      <c r="AH26" s="8"/>
      <c r="AI26" s="8">
        <f>AF26</f>
        <v>689825</v>
      </c>
      <c r="AJ26" s="8"/>
      <c r="AK26" s="8"/>
      <c r="AL26" s="8">
        <f>AI26</f>
        <v>689825</v>
      </c>
      <c r="AM26" s="8"/>
      <c r="AN26" s="8"/>
      <c r="AO26" s="8">
        <f>AL26</f>
        <v>689825</v>
      </c>
      <c r="AP26" s="8"/>
      <c r="AQ26" s="8"/>
      <c r="AR26" s="8">
        <f>AO26</f>
        <v>689825</v>
      </c>
      <c r="AS26" s="8"/>
      <c r="AT26" s="8"/>
      <c r="AU26" s="8">
        <f>AR26</f>
        <v>689825</v>
      </c>
      <c r="AV26" s="8"/>
      <c r="AW26" s="8"/>
      <c r="AX26" s="8">
        <f>AU26</f>
        <v>689825</v>
      </c>
      <c r="AY26" s="8"/>
      <c r="AZ26" s="8"/>
      <c r="BA26" s="8">
        <f>AX26</f>
        <v>689825</v>
      </c>
      <c r="BB26" s="8"/>
      <c r="BC26" s="8"/>
      <c r="BD26" s="8">
        <f>BA26</f>
        <v>689825</v>
      </c>
      <c r="BE26" s="8"/>
      <c r="BF26" s="8"/>
      <c r="BG26" s="8"/>
      <c r="BH26" s="8">
        <f>BD26</f>
        <v>689825</v>
      </c>
      <c r="BI26" s="8"/>
      <c r="BJ26" s="8"/>
      <c r="BK26" s="8">
        <f>BH26</f>
        <v>689825</v>
      </c>
      <c r="BL26" s="8"/>
      <c r="BM26" s="8"/>
      <c r="BN26" s="8">
        <f>BK26</f>
        <v>689825</v>
      </c>
      <c r="BO26" s="8"/>
      <c r="BP26" s="8"/>
      <c r="BQ26" s="8">
        <v>689824.73895200016</v>
      </c>
      <c r="BR26" s="8"/>
      <c r="BS26" s="8"/>
      <c r="BT26" s="6">
        <v>597848.10709175002</v>
      </c>
    </row>
    <row r="27" spans="1:72" x14ac:dyDescent="0.35">
      <c r="A27" s="1" t="s">
        <v>12</v>
      </c>
      <c r="B27" s="5">
        <v>46113</v>
      </c>
      <c r="C27" s="5">
        <v>46153</v>
      </c>
      <c r="D27" s="6">
        <v>597848</v>
      </c>
      <c r="E27" s="9">
        <v>1</v>
      </c>
      <c r="F27" s="6">
        <f t="shared" si="4"/>
        <v>597848</v>
      </c>
      <c r="BQ27" s="8"/>
      <c r="BT27" s="6"/>
    </row>
    <row r="28" spans="1:72" x14ac:dyDescent="0.35">
      <c r="E28" s="9"/>
      <c r="BT28" s="6"/>
    </row>
    <row r="29" spans="1:72" x14ac:dyDescent="0.35">
      <c r="A29" s="1" t="s">
        <v>13</v>
      </c>
      <c r="B29" s="5">
        <v>44470</v>
      </c>
      <c r="C29" s="5">
        <v>46112</v>
      </c>
      <c r="D29" s="6">
        <v>1241685</v>
      </c>
      <c r="E29" s="9">
        <v>19</v>
      </c>
      <c r="F29" s="6">
        <f t="shared" ref="F29:F30" si="5">D29*E29</f>
        <v>23592015</v>
      </c>
      <c r="G29" s="8">
        <f>SUM(F29:F30)</f>
        <v>24737124</v>
      </c>
      <c r="H29" s="8"/>
      <c r="I29" s="8"/>
      <c r="J29" s="8"/>
      <c r="K29" s="8">
        <v>96575</v>
      </c>
      <c r="L29" s="8"/>
      <c r="M29" s="8"/>
      <c r="N29" s="8">
        <f>D29</f>
        <v>1241685</v>
      </c>
      <c r="O29" s="8"/>
      <c r="P29" s="8"/>
      <c r="Q29" s="8">
        <f>D29</f>
        <v>1241685</v>
      </c>
      <c r="R29" s="8"/>
      <c r="S29" s="8"/>
      <c r="T29" s="8">
        <f>Q29</f>
        <v>1241685</v>
      </c>
      <c r="U29" s="8"/>
      <c r="V29" s="8"/>
      <c r="W29" s="8">
        <f>T29</f>
        <v>1241685</v>
      </c>
      <c r="X29" s="8"/>
      <c r="Y29" s="8"/>
      <c r="Z29" s="8">
        <f>W29</f>
        <v>1241685</v>
      </c>
      <c r="AA29" s="8"/>
      <c r="AB29" s="8"/>
      <c r="AC29" s="8">
        <f>Z29</f>
        <v>1241685</v>
      </c>
      <c r="AD29" s="8"/>
      <c r="AE29" s="8"/>
      <c r="AF29" s="8">
        <f>AC29</f>
        <v>1241685</v>
      </c>
      <c r="AG29" s="8"/>
      <c r="AH29" s="8"/>
      <c r="AI29" s="8">
        <f>AF29</f>
        <v>1241685</v>
      </c>
      <c r="AJ29" s="8"/>
      <c r="AK29" s="8"/>
      <c r="AL29" s="8">
        <f>AI29</f>
        <v>1241685</v>
      </c>
      <c r="AM29" s="8"/>
      <c r="AN29" s="8"/>
      <c r="AO29" s="8">
        <f>AL29</f>
        <v>1241685</v>
      </c>
      <c r="AP29" s="8"/>
      <c r="AQ29" s="8"/>
      <c r="AR29" s="8">
        <f>AO29</f>
        <v>1241685</v>
      </c>
      <c r="AS29" s="8"/>
      <c r="AT29" s="8"/>
      <c r="AU29" s="8">
        <f>AR29</f>
        <v>1241685</v>
      </c>
      <c r="AV29" s="8"/>
      <c r="AW29" s="8"/>
      <c r="AX29" s="8">
        <f>AU29</f>
        <v>1241685</v>
      </c>
      <c r="AY29" s="8"/>
      <c r="AZ29" s="8"/>
      <c r="BA29" s="8">
        <f>AX29</f>
        <v>1241685</v>
      </c>
      <c r="BB29" s="8"/>
      <c r="BC29" s="8"/>
      <c r="BD29" s="8">
        <f>BA29</f>
        <v>1241685</v>
      </c>
      <c r="BE29" s="8"/>
      <c r="BF29" s="8"/>
      <c r="BG29" s="8"/>
      <c r="BH29" s="8">
        <f>BD29</f>
        <v>1241685</v>
      </c>
      <c r="BI29" s="8"/>
      <c r="BJ29" s="8"/>
      <c r="BK29" s="8">
        <f>BH29</f>
        <v>1241685</v>
      </c>
      <c r="BL29" s="8"/>
      <c r="BM29" s="8"/>
      <c r="BN29" s="8">
        <f>BK29</f>
        <v>1241685</v>
      </c>
      <c r="BO29" s="8"/>
      <c r="BP29" s="8"/>
      <c r="BQ29" s="8">
        <v>1241684.5301136</v>
      </c>
      <c r="BR29" s="8"/>
      <c r="BS29" s="8"/>
      <c r="BT29" s="6">
        <v>1145109.07</v>
      </c>
    </row>
    <row r="30" spans="1:72" x14ac:dyDescent="0.35">
      <c r="A30" s="1" t="s">
        <v>13</v>
      </c>
      <c r="B30" s="5">
        <v>46113</v>
      </c>
      <c r="C30" s="5">
        <v>46196</v>
      </c>
      <c r="D30" s="6">
        <v>1145109</v>
      </c>
      <c r="E30" s="9">
        <v>1</v>
      </c>
      <c r="F30" s="6">
        <f t="shared" si="5"/>
        <v>1145109</v>
      </c>
    </row>
    <row r="33" spans="4:72" x14ac:dyDescent="0.35">
      <c r="D33" s="11" t="s">
        <v>38</v>
      </c>
      <c r="F33" s="8">
        <f>SUM(F4:F32)</f>
        <v>214481869</v>
      </c>
      <c r="G33" s="8">
        <f>SUM(G4:G32)</f>
        <v>214481869</v>
      </c>
      <c r="H33" s="8"/>
      <c r="I33" s="8">
        <f>SUM(I4:I32)</f>
        <v>0</v>
      </c>
      <c r="J33" s="8">
        <f t="shared" ref="J33:BT33" si="6">SUM(J4:J32)</f>
        <v>0</v>
      </c>
      <c r="K33" s="8">
        <f t="shared" si="6"/>
        <v>9209925</v>
      </c>
      <c r="L33" s="8">
        <f t="shared" si="6"/>
        <v>0</v>
      </c>
      <c r="M33" s="8">
        <f t="shared" si="6"/>
        <v>0</v>
      </c>
      <c r="N33" s="8">
        <f t="shared" si="6"/>
        <v>11382108</v>
      </c>
      <c r="O33" s="8">
        <f t="shared" si="6"/>
        <v>0</v>
      </c>
      <c r="P33" s="8">
        <f t="shared" si="6"/>
        <v>0</v>
      </c>
      <c r="Q33" s="8">
        <f t="shared" si="6"/>
        <v>11382108</v>
      </c>
      <c r="R33" s="8">
        <f t="shared" si="6"/>
        <v>0</v>
      </c>
      <c r="S33" s="8">
        <f t="shared" si="6"/>
        <v>0</v>
      </c>
      <c r="T33" s="8">
        <f t="shared" si="6"/>
        <v>11382108</v>
      </c>
      <c r="U33" s="8">
        <f t="shared" si="6"/>
        <v>0</v>
      </c>
      <c r="V33" s="8">
        <f t="shared" si="6"/>
        <v>0</v>
      </c>
      <c r="W33" s="8">
        <f t="shared" si="6"/>
        <v>11382108</v>
      </c>
      <c r="X33" s="8">
        <f t="shared" si="6"/>
        <v>0</v>
      </c>
      <c r="Y33" s="8">
        <f t="shared" si="6"/>
        <v>0</v>
      </c>
      <c r="Z33" s="8">
        <f t="shared" si="6"/>
        <v>11382108</v>
      </c>
      <c r="AA33" s="8">
        <f t="shared" si="6"/>
        <v>0</v>
      </c>
      <c r="AB33" s="8">
        <f t="shared" si="6"/>
        <v>0</v>
      </c>
      <c r="AC33" s="8">
        <f t="shared" si="6"/>
        <v>11382108</v>
      </c>
      <c r="AD33" s="8">
        <f t="shared" si="6"/>
        <v>0</v>
      </c>
      <c r="AE33" s="8">
        <f t="shared" si="6"/>
        <v>0</v>
      </c>
      <c r="AF33" s="8">
        <f t="shared" si="6"/>
        <v>11382108</v>
      </c>
      <c r="AG33" s="8">
        <f t="shared" si="6"/>
        <v>0</v>
      </c>
      <c r="AH33" s="8">
        <f t="shared" si="6"/>
        <v>0</v>
      </c>
      <c r="AI33" s="8">
        <f t="shared" si="6"/>
        <v>11382108</v>
      </c>
      <c r="AJ33" s="8">
        <f t="shared" si="6"/>
        <v>0</v>
      </c>
      <c r="AK33" s="8">
        <f t="shared" si="6"/>
        <v>0</v>
      </c>
      <c r="AL33" s="8">
        <f t="shared" si="6"/>
        <v>11382108</v>
      </c>
      <c r="AM33" s="8">
        <f t="shared" si="6"/>
        <v>0</v>
      </c>
      <c r="AN33" s="8">
        <f t="shared" si="6"/>
        <v>0</v>
      </c>
      <c r="AO33" s="8">
        <f t="shared" si="6"/>
        <v>11382108</v>
      </c>
      <c r="AP33" s="8">
        <f t="shared" si="6"/>
        <v>0</v>
      </c>
      <c r="AQ33" s="8">
        <f t="shared" si="6"/>
        <v>0</v>
      </c>
      <c r="AR33" s="8">
        <f t="shared" si="6"/>
        <v>11382108</v>
      </c>
      <c r="AS33" s="8">
        <f t="shared" si="6"/>
        <v>0</v>
      </c>
      <c r="AT33" s="8">
        <f t="shared" si="6"/>
        <v>0</v>
      </c>
      <c r="AU33" s="8">
        <f t="shared" si="6"/>
        <v>11382108</v>
      </c>
      <c r="AV33" s="8">
        <f t="shared" si="6"/>
        <v>0</v>
      </c>
      <c r="AW33" s="8">
        <f t="shared" si="6"/>
        <v>0</v>
      </c>
      <c r="AX33" s="8">
        <f t="shared" si="6"/>
        <v>11382108</v>
      </c>
      <c r="AY33" s="8">
        <f t="shared" si="6"/>
        <v>0</v>
      </c>
      <c r="AZ33" s="8">
        <f t="shared" si="6"/>
        <v>0</v>
      </c>
      <c r="BA33" s="8">
        <f t="shared" si="6"/>
        <v>11382108</v>
      </c>
      <c r="BB33" s="8">
        <f t="shared" si="6"/>
        <v>0</v>
      </c>
      <c r="BC33" s="8">
        <f t="shared" si="6"/>
        <v>0</v>
      </c>
      <c r="BD33" s="8">
        <f t="shared" si="6"/>
        <v>11382108</v>
      </c>
      <c r="BE33" s="8"/>
      <c r="BF33" s="8">
        <f t="shared" si="6"/>
        <v>0</v>
      </c>
      <c r="BG33" s="8">
        <f t="shared" si="6"/>
        <v>0</v>
      </c>
      <c r="BH33" s="8">
        <f t="shared" si="6"/>
        <v>11382108</v>
      </c>
      <c r="BI33" s="8">
        <f t="shared" si="6"/>
        <v>0</v>
      </c>
      <c r="BJ33" s="8">
        <f t="shared" si="6"/>
        <v>0</v>
      </c>
      <c r="BK33" s="8">
        <f>SUM(BK4:BK32)</f>
        <v>11382108</v>
      </c>
      <c r="BL33" s="8">
        <f t="shared" si="6"/>
        <v>0</v>
      </c>
      <c r="BM33" s="8">
        <f t="shared" si="6"/>
        <v>0</v>
      </c>
      <c r="BN33" s="8">
        <f t="shared" si="6"/>
        <v>6144071.4779040003</v>
      </c>
      <c r="BO33" s="8">
        <f t="shared" si="6"/>
        <v>0</v>
      </c>
      <c r="BP33" s="8">
        <f t="shared" si="6"/>
        <v>0</v>
      </c>
      <c r="BQ33" s="8">
        <f t="shared" si="6"/>
        <v>4184936.8990655998</v>
      </c>
      <c r="BR33" s="8">
        <f t="shared" si="6"/>
        <v>0</v>
      </c>
      <c r="BS33" s="8">
        <f t="shared" si="6"/>
        <v>0</v>
      </c>
      <c r="BT33" s="8">
        <f t="shared" si="6"/>
        <v>2172181.4570917501</v>
      </c>
    </row>
    <row r="34" spans="4:72" x14ac:dyDescent="0.35">
      <c r="D34" s="10"/>
      <c r="AC34" s="8"/>
    </row>
    <row r="35" spans="4:72" x14ac:dyDescent="0.35">
      <c r="D35" s="10" t="s">
        <v>40</v>
      </c>
      <c r="H35" s="12">
        <v>0.08</v>
      </c>
      <c r="I35" s="12"/>
      <c r="J35" s="12"/>
      <c r="K35" s="13">
        <f>1/(1+$H$35/4)^K2</f>
        <v>0.99506157747984325</v>
      </c>
      <c r="L35" s="8"/>
      <c r="M35" s="8"/>
      <c r="N35" s="13">
        <f>1/(1+$H$35/4)^N2</f>
        <v>0.99014754297667429</v>
      </c>
      <c r="Q35" s="13">
        <f>1/(1+$H$35/4)^Q2</f>
        <v>0.98525777605216047</v>
      </c>
      <c r="T35" s="13">
        <f>1/(1+$H$35/4)^T2</f>
        <v>0.98039215686274506</v>
      </c>
      <c r="W35" s="13">
        <f>1/(1+$H$35/4)^W2</f>
        <v>0.9755505661567091</v>
      </c>
      <c r="Z35" s="13">
        <f>1/(1+$H$35/4)^Z2</f>
        <v>0.97073288527124924</v>
      </c>
      <c r="AC35" s="13">
        <f>1/(1+$H$35/4)^AC2</f>
        <v>0.96593899612956913</v>
      </c>
      <c r="AF35" s="13">
        <f>1/(1+$H$35/4)^AF2</f>
        <v>0.96116878123798544</v>
      </c>
      <c r="AI35" s="13">
        <f>1/(1+$H$35/4)^AI2</f>
        <v>0.95642212368304824</v>
      </c>
      <c r="AL35" s="13">
        <f>1/(1+$H$35/4)^AL2</f>
        <v>0.95169890712867578</v>
      </c>
      <c r="AO35" s="13">
        <f>1/(1+$H$35/4)^AO2</f>
        <v>0.94699901581330304</v>
      </c>
      <c r="AR35" s="13">
        <f>1/(1+$H$35/4)^AR2</f>
        <v>0.94232233454704462</v>
      </c>
      <c r="AU35" s="13">
        <f>1/(1+$H$35/4)^AU2</f>
        <v>0.93766874870887074</v>
      </c>
      <c r="AX35" s="13">
        <f>1/(1+$H$35/4)^AX2</f>
        <v>0.93303814424379983</v>
      </c>
      <c r="BA35" s="13">
        <f>1/(1+$H$35/4)^BA2</f>
        <v>0.9284304076601011</v>
      </c>
      <c r="BD35" s="13">
        <f>1/(1+$H$35/4)^BD2</f>
        <v>0.9238454260265142</v>
      </c>
      <c r="BE35" s="13"/>
      <c r="BH35" s="13">
        <f>1/(1+$H$35/4)^BH2</f>
        <v>0.91928308696948113</v>
      </c>
      <c r="BK35" s="13">
        <f>1/(1+$H$35/4)^BK2</f>
        <v>0.91474327867039196</v>
      </c>
      <c r="BN35" s="13">
        <f>1/(1+$H$35/4)^BN2</f>
        <v>0.91022588986284403</v>
      </c>
      <c r="BQ35" s="13">
        <f>1/(1+$H$35/4)^BQ2</f>
        <v>0.90573080982991594</v>
      </c>
      <c r="BT35" s="13">
        <f>1/(1+$H$35/4)^BT2</f>
        <v>0.90125792840145202</v>
      </c>
    </row>
    <row r="36" spans="4:72" x14ac:dyDescent="0.35">
      <c r="D36" s="10"/>
    </row>
    <row r="37" spans="4:72" x14ac:dyDescent="0.35">
      <c r="D37" s="11" t="s">
        <v>39</v>
      </c>
      <c r="F37" s="8">
        <f>SUM(K37:BQ37)</f>
        <v>202751302.05471453</v>
      </c>
      <c r="H37" s="12">
        <v>0.08</v>
      </c>
      <c r="K37" s="8">
        <f>K33*K35</f>
        <v>9164442.498971045</v>
      </c>
      <c r="N37" s="8">
        <f>N33*N35</f>
        <v>11269966.270095149</v>
      </c>
      <c r="Q37" s="8">
        <f>Q33*Q35</f>
        <v>11214310.414865505</v>
      </c>
      <c r="T37" s="8">
        <f>T33*T35</f>
        <v>11158929.411764706</v>
      </c>
      <c r="W37" s="8">
        <f>W33*W35</f>
        <v>11103821.903456807</v>
      </c>
      <c r="Z37" s="8">
        <f>Z33*Z35</f>
        <v>11048986.539308969</v>
      </c>
      <c r="AC37" s="8">
        <f>AC33*AC35</f>
        <v>10994421.975358337</v>
      </c>
      <c r="AF37" s="8">
        <f>AF33*AF35</f>
        <v>10940126.874279125</v>
      </c>
      <c r="AI37" s="8">
        <f>AI33*AI35</f>
        <v>10886099.905349813</v>
      </c>
      <c r="AL37" s="8">
        <f>AL33*AL35</f>
        <v>10832339.744420558</v>
      </c>
      <c r="AO37" s="8">
        <f>AO33*AO35</f>
        <v>10778845.073880723</v>
      </c>
      <c r="AR37" s="8">
        <f>AR33*AR35</f>
        <v>10725614.582626592</v>
      </c>
      <c r="AU37" s="8">
        <f>AU33*AU35</f>
        <v>10672646.966029227</v>
      </c>
      <c r="AX37" s="8">
        <f>AX33*AX35</f>
        <v>10619940.925902508</v>
      </c>
      <c r="BA37" s="8">
        <f>BA33*BA35</f>
        <v>10567495.170471298</v>
      </c>
      <c r="BD37" s="8">
        <f>BD33*BD35</f>
        <v>10515308.414339796</v>
      </c>
      <c r="BE37" s="8"/>
      <c r="BH37" s="8">
        <f>BH33*BH35</f>
        <v>10463379.378460027</v>
      </c>
      <c r="BK37" s="8">
        <f>BK33*BK35</f>
        <v>10411706.790100498</v>
      </c>
      <c r="BN37" s="8">
        <f>BN33*BN35</f>
        <v>5592492.9283560878</v>
      </c>
      <c r="BQ37" s="8">
        <f>BQ33*BQ35</f>
        <v>3790426.2866777829</v>
      </c>
      <c r="BT37" s="8">
        <f>BT33*BT35</f>
        <v>1957695.7601305582</v>
      </c>
    </row>
    <row r="38" spans="4:72" x14ac:dyDescent="0.35">
      <c r="D38" s="10"/>
      <c r="AC38" s="8">
        <f>AC37/3</f>
        <v>3664807.3251194456</v>
      </c>
      <c r="AD38" s="8">
        <f>AC37-AC38</f>
        <v>7329614.6502388921</v>
      </c>
      <c r="AF38" s="8">
        <f>AF37</f>
        <v>10940126.874279125</v>
      </c>
      <c r="AI38" s="8">
        <f>AI37</f>
        <v>10886099.905349813</v>
      </c>
      <c r="AL38" s="8">
        <f>AL37</f>
        <v>10832339.744420558</v>
      </c>
      <c r="AO38" s="8">
        <f>AO37/3</f>
        <v>3592948.3579602409</v>
      </c>
    </row>
    <row r="39" spans="4:72" x14ac:dyDescent="0.35">
      <c r="D39" s="10" t="s">
        <v>42</v>
      </c>
      <c r="F39" s="8"/>
      <c r="K39" s="1">
        <f>30+31+30</f>
        <v>91</v>
      </c>
      <c r="N39" s="1">
        <f>31+31+30</f>
        <v>92</v>
      </c>
      <c r="Q39" s="1">
        <f>31+30+31</f>
        <v>92</v>
      </c>
      <c r="T39" s="1">
        <f>31+28+31</f>
        <v>90</v>
      </c>
      <c r="W39" s="1">
        <f>30+31+30</f>
        <v>91</v>
      </c>
      <c r="Z39" s="1">
        <f>31+31+30</f>
        <v>92</v>
      </c>
      <c r="AC39" s="1">
        <f>31+30+31</f>
        <v>92</v>
      </c>
      <c r="AF39" s="1">
        <f>31+28+31</f>
        <v>90</v>
      </c>
      <c r="AI39" s="1">
        <f>30+31+30</f>
        <v>91</v>
      </c>
      <c r="AL39" s="1">
        <f>31+31+30</f>
        <v>92</v>
      </c>
      <c r="AO39" s="1">
        <f>31+30+31</f>
        <v>92</v>
      </c>
      <c r="AR39" s="1">
        <f>31+29+31</f>
        <v>91</v>
      </c>
      <c r="AU39" s="1">
        <f>30+31+30</f>
        <v>91</v>
      </c>
      <c r="AX39" s="1">
        <f>31+31+30</f>
        <v>92</v>
      </c>
      <c r="BA39" s="1">
        <f>31+30+31</f>
        <v>92</v>
      </c>
      <c r="BD39" s="1">
        <f>31+28+31</f>
        <v>90</v>
      </c>
      <c r="BH39" s="1">
        <f>30+31+30</f>
        <v>91</v>
      </c>
      <c r="BK39" s="1">
        <f>31+31+30</f>
        <v>92</v>
      </c>
      <c r="BN39" s="1">
        <f>31+30+31</f>
        <v>92</v>
      </c>
      <c r="BQ39" s="1">
        <f>31+28+31</f>
        <v>90</v>
      </c>
      <c r="BT39" s="1">
        <f>31+28+31</f>
        <v>90</v>
      </c>
    </row>
    <row r="40" spans="4:72" x14ac:dyDescent="0.35">
      <c r="D40" s="11" t="s">
        <v>36</v>
      </c>
      <c r="F40" s="14">
        <f>'Rent Alpha Detail'!H6</f>
        <v>44536800.599422589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F40" s="4"/>
      <c r="BG40" s="4"/>
      <c r="BH40" s="15">
        <f>$F$40/BH39</f>
        <v>489415.39120244602</v>
      </c>
      <c r="BI40" s="4"/>
      <c r="BJ40" s="4"/>
      <c r="BK40" s="15">
        <f>$F$40/BK39</f>
        <v>484095.65868937597</v>
      </c>
      <c r="BL40" s="4"/>
      <c r="BM40" s="4"/>
      <c r="BN40" s="15">
        <f>$F$40/BN39</f>
        <v>484095.65868937597</v>
      </c>
      <c r="BO40" s="4"/>
      <c r="BP40" s="4"/>
      <c r="BQ40" s="15">
        <f>$F$40/BQ39</f>
        <v>494853.33999358432</v>
      </c>
      <c r="BR40" s="4"/>
      <c r="BS40" s="4"/>
      <c r="BT40" s="15">
        <f>$F$40/BT39</f>
        <v>494853.33999358432</v>
      </c>
    </row>
    <row r="41" spans="4:72" hidden="1" x14ac:dyDescent="0.35">
      <c r="D41" s="10"/>
      <c r="F41" s="4">
        <v>44536800.599422589</v>
      </c>
      <c r="H41" s="4"/>
      <c r="I41" s="4"/>
      <c r="J41" s="4"/>
      <c r="K41" s="16" t="e">
        <f>K39*#REF!</f>
        <v>#REF!</v>
      </c>
      <c r="L41" s="4"/>
      <c r="M41" s="4"/>
      <c r="N41" s="16" t="e">
        <f>N39*#REF!</f>
        <v>#REF!</v>
      </c>
      <c r="O41" s="4"/>
      <c r="P41" s="4"/>
      <c r="Q41" s="16" t="e">
        <f>Q39*#REF!</f>
        <v>#REF!</v>
      </c>
      <c r="R41" s="4"/>
      <c r="S41" s="4"/>
      <c r="T41" s="16" t="e">
        <f>T39*#REF!</f>
        <v>#REF!</v>
      </c>
      <c r="U41" s="4"/>
      <c r="V41" s="4"/>
      <c r="W41" s="16" t="e">
        <f>W39*#REF!</f>
        <v>#REF!</v>
      </c>
      <c r="X41" s="4"/>
      <c r="Y41" s="4"/>
      <c r="Z41" s="16" t="e">
        <f>Z39*#REF!</f>
        <v>#REF!</v>
      </c>
      <c r="AA41" s="4"/>
      <c r="AB41" s="4"/>
      <c r="AC41" s="16" t="e">
        <f>AC39*#REF!</f>
        <v>#REF!</v>
      </c>
      <c r="AD41" s="4"/>
      <c r="AE41" s="4"/>
      <c r="AF41" s="16" t="e">
        <f>AF39*#REF!</f>
        <v>#REF!</v>
      </c>
      <c r="AG41" s="4"/>
      <c r="AH41" s="4"/>
      <c r="AI41" s="16" t="e">
        <f>AI39*#REF!</f>
        <v>#REF!</v>
      </c>
      <c r="AJ41" s="4"/>
      <c r="AK41" s="4"/>
      <c r="AL41" s="16" t="e">
        <f>AL39*#REF!</f>
        <v>#REF!</v>
      </c>
      <c r="AM41" s="4"/>
      <c r="AN41" s="4"/>
      <c r="AO41" s="16" t="e">
        <f>AO39*#REF!</f>
        <v>#REF!</v>
      </c>
      <c r="AP41" s="4"/>
      <c r="AQ41" s="4"/>
      <c r="AR41" s="16" t="e">
        <f>AR39*#REF!</f>
        <v>#REF!</v>
      </c>
      <c r="AS41" s="4"/>
      <c r="AT41" s="4"/>
      <c r="AU41" s="16" t="e">
        <f>AU39*#REF!</f>
        <v>#REF!</v>
      </c>
      <c r="AV41" s="4"/>
      <c r="AW41" s="4"/>
      <c r="AX41" s="16" t="e">
        <f>AX39*#REF!</f>
        <v>#REF!</v>
      </c>
      <c r="AY41" s="4"/>
      <c r="AZ41" s="4"/>
      <c r="BA41" s="16" t="e">
        <f>BA39*#REF!</f>
        <v>#REF!</v>
      </c>
      <c r="BB41" s="4"/>
      <c r="BC41" s="4"/>
      <c r="BD41" s="16" t="e">
        <f>BD39*#REF!</f>
        <v>#REF!</v>
      </c>
      <c r="BF41" s="4"/>
      <c r="BG41" s="4"/>
      <c r="BH41" s="16" t="e">
        <f>BH39*#REF!</f>
        <v>#REF!</v>
      </c>
      <c r="BI41" s="4"/>
      <c r="BJ41" s="4"/>
      <c r="BK41" s="16" t="e">
        <f>BK39*#REF!</f>
        <v>#REF!</v>
      </c>
      <c r="BL41" s="4"/>
      <c r="BM41" s="4"/>
      <c r="BN41" s="16" t="e">
        <f>BN39*#REF!</f>
        <v>#REF!</v>
      </c>
      <c r="BO41" s="4"/>
      <c r="BP41" s="4"/>
      <c r="BQ41" s="16" t="e">
        <f>BQ39*#REF!</f>
        <v>#REF!</v>
      </c>
      <c r="BR41" s="4"/>
      <c r="BS41" s="4"/>
      <c r="BT41" s="16" t="e">
        <f>BT39*#REF!</f>
        <v>#REF!</v>
      </c>
    </row>
    <row r="42" spans="4:72" x14ac:dyDescent="0.35">
      <c r="D42" s="10" t="s">
        <v>37</v>
      </c>
      <c r="F42" s="17">
        <f>SUM(BH39:BT39)</f>
        <v>455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6" t="e">
        <f>AC41/AC39*31</f>
        <v>#REF!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4:72" x14ac:dyDescent="0.35">
      <c r="D43" s="11" t="s">
        <v>41</v>
      </c>
      <c r="F43" s="15">
        <f>F40/F42</f>
        <v>97883.078240489209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F43" s="4"/>
      <c r="BG43" s="4"/>
      <c r="BH43" s="15">
        <f>$F$43*BH39</f>
        <v>8907360.1198845189</v>
      </c>
      <c r="BI43" s="4"/>
      <c r="BJ43" s="4"/>
      <c r="BK43" s="15">
        <f>$F$43*BK39</f>
        <v>9005243.1981250066</v>
      </c>
      <c r="BL43" s="4"/>
      <c r="BM43" s="4"/>
      <c r="BN43" s="15">
        <f>$F$43*BN39</f>
        <v>9005243.1981250066</v>
      </c>
      <c r="BO43" s="4"/>
      <c r="BP43" s="4"/>
      <c r="BQ43" s="15">
        <f>$F$43*BQ39</f>
        <v>8809477.0416440293</v>
      </c>
      <c r="BR43" s="4"/>
      <c r="BS43" s="4"/>
      <c r="BT43" s="15">
        <f>$F$43*BT39</f>
        <v>8809477.0416440293</v>
      </c>
    </row>
    <row r="44" spans="4:72" x14ac:dyDescent="0.35">
      <c r="AO44" s="8"/>
    </row>
    <row r="47" spans="4:72" x14ac:dyDescent="0.35">
      <c r="BN47" s="32"/>
      <c r="BQ47" s="8"/>
      <c r="BT47" s="8"/>
    </row>
    <row r="48" spans="4:72" x14ac:dyDescent="0.35">
      <c r="BN48" s="8"/>
    </row>
    <row r="49" spans="66:66" x14ac:dyDescent="0.35">
      <c r="BN49" s="32"/>
    </row>
    <row r="50" spans="66:66" x14ac:dyDescent="0.35">
      <c r="BN50" s="8"/>
    </row>
  </sheetData>
  <pageMargins left="0.7" right="0.7" top="0.75" bottom="0.75" header="0.3" footer="0.3"/>
  <pageSetup paperSize="9" orientation="portrait" verticalDpi="0" r:id="rId1"/>
  <ignoredErrors>
    <ignoredError sqref="BF33:BJ33 BL33:BT33" formulaRange="1"/>
  </ignoredError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Rent Alpha Detail</vt:lpstr>
      <vt:lpstr>Rent 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Chaudhary, Amit (GE Renewable Energy)</dc:creator>
  <cp:lastModifiedBy>Sharma, Akshit</cp:lastModifiedBy>
  <dcterms:created xsi:type="dcterms:W3CDTF">2015-06-05T18:17:20Z</dcterms:created>
  <dcterms:modified xsi:type="dcterms:W3CDTF">2026-07-09T12:40:31Z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2022-08-19T08:39:17Z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bb728767-a134-4320-b66a-31b357d3a913</vt:lpwstr>
  </property>
  <property fmtid="{D5CDD505-2E9C-101B-9397-08002B2CF9AE}" pid="8" name="MSIP_Label_ea60d57e-af5b-4752-ac57-3e4f28ca11dc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