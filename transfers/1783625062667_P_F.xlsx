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ksharma19\Downloads\"/>
    </mc:Choice>
  </mc:AlternateContent>
  <xr:revisionPtr revIDLastSave="0" documentId="8_{561BFC4B-68D3-4BF1-BE00-A2B5E99FBEFA}" xr6:coauthVersionLast="47" xr6:coauthVersionMax="47" xr10:uidLastSave="{00000000-0000-0000-0000-000000000000}"/>
  <bookViews>
    <workbookView xWindow="-100" yWindow="-100" windowWidth="21467" windowHeight="11443" xr2:uid="{AE695658-C2B1-4742-9BBB-2B5A8D4CBD2A}"/>
  </bookViews>
  <sheets>
    <sheet name="Power fuel WP 25" sheetId="3" r:id="rId1"/>
    <sheet name="Power fuel WP 25 GL DUMP" sheetId="4" r:id="rId2"/>
    <sheet name="Power fuel WP 26" sheetId="1" r:id="rId3"/>
    <sheet name="POWER FUEL 26 GL Dump" sheetId="2" r:id="rId4"/>
  </sheets>
  <externalReferences>
    <externalReference r:id="rId5"/>
    <externalReference r:id="rId6"/>
  </externalReferences>
  <definedNames>
    <definedName name="_xlnm._FilterDatabase" localSheetId="3" hidden="1">'POWER FUEL 26 GL Dump'!$A$7:$BL$7</definedName>
    <definedName name="_xlnm._FilterDatabase" localSheetId="0" hidden="1">'Power fuel WP 25'!$A$19:$P$28</definedName>
    <definedName name="_xlnm._FilterDatabase" localSheetId="1" hidden="1">'Power fuel WP 25 GL DUMP'!$A$7:$BM$147</definedName>
    <definedName name="_xlnm._FilterDatabase" localSheetId="2" hidden="1">'Power fuel WP 26'!#REF!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6" i="4" l="1"/>
  <c r="A3" i="4"/>
  <c r="A2" i="4"/>
  <c r="A1" i="4"/>
  <c r="O28" i="3"/>
  <c r="O27" i="3"/>
  <c r="O26" i="3"/>
  <c r="O25" i="3"/>
  <c r="O24" i="3"/>
  <c r="O23" i="3"/>
  <c r="O22" i="3"/>
  <c r="O21" i="3"/>
  <c r="O20" i="3"/>
  <c r="O18" i="3" s="1"/>
  <c r="B11" i="3" s="1"/>
  <c r="B15" i="3" s="1"/>
  <c r="A3" i="3"/>
  <c r="A2" i="3"/>
  <c r="A1" i="3"/>
  <c r="A139" i="2" l="1"/>
  <c r="N24" i="1"/>
  <c r="M24" i="1"/>
  <c r="L24" i="1"/>
  <c r="K24" i="1"/>
  <c r="J24" i="1"/>
  <c r="I24" i="1"/>
  <c r="H24" i="1"/>
  <c r="G24" i="1"/>
  <c r="F24" i="1"/>
  <c r="E24" i="1"/>
  <c r="D24" i="1"/>
  <c r="C24" i="1"/>
  <c r="B24" i="1"/>
  <c r="O24" i="1" s="1"/>
  <c r="N23" i="1"/>
  <c r="M23" i="1"/>
  <c r="L23" i="1"/>
  <c r="K23" i="1"/>
  <c r="J23" i="1"/>
  <c r="I23" i="1"/>
  <c r="H23" i="1"/>
  <c r="G23" i="1"/>
  <c r="F23" i="1"/>
  <c r="E23" i="1"/>
  <c r="D23" i="1"/>
  <c r="C23" i="1"/>
  <c r="B23" i="1"/>
  <c r="O23" i="1" s="1"/>
  <c r="O22" i="1"/>
  <c r="N22" i="1"/>
  <c r="M22" i="1"/>
  <c r="L22" i="1"/>
  <c r="K22" i="1"/>
  <c r="J22" i="1"/>
  <c r="I22" i="1"/>
  <c r="H22" i="1"/>
  <c r="G22" i="1"/>
  <c r="F22" i="1"/>
  <c r="E22" i="1"/>
  <c r="D22" i="1"/>
  <c r="C22" i="1"/>
  <c r="B22" i="1"/>
  <c r="N21" i="1"/>
  <c r="M21" i="1"/>
  <c r="L21" i="1"/>
  <c r="K21" i="1"/>
  <c r="I21" i="1"/>
  <c r="H21" i="1"/>
  <c r="G21" i="1"/>
  <c r="F21" i="1"/>
  <c r="E21" i="1"/>
  <c r="D21" i="1"/>
  <c r="C21" i="1"/>
  <c r="O21" i="1" s="1"/>
  <c r="O20" i="1"/>
  <c r="B20" i="1"/>
  <c r="N19" i="1"/>
  <c r="M19" i="1"/>
  <c r="L19" i="1"/>
  <c r="K19" i="1"/>
  <c r="K25" i="1" s="1"/>
  <c r="I19" i="1"/>
  <c r="H19" i="1"/>
  <c r="G19" i="1"/>
  <c r="F19" i="1"/>
  <c r="E19" i="1"/>
  <c r="O19" i="1" s="1"/>
  <c r="D19" i="1"/>
  <c r="C19" i="1"/>
  <c r="N18" i="1"/>
  <c r="M18" i="1"/>
  <c r="J18" i="1"/>
  <c r="J25" i="1" s="1"/>
  <c r="I18" i="1"/>
  <c r="I25" i="1" s="1"/>
  <c r="H18" i="1"/>
  <c r="G18" i="1"/>
  <c r="F18" i="1"/>
  <c r="E18" i="1"/>
  <c r="E25" i="1" s="1"/>
  <c r="D18" i="1"/>
  <c r="C18" i="1"/>
  <c r="B18" i="1"/>
  <c r="N17" i="1"/>
  <c r="N25" i="1" s="1"/>
  <c r="M17" i="1"/>
  <c r="M25" i="1" s="1"/>
  <c r="L17" i="1"/>
  <c r="J17" i="1"/>
  <c r="I17" i="1"/>
  <c r="H17" i="1"/>
  <c r="G17" i="1"/>
  <c r="G25" i="1" s="1"/>
  <c r="F17" i="1"/>
  <c r="E17" i="1"/>
  <c r="D17" i="1"/>
  <c r="C17" i="1"/>
  <c r="B17" i="1"/>
  <c r="O17" i="1" s="1"/>
  <c r="O16" i="1"/>
  <c r="M16" i="1"/>
  <c r="L16" i="1"/>
  <c r="L25" i="1" s="1"/>
  <c r="J16" i="1"/>
  <c r="I16" i="1"/>
  <c r="H16" i="1"/>
  <c r="H25" i="1" s="1"/>
  <c r="G16" i="1"/>
  <c r="F16" i="1"/>
  <c r="F25" i="1" s="1"/>
  <c r="E16" i="1"/>
  <c r="D16" i="1"/>
  <c r="D25" i="1" s="1"/>
  <c r="C16" i="1"/>
  <c r="B16" i="1"/>
  <c r="B25" i="1" s="1"/>
  <c r="S15" i="1"/>
  <c r="O15" i="1"/>
  <c r="C14" i="1"/>
  <c r="O14" i="1" s="1"/>
  <c r="O13" i="1"/>
  <c r="A3" i="1"/>
  <c r="A2" i="1"/>
  <c r="A1" i="1"/>
  <c r="S14" i="1" l="1"/>
  <c r="S16" i="1"/>
  <c r="O18" i="1"/>
  <c r="S13" i="1"/>
  <c r="C25" i="1"/>
  <c r="O25" i="1" l="1"/>
  <c r="P18" i="1" s="1"/>
  <c r="P21" i="1" l="1"/>
  <c r="P14" i="1"/>
  <c r="P20" i="1"/>
  <c r="P13" i="1"/>
  <c r="P15" i="1"/>
  <c r="P16" i="1"/>
  <c r="P17" i="1"/>
  <c r="P19" i="1"/>
  <c r="P25" i="1" l="1"/>
</calcChain>
</file>

<file path=xl/sharedStrings.xml><?xml version="1.0" encoding="utf-8"?>
<sst xmlns="http://schemas.openxmlformats.org/spreadsheetml/2006/main" count="8710" uniqueCount="2044">
  <si>
    <t>Work Done</t>
  </si>
  <si>
    <t>1. ET has created the vendor wise and month wise pivot on the final GL dump</t>
  </si>
  <si>
    <t>2. ET has analyzed the nature of expenses</t>
  </si>
  <si>
    <t>3. ET has obtained the audit evidences for the major vendors expenses</t>
  </si>
  <si>
    <t>Vendor Wise Analysis</t>
  </si>
  <si>
    <t>Vendor</t>
  </si>
  <si>
    <t>Adj-26-26</t>
  </si>
  <si>
    <t>Apr-25-26</t>
  </si>
  <si>
    <t>May-25-26</t>
  </si>
  <si>
    <t>Jun-25-26</t>
  </si>
  <si>
    <t>Jul-25-26</t>
  </si>
  <si>
    <t>Aug-25-26</t>
  </si>
  <si>
    <t>Sep-25-26</t>
  </si>
  <si>
    <t>Oct-25-26</t>
  </si>
  <si>
    <t>Nov-25-26</t>
  </si>
  <si>
    <t>Dec-25-26</t>
  </si>
  <si>
    <t>Jan-26-26</t>
  </si>
  <si>
    <t>Feb-26-26</t>
  </si>
  <si>
    <t>Mar-26-26</t>
  </si>
  <si>
    <t>Grand Total</t>
  </si>
  <si>
    <t>% of Expenses</t>
  </si>
  <si>
    <t>Nature of Expense</t>
  </si>
  <si>
    <t>PY 24-25</t>
  </si>
  <si>
    <t>Variance %</t>
  </si>
  <si>
    <t>STT GLOBAL DATA CENTERS INDIA PRIVATE LIMITED A39060</t>
  </si>
  <si>
    <t>Monthly Power Usage Charges for Server Rackspaces</t>
  </si>
  <si>
    <t>&lt;&lt; To be reclassified to suitable head as expenses are related to IT Support/maintenance and not power &amp; fuel &gt;&gt;</t>
  </si>
  <si>
    <t>Amplus Kn Solar Private Limited A37782</t>
  </si>
  <si>
    <t>Solar Power Procurement at JFWTC Campus, Bangalore</t>
  </si>
  <si>
    <t>BESCOM LTD A37440</t>
  </si>
  <si>
    <t>Power Procurement through BESCOM at JFWTC Campus, Bangalore</t>
  </si>
  <si>
    <t>BHARAT PETROLEUM CORPORATION LTD A37794</t>
  </si>
  <si>
    <t>Supply of High Speed Diesel for operating diesel generators at JFWTC Campus, Bangalore</t>
  </si>
  <si>
    <t>*These are purchased once for consumption for future periods</t>
  </si>
  <si>
    <t>INDIAN OIL CORPORATION LIMITED A37375</t>
  </si>
  <si>
    <t>ADDITIONAL CHIEF ELECTRICAL INSPECTOR, BANGALORE NORTH A38280</t>
  </si>
  <si>
    <t>For Periodical inspection fee for electrical installations</t>
  </si>
  <si>
    <t>COOL SPRING BEVERAGES PRIVATE LTD A36207</t>
  </si>
  <si>
    <t>Supply of Cool Spring Pet Jar Cans</t>
  </si>
  <si>
    <t>DEPUTY CHIEF ELECTRICAL INSPECTOR BANGALORE EAST A37421</t>
  </si>
  <si>
    <t>Electricity tax on captive consumption</t>
  </si>
  <si>
    <t>GLOBAL MINERAL INDIA A38252</t>
  </si>
  <si>
    <t xml:space="preserve">Supply of Pet Jar bottles </t>
  </si>
  <si>
    <t>ATLAS COPCO INDIA LTD</t>
  </si>
  <si>
    <t>Rental charges for a Diesel Driven Oil Lubricated Portable Screw type Atlas Copco compressor</t>
  </si>
  <si>
    <t>CHIEF ELECTRICAL INSPECTOR TO GOVERNMENT OF KARNATAKA A37923</t>
  </si>
  <si>
    <t>For DG inspection charges by CEIG</t>
  </si>
  <si>
    <t>SEPADJ P&amp;W HQ Y99000 UNIFY</t>
  </si>
  <si>
    <t>Others</t>
  </si>
  <si>
    <t>Power, Electricity &amp; Fuel Expense GL Dump</t>
  </si>
  <si>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</si>
  <si>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</si>
  <si>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</si>
  <si>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</si>
  <si>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</si>
  <si>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</si>
  <si>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</si>
  <si>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</si>
  <si>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</si>
  <si>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</si>
  <si>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</si>
  <si>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</si>
  <si>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</si>
  <si>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</si>
  <si>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</si>
  <si>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</si>
  <si>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</si>
  <si>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</si>
  <si>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</si>
  <si>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Comments 1</t>
  </si>
  <si>
    <t>ACCOUNT</t>
  </si>
  <si>
    <t>STIR Code</t>
  </si>
  <si>
    <t>STIR Desc</t>
  </si>
  <si>
    <t>STIR Code New</t>
  </si>
  <si>
    <t>STIR Desc New</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</si>
  <si>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</si>
  <si>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</si>
  <si>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</si>
  <si>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</si>
  <si>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</si>
  <si>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</si>
  <si>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</si>
  <si>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</si>
  <si>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</si>
  <si>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</si>
  <si>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</si>
  <si>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</si>
  <si>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</si>
  <si>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</si>
  <si>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</si>
  <si>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</si>
  <si>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Vendor name</t>
  </si>
  <si>
    <t>IDE/RPT</t>
  </si>
  <si>
    <t>INV_DESC</t>
  </si>
  <si>
    <t>INV_DIST_DESC</t>
  </si>
  <si>
    <t>PROJECT_NUMBER</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</si>
  <si>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</si>
  <si>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</si>
  <si>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</si>
  <si>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</si>
  <si>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</si>
  <si>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</si>
  <si>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</si>
  <si>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</si>
  <si>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</si>
  <si>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</si>
  <si>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</si>
  <si>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</si>
  <si>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</si>
  <si>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Unique</t>
  </si>
  <si>
    <t>GRC_231795</t>
  </si>
  <si>
    <t>176-202619 SSS A 20984194</t>
  </si>
  <si>
    <t>Invoice Accrual INR</t>
  </si>
  <si>
    <t>SSS</t>
  </si>
  <si>
    <t>Invoice Accrual</t>
  </si>
  <si>
    <t>Project#117689,Task#5509,INV#TX2925004034,Barcode#,Po#100070263,PoLine#1,VendorName-STT GLOBAL DATA CENTERS INDIA PRIVATE LIMITED A39060,Desc-Charges towards HPC Datacenter Annual Rental Charg,PT#1176895509</t>
  </si>
  <si>
    <t>GR16.5210101232.0000.GC7689.000.0000000000.GCN001.GCC100.P.000000000.000000</t>
  </si>
  <si>
    <t>E</t>
  </si>
  <si>
    <t>POSTED</t>
  </si>
  <si>
    <t>INR</t>
  </si>
  <si>
    <t>Non-Contra</t>
  </si>
  <si>
    <t>STIRIN0113000067</t>
  </si>
  <si>
    <t>Legal and professional fees</t>
  </si>
  <si>
    <t>STIRIN0113000081</t>
  </si>
  <si>
    <t>Power, electricity and fuel</t>
  </si>
  <si>
    <t>All Other SGA Costs-IT-Data Processing</t>
  </si>
  <si>
    <t>Default Project Code</t>
  </si>
  <si>
    <t>GCN001</t>
  </si>
  <si>
    <t>Government cost pool unallowed</t>
  </si>
  <si>
    <t>GC7689</t>
  </si>
  <si>
    <t>INDIA IT as a Service</t>
  </si>
  <si>
    <t>GR16</t>
  </si>
  <si>
    <t>I00162_GRCRND_GE India Industrial Pvt Ltd</t>
  </si>
  <si>
    <t>TX2925004034</t>
  </si>
  <si>
    <t>Charges towards HPC Datacenter Annual Rental Charges for 146 DC Rackspace, 5 Wor</t>
  </si>
  <si>
    <t>IT as a service</t>
  </si>
  <si>
    <t>IT-Data Proc Chgs</t>
  </si>
  <si>
    <t>STT GLOBAL DATA CENTERS INDIA PRIVATE LIMITED A39060,Desc-Charges towards HPC Datacenter Annual Rental Charg,PT#1176895509</t>
  </si>
  <si>
    <t>176-202619 SSS A 20984194Project#117689,Task#5509,INV#TX2925004034,Barcode#,Po#100070263,PoLine#1,VendorName-STT GLOBAL DATA CENTERS INDIA PRIVATE LIMITED A39060,Desc-Charges towards HPC Datacenter Annual Rental Charg,PT#117689550911590857.99</t>
  </si>
  <si>
    <t>GRC_185</t>
  </si>
  <si>
    <t>AUTOMATED AP Payables A 1785183 19195971</t>
  </si>
  <si>
    <t>13-MAY-2025 Purchase Invoices INR</t>
  </si>
  <si>
    <t>Payables</t>
  </si>
  <si>
    <t>Purchase Invoices</t>
  </si>
  <si>
    <t>Inv Num - BS716292500030 , Supplier Name - AMPLUS KN SOLAR PRIVATE LIMITED A37782 , PO Num - 100065551 , Inv Dist Desc - Open PO for Solar Power Procurement for the period March 2025 to Feb 2026 at JFWTC Campus, Bangalore. Billing to be don</t>
  </si>
  <si>
    <t>GR16.5210101581.0000.GC7399.000.0000000000.GCN207.GCC100.P.000000000.000000</t>
  </si>
  <si>
    <t xml:space="preserve">Non-Contra </t>
  </si>
  <si>
    <t>All Other SGA Costs-Utilities-Electric</t>
  </si>
  <si>
    <t>GCN207</t>
  </si>
  <si>
    <t>Power Charges</t>
  </si>
  <si>
    <t>GC7399</t>
  </si>
  <si>
    <t>INDIA - FACILITIES</t>
  </si>
  <si>
    <t>BS716292500030</t>
  </si>
  <si>
    <t>GEIIPL-ITCOCR182963</t>
  </si>
  <si>
    <t>AMPLUS KN SOLAR PRIVATE LIMITED A37782</t>
  </si>
  <si>
    <t>70435387 Purchase Invoices INR;AMPLUS KN SOLAR PRIVATE LIMITED A37782;101;BS716292500030</t>
  </si>
  <si>
    <t>Open PO for Solar Power Procurement for the period March 2025 to Feb 2026 at JFWTC Campus, Bangalore. Billing to be done at actuals. [Tarriff Details INR 5.39/kwh].</t>
  </si>
  <si>
    <t>Facilities Base Costs</t>
  </si>
  <si>
    <t>Power Cost</t>
  </si>
  <si>
    <t>AUTOMATED AP Payables A 1785183 19195971Inv Num - BS716292500030 , Supplier Name - AMPLUS KN SOLAR PRIVATE LIMITED A37782 , PO Num - 100065551 , Inv Dist Desc - Open PO for Solar Power Procurement for the period March 2025 to Feb 2026 at JFWTC Campus, Bangalore. Billing to be don11183040</t>
  </si>
  <si>
    <t>GRC_178</t>
  </si>
  <si>
    <t>AUTOMATED AP Payables A 1829440 20862724</t>
  </si>
  <si>
    <t>02-FEB-2026 Purchase Invoices INR</t>
  </si>
  <si>
    <t>Inv Num - TX2925002844 , Supplier Name - STT GLOBAL DATA CENTERS INDIA PRIVATE LIMITED A39060 , PO Num - , Inv Dist Desc - Charges towards HPC Datacenter Annual Rental Charges for 146 DC Rackspace, 5 Workspaces and a Storage Area from 1-Jan</t>
  </si>
  <si>
    <t>TX2925002844</t>
  </si>
  <si>
    <t>GEIIPL-ITCOCR192679</t>
  </si>
  <si>
    <t>71912376 Purchase Invoices INR;STT GLOBAL DATA CENTERS INDIA PRIVATE LIMITED A39060;102;TX2925002844</t>
  </si>
  <si>
    <t>Charges towards HPC Datacenter Annual Rental Charges for 146 DC Rackspace, 5 Workspaces and a Storage Area from 1-January-2026 to 25-December-2026, Details as per annexure and payment done at actuals.</t>
  </si>
  <si>
    <t>AUTOMATED AP Payables A 1829440 20862724Inv Num - TX2925002844 , Supplier Name - STT GLOBAL DATA CENTERS INDIA PRIVATE LIMITED A39060 , PO Num - , Inv Dist Desc - Charges towards HPC Datacenter Annual Rental Charges for 146 DC Rackspace, 5 Workspaces and a Storage Area from 1-Jan11501733.64</t>
  </si>
  <si>
    <t>GRC_182</t>
  </si>
  <si>
    <t>Reverses GR16_0325_HS11_AR_Future Period Lease Invoices_Mar21-APR-25 04:47:15 - 18883942</t>
  </si>
  <si>
    <t>Reverses GR16_0325_HS11_AR_Future Period Lease Invoices_Mar-25 All Books INR Us 1305396</t>
  </si>
  <si>
    <t>Spreadsheet</t>
  </si>
  <si>
    <t>All Books</t>
  </si>
  <si>
    <t>Inv Num - TX2924003963 , Supplier Name - STT GLOBAL DATA CENTERS INDIA PRIVATE LIMITED A39060 , PO Num - 100064933 , Inv Dist Desc - Charges towards BEC HPC Datacenter Annual Rental Charges for 146 DC Rackspace, 5 Workspaces and a Storage A</t>
  </si>
  <si>
    <t>TX2924003963</t>
  </si>
  <si>
    <t>TX2924003963 , Supplier Name - STT GLOBAL DATA CENTERS INDIA PRIVATE LIMITED A39060 , PO Num - 100064933 , Inv Dist Desc - Charges towards BEC HPC Datacenter Annual Rental Charges for 146 DC Rackspace, 5 Workspaces and a Storage A</t>
  </si>
  <si>
    <t>Reverses GR16_0325_HS11_AR_Future Period Lease Invoices_Mar21-APR-25 04:47:15 - 18883942Inv Num - TX2924003963 , Supplier Name - STT GLOBAL DATA CENTERS INDIA PRIVATE LIMITED A39060 , PO Num - 100064933 , Inv Dist Desc - Charges towards BEC HPC Datacenter Annual Rental Charges for 146 DC Rackspace, 5 Workspaces and a Storage A11253696.6</t>
  </si>
  <si>
    <t>GRC_183</t>
  </si>
  <si>
    <t>Payables A 1794156 19575937</t>
  </si>
  <si>
    <t>24-JUN-2025 Purchase Invoices INR</t>
  </si>
  <si>
    <t>Inv Num - TX2925000495 , Supplier Name - STT GLOBAL DATA CENTERS INDIA PRIVATE LIMITED A39060 , PO Num - 100064933 , Inv Dist Desc - Charges towards BEC HPC Datacenter Annual Rental Charges for 146 DC Rackspace, 5 Workspaces and a Storage A</t>
  </si>
  <si>
    <t>TX2925000495</t>
  </si>
  <si>
    <t>GEIIPL-ITCOCR184344</t>
  </si>
  <si>
    <t>70672325 Purchase Invoices INR;STT GLOBAL DATA CENTERS INDIA PRIVATE LIMITED A39060;102;TX2925000495</t>
  </si>
  <si>
    <t>Charges towards BEC HPC Datacenter Annual Rental Charges for 146 DC Rackspace, 5 Workspaces and a Storage Area from January to December 2025, Details as per annexure and payment done at actuals.</t>
  </si>
  <si>
    <t>Payables A 1794156 19575937Inv Num - TX2925000495 , Supplier Name - STT GLOBAL DATA CENTERS INDIA PRIVATE LIMITED A39060 , PO Num - 100064933 , Inv Dist Desc - Charges towards BEC HPC Datacenter Annual Rental Charges for 146 DC Rackspace, 5 Workspaces and a Storage A11253696.6</t>
  </si>
  <si>
    <t>GRC_231800</t>
  </si>
  <si>
    <t>GR16_0326_HS02_SR_ Open PO Accruals_Aviation &amp; Infra_Mar-26 Spreadsheet A 1838555 21016518</t>
  </si>
  <si>
    <t>GR16_0326_HS02_SR_ Open PO Accruals_Aviation &amp; Infra_Mar-26 STAT INR User 1</t>
  </si>
  <si>
    <t>STAT</t>
  </si>
  <si>
    <t>Open PO for Solar Power Procurement for the period March 2025 to Feb 2026 at JFWTC Campus Bangalore. Billing to be done at actuals. [Tarriff Details INR 5.39/kwh].</t>
  </si>
  <si>
    <t>GR16.5210101581.0000.GC7399.000.0000000000.GCN001.GCC100.P.000000000.000000</t>
  </si>
  <si>
    <t>GR16_0326_HS02_SR_ Open PO Accruals_Aviation &amp; Infra_Mar-26 Spreadsheet A 1838555 21016518Open PO for Solar Power Procurement for the period March 2025 to Feb 2026 at JFWTC Campus Bangalore. Billing to be done at actuals. [Tarriff Details INR 5.39/kwh].10175000</t>
  </si>
  <si>
    <t>GRC_205</t>
  </si>
  <si>
    <t>AUTOMATED AP Payables A 1790127 19393951</t>
  </si>
  <si>
    <t>02-JUN-2025 Purchase Invoices INR</t>
  </si>
  <si>
    <t>Inv Num - BS716292500065 , Supplier Name - AMPLUS KN SOLAR PRIVATE LIMITED A37782 , PO Num - , Inv Dist Desc - Open PO for Solar Power Procurement for the period March 2025 to Feb 2026 at JFWTC Campus, Bangalore. Billing to be done at actua</t>
  </si>
  <si>
    <t>BS716292500065</t>
  </si>
  <si>
    <t>GEIIPL-ITCOCR183439</t>
  </si>
  <si>
    <t>70554480 Purchase Invoices INR;AMPLUS KN SOLAR PRIVATE LIMITED A37782;101;BS716292500065</t>
  </si>
  <si>
    <t>AUTOMATED AP Payables A 1790127 19393951Inv Num - BS716292500065 , Supplier Name - AMPLUS KN SOLAR PRIVATE LIMITED A37782 , PO Num - , Inv Dist Desc - Open PO for Solar Power Procurement for the period March 2025 to Feb 2026 at JFWTC Campus, Bangalore. Billing to be done at actua9971500</t>
  </si>
  <si>
    <t>GRC_212</t>
  </si>
  <si>
    <t>AUTOMATED AP Payables A 1831304 20874924</t>
  </si>
  <si>
    <t>13-FEB-2026 Purchase Invoices INR</t>
  </si>
  <si>
    <t>Inv Num - BS716292500355 , Supplier Name - AMPLUS KN SOLAR PRIVATE LIMITED A37782 , PO Num - 100065551 , Inv Dist Desc - Open PO for Solar Power Procurement for the period March 2025 to Feb 2026 at JFWTC Campus, Bangalore. Billing to be don</t>
  </si>
  <si>
    <t>BS716292500355</t>
  </si>
  <si>
    <t>GEIIPL-ITCOCR193168</t>
  </si>
  <si>
    <t>71974392 Purchase Invoices INR;AMPLUS KN SOLAR PRIVATE LIMITED A37782;101;BS716292500355</t>
  </si>
  <si>
    <t>AUTOMATED AP Payables A 1831304 20874924Inv Num - BS716292500355 , Supplier Name - AMPLUS KN SOLAR PRIVATE LIMITED A37782 , PO Num - 100065551 , Inv Dist Desc - Open PO for Solar Power Procurement for the period March 2025 to Feb 2026 at JFWTC Campus, Bangalore. Billing to be don9755900</t>
  </si>
  <si>
    <t>GRC_231804</t>
  </si>
  <si>
    <t>AUTOMATED AP Payables A 1835349 20933725</t>
  </si>
  <si>
    <t>11-MAR-2026 Purchase Invoices INR</t>
  </si>
  <si>
    <t>Inv Num - BS716I1442500394 , Supplier Name - AMPLUS KN SOLAR PRIVATE LIMITED A37782 , PO Num - 100065551 , Inv Dist Desc - Open PO for Solar Power Procurement for the period March 2025 to Feb 2026 at JFWTC Campus, Bangalore. Billing to be d</t>
  </si>
  <si>
    <t>BS716I1442500394</t>
  </si>
  <si>
    <t>GEIIPL-ITCM194001</t>
  </si>
  <si>
    <t>72124763 Purchase Invoices INR;AMPLUS KN SOLAR PRIVATE LIMITED A37782;101;BS716I1442500394</t>
  </si>
  <si>
    <t>AUTOMATED AP Payables A 1835349 20933725Inv Num - BS716I1442500394 , Supplier Name - AMPLUS KN SOLAR PRIVATE LIMITED A37782 , PO Num - 100065551 , Inv Dist Desc - Open PO for Solar Power Procurement for the period March 2025 to Feb 2026 at JFWTC Campus, Bangalore. Billing to be d9540300</t>
  </si>
  <si>
    <t>GRC_215</t>
  </si>
  <si>
    <t>AUTOMATED AP Payables A 1791167 19490768</t>
  </si>
  <si>
    <t>16-JUN-2025 Purchase Invoices INR</t>
  </si>
  <si>
    <t>Inv Num - BS716292500081 , Supplier Name - AMPLUS KN SOLAR PRIVATE LIMITED A37782 , PO Num - 100065551 , Inv Dist Desc - Open PO for Solar Power Procurement for the period March 2025 to Feb 2026 at JFWTC Campus, Bangalore. Billing to be don</t>
  </si>
  <si>
    <t>BS716292500081</t>
  </si>
  <si>
    <t>GEIIPL-ITCOCR183897</t>
  </si>
  <si>
    <t>70627439 Purchase Invoices INR;AMPLUS KN SOLAR PRIVATE LIMITED A37782;101;BS716292500081</t>
  </si>
  <si>
    <t>AUTOMATED AP Payables A 1791167 19490768Inv Num - BS716292500081 , Supplier Name - AMPLUS KN SOLAR PRIVATE LIMITED A37782 , PO Num - 100065551 , Inv Dist Desc - Open PO for Solar Power Procurement for the period March 2025 to Feb 2026 at JFWTC Campus, Bangalore. Billing to be don9432500</t>
  </si>
  <si>
    <t>GRC_220</t>
  </si>
  <si>
    <t>AUTOMATED AP Payables A 1797173 19738257</t>
  </si>
  <si>
    <t>10-JUL-2025 Purchase Invoices INR</t>
  </si>
  <si>
    <t>Inv Num - BS716292500108 , Supplier Name - AMPLUS KN SOLAR PRIVATE LIMITED A37782 , PO Num - , Inv Dist Desc - Open PO for Solar Power Procurement for the period March 2025 to Feb 2026 at JFWTC Campus, Bangalore. Billing to be done at actua</t>
  </si>
  <si>
    <t>BS716292500108</t>
  </si>
  <si>
    <t>GEIIPL-ITCOCR184854</t>
  </si>
  <si>
    <t>70789112 Purchase Invoices INR;AMPLUS KN SOLAR PRIVATE LIMITED A37782;101;BS716292500108</t>
  </si>
  <si>
    <t>AUTOMATED AP Payables A 1797173 19738257Inv Num - BS716292500108 , Supplier Name - AMPLUS KN SOLAR PRIVATE LIMITED A37782 , PO Num - , Inv Dist Desc - Open PO for Solar Power Procurement for the period March 2025 to Feb 2026 at JFWTC Campus, Bangalore. Billing to be done at actua9163000</t>
  </si>
  <si>
    <t>GRC_221</t>
  </si>
  <si>
    <t>AUTOMATED AP Payables A 1801336 20059199</t>
  </si>
  <si>
    <t>14-AUG-2025 Purchase Invoices INR</t>
  </si>
  <si>
    <t>Inv Num - BS716292500155 , Supplier Name - AMPLUS KN SOLAR PRIVATE LIMITED A37782 , PO Num - 100065551 , Inv Dist Desc - Open PO for Solar Power Procurement for the period March 2025 to Feb 2026 at JFWTC Campus, Bangalore. Billing to be don</t>
  </si>
  <si>
    <t>BS716292500155</t>
  </si>
  <si>
    <t>GEIIPL-ITCOCR186214</t>
  </si>
  <si>
    <t>70993851 Purchase Invoices INR;AMPLUS KN SOLAR PRIVATE LIMITED A37782;101;BS716292500155</t>
  </si>
  <si>
    <t>AUTOMATED AP Payables A 1801336 20059199Inv Num - BS716292500155 , Supplier Name - AMPLUS KN SOLAR PRIVATE LIMITED A37782 , PO Num - 100065551 , Inv Dist Desc - Open PO for Solar Power Procurement for the period March 2025 to Feb 2026 at JFWTC Campus, Bangalore. Billing to be don9163000</t>
  </si>
  <si>
    <t>GRC_222</t>
  </si>
  <si>
    <t>AUTOMATED AP Payables A 1805352 20209312</t>
  </si>
  <si>
    <t>16-SEP-2025 Purchase Invoices INR</t>
  </si>
  <si>
    <t>Inv Num - BS716292500177 , Supplier Name - AMPLUS KN SOLAR PRIVATE LIMITED A37782 , PO Num - 100065551 , Inv Dist Desc - Open PO for Solar Power Procurement for the period March 2025 to Feb 2026 at JFWTC Campus, Bangalore. Billing to be don</t>
  </si>
  <si>
    <t>BS716292500177</t>
  </si>
  <si>
    <t>GEIIPL-ITCOCR187238</t>
  </si>
  <si>
    <t>71164098 Purchase Invoices INR;AMPLUS KN SOLAR PRIVATE LIMITED A37782;101;BS716292500177</t>
  </si>
  <si>
    <t>AUTOMATED AP Payables A 1805352 20209312Inv Num - BS716292500177 , Supplier Name - AMPLUS KN SOLAR PRIVATE LIMITED A37782 , PO Num - 100065551 , Inv Dist Desc - Open PO for Solar Power Procurement for the period March 2025 to Feb 2026 at JFWTC Campus, Bangalore. Billing to be don9163000</t>
  </si>
  <si>
    <t>GRC_223</t>
  </si>
  <si>
    <t>AUTOMATED AP Payables A 1812268 20271286</t>
  </si>
  <si>
    <t>13-OCT-2025 Purchase Invoices INR</t>
  </si>
  <si>
    <t>Inv Num - BS716292500215 , Supplier Name - AMPLUS KN SOLAR PRIVATE LIMITED A37782 , PO Num - 100065551 , Inv Dist Desc - Open PO for Solar Power Procurement for the period March 2025 to Feb 2026 at JFWTC Campus, Bangalore. Billing to be don</t>
  </si>
  <si>
    <t>BS716292500215</t>
  </si>
  <si>
    <t>GEIIPL-ITCOCR188235</t>
  </si>
  <si>
    <t>71324213 Purchase Invoices INR;AMPLUS KN SOLAR PRIVATE LIMITED A37782;101;BS716292500215</t>
  </si>
  <si>
    <t>AUTOMATED AP Payables A 1812268 20271286Inv Num - BS716292500215 , Supplier Name - AMPLUS KN SOLAR PRIVATE LIMITED A37782 , PO Num - 100065551 , Inv Dist Desc - Open PO for Solar Power Procurement for the period March 2025 to Feb 2026 at JFWTC Campus, Bangalore. Billing to be don9163000</t>
  </si>
  <si>
    <t>GRC_224</t>
  </si>
  <si>
    <t>AUTOMATED AP Payables A 1821244 20435924</t>
  </si>
  <si>
    <t>04-DEC-2025 Purchase Invoices INR</t>
  </si>
  <si>
    <t>Inv Num - BS716292500255 , Supplier Name - AMPLUS KN SOLAR PRIVATE LIMITED A37782 , PO Num - 100065551 , Inv Dist Desc - Open PO for Solar Power Procurement for the period March 2025 to Feb 2026 at JFWTC Campus, Bangalore. Billing to be don</t>
  </si>
  <si>
    <t>BS716292500255</t>
  </si>
  <si>
    <t>GEIIPL-ITCOCR190139</t>
  </si>
  <si>
    <t>71607153 Purchase Invoices INR;AMPLUS KN SOLAR PRIVATE LIMITED A37782;101;BS716292500255</t>
  </si>
  <si>
    <t>AUTOMATED AP Payables A 1821244 20435924Inv Num - BS716292500255 , Supplier Name - AMPLUS KN SOLAR PRIVATE LIMITED A37782 , PO Num - 100065551 , Inv Dist Desc - Open PO for Solar Power Procurement for the period March 2025 to Feb 2026 at JFWTC Campus, Bangalore. Billing to be don9163000</t>
  </si>
  <si>
    <t>GRC_225</t>
  </si>
  <si>
    <t>AUTOMATED AP Payables A 1823282 20459734</t>
  </si>
  <si>
    <t>18-DEC-2025 Purchase Invoices INR</t>
  </si>
  <si>
    <t>Inv Num - BS716292500283 , Supplier Name - AMPLUS KN SOLAR PRIVATE LIMITED A37782 , PO Num - 100065551 , Inv Dist Desc - Open PO for Solar Power Procurement for the period March 2025 to Feb 2026 at JFWTC Campus, Bangalore. Billing to be don</t>
  </si>
  <si>
    <t>BS716292500283</t>
  </si>
  <si>
    <t>GEIIPL-ITCOCR191009</t>
  </si>
  <si>
    <t>71681022 Purchase Invoices INR;AMPLUS KN SOLAR PRIVATE LIMITED A37782;101;BS716292500283</t>
  </si>
  <si>
    <t>AUTOMATED AP Payables A 1823282 20459734Inv Num - BS716292500283 , Supplier Name - AMPLUS KN SOLAR PRIVATE LIMITED A37782 , PO Num - 100065551 , Inv Dist Desc - Open PO for Solar Power Procurement for the period March 2025 to Feb 2026 at JFWTC Campus, Bangalore. Billing to be don9163000</t>
  </si>
  <si>
    <t>GRC_184</t>
  </si>
  <si>
    <t>AUTOMATED AP Payables A 1813313 20293827</t>
  </si>
  <si>
    <t>22-OCT-2025 Purchase Invoices INR</t>
  </si>
  <si>
    <t>Inv Num - TX2925001805 , Supplier Name - STT GLOBAL DATA CENTERS INDIA PRIVATE LIMITED A39060 , PO Num - 100064933 , Inv Dist Desc - Charges towards BEC HPC Datacenter Annual Rental Charges for 146 DC Rackspace, 5 Workspaces and a Storage A</t>
  </si>
  <si>
    <t>TX2925001805</t>
  </si>
  <si>
    <t>GEIIPL-ITCOCR188569</t>
  </si>
  <si>
    <t>71370771 Purchase Invoices INR;STT GLOBAL DATA CENTERS INDIA PRIVATE LIMITED A39060;102;TX2925001805</t>
  </si>
  <si>
    <t>AUTOMATED AP Payables A 1813313 20293827Inv Num - TX2925001805 , Supplier Name - STT GLOBAL DATA CENTERS INDIA PRIVATE LIMITED A39060 , PO Num - 100064933 , Inv Dist Desc - Charges towards BEC HPC Datacenter Annual Rental Charges for 146 DC Rackspace, 5 Workspaces and a Storage A11218727.06</t>
  </si>
  <si>
    <t>GRC_543</t>
  </si>
  <si>
    <t>AUTOMATED AP Payables A 1807157 20161102</t>
  </si>
  <si>
    <t>08-SEP-2025 Purchase Invoices INR</t>
  </si>
  <si>
    <t>Inv Num - TX2925001514 , Supplier Name - STT GLOBAL DATA CENTERS INDIA PRIVATE LIMITED A39060 , PO Num - 100065125 , Inv Dist Desc - Charges towards BEC HPC Datacenter Power Charges for DC Racks from January to December 2025 and payment don</t>
  </si>
  <si>
    <t>TX2925001514</t>
  </si>
  <si>
    <t>GEIIPL-ITCOCR186990</t>
  </si>
  <si>
    <t>71117541 Purchase Invoices INR;STT GLOBAL DATA CENTERS INDIA PRIVATE LIMITED A39060;102;TX2925001514</t>
  </si>
  <si>
    <t>Charges towards BEC HPC Datacenter Power Charges for DC Racks from January to December 2025 and payment done at actuals.</t>
  </si>
  <si>
    <t>AUTOMATED AP Payables A 1807157 20161102Inv Num - TX2925001514 , Supplier Name - STT GLOBAL DATA CENTERS INDIA PRIVATE LIMITED A39060 , PO Num - 100065125 , Inv Dist Desc - Charges towards BEC HPC Datacenter Power Charges for DC Racks from January to December 2025 and payment don4579183.11</t>
  </si>
  <si>
    <t>GRC_231811</t>
  </si>
  <si>
    <t>AUTOMATED AP Payables A 1835365 20939811</t>
  </si>
  <si>
    <t>12-MAR-2026 Purchase Invoices INR</t>
  </si>
  <si>
    <t>Inv Num - 325803980260 , Supplier Name - BESCOM LTD A37440 , PO Num - 100070242 , Inv Dist Desc - Open PO for Power Procurement through BESCOM for the year 2026 at JFWTC Campus, Bangalore. Billing to be done at actuals.</t>
  </si>
  <si>
    <t>GEIIPL-ITCPO194128</t>
  </si>
  <si>
    <t>72133052 Purchase Invoices INR;BESCOM LTD A37440;101;325803980260</t>
  </si>
  <si>
    <t>Open PO for Power Procurement through BESCOM for the year 2026 at JFWTC Campus, Bangalore. Billing to be done at actuals.</t>
  </si>
  <si>
    <t>AUTOMATED AP Payables A 1835365 20939811Inv Num - 325803980260 , Supplier Name - BESCOM LTD A37440 , PO Num - 100070242 , Inv Dist Desc - Open PO for Power Procurement through BESCOM for the year 2026 at JFWTC Campus, Bangalore. Billing to be done at actuals.8223622</t>
  </si>
  <si>
    <t>GRC_226</t>
  </si>
  <si>
    <t>AUTOMATED AP Payables A 1828258 20644363</t>
  </si>
  <si>
    <t>13-JAN-2026 Purchase Invoices INR</t>
  </si>
  <si>
    <t>Inv Num - BS716292500318 , Supplier Name - AMPLUS KN SOLAR PRIVATE LIMITED A37782 , PO Num - 100065551 , Inv Dist Desc - Open PO for Solar Power Procurement for the period March 2025 to Feb 2026 at JFWTC Campus, Bangalore. Billing to be don</t>
  </si>
  <si>
    <t>BS716292500318</t>
  </si>
  <si>
    <t>GEIIPL-ITCOCR192181</t>
  </si>
  <si>
    <t>71810271 Purchase Invoices INR;AMPLUS KN SOLAR PRIVATE LIMITED A37782;101;BS716292500318</t>
  </si>
  <si>
    <t>AUTOMATED AP Payables A 1828258 20644363Inv Num - BS716292500318 , Supplier Name - AMPLUS KN SOLAR PRIVATE LIMITED A37782 , PO Num - 100065551 , Inv Dist Desc - Open PO for Solar Power Procurement for the period March 2025 to Feb 2026 at JFWTC Campus, Bangalore. Billing to be don9163000</t>
  </si>
  <si>
    <t>GRC_398</t>
  </si>
  <si>
    <t>AUTOMATED AP Payables A 1803224 20093372</t>
  </si>
  <si>
    <t>18-AUG-2025 Purchase Invoices INR</t>
  </si>
  <si>
    <t>Inv Num - 325666881333 , Supplier Name - BESCOM LTD A37440 , PO Num - 100064557 , Inv Dist Desc - Open PO for Power Procurement through BESCOM for the year 2025 at JFWTC Campus, Bangalore. Billing to be done at actuals.</t>
  </si>
  <si>
    <t>GEIIPL-ITCPO186264</t>
  </si>
  <si>
    <t>71002438 Purchase Invoices INR;BESCOM LTD A37440;101;325666881333</t>
  </si>
  <si>
    <t>Open PO for Power Procurement through BESCOM for the year 2025 at JFWTC Campus, Bangalore. Billing to be done at actuals.</t>
  </si>
  <si>
    <t>AUTOMATED AP Payables A 1803224 20093372Inv Num - 325666881333 , Supplier Name - BESCOM LTD A37440 , PO Num - 100064557 , Inv Dist Desc - Open PO for Power Procurement through BESCOM for the year 2025 at JFWTC Campus, Bangalore. Billing to be done at actuals.6045509</t>
  </si>
  <si>
    <t>GRC_400</t>
  </si>
  <si>
    <t>AUTOMATED AP Payables A 1817293 20362856</t>
  </si>
  <si>
    <t>17-NOV-2025 Purchase Invoices INR</t>
  </si>
  <si>
    <t>Inv Num - 325082540769 , Supplier Name - BESCOM LTD A37440 , PO Num - 100064557 , Inv Dist Desc - Open PO for Power Procurement through BESCOM for the year 2025 at JFWTC Campus, Bangalore. Billing to be done at actuals.</t>
  </si>
  <si>
    <t>GEIIPL-ITCPO189209</t>
  </si>
  <si>
    <t>71505067 Purchase Invoices INR;BESCOM LTD A37440;101;325082540769</t>
  </si>
  <si>
    <t>AUTOMATED AP Payables A 1817293 20362856Inv Num - 325082540769 , Supplier Name - BESCOM LTD A37440 , PO Num - 100064557 , Inv Dist Desc - Open PO for Power Procurement through BESCOM for the year 2025 at JFWTC Campus, Bangalore. Billing to be done at actuals.6026507</t>
  </si>
  <si>
    <t>GRC_411</t>
  </si>
  <si>
    <t>Inv Num - 325342294482 , Supplier Name - BESCOM LTD A37440 , PO Num - 100064557 , Inv Dist Desc - Open PO for Power Procurement through BESCOM for the year 2025 at JFWTC Campus, Bangalore. Billing to be done at actuals.</t>
  </si>
  <si>
    <t>GEIIPL-ITCPO183898</t>
  </si>
  <si>
    <t>70627466 Purchase Invoices INR;BESCOM LTD A37440;101;325342294482</t>
  </si>
  <si>
    <t>AUTOMATED AP Payables A 1791167 19490768Inv Num - 325342294482 , Supplier Name - BESCOM LTD A37440 , PO Num - 100064557 , Inv Dist Desc - Open PO for Power Procurement through BESCOM for the year 2025 at JFWTC Campus, Bangalore. Billing to be done at actuals.5972550</t>
  </si>
  <si>
    <t>GRC_420</t>
  </si>
  <si>
    <t>AUTOMATED AP Payables A 1805336 20193318</t>
  </si>
  <si>
    <t>15-SEP-2025 Purchase Invoices INR</t>
  </si>
  <si>
    <t>Inv Num - 325065318607 , Supplier Name - BESCOM LTD A37440 , PO Num - 100064557 , Inv Dist Desc - Open PO for Power Procurement through BESCOM for the year 2025 at JFWTC Campus, Bangalore. Billing to be done at actuals.</t>
  </si>
  <si>
    <t>GEIIPL-ITCPO187185</t>
  </si>
  <si>
    <t>71156516 Purchase Invoices INR;BESCOM LTD A37440;101;325065318607</t>
  </si>
  <si>
    <t>AUTOMATED AP Payables A 1805336 20193318Inv Num - 325065318607 , Supplier Name - BESCOM LTD A37440 , PO Num - 100064557 , Inv Dist Desc - Open PO for Power Procurement through BESCOM for the year 2025 at JFWTC Campus, Bangalore. Billing to be done at actuals.5920562</t>
  </si>
  <si>
    <t>GRC_422</t>
  </si>
  <si>
    <t>Inv Num - 325078282399 , Supplier Name - BESCOM LTD A37440 , PO Num - 100064557 , Inv Dist Desc - Open PO for Power Procurement through BESCOM for the year 2025 at JFWTC Campus, Bangalore. Billing to be done at actuals.</t>
  </si>
  <si>
    <t>GEIIPL-ITCPO188234</t>
  </si>
  <si>
    <t>71324230 Purchase Invoices INR;BESCOM LTD A37440;101;325078282399</t>
  </si>
  <si>
    <t>AUTOMATED AP Payables A 1812268 20271286Inv Num - 325078282399 , Supplier Name - BESCOM LTD A37440 , PO Num - 100064557 , Inv Dist Desc - Open PO for Power Procurement through BESCOM for the year 2025 at JFWTC Campus, Bangalore. Billing to be done at actuals.5894668</t>
  </si>
  <si>
    <t>GRC_423</t>
  </si>
  <si>
    <t>Inv Num - 325019647765 , Supplier Name - BESCOM LTD A37440 , PO Num - , Inv Dist Desc - Open PO for Power Procurement through BESCOM for the year 2025 at JFWTC Campus, Bangalore. Billing to be done at actuals.</t>
  </si>
  <si>
    <t>GEIIPL-ITCPO184877</t>
  </si>
  <si>
    <t>70789139 Purchase Invoices INR;BESCOM LTD A37440;101;325019647765</t>
  </si>
  <si>
    <t>AUTOMATED AP Payables A 1797173 19738257Inv Num - 325019647765 , Supplier Name - BESCOM LTD A37440 , PO Num - , Inv Dist Desc - Open PO for Power Procurement through BESCOM for the year 2025 at JFWTC Campus, Bangalore. Billing to be done at actuals.5892630</t>
  </si>
  <si>
    <t>GRC_471</t>
  </si>
  <si>
    <t>AUTOMATED AP Payables A 1822263 20447067</t>
  </si>
  <si>
    <t>12-DEC-2025 Purchase Invoices INR</t>
  </si>
  <si>
    <t>Inv Num - 325633731673 , Supplier Name - BESCOM LTD A37440 , PO Num - 100064557 , Inv Dist Desc - Open PO for Power Procurement through BESCOM for the year 2025 at JFWTC Campus, Bangalore. Billing to be done at actuals.</t>
  </si>
  <si>
    <t>GEIIPL-ITCPO190667</t>
  </si>
  <si>
    <t>71649325 Purchase Invoices INR;BESCOM LTD A37440;101;325633731673</t>
  </si>
  <si>
    <t>AUTOMATED AP Payables A 1822263 20447067Inv Num - 325633731673 , Supplier Name - BESCOM LTD A37440 , PO Num - 100064557 , Inv Dist Desc - Open PO for Power Procurement through BESCOM for the year 2025 at JFWTC Campus, Bangalore. Billing to be done at actuals.5273478</t>
  </si>
  <si>
    <t>GRC_496</t>
  </si>
  <si>
    <t>AUTOMATED AP Payables A 1774438 18801751</t>
  </si>
  <si>
    <t>11-APR-2025 Purchase Invoices INR</t>
  </si>
  <si>
    <t>Inv Num - 325784885607 , Supplier Name - BESCOM LTD A37440 , PO Num - 100064557 , Inv Dist Desc - Open PO for Power Procurement through BESCOM for the year 2025 at JFWTC Campus, Bangalore. Billing to be done at actuals.</t>
  </si>
  <si>
    <t>GEIIPL-ITCPO181945</t>
  </si>
  <si>
    <t>70249322 Purchase Invoices INR;BESCOM LTD A37440;101;325784885607</t>
  </si>
  <si>
    <t>AUTOMATED AP Payables A 1774438 18801751Inv Num - 325784885607 , Supplier Name - BESCOM LTD A37440 , PO Num - 100064557 , Inv Dist Desc - Open PO for Power Procurement through BESCOM for the year 2025 at JFWTC Campus, Bangalore. Billing to be done at actuals.5036542</t>
  </si>
  <si>
    <t>GRC_498</t>
  </si>
  <si>
    <t>AUTOMATED AP Payables A 1827266 20553078</t>
  </si>
  <si>
    <t>12-JAN-2026 Purchase Invoices INR</t>
  </si>
  <si>
    <t>Inv Num - 325405312875 , Supplier Name - BESCOM LTD A37440 , PO Num - 100064557 , Inv Dist Desc - Amendment: Open PO for Power Procurement through BESCOM for the year 2025 at JFWTC Campus, Bangalore. Billing to be done at actuals.</t>
  </si>
  <si>
    <t>GEIIPL-ITCPO192180</t>
  </si>
  <si>
    <t>71803163 Purchase Invoices INR;BESCOM LTD A37440;101;325405312875</t>
  </si>
  <si>
    <t>Amendment: Open PO for Power Procurement through BESCOM for the year 2025 at JFWTC Campus, Bangalore. Billing to be done at actuals.</t>
  </si>
  <si>
    <t>AUTOMATED AP Payables A 1827266 20553078Inv Num - 325405312875 , Supplier Name - BESCOM LTD A37440 , PO Num - 100064557 , Inv Dist Desc - Amendment: Open PO for Power Procurement through BESCOM for the year 2025 at JFWTC Campus, Bangalore. Billing to be done at actuals.5023530</t>
  </si>
  <si>
    <t>GRC_551</t>
  </si>
  <si>
    <t>AUTOMATED AP Payables A 1812275 20273863</t>
  </si>
  <si>
    <t>14-OCT-2025 Purchase Invoices INR</t>
  </si>
  <si>
    <t>Inv Num - TX2925002150 , Supplier Name - STT GLOBAL DATA CENTERS INDIA PRIVATE LIMITED A39060 , PO Num - 100065125 , Inv Dist Desc - Charges towards BEC HPC Datacenter Power Charges for DC Racks from January to December 2025 and payment don</t>
  </si>
  <si>
    <t>TX2925002150</t>
  </si>
  <si>
    <t>GEIIPL-ITCOCR188329</t>
  </si>
  <si>
    <t>71331039 Purchase Invoices INR;STT GLOBAL DATA CENTERS INDIA PRIVATE LIMITED A39060;102;TX2925002150</t>
  </si>
  <si>
    <t>AUTOMATED AP Payables A 1812275 20273863Inv Num - TX2925002150 , Supplier Name - STT GLOBAL DATA CENTERS INDIA PRIVATE LIMITED A39060 , PO Num - 100065125 , Inv Dist Desc - Charges towards BEC HPC Datacenter Power Charges for DC Racks from January to December 2025 and payment don4524644.93</t>
  </si>
  <si>
    <t>GRC_561</t>
  </si>
  <si>
    <t>AUTOMATED AP Payables A 1797159 19712151</t>
  </si>
  <si>
    <t>08-JUL-2025 Purchase Invoices INR</t>
  </si>
  <si>
    <t>Inv Num - TX2925000965 , Supplier Name - STT GLOBAL DATA CENTERS INDIA PRIVATE LIMITED A39060 , PO Num - 100065125 , Inv Dist Desc - Charges towards BEC HPC Datacenter Power Charges for DC Racks from January to December 2025 and payment don</t>
  </si>
  <si>
    <t>TX2925000965</t>
  </si>
  <si>
    <t>GEIIPL-ITCOCR184765</t>
  </si>
  <si>
    <t>70773974 Purchase Invoices INR;STT GLOBAL DATA CENTERS INDIA PRIVATE LIMITED A39060;102;TX2925000965</t>
  </si>
  <si>
    <t>AUTOMATED AP Payables A 1797159 19712151Inv Num - TX2925000965 , Supplier Name - STT GLOBAL DATA CENTERS INDIA PRIVATE LIMITED A39060 , PO Num - 100065125 , Inv Dist Desc - Charges towards BEC HPC Datacenter Power Charges for DC Racks from January to December 2025 and payment don4437424.32</t>
  </si>
  <si>
    <t>GRC_568</t>
  </si>
  <si>
    <t>AUTOMATED AP Payables A 1831343 20885344</t>
  </si>
  <si>
    <t>17-FEB-2026 Purchase Invoices INR</t>
  </si>
  <si>
    <t>Inv Num - TX2925003448 , Supplier Name - STT GLOBAL DATA CENTERS INDIA PRIVATE LIMITED A39060 , PO Num - 100065125 , Inv Dist Desc - Charges towards BEC HPC Datacenter Power Charges for DC Racks from January to December 2025 and payment don</t>
  </si>
  <si>
    <t>TX2925003448</t>
  </si>
  <si>
    <t>GEIIPL-ITCM193269</t>
  </si>
  <si>
    <t>71992476 Purchase Invoices INR;STT GLOBAL DATA CENTERS INDIA PRIVATE LIMITED A39060;102;TX2925003448</t>
  </si>
  <si>
    <t>AUTOMATED AP Payables A 1831343 20885344Inv Num - TX2925003448 , Supplier Name - STT GLOBAL DATA CENTERS INDIA PRIVATE LIMITED A39060 , PO Num - 100065125 , Inv Dist Desc - Charges towards BEC HPC Datacenter Power Charges for DC Racks from January to December 2025 and payment don4373577.21</t>
  </si>
  <si>
    <t>GRC_580</t>
  </si>
  <si>
    <t>Payables A 1819239 20392599</t>
  </si>
  <si>
    <t>21-NOV-2025 Purchase Invoices INR</t>
  </si>
  <si>
    <t>Inv Num - TX2925002400 , Supplier Name - STT GLOBAL DATA CENTERS INDIA PRIVATE LIMITED A39060 , PO Num - 100065125 , Inv Dist Desc - Charges towards BEC HPC Datacenter Power Charges for DC Racks from January to December 2025 and payment don</t>
  </si>
  <si>
    <t>TX2925002400</t>
  </si>
  <si>
    <t>GEIIPL-ITCM189503</t>
  </si>
  <si>
    <t>71532266 Purchase Invoices INR;STT GLOBAL DATA CENTERS INDIA PRIVATE LIMITED A39060;102;TX2925002400</t>
  </si>
  <si>
    <t>Payables A 1819239 20392599Inv Num - TX2925002400 , Supplier Name - STT GLOBAL DATA CENTERS INDIA PRIVATE LIMITED A39060 , PO Num - 100065125 , Inv Dist Desc - Charges towards BEC HPC Datacenter Power Charges for DC Racks from January to December 2025 and payment don4324440.96</t>
  </si>
  <si>
    <t>GRC_589</t>
  </si>
  <si>
    <t>19-AUG-2025 Purchase Invoices INR</t>
  </si>
  <si>
    <t>Inv Num - TX2925001208 , Supplier Name - STT GLOBAL DATA CENTERS INDIA PRIVATE LIMITED A39060 , PO Num - 100065125 , Inv Dist Desc - Charges towards BEC HPC Datacenter Power Charges for DC Racks from January to December 2025 and payment don</t>
  </si>
  <si>
    <t>TX2925001208</t>
  </si>
  <si>
    <t>GEIIPL-ITCOCR186365</t>
  </si>
  <si>
    <t>71011550 Purchase Invoices INR;STT GLOBAL DATA CENTERS INDIA PRIVATE LIMITED A39060;102;TX2925001208</t>
  </si>
  <si>
    <t>AUTOMATED AP Payables A 1803224 20093372Inv Num - TX2925001208 , Supplier Name - STT GLOBAL DATA CENTERS INDIA PRIVATE LIMITED A39060 , PO Num - 100065125 , Inv Dist Desc - Charges towards BEC HPC Datacenter Power Charges for DC Racks from January to December 2025 and payment don4270584.96</t>
  </si>
  <si>
    <t>GRC_590</t>
  </si>
  <si>
    <t>AUTOMATED AP Payables A 1796277 19699712</t>
  </si>
  <si>
    <t>02-JUL-2025 Purchase Invoices INR</t>
  </si>
  <si>
    <t>Inv Num - TX2925000385 , Supplier Name - STT GLOBAL DATA CENTERS INDIA PRIVATE LIMITED A39060 , PO Num - 100065125 , Inv Dist Desc - Charges towards BEC HPC Datacenter Power Charges for DC Racks from January to December 2025 and payment don</t>
  </si>
  <si>
    <t>TX2925000385</t>
  </si>
  <si>
    <t>GEIIPL-ITCOCR184551</t>
  </si>
  <si>
    <t>70745976 Purchase Invoices INR;STT GLOBAL DATA CENTERS INDIA PRIVATE LIMITED A39060;102;TX2925000385</t>
  </si>
  <si>
    <t>AUTOMATED AP Payables A 1796277 19699712Inv Num - TX2925000385 , Supplier Name - STT GLOBAL DATA CENTERS INDIA PRIVATE LIMITED A39060 , PO Num - 100065125 , Inv Dist Desc - Charges towards BEC HPC Datacenter Power Charges for DC Racks from January to December 2025 and payment don4265101.44</t>
  </si>
  <si>
    <t>GRC_596</t>
  </si>
  <si>
    <t>15-DEC-2025 Purchase Invoices INR</t>
  </si>
  <si>
    <t>Inv Num - TX2925002579 , Supplier Name - STT GLOBAL DATA CENTERS INDIA PRIVATE LIMITED A39060 , PO Num - 100065125 , Inv Dist Desc - Charges towards BEC HPC Datacenter Power Charges for DC Racks from January to December 2025 and payment don</t>
  </si>
  <si>
    <t>TX2925002579</t>
  </si>
  <si>
    <t>GEIIPL-ITCM190838</t>
  </si>
  <si>
    <t>71655677 Purchase Invoices INR;STT GLOBAL DATA CENTERS INDIA PRIVATE LIMITED A39060;102;TX2925002579</t>
  </si>
  <si>
    <t>AUTOMATED AP Payables A 1823282 20459734Inv Num - TX2925002579 , Supplier Name - STT GLOBAL DATA CENTERS INDIA PRIVATE LIMITED A39060 , PO Num - 100065125 , Inv Dist Desc - Charges towards BEC HPC Datacenter Power Charges for DC Racks from January to December 2025 and payment don4233133.82</t>
  </si>
  <si>
    <t>GRC_601</t>
  </si>
  <si>
    <t>AUTOMATED AP Payables A 1826387 20665953</t>
  </si>
  <si>
    <t>19-JAN-2026 Purchase Invoices INR</t>
  </si>
  <si>
    <t>Inv Num - TX2925003226 , Supplier Name - STT GLOBAL DATA CENTERS INDIA PRIVATE LIMITED A39060 , PO Num - 100065125 , Inv Dist Desc - Charges towards BEC HPC Datacenter Power Charges for DC Racks from January to December 2025 and payment don</t>
  </si>
  <si>
    <t>TX2925003226</t>
  </si>
  <si>
    <t>GEIIPL-ITCM192343</t>
  </si>
  <si>
    <t>71834871 Purchase Invoices INR;STT GLOBAL DATA CENTERS INDIA PRIVATE LIMITED A39060;102;TX2925003226</t>
  </si>
  <si>
    <t>AUTOMATED AP Payables A 1826387 20665953Inv Num - TX2925003226 , Supplier Name - STT GLOBAL DATA CENTERS INDIA PRIVATE LIMITED A39060 , PO Num - 100065125 , Inv Dist Desc - Charges towards BEC HPC Datacenter Power Charges for DC Racks from January to December 2025 and payment don4223975.04</t>
  </si>
  <si>
    <t>GRC_231877</t>
  </si>
  <si>
    <t>AUTOMATED AP Payables A 1835330 20923236</t>
  </si>
  <si>
    <t>03-MAR-2026 Purchase Invoices INR</t>
  </si>
  <si>
    <t>Inv Num - TX2925003652 , Supplier Name - STT GLOBAL DATA CENTERS INDIA PRIVATE LIMITED A39060 , PO Num - 100070209 , Inv Dist Desc - Charges towards HPC Datacenter Power Charges for DC Racks from January 2026 to December 2026 and payment do</t>
  </si>
  <si>
    <t>TX2925003652</t>
  </si>
  <si>
    <t>GEIIPL-ITCOCR193808</t>
  </si>
  <si>
    <t>72084367 Purchase Invoices INR;STT GLOBAL DATA CENTERS INDIA PRIVATE LIMITED A39060;102;TX2925003652</t>
  </si>
  <si>
    <t>Charges towards HPC Datacenter Power Charges for DC Racks from January 2026 to December 2026 and payment done at actuals.</t>
  </si>
  <si>
    <t>AUTOMATED AP Payables A 1835330 20923236Inv Num - TX2925003652 , Supplier Name - STT GLOBAL DATA CENTERS INDIA PRIVATE LIMITED A39060 , PO Num - 100070209 , Inv Dist Desc - Charges towards HPC Datacenter Power Charges for DC Racks from January 2026 to December 2026 and payment do4200856.13</t>
  </si>
  <si>
    <t>GRC_231856</t>
  </si>
  <si>
    <t>Open PO for Power Procurement through BESCOM for the year 2026 at JFWTC Campus Bangalore. Billing to be done at actuals.</t>
  </si>
  <si>
    <t>Bescom Ltd A37440</t>
  </si>
  <si>
    <t>GR16_0326_HS02_SR_ Open PO Accruals_Aviation &amp; Infra_Mar-26 Spreadsheet A 1838555 21016518Open PO for Power Procurement through BESCOM for the year 2026 at JFWTC Campus Bangalore. Billing to be done at actuals.5000000</t>
  </si>
  <si>
    <t>GRC_231878</t>
  </si>
  <si>
    <t>STT Global Data Centers India Private Limited A39060</t>
  </si>
  <si>
    <t>GR16_0326_HS02_SR_ Open PO Accruals_Aviation &amp; Infra_Mar-26 Spreadsheet A 1838555 21016518Charges towards HPC Datacenter Power Charges for DC Racks from January 2026 to December 2026 and payment done at actuals.4200856</t>
  </si>
  <si>
    <t>GRC_231884</t>
  </si>
  <si>
    <t>GR16_0326_HS05_AP_Prepaid Amort Exp_Mar-26 Spreadsheet A 1836413 20989447</t>
  </si>
  <si>
    <t>GR16_0326_HS05_AP_Prepaid Amort Exp_Mar-26 All Books INR User 1</t>
  </si>
  <si>
    <t>Project#117689,Task#5509,INV#TX2925002844,Barcode#,Po#100070263,PoLine#1,VendorName-STT GLOBAL DATA CENTERS INDIA PRIVATE LIMITED A39060,Desc-Charges towards HPC Datacenter Annual Rental Charg,PT#1176895509</t>
  </si>
  <si>
    <t>GR16_0326_HS05_AP_Prepaid Amort Exp_Mar-26 Spreadsheet A 1836413 20989447Project#117689,Task#5509,INV#TX2925002844,Barcode#,Po#100070263,PoLine#1,VendorName-STT GLOBAL DATA CENTERS INDIA PRIVATE LIMITED A39060,Desc-Charges towards HPC Datacenter Annual Rental Charg,PT#11768955093961708</t>
  </si>
  <si>
    <t>GRC_660</t>
  </si>
  <si>
    <t>Inv Num - 325348896385 , Supplier Name - BESCOM LTD A37440 , PO Num - 100064557 , Inv Dist Desc - Open PO for Power Procurement through BESCOM for the year 2025 at JFWTC Campus, Bangalore. Billing to be done at actuals.</t>
  </si>
  <si>
    <t>GEIIPL-ITCPO182950</t>
  </si>
  <si>
    <t>70435413 Purchase Invoices INR;BESCOM LTD A37440;101;325348896385</t>
  </si>
  <si>
    <t>AUTOMATED AP Payables A 1785183 19195971Inv Num - 325348896385 , Supplier Name - BESCOM LTD A37440 , PO Num - 100064557 , Inv Dist Desc - Open PO for Power Procurement through BESCOM for the year 2025 at JFWTC Campus, Bangalore. Billing to be done at actuals.3796796</t>
  </si>
  <si>
    <t>GRC_231888</t>
  </si>
  <si>
    <t>GR16_0326_HS03_SR_BOH Accruals_Mar-26 Spreadsheet A 1838556 21016523</t>
  </si>
  <si>
    <t>GR16_0326_HS03_SR_BOH Accruals_Mar-26 STAT INR User 1</t>
  </si>
  <si>
    <t>Charges towards HPC Datacenter Power Charges for DC Racks from 1-January- 2026 to 25-December-2026 and payment done at actuals.</t>
  </si>
  <si>
    <t>TX2925004382</t>
  </si>
  <si>
    <t>January- 2026 to 25-December-2026 and payment done at actuals.</t>
  </si>
  <si>
    <t>GR16_0326_HS03_SR_BOH Accruals_Mar-26 Spreadsheet A 1838556 21016523Charges towards HPC Datacenter Power Charges for DC Racks from 1-January- 2026 to 25-December-2026 and payment done at actuals.3708870</t>
  </si>
  <si>
    <t>GRC_700</t>
  </si>
  <si>
    <t>GR16_0226_HS03_AP_Prepaid Amort Exp_Feb-26 Spreadsheet A 1834346 20896585</t>
  </si>
  <si>
    <t>GR16_0226_HS03_AP_Prepaid Amort Exp_Feb-26 All Books INR User 1</t>
  </si>
  <si>
    <t>GR16_0226_HS03_AP_Prepaid Amort Exp_Feb-26 Spreadsheet A 1834346 20896585Project#117689,Task#5509,INV#TX2925002844,Barcode#,Po#100070263,PoLine#1,VendorName-STT GLOBAL DATA CENTERS INDIA PRIVATE LIMITED A39060,Desc-Charges towards HPC Datacenter Annual Rental Charg,PT#11768955093578317</t>
  </si>
  <si>
    <t>GRC_714</t>
  </si>
  <si>
    <t>12-MAY-2025 Purchase Invoices INR</t>
  </si>
  <si>
    <t>Inv Num - TX2925000159 , Supplier Name - STT GLOBAL DATA CENTERS INDIA PRIVATE LIMITED A39060 , PO Num - 100065125 , Inv Dist Desc - Charges towards BEC HPC Datacenter Power Charges for DC Racks from January to December 2025 and payment don</t>
  </si>
  <si>
    <t>TX2925000159</t>
  </si>
  <si>
    <t>GEIIPL-ITCOCR182946</t>
  </si>
  <si>
    <t>70428546 Purchase Invoices INR;STT GLOBAL DATA CENTERS INDIA PRIVATE LIMITED A39060;102;TX2925000159</t>
  </si>
  <si>
    <t>AUTOMATED AP Payables A 1785183 19195971Inv Num - TX2925000159 , Supplier Name - STT GLOBAL DATA CENTERS INDIA PRIVATE LIMITED A39060 , PO Num - 100065125 , Inv Dist Desc - Charges towards BEC HPC Datacenter Power Charges for DC Racks from January to December 2025 and payment don3540630.52</t>
  </si>
  <si>
    <t>GRC_1021</t>
  </si>
  <si>
    <t>Inv Num - TX2925000744 , Supplier Name - STT GLOBAL DATA CENTERS INDIA PRIVATE LIMITED A39060 , PO Num - 100064933 , Inv Dist Desc - Charges towards BEC HPC Datacenter Annual Rental Charges for 146 DC Rackspace, 5 Workspaces and a Storage A</t>
  </si>
  <si>
    <t>TX2925000744</t>
  </si>
  <si>
    <t>GEIIPL-ITCOCR184764</t>
  </si>
  <si>
    <t>70773941 Purchase Invoices INR;STT GLOBAL DATA CENTERS INDIA PRIVATE LIMITED A39060;102;TX2925000744</t>
  </si>
  <si>
    <t>AUTOMATED AP Payables A 1797159 19712151Inv Num - TX2925000744 , Supplier Name - STT GLOBAL DATA CENTERS INDIA PRIVATE LIMITED A39060 , PO Num - 100064933 , Inv Dist Desc - Charges towards BEC HPC Datacenter Annual Rental Charges for 146 DC Rackspace, 5 Workspaces and a Storage A2254942.8</t>
  </si>
  <si>
    <t>GRC_772</t>
  </si>
  <si>
    <t>AUTOMATED AP Payables A 1829458 20867738</t>
  </si>
  <si>
    <t>11-FEB-2026 Purchase Invoices INR</t>
  </si>
  <si>
    <t>Inv Num - 325926902801 , Supplier Name - BESCOM LTD A37440 , PO Num - 100070242 , Inv Dist Desc - Open PO for Power Procurement through BESCOM for the year 2026 at JFWTC Campus, Bangalore. Billing to be done at actuals.</t>
  </si>
  <si>
    <t>GEIIPL-ITCPO193003</t>
  </si>
  <si>
    <t>71962089 Purchase Invoices INR;BESCOM LTD A37440;101;325926902801</t>
  </si>
  <si>
    <t>AUTOMATED AP Payables A 1829458 20867738Inv Num - 325926902801 , Supplier Name - BESCOM LTD A37440 , PO Num - 100070242 , Inv Dist Desc - Open PO for Power Procurement through BESCOM for the year 2026 at JFWTC Campus, Bangalore. Billing to be done at actuals.3280409</t>
  </si>
  <si>
    <t>GRC_1136</t>
  </si>
  <si>
    <t>AUTOMATED AP Payables A 1791144 19476477</t>
  </si>
  <si>
    <t>13-JUN-2025 Purchase Invoices INR</t>
  </si>
  <si>
    <t>Inv Num - 325348896385INTEREST , Supplier Name - BESCOM LTD A37440 , PO Num - , Inv Dist Desc - Interest on ISD/ASD (IOD) &amp; nterest on MSD (IOD)</t>
  </si>
  <si>
    <t>325348896385INTEREST</t>
  </si>
  <si>
    <t>GEIIPL-ITCD183804</t>
  </si>
  <si>
    <t>70619888 Purchase Invoices INR;Bescom Ltd A37440;101;325348896385INTEREST</t>
  </si>
  <si>
    <t>Interest on ISD/ASD (IOD) &amp; nterest on MSD (IOD)</t>
  </si>
  <si>
    <t>AUTOMATED AP Payables A 1791144 19476477Inv Num - 325348896385INTEREST , Supplier Name - BESCOM LTD A37440 , PO Num - , Inv Dist Desc - Interest on ISD/ASD (IOD) &amp; nterest on MSD (IOD)1943712</t>
  </si>
  <si>
    <t>GRC_1022</t>
  </si>
  <si>
    <t>AUTOMATED AP Payables A 1811340 20262054</t>
  </si>
  <si>
    <t>07-OCT-2025 Purchase Invoices INR</t>
  </si>
  <si>
    <t>Inv Num - TX2925001807 , Supplier Name - STT GLOBAL DATA CENTERS INDIA PRIVATE LIMITED A39060 , PO Num - 100064933 , Inv Dist Desc - Charges towards BEC HPC Datacenter Annual Rental Charges for 146 DC Rackspace, 5 Workspaces and a Storage A</t>
  </si>
  <si>
    <t>TX2925001807</t>
  </si>
  <si>
    <t>GEIIPL-ITCOCR188046</t>
  </si>
  <si>
    <t>71297652 Purchase Invoices INR;STT GLOBAL DATA CENTERS INDIA PRIVATE LIMITED A39060;102;TX2925001807</t>
  </si>
  <si>
    <t>AUTOMATED AP Payables A 1811340 20262054Inv Num - TX2925001807 , Supplier Name - STT GLOBAL DATA CENTERS INDIA PRIVATE LIMITED A39060 , PO Num - 100064933 , Inv Dist Desc - Charges towards BEC HPC Datacenter Annual Rental Charges for 146 DC Rackspace, 5 Workspaces and a Storage A2254942.8</t>
  </si>
  <si>
    <t>GRC_1571</t>
  </si>
  <si>
    <t>Payables A 1822337 20475226</t>
  </si>
  <si>
    <t>23-DEC-2025 Purchase Invoices INR</t>
  </si>
  <si>
    <t>Inv Num - 7000494201 , Supplier Name - INDIAN OIL CORPORATION LIMITED A37375 , PO Num - 100064587 , Inv Dist Desc - Open PO towards Supply of HSD from Jan 2025 to Dec 2025 for JFWTC campus, Bangalore. Billing to be done on actual Supplied Q</t>
  </si>
  <si>
    <t>GR16.5210101581.0000.GC7399.000.0000000000.GCN208.GCC100.P.000000000.000000</t>
  </si>
  <si>
    <t>GCN208</t>
  </si>
  <si>
    <t>DG Fuel Expenses</t>
  </si>
  <si>
    <t>GEIIPL-ITCM191453</t>
  </si>
  <si>
    <t>71703740 Purchase Invoices INR;INDIAN OIL CORPORATION LIMITED A37375;101;7000494201</t>
  </si>
  <si>
    <t>Open PO towards Supply of HSD from Jan 2025 to Dec 2025 for JFWTC campus, Bangalore. Billing to be done on actual Supplied Quantity.</t>
  </si>
  <si>
    <t>HSD Costs</t>
  </si>
  <si>
    <t>Payables A 1822337 20475226Inv Num - 7000494201 , Supplier Name - INDIAN OIL CORPORATION LIMITED A37375 , PO Num - 100064587 , Inv Dist Desc - Open PO towards Supply of HSD from Jan 2025 to Dec 2025 for JFWTC campus, Bangalore. Billing to be done on actual Supplied Q1274111</t>
  </si>
  <si>
    <t>GRC_1857</t>
  </si>
  <si>
    <t>Inv Num - 7000440232 , Supplier Name - INDIAN OIL CORPORATION LIMITED A37375 , PO Num - 100064587 , Inv Dist Desc - Open PO towards Supply of HSD from Jan 2025 to Dec 2025 for JFWTC campus, Bangalore. Billing to be done on actual Supplied Q</t>
  </si>
  <si>
    <t>GEIIPL-ITCOCR191452</t>
  </si>
  <si>
    <t>71703739 Purchase Invoices INR;INDIAN OIL CORPORATION LIMITED A37375;101;7000440232</t>
  </si>
  <si>
    <t>Payables A 1822337 20475226Inv Num - 7000440232 , Supplier Name - INDIAN OIL CORPORATION LIMITED A37375 , PO Num - 100064587 , Inv Dist Desc - Open PO towards Supply of HSD from Jan 2025 to Dec 2025 for JFWTC campus, Bangalore. Billing to be done on actual Supplied Q1051507.24</t>
  </si>
  <si>
    <t>GRC_1858</t>
  </si>
  <si>
    <t>Inv Num - 1021806001 , Supplier Name - BHARAT PETROLEUM CORPORATION LTD A37794 , PO Num - 100064582 , Inv Dist Desc - Open PO towards Supply of HSD from Jan 2025 to Dec 2025 for JFWTC campus, Bangalore. Billing to be done on actual Supplied</t>
  </si>
  <si>
    <t>GEIIPL-ITCM190848</t>
  </si>
  <si>
    <t>71655648 Purchase Invoices INR;BHARAT PETROLEUM CORPORATION LTD A37794;101;1021806001</t>
  </si>
  <si>
    <t>AUTOMATED AP Payables A 1823282 20459734Inv Num - 1021806001 , Supplier Name - BHARAT PETROLEUM CORPORATION LTD A37794 , PO Num - 100064582 , Inv Dist Desc - Open PO towards Supply of HSD from Jan 2025 to Dec 2025 for JFWTC campus, Bangalore. Billing to be done on actual Supplied1051506</t>
  </si>
  <si>
    <t>GRC_1859</t>
  </si>
  <si>
    <t>Inv Num - 1021803865 , Supplier Name - BHARAT PETROLEUM CORPORATION LTD A37794 , PO Num - 100064582 , Inv Dist Desc - Open PO towards Supply of HSD from Jan 2025 to Dec 2025 for JFWTC campus, Bangalore. Billing to be done on actual Supplied</t>
  </si>
  <si>
    <t>GEIIPL-ITCM190847</t>
  </si>
  <si>
    <t>71655649 Purchase Invoices INR;BHARAT PETROLEUM CORPORATION LTD A37794;101;1021803865</t>
  </si>
  <si>
    <t>AUTOMATED AP Payables A 1823282 20459734Inv Num - 1021803865 , Supplier Name - BHARAT PETROLEUM CORPORATION LTD A37794 , PO Num - 100064582 , Inv Dist Desc - Open PO towards Supply of HSD from Jan 2025 to Dec 2025 for JFWTC campus, Bangalore. Billing to be done on actual Supplied1051506</t>
  </si>
  <si>
    <t>GRC_1023</t>
  </si>
  <si>
    <t>Inv Num - TX2925002846 , Supplier Name - STT GLOBAL DATA CENTERS INDIA PRIVATE LIMITED A39060 , PO Num - , Inv Dist Desc - Charges towards HPC Datacenter Annual Rental Charges for 146 DC Rackspace, 5 Workspaces and a Storage Area from 1-Jan</t>
  </si>
  <si>
    <t>TX2925002846</t>
  </si>
  <si>
    <t>GEIIPL-ITCOCR192678</t>
  </si>
  <si>
    <t>71912378 Purchase Invoices INR;STT GLOBAL DATA CENTERS INDIA PRIVATE LIMITED A39060;102;TX2925002846</t>
  </si>
  <si>
    <t>AUTOMATED AP Payables A 1829440 20862724Inv Num - TX2925002846 , Supplier Name - STT GLOBAL DATA CENTERS INDIA PRIVATE LIMITED A39060 , PO Num - , Inv Dist Desc - Charges towards HPC Datacenter Annual Rental Charges for 146 DC Rackspace, 5 Workspaces and a Storage Area from 1-Jan2254942.8</t>
  </si>
  <si>
    <t>GRC_1048</t>
  </si>
  <si>
    <t>Inv Num - TX2924003965 , Supplier Name - STT GLOBAL DATA CENTERS INDIA PRIVATE LIMITED A39060 , PO Num - 100064933 , Inv Dist Desc - Charges towards BEC HPC Datacenter Annual Rental Charges for 146 DC Rackspace, 5 Workspaces and a Storage A</t>
  </si>
  <si>
    <t>TX2924003965</t>
  </si>
  <si>
    <t>TX2924003965 , Supplier Name - STT GLOBAL DATA CENTERS INDIA PRIVATE LIMITED A39060 , PO Num - 100064933 , Inv Dist Desc - Charges towards BEC HPC Datacenter Annual Rental Charges for 146 DC Rackspace, 5 Workspaces and a Storage A</t>
  </si>
  <si>
    <t>Reverses GR16_0325_HS11_AR_Future Period Lease Invoices_Mar21-APR-25 04:47:15 - 18883942Inv Num - TX2924003965 , Supplier Name - STT GLOBAL DATA CENTERS INDIA PRIVATE LIMITED A39060 , PO Num - 100064933 , Inv Dist Desc - Charges towards BEC HPC Datacenter Annual Rental Charges for 146 DC Rackspace, 5 Workspaces and a Storage A2193643.41</t>
  </si>
  <si>
    <t>GRC_2087</t>
  </si>
  <si>
    <t>Inv Num - TX2925002845 , Supplier Name - STT GLOBAL DATA CENTERS INDIA PRIVATE LIMITED A39060 , PO Num - 100070210 , Inv Dist Desc - Charges towards Aerospace (BEC) VDI Rack space Rental at STT, Duration from 1-Jan 26 to 25-Dec-26.</t>
  </si>
  <si>
    <t>GR16.5210101320.0000.GC9404.000.0000000000.GCN213.GCB100.P.000000000.000000</t>
  </si>
  <si>
    <t>STIRIN0113000069</t>
  </si>
  <si>
    <t>Miscellaneous expenses</t>
  </si>
  <si>
    <t>All Other SGA Costs-Misc Services-Other</t>
  </si>
  <si>
    <t>GCN213</t>
  </si>
  <si>
    <t>Other Contracting services</t>
  </si>
  <si>
    <t>GC9404</t>
  </si>
  <si>
    <t>PPS Aviation</t>
  </si>
  <si>
    <t>TX2925002845</t>
  </si>
  <si>
    <t>GEIIPL-ITCOCR192329</t>
  </si>
  <si>
    <t>71834869 Purchase Invoices INR;STT GLOBAL DATA CENTERS INDIA PRIVATE LIMITED A39060;102;TX2925002845</t>
  </si>
  <si>
    <t>Charges towards Aerospace (BEC) VDI Rack space Rental at STT, Duration from 1-Jan 26 to 25-Dec-26.</t>
  </si>
  <si>
    <t>DES Aviation Base Costs</t>
  </si>
  <si>
    <t>Services Other</t>
  </si>
  <si>
    <t>AUTOMATED AP Payables A 1826387 20665953Inv Num - TX2925002845 , Supplier Name - STT GLOBAL DATA CENTERS INDIA PRIVATE LIMITED A39060 , PO Num - 100070210 , Inv Dist Desc - Charges towards Aerospace (BEC) VDI Rack space Rental at STT, Duration from 1-Jan 26 to 25-Dec-26.915492.7</t>
  </si>
  <si>
    <t>GRC_2118</t>
  </si>
  <si>
    <t>AUTOMATED AP Payables A 1793140 19543782</t>
  </si>
  <si>
    <t>19-JUN-2025 Purchase Invoices INR</t>
  </si>
  <si>
    <t>Inv Num - TX2925000496 , Supplier Name - STT GLOBAL DATA CENTERS INDIA PRIVATE LIMITED A39060 , PO Num - 100064822 , Inv Dist Desc - Charges towards Aerospace (BEC) VDI Rack space Rental at STT, duration from Jan 25 to Dec 25.</t>
  </si>
  <si>
    <t>GR16.5210101238.0000.GC9404.000.0000000000.GCN001.GCB100.P.000000000.000000</t>
  </si>
  <si>
    <t>All Other SGA Costs-IT-Systems Support</t>
  </si>
  <si>
    <t>TX2925000496</t>
  </si>
  <si>
    <t>GEIIPL-ITCOCR184153</t>
  </si>
  <si>
    <t>70650926 Purchase Invoices INR;STT GLOBAL DATA CENTERS INDIA PRIVATE LIMITED A39060;102;TX2925000496</t>
  </si>
  <si>
    <t>Charges towards Aerospace (BEC) VDI Rack space Rental at STT, duration from Jan 25 to Dec 25.</t>
  </si>
  <si>
    <t>IT-System Supp Chgs</t>
  </si>
  <si>
    <t>AUTOMATED AP Payables A 1793140 19543782Inv Num - TX2925000496 , Supplier Name - STT GLOBAL DATA CENTERS INDIA PRIVATE LIMITED A39060 , PO Num - 100064822 , Inv Dist Desc - Charges towards Aerospace (BEC) VDI Rack space Rental at STT, duration from Jan 25 to Dec 25.893304.18</t>
  </si>
  <si>
    <t>GRC_2119</t>
  </si>
  <si>
    <t>AUTOMATED AP Payables A 1809249 20218678</t>
  </si>
  <si>
    <t>22-SEP-2025 Purchase Invoices INR</t>
  </si>
  <si>
    <t>Inv Num - TX2925001806 , Supplier Name - STT GLOBAL DATA CENTERS INDIA PRIVATE LIMITED A39060 , PO Num - 100064822 , Inv Dist Desc - Charges towards Aerospace (BEC) VDI Rack space Rental at STT, duration from Jan 25 to Dec 25.</t>
  </si>
  <si>
    <t>TX2925001806</t>
  </si>
  <si>
    <t>GEIIPL-ITCOCR187498</t>
  </si>
  <si>
    <t>71197666 Purchase Invoices INR;STT GLOBAL DATA CENTERS INDIA PRIVATE LIMITED A39060;102;TX2925001806</t>
  </si>
  <si>
    <t>AUTOMATED AP Payables A 1809249 20218678Inv Num - TX2925001806 , Supplier Name - STT GLOBAL DATA CENTERS INDIA PRIVATE LIMITED A39060 , PO Num - 100064822 , Inv Dist Desc - Charges towards Aerospace (BEC) VDI Rack space Rental at STT, duration from Jan 25 to Dec 25.893304.18</t>
  </si>
  <si>
    <t>GRC_2195</t>
  </si>
  <si>
    <t>Inv Num - TX2925000161 , Supplier Name - STT GLOBAL DATA CENTERS INDIA PRIVATE LIMITED A39060 , PO Num - 100065125 , Inv Dist Desc - Charges towards BEC HPC Datacenter Power Charges for DC Racks from January to December 2025 and payment don</t>
  </si>
  <si>
    <t>TX2925000161</t>
  </si>
  <si>
    <t>GEIIPL-ITCOCR182945</t>
  </si>
  <si>
    <t>70428544 Purchase Invoices INR;STT GLOBAL DATA CENTERS INDIA PRIVATE LIMITED A39060;102;TX2925000161</t>
  </si>
  <si>
    <t>AUTOMATED AP Payables A 1785183 19195971Inv Num - TX2925000161 , Supplier Name - STT GLOBAL DATA CENTERS INDIA PRIVATE LIMITED A39060 , PO Num - 100065125 , Inv Dist Desc - Charges towards BEC HPC Datacenter Power Charges for DC Racks from January to December 2025 and payment don856724.93</t>
  </si>
  <si>
    <t>GRC_3690</t>
  </si>
  <si>
    <t>Inv Num - PR10007038267772272 , Supplier Name - ADDITIONAL CHIEF ELECTRICAL INSPECTOR, BANGALORE NORTH A38280 , PO Num - 100070382 , Inv Dist Desc - Payment Request : PR: Towards Periodical inspection fee for electrical installations</t>
  </si>
  <si>
    <t>PR10007038267772272</t>
  </si>
  <si>
    <t>GEIIPL-ITCP192168</t>
  </si>
  <si>
    <t>71803170 Purchase Invoices INR;ADDITIONAL CHIEF ELECTRICAL INSPECTOR, BANGALORE NORTH A38280;101;PR10007038267772272</t>
  </si>
  <si>
    <t>Payment Request : PR: Towards Periodical inspection fee for electrical installations</t>
  </si>
  <si>
    <t>AUTOMATED AP Payables A 1827266 20553078Inv Num - PR10007038267772272 , Supplier Name - ADDITIONAL CHIEF ELECTRICAL INSPECTOR, BANGALORE NORTH A38280 , PO Num - 100070382 , Inv Dist Desc - Payment Request : PR: Towards Periodical inspection fee for electrical installations463400</t>
  </si>
  <si>
    <t>GRC_6795</t>
  </si>
  <si>
    <t>Reverses GR16_0325_HS08_SR_PO-BOH-SSS Accruals &amp;TDS on Accr22-SEP-25 06:36:00 - 20214409</t>
  </si>
  <si>
    <t>Reverses GR16_0325_HS08_SR_PO-BOH-SSS Accruals &amp;TDS on Accruals_Mar-25 STAT INR 1308638</t>
  </si>
  <si>
    <t>Reverses GR16_0325_HS08_SR_PO-BOH-SSS Accruals &amp;TDS on Accr22-SEP-25 06:36:00 - 20214409Open PO for Solar Power Procurement for the period March 2025 to Feb 2026 at JFWTC Campus Bangalore. Billing to be done at actuals. [Tarriff Details INR 5.39/kwh].232980</t>
  </si>
  <si>
    <t>GRC_232560</t>
  </si>
  <si>
    <t>Payables A 1836377 20984130</t>
  </si>
  <si>
    <t>26-MAR-2026 Purchase Invoices INR</t>
  </si>
  <si>
    <t>Inv Num - 1022003384 , Supplier Name - BHARAT PETROLEUM CORPORATION LTD A37794 , PO Num - 100070243 , Inv Dist Desc - Open PO towards Supply of HSD from Jan 2026 to Dec 2026 for JFWTC campus, Bangalore. Billing to be done on actual Supplied</t>
  </si>
  <si>
    <t>GEIIPL-ITCM194774</t>
  </si>
  <si>
    <t>72203069 Purchase Invoices INR;BHARAT PETROLEUM CORPORATION LTD A37794;101;1022003384</t>
  </si>
  <si>
    <t>Open PO towards Supply of HSD from Jan 2026 to Dec 2026 for JFWTC campus, Bangalore. Billing to be done on actual Supplied Quantity.</t>
  </si>
  <si>
    <t>Payables A 1836377 20984130Inv Num - 1022003384 , Supplier Name - BHARAT PETROLEUM CORPORATION LTD A37794 , PO Num - 100070243 , Inv Dist Desc - Open PO towards Supply of HSD from Jan 2026 to Dec 2026 for JFWTC campus, Bangalore. Billing to be done on actual Supplied1051500</t>
  </si>
  <si>
    <t>GRC_2295</t>
  </si>
  <si>
    <t>Reverses GR16_0325_HS12_SR_Prepaid Expense acted for FY25-222-SEP-25 06:39:01 - 20214417</t>
  </si>
  <si>
    <t>Reverses GR16_0325_HS12_SR_Prepaid Expense acted for FY25-25_Mar-25 STAT INR Us 1309699</t>
  </si>
  <si>
    <t>Charges towards Aerospace (BEC) VDI Rack space Rental at STT duration from Jan 25 to Dec 25.</t>
  </si>
  <si>
    <t>GR16.5210101291.0000.GC7399.000.0000000000.GCN001.GCC100.P.000000000.000000</t>
  </si>
  <si>
    <t>STIRIN0113000050</t>
  </si>
  <si>
    <t>Repairs-plant and machinery</t>
  </si>
  <si>
    <t>All Other SGA Costs-Maint-Equipment</t>
  </si>
  <si>
    <t>TX2924003964</t>
  </si>
  <si>
    <t>Reverses GR16_0325_HS12_SR_Prepaid Expense acted for FY25-222-SEP-25 06:39:01 - 20214417Charges towards Aerospace (BEC) VDI Rack space Rental at STT duration from Jan 25 to Dec 25.814056</t>
  </si>
  <si>
    <t>GRC_232726</t>
  </si>
  <si>
    <t>Project#117689,Task#5509,INV#TX2925002846,Barcode#,Po#100070263,PoLine#1,VendorName-STT GLOBAL DATA CENTERS INDIA PRIVATE LIMITED A39060,Desc-Charges towards HPC Datacenter Annual Rental Charg,PT#1176895509</t>
  </si>
  <si>
    <t>GR16_0326_HS05_AP_Prepaid Amort Exp_Mar-26 Spreadsheet A 1836413 20989447Project#117689,Task#5509,INV#TX2925002846,Barcode#,Po#100070263,PoLine#1,VendorName-STT GLOBAL DATA CENTERS INDIA PRIVATE LIMITED A39060,Desc-Charges towards HPC Datacenter Annual Rental Charg,PT#1176895509776703</t>
  </si>
  <si>
    <t>GRC_2570</t>
  </si>
  <si>
    <t>GR16_0226_HS03_AP_Prepaid Amort Exp_Feb-26 Spreadsheet A 1834346 20896585Project#117689,Task#5509,INV#TX2925002846,Barcode#,Po#100070263,PoLine#1,VendorName-STT GLOBAL DATA CENTERS INDIA PRIVATE LIMITED A39060,Desc-Charges towards HPC Datacenter Annual Rental Charg,PT#1176895509701537</t>
  </si>
  <si>
    <t>GRC_235750</t>
  </si>
  <si>
    <t>Charges towards Aerospace (BEC) VDI Rack space Rental at STT Duration from 1-Jan 26 to 25-Dec-26.</t>
  </si>
  <si>
    <t>GR16.5210101320.0000.GC9404.000.0000000000.GCN001.GCB100.P.000000000.000000</t>
  </si>
  <si>
    <t>Jan 26 to 25-Dec-26.</t>
  </si>
  <si>
    <t>GR16_0326_HS02_SR_ Open PO Accruals_Aviation &amp; Infra_Mar-26 Spreadsheet A 1838555 21016518Charges towards Aerospace (BEC) VDI Rack space Rental at STT Duration from 1-Jan 26 to 25-Dec-26.151776</t>
  </si>
  <si>
    <t>GRC_238649</t>
  </si>
  <si>
    <t>AUTOMATED AP Payables A 1836259 20918448</t>
  </si>
  <si>
    <t>02-MAR-2026 Purchase Invoices INR</t>
  </si>
  <si>
    <t>Inv Num - TX2925003655 , Supplier Name - STT GLOBAL DATA CENTERS INDIA PRIVATE LIMITED A39060 , PO Num - , Inv Dist Desc - Charges towards Aerospace (BEC) VDI Rack space Rental at STT, Duration from 1-Jan 26 to 25-Dec-26.</t>
  </si>
  <si>
    <t>TX2925003655</t>
  </si>
  <si>
    <t>GEIIPL-ITCM193740</t>
  </si>
  <si>
    <t>72076873 Purchase Invoices INR;STT GLOBAL DATA CENTERS INDIA PRIVATE LIMITED A39060;102;TX2925003655</t>
  </si>
  <si>
    <t>AUTOMATED AP Payables A 1836259 20918448Inv Num - TX2925003655 , Supplier Name - STT GLOBAL DATA CENTERS INDIA PRIVATE LIMITED A39060 , PO Num - , Inv Dist Desc - Charges towards Aerospace (BEC) VDI Rack space Rental at STT, Duration from 1-Jan 26 to 25-Dec-26.75888</t>
  </si>
  <si>
    <t>GRC_24485</t>
  </si>
  <si>
    <t>AUTOMATED AP Payables A 1829452 20865231</t>
  </si>
  <si>
    <t>06-FEB-2026 Purchase Invoices INR</t>
  </si>
  <si>
    <t>Inv Num - TX2925003480 , Supplier Name - STT GLOBAL DATA CENTERS INDIA PRIVATE LIMITED A39060 , PO Num - 100070210 , Inv Dist Desc - Charges towards Aerospace (BEC) VDI Rack space Rental at STT, Duration from 1-Jan 26 to 25-Dec-26.</t>
  </si>
  <si>
    <t>TX2925003480</t>
  </si>
  <si>
    <t>GEIIPL-ITCM192955</t>
  </si>
  <si>
    <t>71941742 Purchase Invoices INR;STT GLOBAL DATA CENTERS INDIA PRIVATE LIMITED A39060;102;TX2925003480</t>
  </si>
  <si>
    <t>AUTOMATED AP Payables A 1829452 20865231Inv Num - TX2925003480 , Supplier Name - STT GLOBAL DATA CENTERS INDIA PRIVATE LIMITED A39060 , PO Num - 100070210 , Inv Dist Desc - Charges towards Aerospace (BEC) VDI Rack space Rental at STT, Duration from 1-Jan 26 to 25-Dec-26.74876.16</t>
  </si>
  <si>
    <t>GRC_24512</t>
  </si>
  <si>
    <t>08-DEC-2025 Purchase Invoices INR</t>
  </si>
  <si>
    <t>Inv Num - TX2925002585 , Supplier Name - STT GLOBAL DATA CENTERS INDIA PRIVATE LIMITED A39060 , PO Num - 100064823 , Inv Dist Desc - Charges towards Power Consumption at STT for Aerospace VDI 6 racks for the period Jan 25 to Dec 25 and paym</t>
  </si>
  <si>
    <t>TX2925002585</t>
  </si>
  <si>
    <t>GEIIPL-ITCM190402</t>
  </si>
  <si>
    <t>71621365 Purchase Invoices INR;STT GLOBAL DATA CENTERS INDIA PRIVATE LIMITED A39060;102;TX2925002585</t>
  </si>
  <si>
    <t>Charges towards Power Consumption at STT for Aerospace VDI 6 racks for the period Jan 25 to Dec 25 and payment done at actuals.</t>
  </si>
  <si>
    <t>AUTOMATED AP Payables A 1821244 20435924Inv Num - TX2925002585 , Supplier Name - STT GLOBAL DATA CENTERS INDIA PRIVATE LIMITED A39060 , PO Num - 100064823 , Inv Dist Desc - Charges towards Power Consumption at STT for Aerospace VDI 6 racks for the period Jan 25 to Dec 25 and paym74774.98</t>
  </si>
  <si>
    <t>GRC_24614</t>
  </si>
  <si>
    <t>Inv Num - TX2925000970 , Supplier Name - STT GLOBAL DATA CENTERS INDIA PRIVATE LIMITED A39060 , PO Num - 100064823 , Inv Dist Desc - Charges towards Power Consumption at STT for Aerospace VDI 6 racks for the period Jan 25 to Dec 25 and paym</t>
  </si>
  <si>
    <t>TX2925000970</t>
  </si>
  <si>
    <t>GEIIPL-ITCOCR184784</t>
  </si>
  <si>
    <t>70773973 Purchase Invoices INR;STT GLOBAL DATA CENTERS INDIA PRIVATE LIMITED A39060;102;TX2925000970</t>
  </si>
  <si>
    <t>AUTOMATED AP Payables A 1797159 19712151Inv Num - TX2925000970 , Supplier Name - STT GLOBAL DATA CENTERS INDIA PRIVATE LIMITED A39060 , PO Num - 100064823 , Inv Dist Desc - Charges towards Power Consumption at STT for Aerospace VDI 6 racks for the period Jan 25 to Dec 25 and paym74471.42</t>
  </si>
  <si>
    <t>GRC_24661</t>
  </si>
  <si>
    <t>Inv Num - TX2925001520 , Supplier Name - STT GLOBAL DATA CENTERS INDIA PRIVATE LIMITED A39060 , PO Num - 100064823 , Inv Dist Desc - Charges towards Power Consumption at STT for Aerospace VDI 6 racks for the period Jan 25 to Dec 25 and paym</t>
  </si>
  <si>
    <t>TX2925001520</t>
  </si>
  <si>
    <t>GEIIPL-ITCOCR186971</t>
  </si>
  <si>
    <t>71117542 Purchase Invoices INR;STT GLOBAL DATA CENTERS INDIA PRIVATE LIMITED A39060;102;TX2925001520</t>
  </si>
  <si>
    <t>AUTOMATED AP Payables A 1807157 20161102Inv Num - TX2925001520 , Supplier Name - STT GLOBAL DATA CENTERS INDIA PRIVATE LIMITED A39060 , PO Num - 100064823 , Inv Dist Desc - Charges towards Power Consumption at STT for Aerospace VDI 6 racks for the period Jan 25 to Dec 25 and paym74269.06</t>
  </si>
  <si>
    <t>GRC_24697</t>
  </si>
  <si>
    <t>AUTOMATED AP Payables A 1814245 20291264</t>
  </si>
  <si>
    <t>21-OCT-2025 Purchase Invoices INR</t>
  </si>
  <si>
    <t>Inv Num - TX2925002151 , Supplier Name - STT GLOBAL DATA CENTERS INDIA PRIVATE LIMITED A39060 , PO Num - 100064823 , Inv Dist Desc - Charges towards Power Consumption at STT for Aerospace VDI 6 racks for the period Jan 25 to Dec 25 and paym</t>
  </si>
  <si>
    <t>TX2925002151</t>
  </si>
  <si>
    <t>GEIIPL-ITCOCR188553</t>
  </si>
  <si>
    <t>71363481 Purchase Invoices INR;STT GLOBAL DATA CENTERS INDIA PRIVATE LIMITED A39060;102;TX2925002151</t>
  </si>
  <si>
    <t>AUTOMATED AP Payables A 1814245 20291264Inv Num - TX2925002151 , Supplier Name - STT GLOBAL DATA CENTERS INDIA PRIVATE LIMITED A39060 , PO Num - 100064823 , Inv Dist Desc - Charges towards Power Consumption at STT for Aerospace VDI 6 racks for the period Jan 25 to Dec 25 and paym74066.69</t>
  </si>
  <si>
    <t>GRC_40455</t>
  </si>
  <si>
    <t>09-JAN-2026 Purchase Invoices INR</t>
  </si>
  <si>
    <t>Inv Num - PR10007034367772249 , Supplier Name - ADDITIONAL CHIEF ELECTRICAL INSPECTOR, BANGALORE NORTH A38280 , PO Num - 100070343 , Inv Dist Desc - Payment Request : PR: Towards lift licenses renewal fee</t>
  </si>
  <si>
    <t>PR10007034367772249</t>
  </si>
  <si>
    <t>GEIIPL-ITCP192134</t>
  </si>
  <si>
    <t>71796947 Purchase Invoices INR;ADDITIONAL CHIEF ELECTRICAL INSPECTOR, BANGALORE NORTH A38280;101;PR10007034367772249</t>
  </si>
  <si>
    <t>Payment Request : PR: Towards lift licenses renewal fee</t>
  </si>
  <si>
    <t>AUTOMATED AP Payables A 1827266 20553078Inv Num - PR10007034367772249 , Supplier Name - ADDITIONAL CHIEF ELECTRICAL INSPECTOR, BANGALORE NORTH A38280 , PO Num - 100070343 , Inv Dist Desc - Payment Request : PR: Towards lift licenses renewal fee39100</t>
  </si>
  <si>
    <t>GRC_84519</t>
  </si>
  <si>
    <t>GR16_0925_MK01_CP_TDS gross up and Pcard entries Aug 25 WF#14580629761 Spreadsheet A 20217187</t>
  </si>
  <si>
    <t>GR16_0925_MK01_CP_TDS gross up and Pcard entries Aug 25 WF#14580629761 All Books INR User 1</t>
  </si>
  <si>
    <t>Rectification</t>
  </si>
  <si>
    <t>‭100064557‬</t>
  </si>
  <si>
    <t>117399IN</t>
  </si>
  <si>
    <t>GR16_0925_MK01_CP_TDS gross up and Pcard entries Aug 25 WF#14580629761 Spreadsheet A 20217187Rectification6052</t>
  </si>
  <si>
    <t>GRC_24941</t>
  </si>
  <si>
    <t>Inv Num - TX2925003249 , Supplier Name - STT GLOBAL DATA CENTERS INDIA PRIVATE LIMITED A39060 , PO Num - 100064823 , Inv Dist Desc - Charges towards Power Consumption at STT for Aerospace VDI 6 racks for the period Jan 25 to Dec 25 and paym</t>
  </si>
  <si>
    <t>TX2925003249</t>
  </si>
  <si>
    <t>GEIIPL-ITCOCR192328</t>
  </si>
  <si>
    <t>71834866 Purchase Invoices INR;STT GLOBAL DATA CENTERS INDIA PRIVATE LIMITED A39060;102;TX2925003249</t>
  </si>
  <si>
    <t>AUTOMATED AP Payables A 1826387 20665953Inv Num - TX2925003249 , Supplier Name - STT GLOBAL DATA CENTERS INDIA PRIVATE LIMITED A39060 , PO Num - 100064823 , Inv Dist Desc - Charges towards Power Consumption at STT for Aerospace VDI 6 racks for the period Jan 25 to Dec 25 and paym73244.16</t>
  </si>
  <si>
    <t>GRC_50969</t>
  </si>
  <si>
    <t>AUTOMATED AP Payables A 1828283 20668354</t>
  </si>
  <si>
    <t>20-JAN-2026 Purchase Invoices INR</t>
  </si>
  <si>
    <t>Inv Num - PR10007049067772374 , Supplier Name - ADDITIONAL CHIEF ELECTRICAL INSPECTOR, BANGALORE NORTH A38280 , PO Num - 100070490 , Inv Dist Desc - Payment Request : PR: Towards Periodical inspection fee for electrical installations</t>
  </si>
  <si>
    <t>PR10007049067772374</t>
  </si>
  <si>
    <t>GEIIPL-ITCP192444</t>
  </si>
  <si>
    <t>71840699 Purchase Invoices INR;ADDITIONAL CHIEF ELECTRICAL INSPECTOR, BANGALORE NORTH A38280;101;PR10007049067772374</t>
  </si>
  <si>
    <t>AUTOMATED AP Payables A 1828283 20668354Inv Num - PR10007049067772374 , Supplier Name - ADDITIONAL CHIEF ELECTRICAL INSPECTOR, BANGALORE NORTH A38280 , PO Num - 100070490 , Inv Dist Desc - Payment Request : PR: Towards Periodical inspection fee for electrical installations22500</t>
  </si>
  <si>
    <t>GRC_77719</t>
  </si>
  <si>
    <t>GR16-1125-PI-04-CP-Nov-25 GST Liability &amp; RCM Setoff &amp; Ineligible Credit entry Oct'25 20379122</t>
  </si>
  <si>
    <t>GR16-1125-PI-04-CP-Nov-25 GST Liability &amp; RCM Setoff &amp; Ineligible Credit entry Oct'25 All Books INR</t>
  </si>
  <si>
    <t>Ineligible ITC-Oct'25</t>
  </si>
  <si>
    <t>GR16.5210101584.0000.GC7399.000.0000000000.GCN001.GCC100.P.000000000.000000</t>
  </si>
  <si>
    <t>All Other SGA Costs-Utilities-Water</t>
  </si>
  <si>
    <t>Supply of Cool Spring Pet Jar Cans[1 Can = 20 Ltr]</t>
  </si>
  <si>
    <t>2526BAN0919/0939</t>
  </si>
  <si>
    <t>Oct'25</t>
  </si>
  <si>
    <t>GR16-1125-PI-04-CP-Nov-25 GST Liability &amp; RCM Setoff &amp; Ineligible Credit entry Oct'25 20379122Ineligible ITC-Oct'258694</t>
  </si>
  <si>
    <t>GRC_80915</t>
  </si>
  <si>
    <t>03-FEB-2026 Purchase Invoices INR</t>
  </si>
  <si>
    <t>Inv Num - PR10007067567772509 , Supplier Name - DEPUTY CHIEF ELECTRICAL INSPECTOR BANGALORE EAST A37421 , PO Num - 100070675 , Inv Dist Desc - Payment Request : PR: Electricity tax on captive consumption for the month of January - 2026</t>
  </si>
  <si>
    <t>PR10007067567772509</t>
  </si>
  <si>
    <t>GEIIPL-ITCP192860</t>
  </si>
  <si>
    <t>71920503 Purchase Invoices INR;DEPUTY CHIEF ELECTRICAL INSPECTOR BANGALORE EAST A37421;101;PR10007067567772509</t>
  </si>
  <si>
    <t>Payment Request : PR: Electricity tax on captive consumption for the month of January - 2026</t>
  </si>
  <si>
    <t>AUTOMATED AP Payables A 1829452 20865231Inv Num - PR10007067567772509 , Supplier Name - DEPUTY CHIEF ELECTRICAL INSPECTOR BANGALORE EAST A37421 , PO Num - 100070675 , Inv Dist Desc - Payment Request : PR: Electricity tax on captive consumption for the month of January - 20267363</t>
  </si>
  <si>
    <t>GRC_84568</t>
  </si>
  <si>
    <t>GR16_1225_MK04_CP_TDS gross up and Pcard entries Nov 25 WF#14969517770 Spreadsheet A 20482839</t>
  </si>
  <si>
    <t>GR16_1225_MK04_CP_TDS gross up and Pcard entries Nov 25 WF#14969517770 All Books INR User 1</t>
  </si>
  <si>
    <t>GR16_1225_MK04_CP_TDS gross up and Pcard entries Nov 25 WF#14969517770 Spreadsheet A 20482839Rectification6033</t>
  </si>
  <si>
    <t>GRC_84823</t>
  </si>
  <si>
    <t>GR16_0725_MK01_CP_TDS gross up and Pcard entries June 25 WF#14320153311 Spreadsheet A 19814515</t>
  </si>
  <si>
    <t>GR16_0725_MK01_CP_TDS gross up and Pcard entries June 25 WF#14320153311 All Books INR User 1</t>
  </si>
  <si>
    <t>TDSon Profession-Gross-Up</t>
  </si>
  <si>
    <t>Gross-Up</t>
  </si>
  <si>
    <t>GR16_0725_MK01_CP_TDS gross up and Pcard entries June 25 WF#14320153311 Spreadsheet A 19814515TDSon Profession-Gross-Up5979</t>
  </si>
  <si>
    <t>GRC_85019</t>
  </si>
  <si>
    <t>GR16_1025_MK01_CP_TDS gross up and Pcard entries Sep 25 WF#14704926163 Spreadsheet A 20293915</t>
  </si>
  <si>
    <t>GR16_1025_MK01_CP_TDS gross up and Pcard entries Sep 25 WF#14704926163 All Books INR User 1</t>
  </si>
  <si>
    <t>GR16_1025_MK01_CP_TDS gross up and Pcard entries Sep 25 WF#14704926163 Spreadsheet A 20293915TDSon Profession-Gross-Up5926</t>
  </si>
  <si>
    <t>GRC_85071</t>
  </si>
  <si>
    <t>GR16_1125_MK01_CP_TDS gross up and Pcard entries Oct 25 WF#14833167338 Spreadsheet A 20392413</t>
  </si>
  <si>
    <t>GR16_1125_MK01_CP_TDS gross up and Pcard entries Oct 25 WF#14833167338 All Books INR User 1</t>
  </si>
  <si>
    <t>GR16_1125_MK01_CP_TDS gross up and Pcard entries Oct 25 WF#14833167338 Spreadsheet A 20392413Rectification5901</t>
  </si>
  <si>
    <t>GRC_85099</t>
  </si>
  <si>
    <t>GR16_0825_MK01_CP_TDS gross up and Pcard entries July 25 WF#14469459636 Spreadsheet A 20114187</t>
  </si>
  <si>
    <t>GR16_0825_MK01_CP_TDS gross up and Pcard entries July 25 WF#14469459636 All Books INR User 1</t>
  </si>
  <si>
    <t>GR16_0825_MK01_CP_TDS gross up and Pcard entries July 25 WF#14469459636 Spreadsheet A 20114187Rectification5899</t>
  </si>
  <si>
    <t>GRC_86690</t>
  </si>
  <si>
    <t>GR16_0126_MK01_CP_TDS gross up and Pcard entries Dec 25 WF#15086332287 Spreadsheet A 20758242</t>
  </si>
  <si>
    <t>GR16_0126_MK01_CP_TDS gross up and Pcard entries Dec 25 WF#15086332287 All Books INR User 1</t>
  </si>
  <si>
    <t>Gross-up TDS  trnsaction for Dec25</t>
  </si>
  <si>
    <t>up TDS  trnsaction for Dec25</t>
  </si>
  <si>
    <t>GR16_0126_MK01_CP_TDS gross up and Pcard entries Dec 25 WF#15086332287 Spreadsheet A 20758242Gross-up TDS  trnsaction for Dec255279</t>
  </si>
  <si>
    <t>GRC_87398</t>
  </si>
  <si>
    <t>GR16_0525_MK01_CP_TDS gross up and Pcard entries Apr 25 WF#14058740146 Spreadsheet A 19195656</t>
  </si>
  <si>
    <t>GR16_0525_MK01_CP_TDS gross up and Pcard entries Apr 25 WF#14058740146 All Books INR User 1</t>
  </si>
  <si>
    <t>GR16_0525_MK01_CP_TDS gross up and Pcard entries Apr 25 WF#14058740146 Spreadsheet A 19195656TDSon Profession-Gross-Up5042</t>
  </si>
  <si>
    <t>GRC_87443</t>
  </si>
  <si>
    <t>GR16_0226_MK01_CP_TDS gross up and Pcard entries Jan 26 WF#15186320831 Spreadsheet A 20895241</t>
  </si>
  <si>
    <t>GR16_0226_MK01_CP_TDS gross up and Pcard entries Jan 26 WF#15186320831 All Books INR User 1</t>
  </si>
  <si>
    <t>Gross-up TDS  trnsaction for JAN26</t>
  </si>
  <si>
    <t>up TDS  trnsaction for JAN26</t>
  </si>
  <si>
    <t>GR16_0226_MK01_CP_TDS gross up and Pcard entries Jan 26 WF#15186320831 Spreadsheet A 20895241Gross-up TDS  trnsaction for JAN265029</t>
  </si>
  <si>
    <t>GRC_284045</t>
  </si>
  <si>
    <t>GR16_Adj26_MK02_SR_TDS gross up and Pcard entries Mar 26_WF#15412838007 Spreadsheet A 21090769</t>
  </si>
  <si>
    <t>GR16_Adj26_MK02_SR_TDS gross up and Pcard entries Mar 26_WF#15412838007 STAT INR User 1</t>
  </si>
  <si>
    <t>Gross-up TDS  trnsaction for Mar26</t>
  </si>
  <si>
    <t>‭100070242‬</t>
  </si>
  <si>
    <t>up TDS  trnsaction for Mar26</t>
  </si>
  <si>
    <t>GR16_Adj26_MK02_SR_TDS gross up and Pcard entries Mar 26_WF#15412838007 Spreadsheet A 21090769Gross-up TDS  trnsaction for Mar264116</t>
  </si>
  <si>
    <t>GRC_89395</t>
  </si>
  <si>
    <t>Supply of Pet Jar bottles [1 Can = 20 Ltr]</t>
  </si>
  <si>
    <t>1030/25-26</t>
  </si>
  <si>
    <t>GR16-1125-PI-04-CP-Nov-25 GST Liability &amp; RCM Setoff &amp; Ineligible Credit entry Oct'25 20379122Ineligible ITC-Oct'254547</t>
  </si>
  <si>
    <t>GRC_92929</t>
  </si>
  <si>
    <t>Inv Num - PR10006687867769147 , Supplier Name - DEPUTY CHIEF ELECTRICAL INSPECTOR BANGALORE EAST A37421 , PO Num - , Inv Dist Desc - Payment Request : PR: Electricity tax on captive consumption for the month of May - 2025</t>
  </si>
  <si>
    <t>PR10006687867769147</t>
  </si>
  <si>
    <t>GEIIPL-ITCP183508</t>
  </si>
  <si>
    <t>70554606 Purchase Invoices INR;DEPUTY CHIEF ELECTRICAL INSPECTOR BANGALORE EAST A37421;101;PR10006687867769147</t>
  </si>
  <si>
    <t>Payment Request : PR: Electricity tax on captive consumption for the month of May - 2025</t>
  </si>
  <si>
    <t>AUTOMATED AP Payables A 1790127 19393951Inv Num - PR10006687867769147 , Supplier Name - DEPUTY CHIEF ELECTRICAL INSPECTOR BANGALORE EAST A37421 , PO Num - , Inv Dist Desc - Payment Request : PR: Electricity tax on captive consumption for the month of May - 20253969</t>
  </si>
  <si>
    <t>GRC_93524</t>
  </si>
  <si>
    <t>GR16_0625_MK02_CP_TDS gross up and Pcard entries May 25 WF#14170449597 Spreadsheet A 19504446</t>
  </si>
  <si>
    <t>GR16_0625_MK02_CP_TDS gross up and Pcard entries May 25 WF#14170449597 All Books INR User 1</t>
  </si>
  <si>
    <t>GR16_0625_MK02_CP_TDS gross up and Pcard entries May 25 WF#14170449597 Spreadsheet A 19504446TDSon Profession-Gross-Up3801</t>
  </si>
  <si>
    <t>GRC_95540</t>
  </si>
  <si>
    <t>AUTOMATED AP Payables A 1774416 18733938</t>
  </si>
  <si>
    <t>02-APR-2025 Purchase Invoices INR</t>
  </si>
  <si>
    <t>Inv Num - PR10006603367768104 , Supplier Name - DEPUTY CHIEF ELECTRICAL INSPECTOR BANGALORE EAST A37421 , PO Num - 100066033 , Inv Dist Desc - Payment Request : PR: Electricity tax on captive consumption for the month of March - 2025</t>
  </si>
  <si>
    <t>PR10006603367768104</t>
  </si>
  <si>
    <t>GEIIPL-ITCP181724</t>
  </si>
  <si>
    <t>70198872 Purchase Invoices INR;DEPUTY CHIEF ELECTRICAL INSPECTOR BANGALORE EAST A37421;101;PR10006603367768104</t>
  </si>
  <si>
    <t>Payment Request : PR: Electricity tax on captive consumption for the month of March - 2025</t>
  </si>
  <si>
    <t>AUTOMATED AP Payables A 1774416 18733938Inv Num - PR10006603367768104 , Supplier Name - DEPUTY CHIEF ELECTRICAL INSPECTOR BANGALORE EAST A37421 , PO Num - 100066033 , Inv Dist Desc - Payment Request : PR: Electricity tax on captive consumption for the month of March - 20253438</t>
  </si>
  <si>
    <t>GRC_96227</t>
  </si>
  <si>
    <t>AUTOMATED AP Payables A 1801290 19995986</t>
  </si>
  <si>
    <t>05-AUG-2025 Purchase Invoices INR</t>
  </si>
  <si>
    <t>Inv Num - PR10006779367770161 , Supplier Name - DEPUTY CHIEF ELECTRICAL INSPECTOR BANGALORE EAST A37421 , PO Num - 100067793 , Inv Dist Desc - Payment Request : Electricity tax on captive consumption for the month of July - 2025</t>
  </si>
  <si>
    <t>PR10006779367770161</t>
  </si>
  <si>
    <t>GEIIPL-ITCP185766</t>
  </si>
  <si>
    <t>70947420 Purchase Invoices INR;DEPUTY CHIEF ELECTRICAL INSPECTOR BANGALORE EAST A37421;101;PR10006779367770161</t>
  </si>
  <si>
    <t>Payment Request : Electricity tax on captive consumption for the month of July - 2025</t>
  </si>
  <si>
    <t>AUTOMATED AP Payables A 1801290 19995986Inv Num - PR10006779367770161 , Supplier Name - DEPUTY CHIEF ELECTRICAL INSPECTOR BANGALORE EAST A37421 , PO Num - 100067793 , Inv Dist Desc - Payment Request : Electricity tax on captive consumption for the month of July - 20253289</t>
  </si>
  <si>
    <t>GRC_96230</t>
  </si>
  <si>
    <t>AUTOMATED AP Payables A 1822551 20510823</t>
  </si>
  <si>
    <t>02-JAN-2026 Purchase Invoices INR</t>
  </si>
  <si>
    <t>Inv Num - PR10007030367772202 , Supplier Name - DEPUTY CHIEF ELECTRICAL INSPECTOR BANGALORE EAST A37421 , PO Num - 100070303 , Inv Dist Desc - Payment Request : PR: Electricity tax on captive consumption for the month of December - 2025</t>
  </si>
  <si>
    <t>PR10007030367772202</t>
  </si>
  <si>
    <t>GEIIPL-ITCP191907</t>
  </si>
  <si>
    <t>71768903 Purchase Invoices INR;DEPUTY CHIEF ELECTRICAL INSPECTOR BANGALORE EAST A37421;101;PR10007030367772202</t>
  </si>
  <si>
    <t>Payment Request : PR: Electricity tax on captive consumption for the month of December - 2025</t>
  </si>
  <si>
    <t>AUTOMATED AP Payables A 1822551 20510823Inv Num - PR10007030367772202 , Supplier Name - DEPUTY CHIEF ELECTRICAL INSPECTOR BANGALORE EAST A37421 , PO Num - 100070303 , Inv Dist Desc - Payment Request : PR: Electricity tax on captive consumption for the month of December - 20253288</t>
  </si>
  <si>
    <t>GRC_105891</t>
  </si>
  <si>
    <t>24-NOV-2025 Purchase Invoices INR</t>
  </si>
  <si>
    <t>Inv Num - PR10006963767771608 , Supplier Name - DEPUTY CHIEF ELECTRICAL INSPECTOR BANGALORE EAST A37421 , PO Num - 100069637 , Inv Dist Desc - Payment Request : PR: Towards Drawing Approval Charges for CPP transformer</t>
  </si>
  <si>
    <t>PR10006963767771608</t>
  </si>
  <si>
    <t>GEIIPL-ITCP189690</t>
  </si>
  <si>
    <t>71541171 Purchase Invoices INR;DEPUTY CHIEF ELECTRICAL INSPECTOR BANGALORE EAST A37421;101;PR10006963767771608</t>
  </si>
  <si>
    <t>Payment Request : PR: Towards Drawing Approval Charges for CPP transformer</t>
  </si>
  <si>
    <t>Payables A 1819239 20392599Inv Num - PR10006963767771608 , Supplier Name - DEPUTY CHIEF ELECTRICAL INSPECTOR BANGALORE EAST A37421 , PO Num - 100069637 , Inv Dist Desc - Payment Request : PR: Towards Drawing Approval Charges for CPP transformer2600</t>
  </si>
  <si>
    <t>GRC_105893</t>
  </si>
  <si>
    <t>Inv Num - PR10007048967772373 , Supplier Name - DEPUTY CHIEF ELECTRICAL INSPECTOR BANGALORE EAST A37421 , PO Num - 100070489 , Inv Dist Desc - Payment Request : PR: Towards CFE for CPP transformer</t>
  </si>
  <si>
    <t>PR10007048967772373</t>
  </si>
  <si>
    <t>GEIIPL-ITCP192445</t>
  </si>
  <si>
    <t>71840698 Purchase Invoices INR;DEPUTY CHIEF ELECTRICAL INSPECTOR BANGALORE EAST A37421;101;PR10007048967772373</t>
  </si>
  <si>
    <t>Payment Request : PR: Towards CFE for CPP transformer</t>
  </si>
  <si>
    <t>AUTOMATED AP Payables A 1828283 20668354Inv Num - PR10007048967772373 , Supplier Name - DEPUTY CHIEF ELECTRICAL INSPECTOR BANGALORE EAST A37421 , PO Num - 100070489 , Inv Dist Desc - Payment Request : PR: Towards CFE for CPP transformer2600</t>
  </si>
  <si>
    <t>GRC_109632</t>
  </si>
  <si>
    <t>AUTOMATED AP Payables A 1824264 20468866</t>
  </si>
  <si>
    <t>19-DEC-2025 Purchase Invoices INR</t>
  </si>
  <si>
    <t>Inv Num - PR10007016767771989 , Supplier Name - ADDITIONAL CHIEF ELECTRICAL INSPECTOR, BANGALORE NORTH A38280 , PO Num - 100070167 , Inv Dist Desc - Payment Request : PR: Towards Dismantling  Approval Charges for CPP transformer</t>
  </si>
  <si>
    <t>PR10007016767771989</t>
  </si>
  <si>
    <t>GEIIPL-ITCP191164</t>
  </si>
  <si>
    <t>71687495 Purchase Invoices INR;ADDITIONAL CHIEF ELECTRICAL INSPECTOR, BANGALORE NORTH A38280;101;PR10007016767771989</t>
  </si>
  <si>
    <t>Payment Request : PR: Towards Dismantling  Approval Charges for CPP transformer</t>
  </si>
  <si>
    <t>AUTOMATED AP Payables A 1824264 20468866Inv Num - PR10007016767771989 , Supplier Name - ADDITIONAL CHIEF ELECTRICAL INSPECTOR, BANGALORE NORTH A38280 , PO Num - 100070167 , Inv Dist Desc - Payment Request : PR: Towards Dismantling  Approval Charges for CPP transformer2100</t>
  </si>
  <si>
    <t>GRC_251190</t>
  </si>
  <si>
    <t>GR16_0326_MK01_CP_TDS gross up and Pcard entries Feb 26 WF#15293560785 Spreadsheet A 20980560</t>
  </si>
  <si>
    <t>GR16_0326_MK01_CP_TDS gross up and Pcard entries Feb 26 WF#15293560785 All Books INR User 1</t>
  </si>
  <si>
    <t>Gross-up TDS  trnsaction for Feb26</t>
  </si>
  <si>
    <t>up TDS  trnsaction for Feb26</t>
  </si>
  <si>
    <t>GR16_0326_MK01_CP_TDS gross up and Pcard entries Feb 26 WF#15293560785 Spreadsheet A 20980560Gross-up TDS  trnsaction for Feb263284</t>
  </si>
  <si>
    <t>GRC_112457</t>
  </si>
  <si>
    <t>2526BAN0919A0940</t>
  </si>
  <si>
    <t>GR16-1125-PI-04-CP-Nov-25 GST Liability &amp; RCM Setoff &amp; Ineligible Credit entry Oct'25 20379122Ineligible ITC-Oct'251811.26</t>
  </si>
  <si>
    <t>GRC_112556</t>
  </si>
  <si>
    <t>AUTOMATED AP Payables A 1821237 20432990</t>
  </si>
  <si>
    <t>02-DEC-2025 Purchase Invoices INR</t>
  </si>
  <si>
    <t>Inv Num - PR10006982967771832 , Supplier Name - DEPUTY CHIEF ELECTRICAL INSPECTOR BANGALORE EAST A37421 , PO Num - , Inv Dist Desc - Payment Request : PR: Electricity tax on captive consumption for the month of November - 2025</t>
  </si>
  <si>
    <t>PR10006982967771832</t>
  </si>
  <si>
    <t>GEIIPL-ITCP190058</t>
  </si>
  <si>
    <t>71595284 Purchase Invoices INR;DEPUTY CHIEF ELECTRICAL INSPECTOR BANGALORE EAST A37421;101;PR10006982967771832</t>
  </si>
  <si>
    <t>Payment Request : PR: Electricity tax on captive consumption for the month of November - 2025</t>
  </si>
  <si>
    <t>AUTOMATED AP Payables A 1821237 20432990Inv Num - PR10006982967771832 , Supplier Name - DEPUTY CHIEF ELECTRICAL INSPECTOR BANGALORE EAST A37421 , PO Num - , Inv Dist Desc - Payment Request : PR: Electricity tax on captive consumption for the month of November - 20251803</t>
  </si>
  <si>
    <t>GRC_116803</t>
  </si>
  <si>
    <t>AUTOMATED AP Payables A 1807144 20152161</t>
  </si>
  <si>
    <t>01-SEP-2025 Purchase Invoices INR</t>
  </si>
  <si>
    <t>Inv Num - PR10006817467770566 , Supplier Name - DEPUTY CHIEF ELECTRICAL INSPECTOR BANGALORE EAST A37421 , PO Num - , Inv Dist Desc - Payment Request : PR: Electricity tax on captive consumption for the month of August - 2025</t>
  </si>
  <si>
    <t>PR10006817467770566</t>
  </si>
  <si>
    <t>GEIIPL-ITCP186702</t>
  </si>
  <si>
    <t>71088612 Purchase Invoices INR;DEPUTY CHIEF ELECTRICAL INSPECTOR BANGALORE EAST A37421;101;PR10006817467770566</t>
  </si>
  <si>
    <t>Payment Request : PR: Electricity tax on captive consumption for the month of August - 2025</t>
  </si>
  <si>
    <t>AUTOMATED AP Payables A 1807144 20152161Inv Num - PR10006817467770566 , Supplier Name - DEPUTY CHIEF ELECTRICAL INSPECTOR BANGALORE EAST A37421 , PO Num - , Inv Dist Desc - Payment Request : PR: Electricity tax on captive consumption for the month of August - 20251513</t>
  </si>
  <si>
    <t>GRC_141864</t>
  </si>
  <si>
    <t>AUTOMATED AP Payables A 1815405 20330391</t>
  </si>
  <si>
    <t>03-NOV-2025 Purchase Invoices INR</t>
  </si>
  <si>
    <t>Inv Num - PR10006918067771425 , Supplier Name - DEPUTY CHIEF ELECTRICAL INSPECTOR BANGALORE EAST A37421 , PO Num - , Inv Dist Desc - Payment Request : PR: Electricity tax on captive consumption for the month of October - 2025</t>
  </si>
  <si>
    <t>PR10006918067771425</t>
  </si>
  <si>
    <t>GEIIPL-ITCP188844</t>
  </si>
  <si>
    <t>71438277 Purchase Invoices INR;DEPUTY CHIEF ELECTRICAL INSPECTOR BANGALORE EAST A37421;101;PR10006918067771425</t>
  </si>
  <si>
    <t>Payment Request : PR: Electricity tax on captive consumption for the month of October - 2025</t>
  </si>
  <si>
    <t>AUTOMATED AP Payables A 1815405 20330391Inv Num - PR10006918067771425 , Supplier Name - DEPUTY CHIEF ELECTRICAL INSPECTOR BANGALORE EAST A37421 , PO Num - , Inv Dist Desc - Payment Request : PR: Electricity tax on captive consumption for the month of October - 20251139</t>
  </si>
  <si>
    <t>GRC_169997</t>
  </si>
  <si>
    <t>AUTOMATED AP Payables A 1785145 19141240</t>
  </si>
  <si>
    <t>05-MAY-2025 Purchase Invoices INR</t>
  </si>
  <si>
    <t>Inv Num - PR10006646867768661 , Supplier Name - DEPUTY CHIEF ELECTRICAL INSPECTOR BANGALORE EAST A37421 , PO Num - 100066468 , Inv Dist Desc - Payment Request : PR: Electricity tax on captive consumption for the month of April - 2025</t>
  </si>
  <si>
    <t>PR10006646867768661</t>
  </si>
  <si>
    <t>GEIIPL-ITCP182586</t>
  </si>
  <si>
    <t>70393683 Purchase Invoices INR;DEPUTY CHIEF ELECTRICAL INSPECTOR BANGALORE EAST A37421;101;PR10006646867768661</t>
  </si>
  <si>
    <t>Payment Request : PR: Electricity tax on captive consumption for the month of April - 2025</t>
  </si>
  <si>
    <t>AUTOMATED AP Payables A 1785145 19141240Inv Num - PR10006646867768661 , Supplier Name - DEPUTY CHIEF ELECTRICAL INSPECTOR BANGALORE EAST A37421 , PO Num - 100066468 , Inv Dist Desc - Payment Request : PR: Electricity tax on captive consumption for the month of April - 2025528</t>
  </si>
  <si>
    <t>GRC_181587</t>
  </si>
  <si>
    <t>03-JUL-2025 Purchase Invoices INR</t>
  </si>
  <si>
    <t>Inv Num - PR10006735167769661 , Supplier Name - DEPUTY CHIEF ELECTRICAL INSPECTOR BANGALORE EAST A37421 , PO Num - 100067351 , Inv Dist Desc - Payment Request : PR: Electricity tax on captive consumption for the month of June - 2025</t>
  </si>
  <si>
    <t>PR10006735167769661</t>
  </si>
  <si>
    <t>GEIIPL-ITCP184572</t>
  </si>
  <si>
    <t>70752931 Purchase Invoices INR;DEPUTY CHIEF ELECTRICAL INSPECTOR BANGALORE EAST A37421;101;PR10006735167769661</t>
  </si>
  <si>
    <t>Payment Request : PR: Electricity tax on captive consumption for the month of June - 2025</t>
  </si>
  <si>
    <t>AUTOMATED AP Payables A 1796277 19699712Inv Num - PR10006735167769661 , Supplier Name - DEPUTY CHIEF ELECTRICAL INSPECTOR BANGALORE EAST A37421 , PO Num - 100067351 , Inv Dist Desc - Payment Request : PR: Electricity tax on captive consumption for the month of June - 2025369</t>
  </si>
  <si>
    <t>GRC_219853</t>
  </si>
  <si>
    <t>AUTOMATED AP Payables A 1812237 20259393</t>
  </si>
  <si>
    <t>02-OCT-2025 Purchase Invoices INR</t>
  </si>
  <si>
    <t>Inv Num - PR10006871967771005 , Supplier Name - DEPUTY CHIEF ELECTRICAL INSPECTOR BANGALORE EAST A37421 , PO Num - 100068719 , Inv Dist Desc - Payment Request : PR: Electricity tax on captive consumption for the month of September - 2025</t>
  </si>
  <si>
    <t>PR10006871967771005</t>
  </si>
  <si>
    <t>GEIIPL-ITCP187882</t>
  </si>
  <si>
    <t>71276012 Purchase Invoices INR;DEPUTY CHIEF ELECTRICAL INSPECTOR BANGALORE EAST A37421;101;PR10006871967771005</t>
  </si>
  <si>
    <t>Payment Request : PR: Electricity tax on captive consumption for the month of September - 2025</t>
  </si>
  <si>
    <t>AUTOMATED AP Payables A 1812237 20259393Inv Num - PR10006871967771005 , Supplier Name - DEPUTY CHIEF ELECTRICAL INSPECTOR BANGALORE EAST A37421 , PO Num - 100068719 , Inv Dist Desc - Payment Request : PR: Electricity tax on captive consumption for the month of September - 202540</t>
  </si>
  <si>
    <t>GRC_24959</t>
  </si>
  <si>
    <t>18-NOV-2025 Purchase Invoices INR</t>
  </si>
  <si>
    <t>Inv Num - TX2925002405 , Supplier Name - STT GLOBAL DATA CENTERS INDIA PRIVATE LIMITED A39060 , PO Num - 100064823 , Inv Dist Desc - Charges towards Power Consumption at STT for Aerospace VDI 6 racks for the period Jan 25 to Dec 25 and paym</t>
  </si>
  <si>
    <t>TX2925002405</t>
  </si>
  <si>
    <t>GEIIPL-ITCOCR189297</t>
  </si>
  <si>
    <t>71512486 Purchase Invoices INR;STT GLOBAL DATA CENTERS INDIA PRIVATE LIMITED A39060;102;TX2925002405</t>
  </si>
  <si>
    <t>AUTOMATED AP Payables A 1817293 20362856Inv Num - TX2925002405 , Supplier Name - STT GLOBAL DATA CENTERS INDIA PRIVATE LIMITED A39060 , PO Num - 100064823 , Inv Dist Desc - Charges towards Power Consumption at STT for Aerospace VDI 6 racks for the period Jan 25 to Dec 25 and paym73146.24</t>
  </si>
  <si>
    <t>GRC_25187</t>
  </si>
  <si>
    <t>AUTOMATED AP Payables A 1801330 20045961</t>
  </si>
  <si>
    <t>12-AUG-2025 Purchase Invoices INR</t>
  </si>
  <si>
    <t>Inv Num - TX2925001209 , Supplier Name - STT GLOBAL DATA CENTERS INDIA PRIVATE LIMITED A39060 , PO Num - 100064823 , Inv Dist Desc - Charges towards Power Consumption at STT for Aerospace VDI 6 racks for the period Jan 25 to Dec 25 and paym</t>
  </si>
  <si>
    <t>TX2925001209</t>
  </si>
  <si>
    <t>GEIIPL-ITCOCR186122</t>
  </si>
  <si>
    <t>70981163 Purchase Invoices INR;STT GLOBAL DATA CENTERS INDIA PRIVATE LIMITED A39060;102;TX2925001209</t>
  </si>
  <si>
    <t>AUTOMATED AP Payables A 1801330 20045961Inv Num - TX2925001209 , Supplier Name - STT GLOBAL DATA CENTERS INDIA PRIVATE LIMITED A39060 , PO Num - 100064823 , Inv Dist Desc - Charges towards Power Consumption at STT for Aerospace VDI 6 racks for the period Jan 25 to Dec 25 and paym72558.72</t>
  </si>
  <si>
    <t>GRC_399</t>
  </si>
  <si>
    <t>AUTOMATED AP Payables A 1817273 20357299</t>
  </si>
  <si>
    <t>13-NOV-2025 Purchase Invoices INR</t>
  </si>
  <si>
    <t>Inv Num - 0000716292500009 , Supplier Name - AMPLUS KN SOLAR PRIVATE LIMITED A37782 , PO Num - 100065551 , Inv Dist Desc - Open PO for Solar Power Procurement for the period March 2025 to Feb 2026 at JFWTC Campus, Bangalore. Billing to be d</t>
  </si>
  <si>
    <t>GEIIPL-ITCM189085</t>
  </si>
  <si>
    <t>71493591 Purchase Invoices INR;AMPLUS KN SOLAR PRIVATE LIMITED A37782;101;0000716292500009</t>
  </si>
  <si>
    <t>AUTOMATED AP Payables A 1817273 20357299Inv Num - 0000716292500009 , Supplier Name - AMPLUS KN SOLAR PRIVATE LIMITED A37782 , PO Num - 100065551 , Inv Dist Desc - Open PO for Solar Power Procurement for the period March 2025 to Feb 2026 at JFWTC Campus, Bangalore. Billing to be d-6037945</t>
  </si>
  <si>
    <t>GRC_179</t>
  </si>
  <si>
    <t>Reverses GR16_0325_HS02_SR_ Open PO Accruals_Aviation &amp; Inf22-SEP-25 06:33:00 - 20214405</t>
  </si>
  <si>
    <t>Reverses GR16_0325_HS02_SR_ Open PO Accruals_Aviation &amp; Infra_Mar-25 STAT INR U 1306671</t>
  </si>
  <si>
    <t>Reverses GR16_0325_HS02_SR_ Open PO Accruals_Aviation &amp; Inf22-SEP-25 06:33:00 - 20214405Open PO for Solar Power Procurement for the period March 2025 to Feb 2026 at JFWTC Campus Bangalore. Billing to be done at actuals. [Tarriff Details INR 5.39/kwh].-11416020</t>
  </si>
  <si>
    <t>GRC_111192</t>
  </si>
  <si>
    <t>GR16_0725_MK01_CP_TDS gross up and Pcard entries June 25 WF#14320153311 Spreadsheet A 19814515TDSon Profession-Gross-Up1946</t>
  </si>
  <si>
    <t>GRC_41867</t>
  </si>
  <si>
    <t>Open PO for Power Procurement through BESCOM for the year 2025 at JFWTC Campus Bangalore. Billing to be done at actuals.</t>
  </si>
  <si>
    <t>Reverses GR16_0325_HS08_SR_PO-BOH-SSS Accruals &amp;TDS on Accr22-SEP-25 06:36:00 - 20214409Open PO for Power Procurement through BESCOM for the year 2025 at JFWTC Campus Bangalore. Billing to be done at actuals.-36542</t>
  </si>
  <si>
    <t>GRC_25223</t>
  </si>
  <si>
    <t>Inv Num - TX2925000160 , Supplier Name - STT GLOBAL DATA CENTERS INDIA PRIVATE LIMITED A39060 , PO Num - 100064823 , Inv Dist Desc - Charges towards Power Consumption at STT for Aerospace VDI 6 racks for the period Jan 25 to Dec 25 and paym</t>
  </si>
  <si>
    <t>TX2925000160</t>
  </si>
  <si>
    <t>GEIIPL-ITCOCR182875</t>
  </si>
  <si>
    <t>70428545 Purchase Invoices INR;STT GLOBAL DATA CENTERS INDIA PRIVATE LIMITED A39060;102;TX2925000160</t>
  </si>
  <si>
    <t>AUTOMATED AP Payables A 1785183 19195971Inv Num - TX2925000160 , Supplier Name - STT GLOBAL DATA CENTERS INDIA PRIVATE LIMITED A39060 , PO Num - 100064823 , Inv Dist Desc - Charges towards Power Consumption at STT for Aerospace VDI 6 racks for the period Jan 25 to Dec 25 and paym72447.74</t>
  </si>
  <si>
    <t>GRC_25528</t>
  </si>
  <si>
    <t>AUTOMATED AP Payables A 1796267 19686339</t>
  </si>
  <si>
    <t>01-JUL-2025 Purchase Invoices INR</t>
  </si>
  <si>
    <t>Inv Num - TX2925000399 , Supplier Name - STT GLOBAL DATA CENTERS INDIA PRIVATE LIMITED A39060 , PO Num - 100064823 , Inv Dist Desc - Charges towards Power Consumption at STT for Aerospace VDI 6 racks for the period Jan 25 to Dec 25 and paym</t>
  </si>
  <si>
    <t>TX2925000399</t>
  </si>
  <si>
    <t>GEIIPL-ITCOCR184468</t>
  </si>
  <si>
    <t>70734323 Purchase Invoices INR;STT GLOBAL DATA CENTERS INDIA PRIVATE LIMITED A39060;102;TX2925000399</t>
  </si>
  <si>
    <t>AUTOMATED AP Payables A 1796267 19686339Inv Num - TX2925000399 , Supplier Name - STT GLOBAL DATA CENTERS INDIA PRIVATE LIMITED A39060 , PO Num - 100064823 , Inv Dist Desc - Charges towards Power Consumption at STT for Aerospace VDI 6 racks for the period Jan 25 to Dec 25 and paym71775.36</t>
  </si>
  <si>
    <t>GRC_1057</t>
  </si>
  <si>
    <t>Inv Num - 325348896385INTEREST- A , Supplier Name - BESCOM LTD A37440 , PO Num - , Inv Dist Desc - Interest on ISD/ASD (IOD) &amp; nterest on MSD (IOD)</t>
  </si>
  <si>
    <t>325348896385INTEREST- A</t>
  </si>
  <si>
    <t>GEIIPL-ITCD183805</t>
  </si>
  <si>
    <t>70619810 Purchase Invoices INR;Bescom Ltd A37440;101;325348896385INTEREST- A</t>
  </si>
  <si>
    <t>AUTOMATED AP Payables A 1791144 19476477Inv Num - 325348896385INTEREST- A , Supplier Name - BESCOM LTD A37440 , PO Num - , Inv Dist Desc - Interest on ISD/ASD (IOD) &amp; nterest on MSD (IOD)-2159680</t>
  </si>
  <si>
    <t>GRC_239141</t>
  </si>
  <si>
    <t>Charges towards Power Consumption at STT for Aerospace VDI 6 racks for the period Jan 26 to 25-Dec 26 and payment done at actuals.</t>
  </si>
  <si>
    <t>TX2925004383</t>
  </si>
  <si>
    <t>Dec 26 and payment done at actuals.</t>
  </si>
  <si>
    <t>GR16_0326_HS03_SR_BOH Accruals_Mar-26 Spreadsheet A 1838556 21016523Charges towards Power Consumption at STT for Aerospace VDI 6 racks for the period Jan 26 to 25-Dec 26 and payment done at actuals.70371</t>
  </si>
  <si>
    <t>GRC_42749</t>
  </si>
  <si>
    <t>Inv Num - TX2925001805 , Supplier Name - STT GLOBAL DATA CENTERS INDIA PRIVATE LIMITED A39060 , PO Num - 100064933 , Inv Dist Desc - Amendment to existing 2025 Datacenter rental charges for outstanding invoice payment.</t>
  </si>
  <si>
    <t>Amendment to existing 2025 Datacenter rental charges for outstanding invoice payment.</t>
  </si>
  <si>
    <t>AUTOMATED AP Payables A 1813313 20293827Inv Num - TX2925001805 , Supplier Name - STT GLOBAL DATA CENTERS INDIA PRIVATE LIMITED A39060 , PO Num - 100064933 , Inv Dist Desc - Amendment to existing 2025 Datacenter rental charges for outstanding invoice payment.34969.54</t>
  </si>
  <si>
    <t>GRC_7038</t>
  </si>
  <si>
    <t>Payables A 1822337 20475226Inv Num - 7000440232 , Supplier Name - INDIAN OIL CORPORATION LIMITED A37375 , PO Num - 100064587 , Inv Dist Desc - Open PO towards Supply of HSD from Jan 2025 to Dec 2025 for JFWTC campus, Bangalore. Billing to be done on actual Supplied Q222603.76</t>
  </si>
  <si>
    <t>GRC_1390</t>
  </si>
  <si>
    <t>GR16_0126_HS21_AP_Prepaid Amort Exp_Jan-26_V2 Spreadsheet A 1826650 20819089</t>
  </si>
  <si>
    <t>GR16_0126_HS21_AP_Prepaid Amort Exp_Jan-26_V2 All Books INR User 1</t>
  </si>
  <si>
    <t>GR16_0126_HS21_AP_Prepaid Amort Exp_Jan-26_V2 Spreadsheet A 1826650 20819089Project#117689,Task#5509,INV#TX2925002846,Barcode#,Po#100070263,PoLine#1,VendorName-STT GLOBAL DATA CENTERS INDIA PRIVATE LIMITED A39060,Desc-Charges towards HPC Datacenter Annual Rental Charg,PT#1176895509-1478240</t>
  </si>
  <si>
    <t>GRC_330</t>
  </si>
  <si>
    <t>Reverses GR16_0325_HS02_SR_ Open PO Accruals_Aviation &amp; Inf22-SEP-25 06:33:00 - 20214405Charges towards BEC HPC Datacenter Power Charges for DC Racks from January to December 2025 and payment done at actuals.-6831393.28</t>
  </si>
  <si>
    <t>GRC_293</t>
  </si>
  <si>
    <t>GR16_0126_HS21_AP_Prepaid Amort Exp_Jan-26_V2 Spreadsheet A 1826650 20819089Project#117689,Task#5509,INV#TX2925002844,Barcode#,Po#100070263,PoLine#1,VendorName-STT GLOBAL DATA CENTERS INDIA PRIVATE LIMITED A39060,Desc-Charges towards HPC Datacenter Annual Rental Charg,PT#1176895509-7540025</t>
  </si>
  <si>
    <t>GRC_231794</t>
  </si>
  <si>
    <t>GR16_0326_HS05_AP_Prepaid Amort Exp_Mar-26 Spreadsheet A 1836413 20989447Project#117689,Task#5509,INV#TX2925004034,Barcode#,Po#100070263,PoLine#1,VendorName-STT GLOBAL DATA CENTERS INDIA PRIVATE LIMITED A39060,Desc-Charges towards HPC Datacenter Annual Rental Charg,PT#1176895509-11590858</t>
  </si>
  <si>
    <t>GRC_247138</t>
  </si>
  <si>
    <t>Inv Num - PR10007118067772976 , Supplier Name - DEPUTY CHIEF ELECTRICAL INSPECTOR BANGALORE EAST A37421 , PO Num - 100071180 , Inv Dist Desc - Payment Request : PR: Towards CFO (consent for operation) for CPP transformer</t>
  </si>
  <si>
    <t>PR10007118067772976</t>
  </si>
  <si>
    <t>GEIIPL-ITCP194042</t>
  </si>
  <si>
    <t>72124774 Purchase Invoices INR;DEPUTY CHIEF ELECTRICAL INSPECTOR BANGALORE EAST A37421;101;PR10007118067772976</t>
  </si>
  <si>
    <t>Payment Request : PR: Towards CFO (consent for operation) for CPP transformer</t>
  </si>
  <si>
    <t>AUTOMATED AP Payables A 1835349 20933725Inv Num - PR10007118067772976 , Supplier Name - DEPUTY CHIEF ELECTRICAL INSPECTOR BANGALORE EAST A37421 , PO Num - 100071180 , Inv Dist Desc - Payment Request : PR: Towards CFO (consent for operation) for CPP transformer12100</t>
  </si>
  <si>
    <t>GRC_248679</t>
  </si>
  <si>
    <t>Inv Num - PR10007105167772865 , Supplier Name - DEPUTY CHIEF ELECTRICAL INSPECTOR BANGALORE EAST A37421 , PO Num - , Inv Dist Desc - Payment Request : PR: Electricity tax on captive consumption for the month of February - 2026</t>
  </si>
  <si>
    <t>PR10007105167772865</t>
  </si>
  <si>
    <t>GEIIPL-ITCP193785</t>
  </si>
  <si>
    <t>72076892 Purchase Invoices INR;DEPUTY CHIEF ELECTRICAL INSPECTOR BANGALORE EAST A37421;101;PR10007105167772865</t>
  </si>
  <si>
    <t>Payment Request : PR: Electricity tax on captive consumption for the month of February - 2026</t>
  </si>
  <si>
    <t>AUTOMATED AP Payables A 1836259 20918448Inv Num - PR10007105167772865 , Supplier Name - DEPUTY CHIEF ELECTRICAL INSPECTOR BANGALORE EAST A37421 , PO Num - , Inv Dist Desc - Payment Request : PR: Electricity tax on captive consumption for the month of February - 20268461</t>
  </si>
  <si>
    <t>GRC_231880</t>
  </si>
  <si>
    <t>AUTOMATED AP Payables A 1835365 20939811Inv Num - 325803980260 , Supplier Name - BESCOM LTD A37440 , PO Num - 100070242 , Inv Dist Desc - Open PO for Power Procurement through BESCOM for the year 2026 at JFWTC Campus, Bangalore. Billing to be done at actuals.-4111811</t>
  </si>
  <si>
    <t>GRC_271446</t>
  </si>
  <si>
    <t>GR16-0625-PI-CR-01-STAT books GST Open item entries-Mar'25 Spreadsheet A 1843404 21085324</t>
  </si>
  <si>
    <t>GR16-0625-PI-CR-01-STAT books GST Open item entries-Mar'25 STAT INR User 1</t>
  </si>
  <si>
    <t>Open PO towards Supply of Pet Jar bottles [1 Can = 20 Ltr] for JFWTC.</t>
  </si>
  <si>
    <t>2042/25-26</t>
  </si>
  <si>
    <t>Drinking Water</t>
  </si>
  <si>
    <t>GR16-0625-PI-CR-01-STAT books GST Open item entries-Mar'25 Spreadsheet A 1843404 21085324Open PO towards Supply of Pet Jar bottles [1 Can = 20 Ltr] for JFWTC.4325</t>
  </si>
  <si>
    <t>GRC_271554</t>
  </si>
  <si>
    <t>2526BAN0119/0151</t>
  </si>
  <si>
    <t>GR16-0625-PI-CR-01-STAT books GST Open item entries-Mar'25 Spreadsheet A 1843404 21085324Supply of Cool Spring Pet Jar Cans[1 Can = 20 Ltr]4600.76</t>
  </si>
  <si>
    <t>GRC_271555</t>
  </si>
  <si>
    <t>2526BAN0219/0252</t>
  </si>
  <si>
    <t>GR16-0625-PI-CR-01-STAT books GST Open item entries-Mar'25 Spreadsheet A 1843404 21085324Supply of Cool Spring Pet Jar Cans[1 Can = 20 Ltr]5029.5</t>
  </si>
  <si>
    <t>GRC_507</t>
  </si>
  <si>
    <t>Reverses GR16_0325_HS02_SR_ Open PO Accruals_Aviation &amp; Inf22-SEP-25 06:33:00 - 20214405Open PO for Power Procurement through BESCOM for the year 2025 at JFWTC Campus Bangalore. Billing to be done at actuals.-5000000</t>
  </si>
  <si>
    <t>nd</t>
  </si>
  <si>
    <t>1. ET has created the vendor wise and month wise pivot on the final GL dump after the reclassification</t>
  </si>
  <si>
    <t>Particulars</t>
  </si>
  <si>
    <t>Amount</t>
  </si>
  <si>
    <t>Remarks</t>
  </si>
  <si>
    <t>Expense</t>
  </si>
  <si>
    <t>Reclass entries:</t>
  </si>
  <si>
    <t>STT Global Data Centers India Private Limited</t>
  </si>
  <si>
    <t>&lt;&lt; The expense is recalssed form computer software charge off which pertains to the Rental Charges for the Storage spaces</t>
  </si>
  <si>
    <t>Total Expense</t>
  </si>
  <si>
    <t>Party Name</t>
  </si>
  <si>
    <t>Adj-25-25</t>
  </si>
  <si>
    <t>Apr-24-25</t>
  </si>
  <si>
    <t>May-24-25</t>
  </si>
  <si>
    <t>Jun-24-25</t>
  </si>
  <si>
    <t>Jul-24-25</t>
  </si>
  <si>
    <t>Aug-24-25</t>
  </si>
  <si>
    <t>Sep-24-25</t>
  </si>
  <si>
    <t>Oct-24-25</t>
  </si>
  <si>
    <t>Nov-24-25</t>
  </si>
  <si>
    <t>Dec-24-25</t>
  </si>
  <si>
    <t>Jan-25-25</t>
  </si>
  <si>
    <t>Feb-25-25</t>
  </si>
  <si>
    <t>Mar-25-25</t>
  </si>
  <si>
    <t>About the Vendor</t>
  </si>
  <si>
    <t>Amplus Solar is Asia's leading distributed energy company providing low-carbon clean energy solutions to commercial and industrial customers by setting up on-site solar projects (rooftop and ground-mounted) and off-site solar farms. Amplus Solar has also diversified into new avenues such as battery storage, residential solar, and electric vehicle-based logistics solutions.</t>
  </si>
  <si>
    <t>BESCOM – Bangalore Electricity Supply Company Limited is responsible for Power distribution in Eight districts of Karnataka (Bangalore Urban, Bangalore Rural, Chikkaballapura, Kolar, Davanagere, Tumkur, Chitradurga and Ramanagara). BESCOM covers an area of 41,092 Sq. Kms.</t>
  </si>
  <si>
    <t>STT Datacenter Monthly Power Usage Charges for 
1. 99 DC Rackspace for GE HPC and VDI assets 
2. Aerospace VDI racks 
3. 22 ROFR Rackspace built for 2024 HPC Exp</t>
  </si>
  <si>
    <t>The company has taken some rackspace and workstations from STT Global Data Centres where our high powered computers and virtual desktop interfaces are being installed. The payments made to them majorly comprise of the workstation cost as well as the power &amp; fuel expenses.</t>
  </si>
  <si>
    <t>Supply of HSD at JFWTC Campus, Bangalore</t>
  </si>
  <si>
    <t>BPCL supplies diesel to the company for operating diesel driven generators.</t>
  </si>
  <si>
    <t>Sl. No.</t>
  </si>
  <si>
    <t>Comments</t>
  </si>
  <si>
    <t>DHS Vendor</t>
  </si>
  <si>
    <t xml:space="preserve">STIR Code 1 </t>
  </si>
  <si>
    <t>STIR Desc 1</t>
  </si>
  <si>
    <t>DHS Testing</t>
  </si>
  <si>
    <t>Vlook</t>
  </si>
  <si>
    <t>Remarks (2)</t>
  </si>
  <si>
    <t>IDE/RPT (2)</t>
  </si>
  <si>
    <t>PROJECT_DESCRIPTION (2)</t>
  </si>
  <si>
    <t>GRC_80</t>
  </si>
  <si>
    <t>AUTOMATED AP Payables A 1713212 15667898Jun-24-25Inv Num - BS716292400073 , Supplier Name - AMPLUS KN SOLAR PRIVATE LIMITED S88846 , PO Num - , Inv Dist Desc - Open PO for Solar Power Procurement for the period March 2024 to Feb 2025 at JFWTC Campus, Bangalore. Billing to be done at actua112200005210101581</t>
  </si>
  <si>
    <t>AUTOMATED AP Payables A 1713212 15667898</t>
  </si>
  <si>
    <t>10-JUN-2024 Purchase Invoices INR</t>
  </si>
  <si>
    <t>Inv Num - BS716292400073 , Supplier Name - AMPLUS KN SOLAR PRIVATE LIMITED S88846 , PO Num - , Inv Dist Desc - Open PO for Solar Power Procurement for the period March 2024 to Feb 2025 at JFWTC Campus, Bangalore. Billing to be done at actua</t>
  </si>
  <si>
    <t>BS71629240007311220000</t>
  </si>
  <si>
    <t>BS716292400073</t>
  </si>
  <si>
    <t>GEIIPL-ITCOCR170944</t>
  </si>
  <si>
    <t>68467809 Purchase Invoices INR;AMPLUS KN SOLAR PRIVATE LIMITED S88846;102;BS716292400073</t>
  </si>
  <si>
    <t>Open PO for Solar Power Procurement for the period March 2024 to Feb 2025 at JFWTC Campus, Bangalore. Billing to be done at actuals.  [Tarriff Details INR 5.28/kwh - 7th Year]</t>
  </si>
  <si>
    <t>GRC_82</t>
  </si>
  <si>
    <t>AUTOMATED AP Payables A 1712877 15611513May-24-25Inv Num - BS716292400035 , Supplier Name - AMPLUS KN SOLAR PRIVATE LIMITED S88846 , PO Num - 100061150 , Inv Dist Desc - Open PO for Solar Power Procurement for the period March 2024 to Feb 2025 at JFWTC Campus, Bangalore. Billing to be don108240005210101581</t>
  </si>
  <si>
    <t>AUTOMATED AP Payables A 1712877 15611513</t>
  </si>
  <si>
    <t>13-MAY-2024 Purchase Invoices INR</t>
  </si>
  <si>
    <t>Inv Num - BS716292400035 , Supplier Name - AMPLUS KN SOLAR PRIVATE LIMITED S88846 , PO Num - 100061150 , Inv Dist Desc - Open PO for Solar Power Procurement for the period March 2024 to Feb 2025 at JFWTC Campus, Bangalore. Billing to be don</t>
  </si>
  <si>
    <t>BS71629240003510824000</t>
  </si>
  <si>
    <t>BS716292400035</t>
  </si>
  <si>
    <t>GEIIPL-ITCOCR170319</t>
  </si>
  <si>
    <t>68303110 Purchase Invoices INR;AMPLUS KN SOLAR PRIVATE LIMITED S88846;102;BS716292400035</t>
  </si>
  <si>
    <t>GRC_83</t>
  </si>
  <si>
    <t>Reverses GR16_0324-RG24-AR-Open PO accrual - Infra_Mar-24 A18-APR-24 02:59:02 - 15552277Apr-24-25Open PO for Solar Power Procurement for the period March 2024 to Feb 2025 at JFWTC Campus Bangalore. Billing to be done at actuals. [Tarriff Details INR 5.28/kwh - 7th Year]-106022405210101581</t>
  </si>
  <si>
    <t>Reverses GR16_0324-RG24-AR-Open PO accrual - Infra_Mar-24 A18-APR-24 02:59:02 - 15552277</t>
  </si>
  <si>
    <t>Reverses GR16_0324-RG24-AR-Open PO accrual - Infra_Mar-24 All Books INR User 1 1279890</t>
  </si>
  <si>
    <t>Open PO for Solar Power Procurement for the period March 2024 to Feb 2025 at JFWTC Campus Bangalore. Billing to be done at actuals. [Tarriff Details INR 5.28/kwh - 7th Year]</t>
  </si>
  <si>
    <t>Contra</t>
  </si>
  <si>
    <t>-10602240</t>
  </si>
  <si>
    <t>Amplus Kn Solar Private Limited S88846</t>
  </si>
  <si>
    <t>7th Year]</t>
  </si>
  <si>
    <t>GRC_84</t>
  </si>
  <si>
    <t>AUTOMATED AP Payables A 1712877 15611513May-24-25Inv Num - BS716292400029 , Supplier Name - AMPLUS KN SOLAR PRIVATE LIMITED S88846 , PO Num - 100061150 , Inv Dist Desc - Open PO for Solar Power Procurement for the period March 2024 to Feb 2025 at JFWTC Campus, Bangalore. Billing to be don104014405210101581</t>
  </si>
  <si>
    <t>01-MAY-2024 Purchase Invoices INR</t>
  </si>
  <si>
    <t>Inv Num - BS716292400029 , Supplier Name - AMPLUS KN SOLAR PRIVATE LIMITED S88846 , PO Num - 100061150 , Inv Dist Desc - Open PO for Solar Power Procurement for the period March 2024 to Feb 2025 at JFWTC Campus, Bangalore. Billing to be don</t>
  </si>
  <si>
    <t>BS71629240002910401440</t>
  </si>
  <si>
    <t>BS716292400029</t>
  </si>
  <si>
    <t>GEIIPL-ITCOCR170128</t>
  </si>
  <si>
    <t>68239969 Purchase Invoices INR;AMPLUS KN SOLAR PRIVATE LIMITED S88846;102;BS716292400029</t>
  </si>
  <si>
    <t>GRC_200</t>
  </si>
  <si>
    <t>AUTOMATED AP Payables A 1712877 15611513May-24-25Inv Num - 325342647200 , Supplier Name - BESCOM LTD S23875 , PO Num - 100060266 , Inv Dist Desc - Open PO for Power Procurement through BESCOM for the year 2024 at JFWTC Campus, Bangalore. Billing to be done at actuals.49369405210101581</t>
  </si>
  <si>
    <t>16-MAY-2024 Purchase Invoices INR</t>
  </si>
  <si>
    <t>Inv Num - 325342647200 , Supplier Name - BESCOM LTD S23875 , PO Num - 100060266 , Inv Dist Desc - Open PO for Power Procurement through BESCOM for the year 2024 at JFWTC Campus, Bangalore. Billing to be done at actuals.</t>
  </si>
  <si>
    <t>3253426472004936940</t>
  </si>
  <si>
    <t>GEIIPL-ITCPO170486</t>
  </si>
  <si>
    <t>68327329 Purchase Invoices INR;BESCOM LTD S23875;107;325342647200</t>
  </si>
  <si>
    <t>Open PO for Power Procurement through BESCOM for the year 2024 at JFWTC Campus, Bangalore. Billing to be done at actuals.</t>
  </si>
  <si>
    <t>Payables A 1707935 15559262Apr-24-25Inv Num - 325362159389 , Supplier Name - BESCOM LTD S23875 , PO Num - 100060266 , Inv Dist Desc - Open PO for Power Procurement through BESCOM for the year 2024 at JFWTC Campus, Bangalore. Billing to be done at actuals.46653135210101581</t>
  </si>
  <si>
    <t>Payables A 1707935 15559262</t>
  </si>
  <si>
    <t>10-APR-2024 Purchase Invoices INR</t>
  </si>
  <si>
    <t>Inv Num - 325362159389 , Supplier Name - BESCOM LTD S23875 , PO Num - 100060266 , Inv Dist Desc - Open PO for Power Procurement through BESCOM for the year 2024 at JFWTC Campus, Bangalore. Billing to be done at actuals.</t>
  </si>
  <si>
    <t>3253621593894665313</t>
  </si>
  <si>
    <t>GEIIPL-ITCPO169574</t>
  </si>
  <si>
    <t>68098928 Purchase Invoices INR;BESCOM LTD S23875;107;325362159389</t>
  </si>
  <si>
    <t>GRC_235</t>
  </si>
  <si>
    <t>Reverses GR16_0324-RG24-AR-Open PO accrual - Infra_Mar-24 A18-APR-24 02:59:02 - 15552277Apr-24-25Open PO for Power Procurement through BESCOM for the year 2024 at JFWTC Campus Bangalore. Billing to be done at actuals.-45000005210101581</t>
  </si>
  <si>
    <t>Open PO for Power Procurement through BESCOM for the year 2024 at JFWTC Campus Bangalore. Billing to be done at actuals.</t>
  </si>
  <si>
    <t>-4500000</t>
  </si>
  <si>
    <t>Bescom Ltd S23875</t>
  </si>
  <si>
    <t>GRC_264</t>
  </si>
  <si>
    <t>Payables A 1710926 15613826May-24-25Inv Num - TX2924000123 , Supplier Name - STT GLOBAL DATA CENTERS INDIA PRIVATE LIMITED , PO Num - 100060705 , Inv Dist Desc - STT Datacenter Monthly Power Usage Charges for 99 DC Rackspace for GE HPC and VDI assets valid from January to Dec3967222.275210101232</t>
  </si>
  <si>
    <t>Payables A 1710926 15613826</t>
  </si>
  <si>
    <t>20-MAY-2024 Purchase Invoices INR</t>
  </si>
  <si>
    <t>Inv Num - TX2924000123 , Supplier Name - STT GLOBAL DATA CENTERS INDIA PRIVATE LIMITED , PO Num - 100060705 , Inv Dist Desc - STT Datacenter Monthly Power Usage Charges for 99 DC Rackspace for GE HPC and VDI assets valid from January to Dec</t>
  </si>
  <si>
    <t>TX29240001233967222.27</t>
  </si>
  <si>
    <t>TX2924000123</t>
  </si>
  <si>
    <t>GEIIPL-ITCOCR170617</t>
  </si>
  <si>
    <t>68341661 Purchase Invoices INR;STT GLOBAL DATA CENTERS INDIA PRIVATE LIMITED;103;TX2924000123</t>
  </si>
  <si>
    <t>STT Datacenter Monthly Power Usage Charges for 99 DC Rackspace for GE HPC and VDI assets valid from January to December 2024. Billing at Actuals</t>
  </si>
  <si>
    <t>GRC_265</t>
  </si>
  <si>
    <t>Reverses GR16_0324-RG24-AR-Open PO accrual - Infra_Mar-24 A18-APR-24 02:59:02 - 15552277Apr-24-25STT Datacenter Monthly Power Usage Charges for 99 DC Rackspace for GE HPC and VDI assets valid from January to December 2024. Billing at Actuals-39663125210101232</t>
  </si>
  <si>
    <t>-3966312</t>
  </si>
  <si>
    <t>GRC_279</t>
  </si>
  <si>
    <t>AUTOMATED AP Payables A 1716949 15683776Jun-24-25Inv Num - TX2924000407 , Supplier Name - STT GLOBAL DATA CENTERS INDIA PRIVATE LIMITED , PO Num - 100060705 , Inv Dist Desc - STT Datacenter Monthly Power Usage Charges for 99 DC Rackspace for GE HPC and VDI assets valid from January to Dec3822307.25210101232</t>
  </si>
  <si>
    <t>AUTOMATED AP Payables A 1716949 15683776</t>
  </si>
  <si>
    <t>12-JUN-2024 Purchase Invoices INR</t>
  </si>
  <si>
    <t>Inv Num - TX2924000407 , Supplier Name - STT GLOBAL DATA CENTERS INDIA PRIVATE LIMITED , PO Num - 100060705 , Inv Dist Desc - STT Datacenter Monthly Power Usage Charges for 99 DC Rackspace for GE HPC and VDI assets valid from January to Dec</t>
  </si>
  <si>
    <t>TX29240004073822307.2</t>
  </si>
  <si>
    <t>TX2924000407</t>
  </si>
  <si>
    <t>GEIIPL-ITCOCR171149</t>
  </si>
  <si>
    <t>68483090 Purchase Invoices INR;STT GLOBAL DATA CENTERS INDIA PRIVATE LIMITED;103;TX2924000407</t>
  </si>
  <si>
    <t>GRC_285</t>
  </si>
  <si>
    <t>Payables A 1707935 15559262Apr-24-25Inv Num - TX2923004134 , Supplier Name - STT GLOBAL DATA CENTERS INDIA PRIVATE LIMITED , PO Num - 100060705 , Inv Dist Desc - STT Datacenter Monthly Power Usage Charges for 99 DC Rackspace for GE HPC and VDI assets valid from January to Dec3715626.625210101232</t>
  </si>
  <si>
    <t>Inv Num - TX2923004134 , Supplier Name - STT GLOBAL DATA CENTERS INDIA PRIVATE LIMITED , PO Num - 100060705 , Inv Dist Desc - STT Datacenter Monthly Power Usage Charges for 99 DC Rackspace for GE HPC and VDI assets valid from January to Dec</t>
  </si>
  <si>
    <t>TX29230041343715626.62</t>
  </si>
  <si>
    <t>TX2923004134</t>
  </si>
  <si>
    <t>GEIIPL-ITCOCR169557</t>
  </si>
  <si>
    <t>68098906 Purchase Invoices INR;STT GLOBAL DATA CENTERS INDIA PRIVATE LIMITED;103;TX2923004134</t>
  </si>
  <si>
    <t>GRC_352</t>
  </si>
  <si>
    <t>AUTOMATED AP Payables A 1716949 15683776Jun-24-25Inv Num - 325637975618 , Supplier Name - BESCOM LTD S23875 , PO Num - 100060266 , Inv Dist Desc - Open PO for Power Procurement through BESCOM for the year 2024 at JFWTC Campus, Bangalore. Billing to be done at actuals.30930925210101581</t>
  </si>
  <si>
    <t>14-JUN-2024 Purchase Invoices INR</t>
  </si>
  <si>
    <t>Inv Num - 325637975618 , Supplier Name - BESCOM LTD S23875 , PO Num - 100060266 , Inv Dist Desc - Open PO for Power Procurement through BESCOM for the year 2024 at JFWTC Campus, Bangalore. Billing to be done at actuals.</t>
  </si>
  <si>
    <t>3256379756183093092</t>
  </si>
  <si>
    <t>GEIIPL-ITCPO171196</t>
  </si>
  <si>
    <t>68495260 Purchase Invoices INR;BESCOM LTD S23875;107;325637975618</t>
  </si>
  <si>
    <t>GRC_417</t>
  </si>
  <si>
    <t>AUTOMATED AP Payables A 1716949 15683776Jun-24-25Inv Num - 325637975618Interest , Supplier Name - BESCOM LTD S23875 , PO Num - , Inv Dist Desc - Towards Interest Interest on ISD/ASD (IOD)-21596805210101581</t>
  </si>
  <si>
    <t>GR16.5210101581.0000.GC6839.000.0000000000.GCN207.GCC100.P.000000000.000000</t>
  </si>
  <si>
    <t>Inv Num - 325637975618Interest , Supplier Name - BESCOM LTD S23875 , PO Num - , Inv Dist Desc - Towards Interest Interest on ISD/ASD (IOD)</t>
  </si>
  <si>
    <t>325637975618Interest-2159680</t>
  </si>
  <si>
    <t>GC6839</t>
  </si>
  <si>
    <t>Support Unspecified</t>
  </si>
  <si>
    <t>325637975618Interest</t>
  </si>
  <si>
    <t>GEIIPL-ITCD171195</t>
  </si>
  <si>
    <t>68495236 Purchase Invoices INR;Bescom Ltd S23875;107;325637975618Interest</t>
  </si>
  <si>
    <t>Towards Interest Interest on ISD/ASD (IOD)</t>
  </si>
  <si>
    <t>Support General Base Costs</t>
  </si>
  <si>
    <t>GRC_1755</t>
  </si>
  <si>
    <t>Reverses GR16_0324-RG15-AR-Open PO accrual_Mar-24 All Books18-APR-24 02:51:38 - 15552263Apr-24-25Power Consumption Charges for at STT for Aerospace VDI racks. The estimate is for 20 KW consumption.-2337335210101238</t>
  </si>
  <si>
    <t>Reverses GR16_0324-RG15-AR-Open PO accrual_Mar-24 All Books18-APR-24 02:51:38 - 15552263</t>
  </si>
  <si>
    <t>Reverses GR16_0324-RG15-AR-Open PO accrual_Mar-24 All Books INR User 1 1279583</t>
  </si>
  <si>
    <t>Power Consumption Charges for at STT for Aerospace VDI racks. The estimate is for 20 KW consumption.</t>
  </si>
  <si>
    <t>-233733</t>
  </si>
  <si>
    <t>GRC_3184</t>
  </si>
  <si>
    <t>Payables A 1710926 15613826May-24-25Inv Num - TX2924000125 , Supplier Name - STT GLOBAL DATA CENTERS INDIA PRIVATE LIMITED , PO Num - 100060415 , Inv Dist Desc - Power Consumption Charges for at STT for Aerospace VDI racks for the period Jan 24 to Dec 2024. Billing at Actuals81959.045210101238</t>
  </si>
  <si>
    <t>Inv Num - TX2924000125 , Supplier Name - STT GLOBAL DATA CENTERS INDIA PRIVATE LIMITED , PO Num - 100060415 , Inv Dist Desc - Power Consumption Charges for at STT for Aerospace VDI racks for the period Jan 24 to Dec 2024. Billing at Actuals</t>
  </si>
  <si>
    <t>TX292400012581959.04</t>
  </si>
  <si>
    <t>TX2924000125</t>
  </si>
  <si>
    <t>GEIIPL-ITCOCR170612</t>
  </si>
  <si>
    <t>68341660 Purchase Invoices INR;STT GLOBAL DATA CENTERS INDIA PRIVATE LIMITED;103;TX2924000125</t>
  </si>
  <si>
    <t>Power Consumption Charges for at STT for Aerospace VDI racks for the period Jan 24 to Dec 2024. Billing at Actuals</t>
  </si>
  <si>
    <t>GRC_3271</t>
  </si>
  <si>
    <t>AUTOMATED AP Payables A 1716949 15683776Jun-24-25Inv Num - TX2924000411 , Supplier Name - STT GLOBAL DATA CENTERS INDIA PRIVATE LIMITED , PO Num - 100060415 , Inv Dist Desc - Power Consumption Charges for at STT for Aerospace VDI racks for the period Jan 24 to Dec 2024. Billing at Actuals78042.245210101238</t>
  </si>
  <si>
    <t>13-JUN-2024 Purchase Invoices INR</t>
  </si>
  <si>
    <t>Inv Num - TX2924000411 , Supplier Name - STT GLOBAL DATA CENTERS INDIA PRIVATE LIMITED , PO Num - 100060415 , Inv Dist Desc - Power Consumption Charges for at STT for Aerospace VDI racks for the period Jan 24 to Dec 2024. Billing at Actuals</t>
  </si>
  <si>
    <t>TX292400041178042.24</t>
  </si>
  <si>
    <t>TX2924000411</t>
  </si>
  <si>
    <t>GEIIPL-ITCOCR171158</t>
  </si>
  <si>
    <t>68490118 Purchase Invoices INR;STT GLOBAL DATA CENTERS INDIA PRIVATE LIMITED;103;TX2924000411</t>
  </si>
  <si>
    <t>GRC_3280</t>
  </si>
  <si>
    <t>Payables A 1707935 15559262Apr-24-25Inv Num - TX2923004135 , Supplier Name - STT GLOBAL DATA CENTERS INDIA PRIVATE LIMITED , PO Num - 100060415 , Inv Dist Desc - Power Consumption Charges for at STT for Aerospace VDI racks for the period Jan 24 to Dec 2024. Billing at Actuals77523.265210101238</t>
  </si>
  <si>
    <t>02-APR-2024 Purchase Invoices INR</t>
  </si>
  <si>
    <t>Inv Num - TX2923004135 , Supplier Name - STT GLOBAL DATA CENTERS INDIA PRIVATE LIMITED , PO Num - 100060415 , Inv Dist Desc - Power Consumption Charges for at STT for Aerospace VDI racks for the period Jan 24 to Dec 2024. Billing at Actuals</t>
  </si>
  <si>
    <t>TX292300413577523.26</t>
  </si>
  <si>
    <t>TX2923004135</t>
  </si>
  <si>
    <t>GEIIPL-ITCOCR169435</t>
  </si>
  <si>
    <t>68054367 Purchase Invoices INR;STT GLOBAL DATA CENTERS INDIA PRIVATE LIMITED;103;TX2923004135</t>
  </si>
  <si>
    <t>GRC_3281</t>
  </si>
  <si>
    <t>Reverses GR16_0324-RG15-AR-Open PO accrual_Mar-24 All Books18-APR-24 02:51:38 - 15552263Apr-24-25Power Consumption Charges for at STT for Aerospace VDI racks for the period Jan 24 to Dec 2024. Billing at Actuals-775235210101238</t>
  </si>
  <si>
    <t>-77523</t>
  </si>
  <si>
    <t>GRC_7301</t>
  </si>
  <si>
    <t>Payables A 1707935 15559262Apr-24-25Inv Num - PR10006125567761808 , Supplier Name - DEPUTY CHIEF ELECTRICAL INSPECTOR BANGALORE EAST S22752 , PO Num - 100061255 , Inv Dist Desc - Payment Request : PR: Electricity tax on captive consumption for the month of March 2024149785210101581</t>
  </si>
  <si>
    <t>01-APR-2024 Purchase Invoices INR</t>
  </si>
  <si>
    <t>Inv Num - PR10006125567761808 , Supplier Name - DEPUTY CHIEF ELECTRICAL INSPECTOR BANGALORE EAST S22752 , PO Num - 100061255 , Inv Dist Desc - Payment Request : PR: Electricity tax on captive consumption for the month of March 2024</t>
  </si>
  <si>
    <t>PR1000612556776180814978</t>
  </si>
  <si>
    <t>PR10006125567761808</t>
  </si>
  <si>
    <t>GEIIPL-ITCP169427</t>
  </si>
  <si>
    <t>68046105 Purchase Invoices INR;DEPUTY CHIEF ELECTRICAL INSPECTOR BANGALORE EAST S22752;102;PR10006125567761808</t>
  </si>
  <si>
    <t>Payment Request : PR: Electricity tax on captive consumption for the month of March 2024</t>
  </si>
  <si>
    <t>GRC_8432</t>
  </si>
  <si>
    <t>AUTOMATED AP Payables A 1715855 15657793Jun-24-25Inv Num - PR10006194467763026 , Supplier Name - DEPUTY CHIEF ELECTRICAL INSPECTOR BANGALORE EAST S22752 , PO Num - 100061944 , Inv Dist Desc - Payment Request : PR: Electricity tax on captive consumption for the month of May 2024126435210101581</t>
  </si>
  <si>
    <t>AUTOMATED AP Payables A 1715855 15657793</t>
  </si>
  <si>
    <t>04-JUN-2024 Purchase Invoices INR</t>
  </si>
  <si>
    <t>Inv Num - PR10006194467763026 , Supplier Name - DEPUTY CHIEF ELECTRICAL INSPECTOR BANGALORE EAST S22752 , PO Num - 100061944 , Inv Dist Desc - Payment Request : PR: Electricity tax on captive consumption for the month of May 2024</t>
  </si>
  <si>
    <t>PR1000619446776302612643</t>
  </si>
  <si>
    <t>PR10006194467763026</t>
  </si>
  <si>
    <t>GEIIPL-ITCP170821</t>
  </si>
  <si>
    <t>68438540 Purchase Invoices INR;DEPUTY CHIEF ELECTRICAL INSPECTOR BANGALORE EAST S22752;102;PR10006194467763026</t>
  </si>
  <si>
    <t>Payment Request : PR: Electricity tax on captive consumption for the month of May 2024</t>
  </si>
  <si>
    <t>GRC_11055</t>
  </si>
  <si>
    <t>AUTOMATED AP Payables A 1712877 15611513May-24-25Inv Num - PR10006160867762456 , Supplier Name - DEPUTY CHIEF ELECTRICAL INSPECTOR BANGALORE EAST S22752 , PO Num - 100061608 , Inv Dist Desc - Payment Request : PR: Electricity tax on captive consumption for the month of April 202470605210101581</t>
  </si>
  <si>
    <t>07-MAY-2024 Purchase Invoices INR</t>
  </si>
  <si>
    <t>Inv Num - PR10006160867762456 , Supplier Name - DEPUTY CHIEF ELECTRICAL INSPECTOR BANGALORE EAST S22752 , PO Num - 100061608 , Inv Dist Desc - Payment Request : PR: Electricity tax on captive consumption for the month of April 2024</t>
  </si>
  <si>
    <t>PR100061608677624567060</t>
  </si>
  <si>
    <t>PR10006160867762456</t>
  </si>
  <si>
    <t>GEIIPL-ITCP170277</t>
  </si>
  <si>
    <t>68273382 Purchase Invoices INR;DEPUTY CHIEF ELECTRICAL INSPECTOR BANGALORE EAST S22752;102;PR10006160867762456</t>
  </si>
  <si>
    <t>Payment Request : PR: Electricity tax on captive consumption for the month of April 2024</t>
  </si>
  <si>
    <t>GRC_11251</t>
  </si>
  <si>
    <t>AUTOMATED AP Payables A 1712877 15611513May-24-25Inv Num - PR10006147167762087 , Supplier Name - CHIEF ELECTRICAL INSPECTOR TO GOVERNMENT OF KARNATAKA T10654 , PO Num - 100061471 , Inv Dist Desc - Payment Request : PR: Towards DG inspection charges by CEIG66005210101581</t>
  </si>
  <si>
    <t>06-MAY-2024 Purchase Invoices INR</t>
  </si>
  <si>
    <t>Inv Num - PR10006147167762087 , Supplier Name - CHIEF ELECTRICAL INSPECTOR TO GOVERNMENT OF KARNATAKA T10654 , PO Num - 100061471 , Inv Dist Desc - Payment Request : PR: Towards DG inspection charges by CEIG</t>
  </si>
  <si>
    <t>PR100061471677620876600</t>
  </si>
  <si>
    <t>PR10006147167762087</t>
  </si>
  <si>
    <t>GEIIPL-ITCP170272</t>
  </si>
  <si>
    <t>68265346 Purchase Invoices INR;CHIEF ELECTRICAL INSPECTOR TO GOVERNMENT OF KARNATAKA T10654;101;PR10006147167762087</t>
  </si>
  <si>
    <t>Payment Request : PR: Towards DG inspection charges by CEIG</t>
  </si>
  <si>
    <t>GRC_12157</t>
  </si>
  <si>
    <t>GR16_0624_MK01_CP_TDS gross up and Pcard entries May 24 WF#12896046585 Spreadsheet A 15685337Jun-24-25Rectification49425210101581</t>
  </si>
  <si>
    <t>GR16_0624_MK01_CP_TDS gross up and Pcard entries May 24 WF#12896046585 Spreadsheet A 15685337</t>
  </si>
  <si>
    <t>GR16_0624_MK01_CP_TDS gross up and Pcard entries May 24 WF#12896046585 All Books INR User 1</t>
  </si>
  <si>
    <t>‭100060266‬4942</t>
  </si>
  <si>
    <t>‭100060266‬</t>
  </si>
  <si>
    <t>TDS_194Q_0.1-Grossup</t>
  </si>
  <si>
    <t>GRC_12303</t>
  </si>
  <si>
    <t>GR16_0524_MK04_CP_TDS gross up and Pcard entries April 24 WF#12803827589 Spreadsheet 15613653May-24-25Rectification46705210101581</t>
  </si>
  <si>
    <t>GR16_0524_MK04_CP_TDS gross up and Pcard entries April 24 WF#12803827589 Spreadsheet 15613653</t>
  </si>
  <si>
    <t>GR16_0524_MK04_CP_TDS gross up and Pcard entries April 24 WF#12803827589 All Books INR User 1</t>
  </si>
  <si>
    <t>‭100060266‬4670</t>
  </si>
  <si>
    <t>GRC_12509</t>
  </si>
  <si>
    <t>GR16_0424_MK06_CP_TDS gross up and Pcard entries Mar 24 WF#12724216141 Spreadsheet A 15564335Apr-24-25Rectification43325210101581</t>
  </si>
  <si>
    <t>GR16_0424_MK06_CP_TDS gross up and Pcard entries Mar 24 WF#12724216141 Spreadsheet A 15564335</t>
  </si>
  <si>
    <t>GR16_0424_MK06_CP_TDS gross up and Pcard entries Mar 24 WF#12724216141 All Books INR User 1</t>
  </si>
  <si>
    <t>‭100060266‬4332</t>
  </si>
  <si>
    <t>GRC_39117</t>
  </si>
  <si>
    <t>AUTOMATED AP Payables A 1716206 15723077Jul-24-25Inv Num - BS716292400119 , Supplier Name - AMPLUS KN SOLAR PRIVATE LIMITED S88846 , PO Num - 100061150 , Inv Dist Desc - Open PO for Solar Power Procurement for the period March 2024 to Feb 2025 at JFWTC Campus, Bangalore. Billing to be don93456005210101581</t>
  </si>
  <si>
    <t>AUTOMATED AP Payables A 1716206 15723077</t>
  </si>
  <si>
    <t>11-JUL-2024 Purchase Invoices INR</t>
  </si>
  <si>
    <t>Inv Num - BS716292400119 , Supplier Name - AMPLUS KN SOLAR PRIVATE LIMITED S88846 , PO Num - 100061150 , Inv Dist Desc - Open PO for Solar Power Procurement for the period March 2024 to Feb 2025 at JFWTC Campus, Bangalore. Billing to be don</t>
  </si>
  <si>
    <t>BS7162924001199345600</t>
  </si>
  <si>
    <t>BS716292400119</t>
  </si>
  <si>
    <t>GEIIPL-ITCOCR172131</t>
  </si>
  <si>
    <t>68650702 Purchase Invoices INR;AMPLUS KN SOLAR PRIVATE LIMITED S88846;102;BS716292400119</t>
  </si>
  <si>
    <t>GRC_39118</t>
  </si>
  <si>
    <t>AUTOMATED AP Payables A 1725942 15792731Aug-24-25Inv Num - BS716292400135 , Supplier Name - AMPLUS KN SOLAR PRIVATE LIMITED S88846 , PO Num - 100061150 , Inv Dist Desc - Open PO for Solar Power Procurement for the period March 2024 to Feb 2025 at JFWTC Campus, Bangalore. Billing to be don93456005210101581</t>
  </si>
  <si>
    <t>AUTOMATED AP Payables A 1725942 15792731</t>
  </si>
  <si>
    <t>22-AUG-2024 Purchase Invoices INR</t>
  </si>
  <si>
    <t>Inv Num - BS716292400135 , Supplier Name - AMPLUS KN SOLAR PRIVATE LIMITED S88846 , PO Num - 100061150 , Inv Dist Desc - Open PO for Solar Power Procurement for the period March 2024 to Feb 2025 at JFWTC Campus, Bangalore. Billing to be don</t>
  </si>
  <si>
    <t>BS7162924001359345600</t>
  </si>
  <si>
    <t>BS716292400135</t>
  </si>
  <si>
    <t>GEIIPL-ITCOCR173371</t>
  </si>
  <si>
    <t>68878677 Purchase Invoices INR;AMPLUS KN SOLAR PRIVATE LIMITED S88846;102;BS716292400135</t>
  </si>
  <si>
    <t>GRC_39119</t>
  </si>
  <si>
    <t>AUTOMATED AP Payables A 1723364 15846546Sep-24-25Inv Num - BS716292400171 , Supplier Name - AMPLUS KN SOLAR PRIVATE LIMITED S88846 , PO Num - 100061150 , Inv Dist Desc - Open PO for Solar Power Procurement for the period March 2024 to Feb 2025 at JFWTC Campus, Bangalore. Billing to be don93456005210101581</t>
  </si>
  <si>
    <t>AUTOMATED AP Payables A 1723364 15846546</t>
  </si>
  <si>
    <t>12-SEP-2024 Purchase Invoices INR</t>
  </si>
  <si>
    <t>Inv Num - BS716292400171 , Supplier Name - AMPLUS KN SOLAR PRIVATE LIMITED S88846 , PO Num - 100061150 , Inv Dist Desc - Open PO for Solar Power Procurement for the period March 2024 to Feb 2025 at JFWTC Campus, Bangalore. Billing to be don</t>
  </si>
  <si>
    <t>BS7162924001719345600</t>
  </si>
  <si>
    <t>BS716292400171</t>
  </si>
  <si>
    <t>GEIIPL-ITCOCR174230</t>
  </si>
  <si>
    <t>69001704 Purchase Invoices INR;AMPLUS KN SOLAR PRIVATE LIMITED S88846;102;BS716292400171</t>
  </si>
  <si>
    <t>GRC_39162</t>
  </si>
  <si>
    <t>AUTOMATED AP Payables A 1723364 15846546Sep-24-25Inv Num - 325930191934 , Supplier Name - BESCOM LTD S23875 , PO Num - 100060266 , Inv Dist Desc - Open PO for Power Procurement through BESCOM for the year 2024 at JFWTC Campus, Bangalore. Billing to be done at actuals.67104705210101581</t>
  </si>
  <si>
    <t>Inv Num - 325930191934 , Supplier Name - BESCOM LTD S23875 , PO Num - 100060266 , Inv Dist Desc - Open PO for Power Procurement through BESCOM for the year 2024 at JFWTC Campus, Bangalore. Billing to be done at actuals.</t>
  </si>
  <si>
    <t>3259301919346710470</t>
  </si>
  <si>
    <t>GEIIPL-ITCPO174201</t>
  </si>
  <si>
    <t>69001711 Purchase Invoices INR;BESCOM LTD S23875;107;325930191934</t>
  </si>
  <si>
    <t>GRC_39171</t>
  </si>
  <si>
    <t>AUTOMATED AP Payables A 1716206 15723077Jul-24-25Inv Num - 325478774581 , Supplier Name - BESCOM LTD S23875 , PO Num - 100060266 , Inv Dist Desc - Open PO for Power Procurement through BESCOM for the year 2024 at JFWTC Campus, Bangalore. Billing to be done at actuals.63528175210101581</t>
  </si>
  <si>
    <t>10-JUL-2024 Purchase Invoices INR</t>
  </si>
  <si>
    <t>Inv Num - 325478774581 , Supplier Name - BESCOM LTD S23875 , PO Num - 100060266 , Inv Dist Desc - Open PO for Power Procurement through BESCOM for the year 2024 at JFWTC Campus, Bangalore. Billing to be done at actuals.</t>
  </si>
  <si>
    <t>3254787745816352817</t>
  </si>
  <si>
    <t>GEIIPL-ITCPO172025</t>
  </si>
  <si>
    <t>68643699 Purchase Invoices INR;BESCOM LTD S23875;107;325478774581</t>
  </si>
  <si>
    <t>GRC_39185</t>
  </si>
  <si>
    <t>AUTOMATED AP Payables A 1724922 15778488Aug-24-25Inv Num - 325313945880 , Supplier Name - BESCOM LTD S23875 , PO Num - 100060266 , Inv Dist Desc - Open PO for Power Procurement through BESCOM for the year 2024 at JFWTC Campus, Bangalore. Billing to be done at actuals.59793495210101581</t>
  </si>
  <si>
    <t>AUTOMATED AP Payables A 1724922 15778488</t>
  </si>
  <si>
    <t>09-AUG-2024 Purchase Invoices INR</t>
  </si>
  <si>
    <t>Inv Num - 325313945880 , Supplier Name - BESCOM LTD S23875 , PO Num - 100060266 , Inv Dist Desc - Open PO for Power Procurement through BESCOM for the year 2024 at JFWTC Campus, Bangalore. Billing to be done at actuals.</t>
  </si>
  <si>
    <t>3253139458805979349</t>
  </si>
  <si>
    <t>GEIIPL-ITCPO172945</t>
  </si>
  <si>
    <t>68815995 Purchase Invoices INR;BESCOM LTD S23875;107;325313945880</t>
  </si>
  <si>
    <t>GRC_39268</t>
  </si>
  <si>
    <t>AUTOMATED AP Payables A 1723906 15769188Aug-24-25Inv Num - TX2924000869 , Supplier Name - STT GLOBAL DATA CENTERS INDIA PRIVATE LIMITED , PO Num - 100060705 , Inv Dist Desc - STT Datacenter Monthly Power Usage Charges for 99 DC Rackspace for GE HPC and VDI assets valid from January to Dec3920374.095210101232</t>
  </si>
  <si>
    <t>AUTOMATED AP Payables A 1723906 15769188</t>
  </si>
  <si>
    <t>01-AUG-2024 Purchase Invoices INR</t>
  </si>
  <si>
    <t>Inv Num - TX2924000869 , Supplier Name - STT GLOBAL DATA CENTERS INDIA PRIVATE LIMITED , PO Num - 100060705 , Inv Dist Desc - STT Datacenter Monthly Power Usage Charges for 99 DC Rackspace for GE HPC and VDI assets valid from January to Dec</t>
  </si>
  <si>
    <t>TX29240008693920374.09</t>
  </si>
  <si>
    <t>TX2924000869</t>
  </si>
  <si>
    <t>GEIIPL-ITCOCR172641</t>
  </si>
  <si>
    <t>68769027 Purchase Invoices INR;STT GLOBAL DATA CENTERS INDIA PRIVATE LIMITED;103;TX2924000869</t>
  </si>
  <si>
    <t>GRC_39274</t>
  </si>
  <si>
    <t>AUTOMATED AP Payables A 1724922 15778488Aug-24-25Inv Num - TX2924001173 , Supplier Name - STT GLOBAL DATA CENTERS INDIA PRIVATE LIMITED , PO Num - 100060705 , Inv Dist Desc - STT Datacenter Monthly Power Usage Charges for 99 DC Rackspace for GE HPC and VDI assets valid from January to Dec3872246.45210101232</t>
  </si>
  <si>
    <t>Inv Num - TX2924001173 , Supplier Name - STT GLOBAL DATA CENTERS INDIA PRIVATE LIMITED , PO Num - 100060705 , Inv Dist Desc - STT Datacenter Monthly Power Usage Charges for 99 DC Rackspace for GE HPC and VDI assets valid from January to Dec</t>
  </si>
  <si>
    <t>TX29240011733872246.4</t>
  </si>
  <si>
    <t>TX2924001173</t>
  </si>
  <si>
    <t>GEIIPL-ITCOCR172924</t>
  </si>
  <si>
    <t>68815933 Purchase Invoices INR;STT GLOBAL DATA CENTERS INDIA PRIVATE LIMITED;103;TX2924001173</t>
  </si>
  <si>
    <t>GRC_39286</t>
  </si>
  <si>
    <t>AUTOMATED AP Payables A 1723396 15856639Sep-24-25Inv Num - TX2924001435 , Supplier Name - STT GLOBAL DATA CENTERS INDIA PRIVATE LIMITED , PO Num - 100060705 , Inv Dist Desc - STT Datacenter Monthly Power Usage Charges for 99 DC Rackspace for GE HPC and VDI assets valid from January to Dec3693418.375210101232</t>
  </si>
  <si>
    <t>AUTOMATED AP Payables A 1723396 15856639</t>
  </si>
  <si>
    <t>17-SEP-2024 Purchase Invoices INR</t>
  </si>
  <si>
    <t>Inv Num - TX2924001435 , Supplier Name - STT GLOBAL DATA CENTERS INDIA PRIVATE LIMITED , PO Num - 100060705 , Inv Dist Desc - STT Datacenter Monthly Power Usage Charges for 99 DC Rackspace for GE HPC and VDI assets valid from January to Dec</t>
  </si>
  <si>
    <t>TX29240014353693418.37</t>
  </si>
  <si>
    <t>TX2924001435</t>
  </si>
  <si>
    <t>GEIIPL-ITCOCR174430</t>
  </si>
  <si>
    <t>69022187 Purchase Invoices INR;STT GLOBAL DATA CENTERS INDIA PRIVATE LIMITED;103;TX2924001435</t>
  </si>
  <si>
    <t>GRC_39469</t>
  </si>
  <si>
    <t>AUTOMATED AP Payables A 1716206 15723077Jul-24-25Inv Num - 325637975618InterestA- Correction , Supplier Name - BESCOM LTD S23875 , PO Num - , Inv Dist Desc - Towards Interest Interest on ISD/ASD (IOD)19437125210101581</t>
  </si>
  <si>
    <t>Inv Num - 325637975618InterestA- Correction , Supplier Name - BESCOM LTD S23875 , PO Num - , Inv Dist Desc - Towards Interest Interest on ISD/ASD (IOD)</t>
  </si>
  <si>
    <t>325637975618InterestA- Correction1943712</t>
  </si>
  <si>
    <t>325637975618InterestA- Correction</t>
  </si>
  <si>
    <t>GEIIPL-ITCD172032</t>
  </si>
  <si>
    <t>68643706 Purchase Invoices INR;Bescom Ltd S23875;107;325637975618InterestA- Correction</t>
  </si>
  <si>
    <t>GRC_39561</t>
  </si>
  <si>
    <t>AUTOMATED AP Payables A 1723114 15787118Aug-24-25Inv Num - 1020951930 , Supplier Name - BHARAT PETROLEUM CORPORATION LTD , PO Num - 100060183 , Inv Dist Desc - Open PO towards Supply of HSD from Jan 2024 to Dec 2024 at JFWTC Campus, Bangalore. Billing to be done on actual Supplied Quantit15012345210101581</t>
  </si>
  <si>
    <t>AUTOMATED AP Payables A 1723114 15787118</t>
  </si>
  <si>
    <t>19-AUG-2024 Purchase Invoices INR</t>
  </si>
  <si>
    <t>Inv Num - 1020951930 , Supplier Name - BHARAT PETROLEUM CORPORATION LTD , PO Num - 100060183 , Inv Dist Desc - Open PO towards Supply of HSD from Jan 2024 to Dec 2024 at JFWTC Campus, Bangalore. Billing to be done on actual Supplied Quantit</t>
  </si>
  <si>
    <t>10209519301501234</t>
  </si>
  <si>
    <t>GEIIPL-ITCM173207</t>
  </si>
  <si>
    <t>68856756 Purchase Invoices INR;BHARAT PETROLEUM CORPORATION LTD;102;1020951930</t>
  </si>
  <si>
    <t>Open PO towards Supply of HSD from Jan 2024 to Dec 2024 at JFWTC Campus, Bangalore. Billing to be done on actual Supplied Quantity.</t>
  </si>
  <si>
    <t>GRC_41704</t>
  </si>
  <si>
    <t>AUTOMATED AP Payables A 1725942 15792731Aug-24-25Inv Num - 5241000188 , Supplier Name - ATLAS COPCO (INDIA) LTD. , PO Num - 100062103 , Inv Dist Desc - Open PO towards Rental charges for XAS48 - Diesel Driven Oil Lubricated Portable Screw type Atlas Copco compressor. Details as per annexu1530005210101320</t>
  </si>
  <si>
    <t>GR16.5210101320.0000.GC9410.000.0000000000.GCN213.GCB100.P.000000000.000000</t>
  </si>
  <si>
    <t>Inv Num - 5241000188 , Supplier Name - ATLAS COPCO (INDIA) LTD. , PO Num - 100062103 , Inv Dist Desc - Open PO towards Rental charges for XAS48 - Diesel Driven Oil Lubricated Portable Screw type Atlas Copco compressor. Details as per annexu</t>
  </si>
  <si>
    <t>5241000188153000</t>
  </si>
  <si>
    <t>GC9410</t>
  </si>
  <si>
    <t>SEEMSI Aviation</t>
  </si>
  <si>
    <t>GEIIPL-ITCOCR173383</t>
  </si>
  <si>
    <t>68878697 Purchase Invoices INR;ATLAS COPCO (INDIA) LTD.;112;5241000188</t>
  </si>
  <si>
    <t>Open PO towards Rental charges for XAS48 - Diesel Driven Oil Lubricated Portable Screw type Atlas Copco compressor. Details as per annexure and quote ref no. Q-19992 - V1.</t>
  </si>
  <si>
    <t>SEEMSI Aviation Base Costs</t>
  </si>
  <si>
    <t>GRC_41945</t>
  </si>
  <si>
    <t>Payables A 1732022 15875016Sep-24-25Inv Num - 5241000232 , Supplier Name - ATLAS COPCO (INDIA) LTD. , PO Num - 100062954 , Inv Dist Desc - Rental charges for XAS48 - Diesel Driven Oil Lubricated Portable Screw type Atlas Copco compressor (Aug 24 to Oct 24). Billing to be done1330005210101320</t>
  </si>
  <si>
    <t>Payables A 1732022 15875016</t>
  </si>
  <si>
    <t>23-SEP-2024 Purchase Invoices INR</t>
  </si>
  <si>
    <t>Inv Num - 5241000232 , Supplier Name - ATLAS COPCO (INDIA) LTD. , PO Num - 100062954 , Inv Dist Desc - Rental charges for XAS48 - Diesel Driven Oil Lubricated Portable Screw type Atlas Copco compressor (Aug 24 to Oct 24). Billing to be done</t>
  </si>
  <si>
    <t>5241000232133000</t>
  </si>
  <si>
    <t>GEIIPL-ITCOCR174652</t>
  </si>
  <si>
    <t>69051013 Purchase Invoices INR;ATLAS COPCO (INDIA) LTD.;112;5241000232</t>
  </si>
  <si>
    <t>Rental charges for XAS48 - Diesel Driven Oil Lubricated Portable Screw type Atlas Copco compressor (Aug 24 to Oct 24). Billing to be done at actuals.</t>
  </si>
  <si>
    <t>GRC_42742</t>
  </si>
  <si>
    <t>Payables A 1721927 15744938Jul-24-25Inv Num - TX2924000907 , Supplier Name - STT GLOBAL DATA CENTERS INDIA PRIVATE LIMITED , PO Num - 100060415 , Inv Dist Desc - Power Consumption Charges for at STT for Aerospace VDI racks for the period Jan 24 to Dec 2024. Billing at Actuals81554.35210101238</t>
  </si>
  <si>
    <t>Payables A 1721927 15744938</t>
  </si>
  <si>
    <t>25-JUL-2024 Purchase Invoices INR</t>
  </si>
  <si>
    <t>Inv Num - TX2924000907 , Supplier Name - STT GLOBAL DATA CENTERS INDIA PRIVATE LIMITED , PO Num - 100060415 , Inv Dist Desc - Power Consumption Charges for at STT for Aerospace VDI racks for the period Jan 24 to Dec 2024. Billing at Actuals</t>
  </si>
  <si>
    <t>TX292400090781554.3</t>
  </si>
  <si>
    <t>TX2924000907</t>
  </si>
  <si>
    <t>GEIIPL-ITCOCR172546</t>
  </si>
  <si>
    <t>68716069 Purchase Invoices INR;STT GLOBAL DATA CENTERS INDIA PRIVATE LIMITED;103;TX2924000907</t>
  </si>
  <si>
    <t>GRC_42817</t>
  </si>
  <si>
    <t>AUTOMATED AP Payables A 1723063 15774506Aug-24-25Inv Num - TX2924001174 , Supplier Name - STT GLOBAL DATA CENTERS INDIA PRIVATE LIMITED , PO Num - 100060415 , Inv Dist Desc - Power Consumption Charges for at STT for Aerospace VDI racks for the period Jan 24 to Dec 2024. Billing at Actuals78629.765210101238</t>
  </si>
  <si>
    <t>AUTOMATED AP Payables A 1723063 15774506</t>
  </si>
  <si>
    <t>08-AUG-2024 Purchase Invoices INR</t>
  </si>
  <si>
    <t>Inv Num - TX2924001174 , Supplier Name - STT GLOBAL DATA CENTERS INDIA PRIVATE LIMITED , PO Num - 100060415 , Inv Dist Desc - Power Consumption Charges for at STT for Aerospace VDI racks for the period Jan 24 to Dec 2024. Billing at Actuals</t>
  </si>
  <si>
    <t>TX292400117478629.76</t>
  </si>
  <si>
    <t>TX2924001174</t>
  </si>
  <si>
    <t>GEIIPL-ITCM172850</t>
  </si>
  <si>
    <t>68810525 Purchase Invoices INR;STT GLOBAL DATA CENTERS INDIA PRIVATE LIMITED;103;TX2924001174</t>
  </si>
  <si>
    <t>GRC_42901</t>
  </si>
  <si>
    <t>AUTOMATED AP Payables A 1729948 15851377Sep-24-25Inv Num - TX2924001441 , Supplier Name - STT GLOBAL DATA CENTERS INDIA PRIVATE LIMITED , PO Num - 100060415 , Inv Dist Desc - Power Consumption Charges for at STT for Aerospace VDI racks for the period Jan 24 to Dec 2024. Billing at Actuals75989.185210101238</t>
  </si>
  <si>
    <t>AUTOMATED AP Payables A 1729948 15851377</t>
  </si>
  <si>
    <t>16-SEP-2024 Purchase Invoices INR</t>
  </si>
  <si>
    <t>Inv Num - TX2924001441 , Supplier Name - STT GLOBAL DATA CENTERS INDIA PRIVATE LIMITED , PO Num - 100060415 , Inv Dist Desc - Power Consumption Charges for at STT for Aerospace VDI racks for the period Jan 24 to Dec 2024. Billing at Actuals</t>
  </si>
  <si>
    <t>TX292400144175989.18</t>
  </si>
  <si>
    <t>TX2924001441</t>
  </si>
  <si>
    <t>GEIIPL-ITCOCR174349</t>
  </si>
  <si>
    <t>69014278 Purchase Invoices INR;STT GLOBAL DATA CENTERS INDIA PRIVATE LIMITED;103;TX2924001441</t>
  </si>
  <si>
    <t>GRC_45809</t>
  </si>
  <si>
    <t>GR16_31072024_ST03_CP_ IBS Payment entry Spreadsheet A 1722994 15757706Jul-24-25PTE-240402-A3Z01-A02003-22891.875210101238</t>
  </si>
  <si>
    <t>GR16_31072024_ST03_CP_ IBS Payment entry Spreadsheet A 1722994 15757706</t>
  </si>
  <si>
    <t>GR16_31072024_ST03_CP_ IBS Payment entry All Books USD MOR 31-JUL-24</t>
  </si>
  <si>
    <t>GR16.5210101238.0000.GC9423.000.0000000000.000000.000000.P.000000000.000000</t>
  </si>
  <si>
    <t>PTE-240402-A3Z01-A02003</t>
  </si>
  <si>
    <t>USD</t>
  </si>
  <si>
    <t>PTE-240402-A3Z01-A02003-22891.87</t>
  </si>
  <si>
    <t>Default Reference</t>
  </si>
  <si>
    <t>GC9423</t>
  </si>
  <si>
    <t>AVI TEC</t>
  </si>
  <si>
    <t>240402-A3Z01-A02003</t>
  </si>
  <si>
    <t>SD00O3</t>
  </si>
  <si>
    <t>GRC_47159</t>
  </si>
  <si>
    <t>AUTOMATED AP Payables A 1723906 15769188Aug-24-25Inv Num - PR10006272467764101 , Supplier Name - DEPUTY CHIEF ELECTRICAL INSPECTOR BANGALORE EAST S22752 , PO Num - 100062724 , Inv Dist Desc - Payment Request : PR: Electricity tax on captive consumption for the month of July 2024.160005210101581</t>
  </si>
  <si>
    <t>Inv Num - PR10006272467764101 , Supplier Name - DEPUTY CHIEF ELECTRICAL INSPECTOR BANGALORE EAST S22752 , PO Num - 100062724 , Inv Dist Desc - Payment Request : PR: Electricity tax on captive consumption for the month of July 2024.</t>
  </si>
  <si>
    <t>PR1000627246776410116000</t>
  </si>
  <si>
    <t>PR10006272467764101</t>
  </si>
  <si>
    <t>GEIIPL-ITCP172724</t>
  </si>
  <si>
    <t>68769202 Purchase Invoices INR;DEPUTY CHIEF ELECTRICAL INSPECTOR BANGALORE EAST S22752;102;PR10006272467764101</t>
  </si>
  <si>
    <t>Payment Request : PR: Electricity tax on captive consumption for the month of July 2024.</t>
  </si>
  <si>
    <t>GRC_51951</t>
  </si>
  <si>
    <t>AUTOMATED AP Payables A 1723357 15843999Sep-24-25Inv Num - PR10006322667764641 , Supplier Name - DEPUTY CHIEF ELECTRICAL INSPECTOR BANGALORE EAST S22752 , PO Num - 100063226 , Inv Dist Desc - Payment Request : PR: Electricity tax on captive consumption for the month of August 2024.77355210101581</t>
  </si>
  <si>
    <t>AUTOMATED AP Payables A 1723357 15843999</t>
  </si>
  <si>
    <t>06-SEP-2024 Purchase Invoices INR</t>
  </si>
  <si>
    <t>Inv Num - PR10006322667764641 , Supplier Name - DEPUTY CHIEF ELECTRICAL INSPECTOR BANGALORE EAST S22752 , PO Num - 100063226 , Inv Dist Desc - Payment Request : PR: Electricity tax on captive consumption for the month of August 2024.</t>
  </si>
  <si>
    <t>PR100063226677646417735</t>
  </si>
  <si>
    <t>PR10006322667764641</t>
  </si>
  <si>
    <t>GEIIPL-ITCP173975</t>
  </si>
  <si>
    <t>68972949 Purchase Invoices INR;DEPUTY CHIEF ELECTRICAL INSPECTOR BANGALORE EAST S22752;102;PR10006322667764641</t>
  </si>
  <si>
    <t>Payment Request : PR: Electricity tax on captive consumption for the month of August 2024.</t>
  </si>
  <si>
    <t>GRC_52887</t>
  </si>
  <si>
    <t>GR16_0824_MK01_CP_TDS gross up and Pcard entries July 24 WF#13098917235 Spreadsheet A 15796673Aug-24-25Rectification63595210101581</t>
  </si>
  <si>
    <t>GR16_0824_MK01_CP_TDS gross up and Pcard entries July 24 WF#13098917235 Spreadsheet A 15796673</t>
  </si>
  <si>
    <t>GR16_0824_MK01_CP_TDS gross up and Pcard entries July 24 WF#13098917235 All Books INR User 1</t>
  </si>
  <si>
    <t>‭100060266‬6359</t>
  </si>
  <si>
    <t>TDS_194Q_0.1GR</t>
  </si>
  <si>
    <t>GRC_53187</t>
  </si>
  <si>
    <t>GR16_0924_MK01_CP_TDS gross up and Pcard entries Aug 24 WF# Spreadsheet A 1729965 15862377Sep-24-25Rectification59855210101581</t>
  </si>
  <si>
    <t>GR16_0924_MK01_CP_TDS gross up and Pcard entries Aug 24 WF# Spreadsheet A 1729965 15862377</t>
  </si>
  <si>
    <t>GR16_0924_MK01_CP_TDS gross up and Pcard entries Aug 24 WF# All Books INR User 1</t>
  </si>
  <si>
    <t>‭100060266‬5985</t>
  </si>
  <si>
    <t>GRC_53955</t>
  </si>
  <si>
    <t>GR16_0724_MK01_CP_TDS gross up and Pcard entries June 24 WF#12985631324 Spreadsheet A 15747212Jul-24-25Rectification50425210101581</t>
  </si>
  <si>
    <t>GR16_0724_MK01_CP_TDS gross up and Pcard entries June 24 WF#12985631324 Spreadsheet A 15747212</t>
  </si>
  <si>
    <t>GR16_0724_MK01_CP_TDS gross up and Pcard entries June 24 WF#12985631324 All Books INR User 1</t>
  </si>
  <si>
    <t>‭100060266‬5042</t>
  </si>
  <si>
    <t>GRC_75969</t>
  </si>
  <si>
    <t>AUTOMATED AP Payables A 1716170 15712738Jul-24-25Inv Num - PR10006231567763554 , Supplier Name - DEPUTY CHIEF ELECTRICAL INSPECTOR BANGALORE EAST S22752 , PO Num - , Inv Dist Desc - Payment Request : PR: Electricity tax on captive consumption for the month of June 2024.4285210101581</t>
  </si>
  <si>
    <t>AUTOMATED AP Payables A 1716170 15712738</t>
  </si>
  <si>
    <t>02-JUL-2024 Purchase Invoices INR</t>
  </si>
  <si>
    <t>Inv Num - PR10006231567763554 , Supplier Name - DEPUTY CHIEF ELECTRICAL INSPECTOR BANGALORE EAST S22752 , PO Num - , Inv Dist Desc - Payment Request : PR: Electricity tax on captive consumption for the month of June 2024.</t>
  </si>
  <si>
    <t>PR10006231567763554428</t>
  </si>
  <si>
    <t>PR10006231567763554</t>
  </si>
  <si>
    <t>GEIIPL-ITCP171638</t>
  </si>
  <si>
    <t>68604108 Purchase Invoices INR;DEPUTY CHIEF ELECTRICAL INSPECTOR BANGALORE EAST S22752;102;PR10006231567763554</t>
  </si>
  <si>
    <t>Payment Request : PR: Electricity tax on captive consumption for the month of June 2024.</t>
  </si>
  <si>
    <t>GRC_85220</t>
  </si>
  <si>
    <t>AUTOMATED AP Payables A 1737988 15953601Oct-24-25Inv Num - BS716292400202 , Supplier Name - AMPLUS KN SOLAR PRIVATE LIMITED S88846 , PO Num - 100061150 , Inv Dist Desc - Open PO for Solar Power Procurement for the period March 2024 to Feb 2025 at JFWTC Campus, Bangalore. Billing to be don97680005210101581</t>
  </si>
  <si>
    <t>AUTOMATED AP Payables A 1737988 15953601</t>
  </si>
  <si>
    <t>15-OCT-2024 Purchase Invoices INR</t>
  </si>
  <si>
    <t>Inv Num - BS716292400202 , Supplier Name - AMPLUS KN SOLAR PRIVATE LIMITED S88846 , PO Num - 100061150 , Inv Dist Desc - Open PO for Solar Power Procurement for the period March 2024 to Feb 2025 at JFWTC Campus, Bangalore. Billing to be don</t>
  </si>
  <si>
    <t>BS7162924002029768000</t>
  </si>
  <si>
    <t>BS716292400202</t>
  </si>
  <si>
    <t>GEIIPL-ITCOCR175531</t>
  </si>
  <si>
    <t>69189358 Purchase Invoices INR;AMPLUS KN SOLAR PRIVATE LIMITED S88846;102;BS716292400202</t>
  </si>
  <si>
    <t>GRC_85221</t>
  </si>
  <si>
    <t>AUTOMATED AP Payables A 1742969 16317733Nov-24-25Inv Num - BS716292400235 , Supplier Name - AMPLUS KN SOLAR PRIVATE LIMITED A37782 , PO Num - 100061150 , Inv Dist Desc - Open PO for Solar Power Procurement for the period March 2024 to Feb 2025 at JFWTC Campus, Bangalore. Billing to be don97680005210101581</t>
  </si>
  <si>
    <t>AUTOMATED AP Payables A 1742969 16317733</t>
  </si>
  <si>
    <t>14-NOV-2024 Purchase Invoices INR</t>
  </si>
  <si>
    <t>Inv Num - BS716292400235 , Supplier Name - AMPLUS KN SOLAR PRIVATE LIMITED A37782 , PO Num - 100061150 , Inv Dist Desc - Open PO for Solar Power Procurement for the period March 2024 to Feb 2025 at JFWTC Campus, Bangalore. Billing to be don</t>
  </si>
  <si>
    <t>BS7162924002359768000</t>
  </si>
  <si>
    <t>BS716292400235</t>
  </si>
  <si>
    <t>GEIIPL-ITCOCR176536</t>
  </si>
  <si>
    <t>69370275 Purchase Invoices INR;AMPLUS KN SOLAR PRIVATE LIMITED A37782;101;BS716292400235</t>
  </si>
  <si>
    <t>GRC_85222</t>
  </si>
  <si>
    <t>Payables A 1753086 17345952Dec-24-25Inv Num - BS716292400267 , Supplier Name - AMPLUS KN SOLAR PRIVATE LIMITED A37782 , PO Num - 100061150 , Inv Dist Desc - Open PO for Solar Power Procurement for the period March 2024 to Feb 2025 at JFWTC Campus, Bangalore. Billing to be don97680005210101581</t>
  </si>
  <si>
    <t>Payables A 1753086 17345952</t>
  </si>
  <si>
    <t>24-DEC-2024 Purchase Invoices INR</t>
  </si>
  <si>
    <t>Inv Num - BS716292400267 , Supplier Name - AMPLUS KN SOLAR PRIVATE LIMITED A37782 , PO Num - 100061150 , Inv Dist Desc - Open PO for Solar Power Procurement for the period March 2024 to Feb 2025 at JFWTC Campus, Bangalore. Billing to be don</t>
  </si>
  <si>
    <t>BS7162924002679768000</t>
  </si>
  <si>
    <t>BS716292400267</t>
  </si>
  <si>
    <t>GEIIPL-ITCOCR178098</t>
  </si>
  <si>
    <t>69597167 Purchase Invoices INR;AMPLUS KN SOLAR PRIVATE LIMITED A37782;101;BS716292400267</t>
  </si>
  <si>
    <t>GRC_85300</t>
  </si>
  <si>
    <t>AUTOMATED AP Payables A 1741043 16285128Nov-24-25Inv Num - 325999358756 , Supplier Name - BESCOM LTD A37440 , PO Num - 100060266 , Inv Dist Desc - Open PO for Power Procurement through BESCOM for the year 2024 at JFWTC Campus, Bangalore. Billing to be done at actuals.54907375210101581</t>
  </si>
  <si>
    <t>AUTOMATED AP Payables A 1741043 16285128</t>
  </si>
  <si>
    <t>13-NOV-2024 Purchase Invoices INR</t>
  </si>
  <si>
    <t>Inv Num - 325999358756 , Supplier Name - BESCOM LTD A37440 , PO Num - 100060266 , Inv Dist Desc - Open PO for Power Procurement through BESCOM for the year 2024 at JFWTC Campus, Bangalore. Billing to be done at actuals.</t>
  </si>
  <si>
    <t>3259993587565490737</t>
  </si>
  <si>
    <t>GEIIPL-ITCPO176448</t>
  </si>
  <si>
    <t>69363878 Purchase Invoices INR;BESCOM LTD A37440;101;325999358756</t>
  </si>
  <si>
    <t>GRC_85313</t>
  </si>
  <si>
    <t>AUTOMATED AP Payables A 1736068 15934372Oct-24-25Inv Num - 325727840601 , Supplier Name - BESCOM LTD S23875 , PO Num - 100060266 , Inv Dist Desc - Open PO for Power Procurement through BESCOM for the year 2024 at JFWTC Campus, Bangalore. Billing to be done at actuals.51825745210101581</t>
  </si>
  <si>
    <t>AUTOMATED AP Payables A 1736068 15934372</t>
  </si>
  <si>
    <t>11-OCT-2024 Purchase Invoices INR</t>
  </si>
  <si>
    <t>Inv Num - 325727840601 , Supplier Name - BESCOM LTD S23875 , PO Num - 100060266 , Inv Dist Desc - Open PO for Power Procurement through BESCOM for the year 2024 at JFWTC Campus, Bangalore. Billing to be done at actuals.</t>
  </si>
  <si>
    <t>3257278406015182574</t>
  </si>
  <si>
    <t>GEIIPL-ITCPO175470</t>
  </si>
  <si>
    <t>69174990 Purchase Invoices INR;BESCOM LTD S23875;107;325727840601</t>
  </si>
  <si>
    <t>GRC_85320</t>
  </si>
  <si>
    <t>AUTOMATED AP Payables A 1752078 17208345Dec-24-25Inv Num - 325490823156 , Supplier Name - BESCOM LTD A37440 , PO Num - 100060266 , Inv Dist Desc - Open PO for Power Procurement through BESCOM for the year 2024 at JFWTC Campus, Bangalore. Billing to be done at actuals.49098845210101581</t>
  </si>
  <si>
    <t>AUTOMATED AP Payables A 1752078 17208345</t>
  </si>
  <si>
    <t>18-DEC-2024 Purchase Invoices INR</t>
  </si>
  <si>
    <t>Inv Num - 325490823156 , Supplier Name - BESCOM LTD A37440 , PO Num - 100060266 , Inv Dist Desc - Open PO for Power Procurement through BESCOM for the year 2024 at JFWTC Campus, Bangalore. Billing to be done at actuals.</t>
  </si>
  <si>
    <t>3254908231564909884</t>
  </si>
  <si>
    <t>GEIIPL-ITCPO177817</t>
  </si>
  <si>
    <t>69565939 Purchase Invoices INR;BESCOM LTD A37440;101;325490823156</t>
  </si>
  <si>
    <t>GRC_85389</t>
  </si>
  <si>
    <t>AUTOMATED AP Payables A 1737988 15953601Oct-24-25Inv Num - TX2924001966 , Supplier Name - STT GLOBAL DATA CENTERS INDIA PRIVATE LIMITED , PO Num - 100060705 , Inv Dist Desc - STT Datacenter Monthly Power Usage Charges for 99 DC Rackspace for GE HPC and VDI assets valid from January to Dec3740570.115210101232</t>
  </si>
  <si>
    <t>Inv Num - TX2924001966 , Supplier Name - STT GLOBAL DATA CENTERS INDIA PRIVATE LIMITED , PO Num - 100060705 , Inv Dist Desc - STT Datacenter Monthly Power Usage Charges for 99 DC Rackspace for GE HPC and VDI assets valid from January to Dec</t>
  </si>
  <si>
    <t>TX29240019663740570.11</t>
  </si>
  <si>
    <t>TX2924001966</t>
  </si>
  <si>
    <t>GEIIPL-ITCOCR175526</t>
  </si>
  <si>
    <t>69189342 Purchase Invoices INR;STT GLOBAL DATA CENTERS INDIA PRIVATE LIMITED;103;TX2924001966</t>
  </si>
  <si>
    <t>GRC_85393</t>
  </si>
  <si>
    <t>AUTOMATED AP Payables A 1742969 16317733Nov-24-25Inv Num - TX2924002370 , Supplier Name - STT GLOBAL DATA CENTERS INDIA PRIVATE LIMITED A39060 , PO Num - 100060705 , Inv Dist Desc - STT Datacenter Monthly Power Usage Charges for 99 DC Rackspace for GE HPC and VDI assets valid from January3648009.65210101232</t>
  </si>
  <si>
    <t>Inv Num - TX2924002370 , Supplier Name - STT GLOBAL DATA CENTERS INDIA PRIVATE LIMITED A39060 , PO Num - 100060705 , Inv Dist Desc - STT Datacenter Monthly Power Usage Charges for 99 DC Rackspace for GE HPC and VDI assets valid from January</t>
  </si>
  <si>
    <t>TX29240023703648009.6</t>
  </si>
  <si>
    <t>TX2924002370</t>
  </si>
  <si>
    <t>GEIIPL-ITCOCR176515</t>
  </si>
  <si>
    <t>69370252 Purchase Invoices INR;STT GLOBAL DATA CENTERS INDIA PRIVATE LIMITED A39060;102;TX2924002370</t>
  </si>
  <si>
    <t>GRC_85630</t>
  </si>
  <si>
    <t>Payables A 1753086 17345952Dec-24-25Inv Num - 1021225352 , Supplier Name - BHARAT PETROLEUM CORPORATION LTD A37794 , PO Num - 100060183 , Inv Dist Desc - Open PO for supply of HSD for the year 2024 - BPCL (Amendment request for the PO # 100060183)15020905210101581</t>
  </si>
  <si>
    <t>Inv Num - 1021225352 , Supplier Name - BHARAT PETROLEUM CORPORATION LTD A37794 , PO Num - 100060183 , Inv Dist Desc - Open PO for supply of HSD for the year 2024 - BPCL (Amendment request for the PO # 100060183)</t>
  </si>
  <si>
    <t>10212253521502090</t>
  </si>
  <si>
    <t>GEIIPL-ITCM178140</t>
  </si>
  <si>
    <t>69597239 Purchase Invoices INR;BHARAT PETROLEUM CORPORATION LTD A37794;101;1021225352</t>
  </si>
  <si>
    <t>Open PO for supply of HSD for the year 2024 - BPCL (Amendment request for the PO # 100060183)</t>
  </si>
  <si>
    <t>GRC_85825</t>
  </si>
  <si>
    <t>AUTOMATED AP Payables A 1753056 17256779Dec-24-25Inv Num - 1021219002 , Supplier Name - BHARAT PETROLEUM CORPORATION LTD A37794 , PO Num - 100060183 , Inv Dist Desc - Open PO for supply of HSD for the year 2024 - BPCL (Amendment request for the PO # 100060183)10514635210101581</t>
  </si>
  <si>
    <t>AUTOMATED AP Payables A 1753056 17256779</t>
  </si>
  <si>
    <t>20-DEC-2024 Purchase Invoices INR</t>
  </si>
  <si>
    <t>Inv Num - 1021219002 , Supplier Name - BHARAT PETROLEUM CORPORATION LTD A37794 , PO Num - 100060183 , Inv Dist Desc - Open PO for supply of HSD for the year 2024 - BPCL (Amendment request for the PO # 100060183)</t>
  </si>
  <si>
    <t>10212190021051463</t>
  </si>
  <si>
    <t>GEIIPL-ITCM177912</t>
  </si>
  <si>
    <t>69581913 Purchase Invoices INR;BHARAT PETROLEUM CORPORATION LTD A37794;101;1021219002</t>
  </si>
  <si>
    <t>GRC_85826</t>
  </si>
  <si>
    <t>AUTOMATED AP Payables A 1753056 17256779Dec-24-25Inv Num - 1021219000 , Supplier Name - BHARAT PETROLEUM CORPORATION LTD A37794 , PO Num - 100060183 , Inv Dist Desc - Open PO for supply of HSD for the year 2024 - BPCL (Amendment request for the PO # 100060183)10514635210101581</t>
  </si>
  <si>
    <t>Inv Num - 1021219000 , Supplier Name - BHARAT PETROLEUM CORPORATION LTD A37794 , PO Num - 100060183 , Inv Dist Desc - Open PO for supply of HSD for the year 2024 - BPCL (Amendment request for the PO # 100060183)</t>
  </si>
  <si>
    <t>10212190001051463</t>
  </si>
  <si>
    <t>GEIIPL-ITCM177913</t>
  </si>
  <si>
    <t>69581914 Purchase Invoices INR;BHARAT PETROLEUM CORPORATION LTD A37794;101;1021219000</t>
  </si>
  <si>
    <t>GRC_85827</t>
  </si>
  <si>
    <t>AUTOMATED AP Payables A 1753056 17256779Dec-24-25Inv Num - 1021217458 , Supplier Name - BHARAT PETROLEUM CORPORATION LTD A37794 , PO Num - 100060183 , Inv Dist Desc - Open PO for supply of HSD for the year 2024 - BPCL (Amendment request for the PO # 100060183)10514635210101581</t>
  </si>
  <si>
    <t>Inv Num - 1021217458 , Supplier Name - BHARAT PETROLEUM CORPORATION LTD A37794 , PO Num - 100060183 , Inv Dist Desc - Open PO for supply of HSD for the year 2024 - BPCL (Amendment request for the PO # 100060183)</t>
  </si>
  <si>
    <t>10212174581051463</t>
  </si>
  <si>
    <t>GEIIPL-ITCM177909</t>
  </si>
  <si>
    <t>69581912 Purchase Invoices INR;BHARAT PETROLEUM CORPORATION LTD A37794;101;1021217458</t>
  </si>
  <si>
    <t>GRC_85828</t>
  </si>
  <si>
    <t>Payables A 1753086 17345952Dec-24-25Inv Num - 1021220784 , Supplier Name - BHARAT PETROLEUM CORPORATION LTD A37794 , PO Num - 100060183 , Inv Dist Desc - Open PO for supply of HSD for the year 2024 - BPCL (Amendment request for the PO # 100060183)10514635210101581</t>
  </si>
  <si>
    <t>25-DEC-2024 Purchase Invoices INR</t>
  </si>
  <si>
    <t>Inv Num - 1021220784 , Supplier Name - BHARAT PETROLEUM CORPORATION LTD A37794 , PO Num - 100060183 , Inv Dist Desc - Open PO for supply of HSD for the year 2024 - BPCL (Amendment request for the PO # 100060183)</t>
  </si>
  <si>
    <t>10212207841051463</t>
  </si>
  <si>
    <t>GEIIPL-ITCM178186</t>
  </si>
  <si>
    <t>69603544 Purchase Invoices INR;BHARAT PETROLEUM CORPORATION LTD A37794;101;1021220784</t>
  </si>
  <si>
    <t>GRC_85829</t>
  </si>
  <si>
    <t>Payables A 1753086 17345952Dec-24-25Inv Num - 1021220786 , Supplier Name - BHARAT PETROLEUM CORPORATION LTD A37794 , PO Num - 100060183 , Inv Dist Desc - Open PO towards Supply of HSD from Jan 2024 to Dec 2024 at JFWTC Campus, Bangalore. Billing to be done on actual Supplied 10514635210101581</t>
  </si>
  <si>
    <t xml:space="preserve">Inv Num - 1021220786 , Supplier Name - BHARAT PETROLEUM CORPORATION LTD A37794 , PO Num - 100060183 , Inv Dist Desc - Open PO towards Supply of HSD from Jan 2024 to Dec 2024 at JFWTC Campus, Bangalore. Billing to be done on actual Supplied </t>
  </si>
  <si>
    <t>10212207861051463</t>
  </si>
  <si>
    <t>GEIIPL-ITCM178178</t>
  </si>
  <si>
    <t>69603545 Purchase Invoices INR;BHARAT PETROLEUM CORPORATION LTD A37794;101;1021220786</t>
  </si>
  <si>
    <t>GRC_85830</t>
  </si>
  <si>
    <t>Payables A 1753086 17345952Dec-24-25Inv Num - 1021217457 , Supplier Name - BHARAT PETROLEUM CORPORATION LTD A37794 , PO Num - 100060183 , Inv Dist Desc - Open PO towards Supply of HSD from Jan 2024 to Dec 2024 at JFWTC Campus, Bangalore. Billing to be done on actual Supplied 10514635210101581</t>
  </si>
  <si>
    <t>26-DEC-2024 Purchase Invoices INR</t>
  </si>
  <si>
    <t xml:space="preserve">Inv Num - 1021217457 , Supplier Name - BHARAT PETROLEUM CORPORATION LTD A37794 , PO Num - 100060183 , Inv Dist Desc - Open PO towards Supply of HSD from Jan 2024 to Dec 2024 at JFWTC Campus, Bangalore. Billing to be done on actual Supplied </t>
  </si>
  <si>
    <t>10212174571051463</t>
  </si>
  <si>
    <t>GEIIPL-ITCM178357</t>
  </si>
  <si>
    <t>69605635 Purchase Invoices INR;BHARAT PETROLEUM CORPORATION LTD A37794;101;1021217457</t>
  </si>
  <si>
    <t>GRC_85831</t>
  </si>
  <si>
    <t>AUTOMATED AP Payables A 1751038 17051973Dec-24-25Inv Num - 1021197514 , Supplier Name - BHARAT PETROLEUM CORPORATION LTD A37794 , PO Num - 100060183 , Inv Dist Desc - Open PO towards Supply of HSD from Jan 2024 to Dec 2024 at JFWTC Campus, Bangalore. Billing to be done on actual Supplied 10514615210101581</t>
  </si>
  <si>
    <t>AUTOMATED AP Payables A 1751038 17051973</t>
  </si>
  <si>
    <t>09-DEC-2024 Purchase Invoices INR</t>
  </si>
  <si>
    <t xml:space="preserve">Inv Num - 1021197514 , Supplier Name - BHARAT PETROLEUM CORPORATION LTD A37794 , PO Num - 100060183 , Inv Dist Desc - Open PO towards Supply of HSD from Jan 2024 to Dec 2024 at JFWTC Campus, Bangalore. Billing to be done on actual Supplied </t>
  </si>
  <si>
    <t>10211975141051461</t>
  </si>
  <si>
    <t>GEIIPL-ITCM177413</t>
  </si>
  <si>
    <t>69510549 Purchase Invoices INR;BHARAT PETROLEUM CORPORATION LTD A37794;101;1021197514</t>
  </si>
  <si>
    <t>GRC_85832</t>
  </si>
  <si>
    <t>AUTOMATED AP Payables A 1753056 17256779Dec-24-25Inv Num - 1021196902 , Supplier Name - BHARAT PETROLEUM CORPORATION LTD A37794 , PO Num - 100060183 , Inv Dist Desc - Open PO towards Supply of HSD from Jan 2024 to Dec 2024 at JFWTC Campus, Bangalore. Billing to be done on actual Supplied 10514615210101581</t>
  </si>
  <si>
    <t xml:space="preserve">Inv Num - 1021196902 , Supplier Name - BHARAT PETROLEUM CORPORATION LTD A37794 , PO Num - 100060183 , Inv Dist Desc - Open PO towards Supply of HSD from Jan 2024 to Dec 2024 at JFWTC Campus, Bangalore. Billing to be done on actual Supplied </t>
  </si>
  <si>
    <t>10211969021051461</t>
  </si>
  <si>
    <t>GEIIPL-ITCM177910</t>
  </si>
  <si>
    <t>69581911 Purchase Invoices INR;BHARAT PETROLEUM CORPORATION LTD A37794;101;1021196902</t>
  </si>
  <si>
    <t>GRC_85833</t>
  </si>
  <si>
    <t>AUTOMATED AP Payables A 1740148 16135062Nov-24-25Inv Num - 1021138175 , Supplier Name - BHARAT PETROLEUM CORPORATION LTD A37794 , PO Num - 100060183 , Inv Dist Desc - Open PO towards Supply of HSD from Jan 2024 to Dec 2024 at JFWTC Campus, Bangalore. Billing to be done on actual Supplied 10508665210101581</t>
  </si>
  <si>
    <t>AUTOMATED AP Payables A 1740148 16135062</t>
  </si>
  <si>
    <t>01-NOV-2024 Purchase Invoices INR</t>
  </si>
  <si>
    <t xml:space="preserve">Inv Num - 1021138175 , Supplier Name - BHARAT PETROLEUM CORPORATION LTD A37794 , PO Num - 100060183 , Inv Dist Desc - Open PO towards Supply of HSD from Jan 2024 to Dec 2024 at JFWTC Campus, Bangalore. Billing to be done on actual Supplied </t>
  </si>
  <si>
    <t>10211381751050866</t>
  </si>
  <si>
    <t>GEIIPL-ITCM176027</t>
  </si>
  <si>
    <t>69301927 Purchase Invoices INR;BHARAT PETROLEUM CORPORATION LTD A37794;101;1021138175</t>
  </si>
  <si>
    <t>GRC_85834</t>
  </si>
  <si>
    <t>AUTOMATED AP Payables A 1738975 16020709Oct-24-25Inv Num - 1021120262 , Supplier Name - BHARAT PETROLEUM CORPORATION LTD A37794 , PO Num - 100060183 , Inv Dist Desc - Open PO towards Supply of HSD from Jan 2024 to Dec 2024 at JFWTC Campus, Bangalore. Billing to be done on actual Supplied 10508625210101581</t>
  </si>
  <si>
    <t>AUTOMATED AP Payables A 1738975 16020709</t>
  </si>
  <si>
    <t>21-OCT-2024 Purchase Invoices INR</t>
  </si>
  <si>
    <t xml:space="preserve">Inv Num - 1021120262 , Supplier Name - BHARAT PETROLEUM CORPORATION LTD A37794 , PO Num - 100060183 , Inv Dist Desc - Open PO towards Supply of HSD from Jan 2024 to Dec 2024 at JFWTC Campus, Bangalore. Billing to be done on actual Supplied </t>
  </si>
  <si>
    <t>10211202621050862</t>
  </si>
  <si>
    <t>GEIIPL-ITCM175715</t>
  </si>
  <si>
    <t>69217458 Purchase Invoices INR;BHARAT PETROLEUM CORPORATION LTD A37794;101;1021120262</t>
  </si>
  <si>
    <t>GRC_85835</t>
  </si>
  <si>
    <t>AUTOMATED AP Payables A 1738975 16020709Oct-24-25Inv Num - 1021117033 , Supplier Name - BHARAT PETROLEUM CORPORATION LTD A37794 , PO Num - 100060183 , Inv Dist Desc - Open PO towards Supply of HSD from Jan 2024 to Dec 2024 at JFWTC Campus, Bangalore. Billing to be done on actual Supplied 10508625210101581</t>
  </si>
  <si>
    <t xml:space="preserve">Inv Num - 1021117033 , Supplier Name - BHARAT PETROLEUM CORPORATION LTD A37794 , PO Num - 100060183 , Inv Dist Desc - Open PO towards Supply of HSD from Jan 2024 to Dec 2024 at JFWTC Campus, Bangalore. Billing to be done on actual Supplied </t>
  </si>
  <si>
    <t>10211170331050862</t>
  </si>
  <si>
    <t>GEIIPL-ITCM175714</t>
  </si>
  <si>
    <t>69217456 Purchase Invoices INR;BHARAT PETROLEUM CORPORATION LTD A37794;101;1021117033</t>
  </si>
  <si>
    <t>GRC_85936</t>
  </si>
  <si>
    <t>AUTOMATED AP Payables A 1738975 16020709Oct-24-25Inv Num - 1021111116 , Supplier Name - BHARAT PETROLEUM CORPORATION LTD A37794 , PO Num - 100060183 , Inv Dist Desc - Open PO towards Supply of HSD from Jan 2024 to Dec 2024 at JFWTC Campus, Bangalore. Billing to be done on actual Supplied 9007395210101581</t>
  </si>
  <si>
    <t xml:space="preserve">Inv Num - 1021111116 , Supplier Name - BHARAT PETROLEUM CORPORATION LTD A37794 , PO Num - 100060183 , Inv Dist Desc - Open PO towards Supply of HSD from Jan 2024 to Dec 2024 at JFWTC Campus, Bangalore. Billing to be done on actual Supplied </t>
  </si>
  <si>
    <t>1021111116900739</t>
  </si>
  <si>
    <t>GEIIPL-ITCOCR175713</t>
  </si>
  <si>
    <t>69217445 Purchase Invoices INR;BHARAT PETROLEUM CORPORATION LTD A37794;101;1021111116</t>
  </si>
  <si>
    <t>GRC_85965</t>
  </si>
  <si>
    <t>AUTOMATED AP Payables A 1751038 17051973Dec-24-25Inv Num - TX2924002569 , Supplier Name - STT GLOBAL DATA CENTERS INDIA PRIVATE LIMITED A39060 , PO Num - 100063788 , Inv Dist Desc - Charges towards STT Datacenter Monthly Power Usage Charges for new 22 ROFR Rackspace built for 2024 HPC Exp854296.515210101232</t>
  </si>
  <si>
    <t>10-DEC-2024 Purchase Invoices INR</t>
  </si>
  <si>
    <t>Inv Num - TX2924002569 , Supplier Name - STT GLOBAL DATA CENTERS INDIA PRIVATE LIMITED A39060 , PO Num - 100063788 , Inv Dist Desc - Charges towards STT Datacenter Monthly Power Usage Charges for new 22 ROFR Rackspace built for 2024 HPC Exp</t>
  </si>
  <si>
    <t>TX2924002569854296.51</t>
  </si>
  <si>
    <t>TX2924002569</t>
  </si>
  <si>
    <t>GEIIPL-ITCOCR177438</t>
  </si>
  <si>
    <t>69518144 Purchase Invoices INR;STT GLOBAL DATA CENTERS INDIA PRIVATE LIMITED A39060;102;TX2924002569</t>
  </si>
  <si>
    <t>Charges towards STT Datacenter Monthly Power Usage Charges for new 22 ROFR Rackspace built for 2024 HPC Expansion plan for Aerospace business Duration from June to December 2024 and payment done at actuals.</t>
  </si>
  <si>
    <t>GRC_85977</t>
  </si>
  <si>
    <t>AUTOMATED AP Payables A 1741012 16142376Nov-24-25Inv Num - TX2924001968 , Supplier Name - STT GLOBAL DATA CENTERS INDIA PRIVATE LIMITED A39060 , PO Num - 100063788 , Inv Dist Desc - Charges towards STT Datacenter Monthly Power Usage Charges for new 22 ROFR Rackspace built for 2024 HPC Exp836083.395210101232</t>
  </si>
  <si>
    <t>AUTOMATED AP Payables A 1741012 16142376</t>
  </si>
  <si>
    <t>07-NOV-2024 Purchase Invoices INR</t>
  </si>
  <si>
    <t>Inv Num - TX2924001968 , Supplier Name - STT GLOBAL DATA CENTERS INDIA PRIVATE LIMITED A39060 , PO Num - 100063788 , Inv Dist Desc - Charges towards STT Datacenter Monthly Power Usage Charges for new 22 ROFR Rackspace built for 2024 HPC Exp</t>
  </si>
  <si>
    <t>TX2924001968836083.39</t>
  </si>
  <si>
    <t>TX2924001968</t>
  </si>
  <si>
    <t>GEIIPL-ITCOCR176167</t>
  </si>
  <si>
    <t>69337086 Purchase Invoices INR;STT GLOBAL DATA CENTERS INDIA PRIVATE LIMITED A39060;102;TX2924001968</t>
  </si>
  <si>
    <t>GRC_86012</t>
  </si>
  <si>
    <t>AUTOMATED AP Payables A 1742969 16317733Nov-24-25Inv Num - TX2924002380 , Supplier Name - STT GLOBAL DATA CENTERS INDIA PRIVATE LIMITED A39060 , PO Num - 100063788 , Inv Dist Desc - Charges towards STT Datacenter Monthly Power Usage Charges for new 22 ROFR Rackspace built for 2024 HPC Exp798341.765210101232</t>
  </si>
  <si>
    <t>Inv Num - TX2924002380 , Supplier Name - STT GLOBAL DATA CENTERS INDIA PRIVATE LIMITED A39060 , PO Num - 100063788 , Inv Dist Desc - Charges towards STT Datacenter Monthly Power Usage Charges for new 22 ROFR Rackspace built for 2024 HPC Exp</t>
  </si>
  <si>
    <t>TX2924002380798341.76</t>
  </si>
  <si>
    <t>TX2924002380</t>
  </si>
  <si>
    <t>GEIIPL-ITCOCR176513</t>
  </si>
  <si>
    <t>69370261 Purchase Invoices INR;STT GLOBAL DATA CENTERS INDIA PRIVATE LIMITED A39060;102;TX2924002380</t>
  </si>
  <si>
    <t>GRC_86104</t>
  </si>
  <si>
    <t>AUTOMATED AP Payables A 1741012 16142376Nov-24-25Inv Num - TX2924001536 , Supplier Name - STT GLOBAL DATA CENTERS INDIA PRIVATE LIMITED A39060 , PO Num - 100063788 , Inv Dist Desc - Charges towards STT Datacenter Monthly Power Usage Charges for new 22 ROFR Rackspace built for 2024 HPC Exp703026.435210101232</t>
  </si>
  <si>
    <t>Inv Num - TX2924001536 , Supplier Name - STT GLOBAL DATA CENTERS INDIA PRIVATE LIMITED A39060 , PO Num - 100063788 , Inv Dist Desc - Charges towards STT Datacenter Monthly Power Usage Charges for new 22 ROFR Rackspace built for 2024 HPC Exp</t>
  </si>
  <si>
    <t>TX2924001536703026.43</t>
  </si>
  <si>
    <t>TX2924001536</t>
  </si>
  <si>
    <t>GEIIPL-ITCOCR176170</t>
  </si>
  <si>
    <t>69337085 Purchase Invoices INR;STT GLOBAL DATA CENTERS INDIA PRIVATE LIMITED A39060;102;TX2924001536</t>
  </si>
  <si>
    <t>GRC_87867</t>
  </si>
  <si>
    <t>AUTOMATED AP Payables A 1751038 17051973Dec-24-25Inv Num - TX2924002378 , Supplier Name - STT GLOBAL DATA CENTERS INDIA PRIVATE LIMITED A39060 , PO Num - 100060415 , Inv Dist Desc - Power Consumption Charges for at STT for Aerospace VDI racks for the period Jan 24 to Dec 2024. Billing at 142375.685210101238</t>
  </si>
  <si>
    <t>03-DEC-2024 Purchase Invoices INR</t>
  </si>
  <si>
    <t xml:space="preserve">Inv Num - TX2924002378 , Supplier Name - STT GLOBAL DATA CENTERS INDIA PRIVATE LIMITED A39060 , PO Num - 100060415 , Inv Dist Desc - Power Consumption Charges for at STT for Aerospace VDI racks for the period Jan 24 to Dec 2024. Billing at </t>
  </si>
  <si>
    <t>TX2924002378142375.68</t>
  </si>
  <si>
    <t>TX2924002378</t>
  </si>
  <si>
    <t>GEIIPL-ITCOCR177247</t>
  </si>
  <si>
    <t>69482620 Purchase Invoices INR;STT GLOBAL DATA CENTERS INDIA PRIVATE LIMITED A39060;102;TX2924002378</t>
  </si>
  <si>
    <t>GRC_87964</t>
  </si>
  <si>
    <t>AUTOMATED AP Payables A 1740148 16135062Nov-24-25Inv Num - 5241000312 , Supplier Name - ATLAS COPCO INDIA LTD , PO Num - 100062954 , Inv Dist Desc - Rental charges for XAS48 - Diesel Driven Oil Lubricated Portable Screw type Atlas Copco compressor (Aug 24 to Oct 24). Billing to be done at1330005210101320</t>
  </si>
  <si>
    <t>05-NOV-2024 Purchase Invoices INR</t>
  </si>
  <si>
    <t>Inv Num - 5241000312 , Supplier Name - ATLAS COPCO INDIA LTD , PO Num - 100062954 , Inv Dist Desc - Rental charges for XAS48 - Diesel Driven Oil Lubricated Portable Screw type Atlas Copco compressor (Aug 24 to Oct 24). Billing to be done at</t>
  </si>
  <si>
    <t>5241000312133000</t>
  </si>
  <si>
    <t>GEIIPL-ITCOCR176119</t>
  </si>
  <si>
    <t>ATLAS COPCO INDIA PRIVATE LIMITED</t>
  </si>
  <si>
    <t>69321307 Purchase Invoices INR;ATLAS COPCO INDIA LTD;102;5241000312</t>
  </si>
  <si>
    <t>GRC_89029</t>
  </si>
  <si>
    <t>AUTOMATED AP Payables A 1752070 17158380Dec-24-25Inv Num - TX2924002562 , Supplier Name - STT GLOBAL DATA CENTERS INDIA PRIVATE LIMITED A39060 , PO Num - 100060415 , Inv Dist Desc - Power Consumption Charges for at STT for Aerospace VDI racks for the period Jan 24 to Dec 2024. Billing at 73358.45210101238</t>
  </si>
  <si>
    <t>AUTOMATED AP Payables A 1752070 17158380</t>
  </si>
  <si>
    <t>16-DEC-2024 Purchase Invoices INR</t>
  </si>
  <si>
    <t xml:space="preserve">Inv Num - TX2924002562 , Supplier Name - STT GLOBAL DATA CENTERS INDIA PRIVATE LIMITED A39060 , PO Num - 100060415 , Inv Dist Desc - Power Consumption Charges for at STT for Aerospace VDI racks for the period Jan 24 to Dec 2024. Billing at </t>
  </si>
  <si>
    <t>TX292400256273358.4</t>
  </si>
  <si>
    <t>TX2924002562</t>
  </si>
  <si>
    <t>GEIIPL-ITCOCR177588</t>
  </si>
  <si>
    <t>69543788 Purchase Invoices INR;STT GLOBAL DATA CENTERS INDIA PRIVATE LIMITED A39060;102;TX2924002562</t>
  </si>
  <si>
    <t>GRC_89033</t>
  </si>
  <si>
    <t>AUTOMATED AP Payables A 1736993 15925655Oct-24-25Inv Num - TX2924001967 , Supplier Name - STT GLOBAL DATA CENTERS INDIA PRIVATE LIMITED , PO Num - 100060415 , Inv Dist Desc - Power Consumption Charges for at STT for Aerospace VDI racks for the period Jan 24 to Dec 2024. Billing at Actuals73054.855210101238</t>
  </si>
  <si>
    <t>AUTOMATED AP Payables A 1736993 15925655</t>
  </si>
  <si>
    <t>07-OCT-2024 Purchase Invoices INR</t>
  </si>
  <si>
    <t>Inv Num - TX2924001967 , Supplier Name - STT GLOBAL DATA CENTERS INDIA PRIVATE LIMITED , PO Num - 100060415 , Inv Dist Desc - Power Consumption Charges for at STT for Aerospace VDI racks for the period Jan 24 to Dec 2024. Billing at Actuals</t>
  </si>
  <si>
    <t>TX292400196773054.85</t>
  </si>
  <si>
    <t>TX2924001967</t>
  </si>
  <si>
    <t>GEIIPL-ITCOCR175276</t>
  </si>
  <si>
    <t>69147202 Purchase Invoices INR;STT GLOBAL DATA CENTERS INDIA PRIVATE LIMITED;103;TX2924001967</t>
  </si>
  <si>
    <t>GRC_89085</t>
  </si>
  <si>
    <t>AUTOMATED AP Payables A 1751038 17051973Dec-24-25Inv Num - TX2924002378 , Supplier Name - STT GLOBAL DATA CENTERS INDIA PRIVATE LIMITED A39060 , PO Num - 100060415 , Inv Dist Desc - Power Consumption Charges for at STT for Aerospace VDI racks for the period Jan 24 to Dec 2024. Billing at -71187.845210101238</t>
  </si>
  <si>
    <t>TX2924002378-71187.84</t>
  </si>
  <si>
    <t>GRC_92015</t>
  </si>
  <si>
    <t>AUTOMATED AP Payables A 1736993 15925655Oct-24-25Inv Num - PR10006359967765123 , Supplier Name - DEPUTY CHIEF ELECTRICAL INSPECTOR BANGALORE EAST S22752 , PO Num - 100063599 , Inv Dist Desc - Payment Request : PR: Electricity tax on captive consumption for the month of September 2024.222035210101581</t>
  </si>
  <si>
    <t>04-OCT-2024 Purchase Invoices INR</t>
  </si>
  <si>
    <t>Inv Num - PR10006359967765123 , Supplier Name - DEPUTY CHIEF ELECTRICAL INSPECTOR BANGALORE EAST S22752 , PO Num - 100063599 , Inv Dist Desc - Payment Request : PR: Electricity tax on captive consumption for the month of September 2024.</t>
  </si>
  <si>
    <t>PR1000635996776512322203</t>
  </si>
  <si>
    <t>PR10006359967765123</t>
  </si>
  <si>
    <t>GEIIPL-ITCP175127</t>
  </si>
  <si>
    <t>69138947 Purchase Invoices INR;DEPUTY CHIEF ELECTRICAL INSPECTOR BANGALORE EAST S22752;102;PR10006359967765123</t>
  </si>
  <si>
    <t>Payment Request : PR: Electricity tax on captive consumption for the month of September 2024.</t>
  </si>
  <si>
    <t>GRC_93187</t>
  </si>
  <si>
    <t>AUTOMATED AP Payables A 1740148 16135062Nov-24-25Inv Num - PR10006399267765623 , Supplier Name - DEPUTY CHIEF ELECTRICAL INSPECTOR BANGALORE EAST A37421 , PO Num - 100063992 , Inv Dist Desc - Payment Request : PR: Electricity tax on captive consumption for the month of October 2024171985210101581</t>
  </si>
  <si>
    <t>04-NOV-2024 Purchase Invoices INR</t>
  </si>
  <si>
    <t>Inv Num - PR10006399267765623 , Supplier Name - DEPUTY CHIEF ELECTRICAL INSPECTOR BANGALORE EAST A37421 , PO Num - 100063992 , Inv Dist Desc - Payment Request : PR: Electricity tax on captive consumption for the month of October 2024</t>
  </si>
  <si>
    <t>PR1000639926776562317198</t>
  </si>
  <si>
    <t>PR10006399267765623</t>
  </si>
  <si>
    <t>GEIIPL-ITCP176110</t>
  </si>
  <si>
    <t>69313681 Purchase Invoices INR;DEPUTY CHIEF ELECTRICAL INSPECTOR BANGALORE EAST A37421;101;PR10006399267765623</t>
  </si>
  <si>
    <t>Payment Request : PR: Electricity tax on captive consumption for the month of October 2024</t>
  </si>
  <si>
    <t>GRC_99392</t>
  </si>
  <si>
    <t>AUTOMATED AP Payables A 1751038 17051973Dec-24-25Inv Num - PR10006446067766097 , Supplier Name - DEPUTY CHIEF ELECTRICAL INSPECTOR BANGALORE EAST A37421 , PO Num - 100064460 , Inv Dist Desc - Payment Request : PR : Electricity tax on captive consumption for the month of November - 202468305210101581</t>
  </si>
  <si>
    <t>04-DEC-2024 Purchase Invoices INR</t>
  </si>
  <si>
    <t>Inv Num - PR10006446067766097 , Supplier Name - DEPUTY CHIEF ELECTRICAL INSPECTOR BANGALORE EAST A37421 , PO Num - 100064460 , Inv Dist Desc - Payment Request : PR : Electricity tax on captive consumption for the month of November - 2024</t>
  </si>
  <si>
    <t>PR100064460677660976830</t>
  </si>
  <si>
    <t>PR10006446067766097</t>
  </si>
  <si>
    <t>GEIIPL-ITCP177258</t>
  </si>
  <si>
    <t>69490263 Purchase Invoices INR;DEPUTY CHIEF ELECTRICAL INSPECTOR BANGALORE EAST A37421;101;PR10006446067766097</t>
  </si>
  <si>
    <t>Payment Request : PR : Electricity tax on captive consumption for the month of November - 2024</t>
  </si>
  <si>
    <t>GRC_99485</t>
  </si>
  <si>
    <t>GR16_1024_MK01_CP_TDS gross up and Pcard entries Sep 24 WF#13264785587 Spreadsheet A 15970741Oct-24-25Rectification67175210101581</t>
  </si>
  <si>
    <t>GR16_1024_MK01_CP_TDS gross up and Pcard entries Sep 24 WF#13264785587 Spreadsheet A 15970741</t>
  </si>
  <si>
    <t>GR16_1024_MK01_CP_TDS gross up and Pcard entries Sep 24 WF#13264785587 All Books INR User 1</t>
  </si>
  <si>
    <t>6717</t>
  </si>
  <si>
    <t>GRC_100374</t>
  </si>
  <si>
    <t>GR16_1224_MK01_CP_TDS gross up and Pcard entries Nov 24 WF#13479744060 Spreadsheet A 17158116Dec-24-25Rectification54965210101581</t>
  </si>
  <si>
    <t>GR16_1224_MK01_CP_TDS gross up and Pcard entries Nov 24 WF#13479744060 Spreadsheet A 17158116</t>
  </si>
  <si>
    <t>GR16_1224_MK01_CP_TDS gross up and Pcard entries Nov 24 WF#13479744060 All Books INR User 1</t>
  </si>
  <si>
    <t>5496</t>
  </si>
  <si>
    <t>GRC_100646</t>
  </si>
  <si>
    <t>GR16_1124_MK01_CP_TDS gross up and Pcard entries Oct 24 WF#13401066439 Spreadsheet A 16718451Nov-24-25Rectification51885210101581</t>
  </si>
  <si>
    <t>GR16_1124_MK01_CP_TDS gross up and Pcard entries Oct 24 WF#13401066439 Spreadsheet A 16718451</t>
  </si>
  <si>
    <t>GR16_1124_MK01_CP_TDS gross up and Pcard entries Oct 24 WF#13401066439 All Books INR User 1</t>
  </si>
  <si>
    <t>5188</t>
  </si>
  <si>
    <t>GRC_136545</t>
  </si>
  <si>
    <t>AUTOMATED AP Payables A 1753430 17513850Jan-25-25Inv Num - PR10006484367766615 , Supplier Name - DEPUTY CHIEF ELECTRICAL INSPECTOR BANGALORE EAST A37421 , PO Num - 100064843 , Inv Dist Desc - Payment Request : PR : Electricity tax on captive consumption for the month of December - 202430505210101581</t>
  </si>
  <si>
    <t>AUTOMATED AP Payables A 1753430 17513850</t>
  </si>
  <si>
    <t>02-JAN-2025 Purchase Invoices INR</t>
  </si>
  <si>
    <t>Inv Num - PR10006484367766615 , Supplier Name - DEPUTY CHIEF ELECTRICAL INSPECTOR BANGALORE EAST A37421 , PO Num - 100064843 , Inv Dist Desc - Payment Request : PR : Electricity tax on captive consumption for the month of December - 2024</t>
  </si>
  <si>
    <t>PR100064843677666153050</t>
  </si>
  <si>
    <t>PR10006484367766615</t>
  </si>
  <si>
    <t>GEIIPL-ITCP178633</t>
  </si>
  <si>
    <t>69657259 Purchase Invoices INR;DEPUTY CHIEF ELECTRICAL INSPECTOR BANGALORE EAST A37421;101;PR10006484367766615</t>
  </si>
  <si>
    <t>Payment Request : PR : Electricity tax on captive consumption for the month of December - 2024</t>
  </si>
  <si>
    <t>GRC_136636</t>
  </si>
  <si>
    <t>AUTOMATED AP Payables A 1753430 17513850Jan-25-25Inv Num - TX2924002510 , Supplier Name - STT GLOBAL DATA CENTERS INDIA PRIVATE LIMITED A39060 , PO Num - 100060705 , Inv Dist Desc - STT Datacenter Monthly Power Usage Charges for 99 DC Rackspace for GE HPC and VDI assets valid from January3771026.495210101232</t>
  </si>
  <si>
    <t>03-JAN-2025 Purchase Invoices INR</t>
  </si>
  <si>
    <t>Inv Num - TX2924002510 , Supplier Name - STT GLOBAL DATA CENTERS INDIA PRIVATE LIMITED A39060 , PO Num - 100060705 , Inv Dist Desc - STT Datacenter Monthly Power Usage Charges for 99 DC Rackspace for GE HPC and VDI assets valid from January</t>
  </si>
  <si>
    <t>TX29240025103771026.49</t>
  </si>
  <si>
    <t>TX2924002510</t>
  </si>
  <si>
    <t>GEIIPL-ITCOCR178665</t>
  </si>
  <si>
    <t>69660992 Purchase Invoices INR;STT GLOBAL DATA CENTERS INDIA PRIVATE LIMITED A39060;102;TX2924002510</t>
  </si>
  <si>
    <t>GRC_136685</t>
  </si>
  <si>
    <t>AUTOMATED AP Payables A 1755070 17538359Jan-25-25Inv Num - TX2924003184 , Supplier Name - STT GLOBAL DATA CENTERS INDIA PRIVATE LIMITED A39060 , PO Num - 100063788 , Inv Dist Desc - Charges towards STT Datacenter Monthly Power Usage Charges for new 22 ROFR Rackspace built for 2024 HPC Exp785024.645210101232</t>
  </si>
  <si>
    <t>AUTOMATED AP Payables A 1755070 17538359</t>
  </si>
  <si>
    <t>07-JAN-2025 Purchase Invoices INR</t>
  </si>
  <si>
    <t>Inv Num - TX2924003184 , Supplier Name - STT GLOBAL DATA CENTERS INDIA PRIVATE LIMITED A39060 , PO Num - 100063788 , Inv Dist Desc - Charges towards STT Datacenter Monthly Power Usage Charges for new 22 ROFR Rackspace built for 2024 HPC Exp</t>
  </si>
  <si>
    <t>TX2924003184785024.64</t>
  </si>
  <si>
    <t>TX2924003184</t>
  </si>
  <si>
    <t>GEIIPL-ITCOCR178731</t>
  </si>
  <si>
    <t>69687882 Purchase Invoices INR;STT GLOBAL DATA CENTERS INDIA PRIVATE LIMITED A39060;102;TX2924003184</t>
  </si>
  <si>
    <t>GRC_136757</t>
  </si>
  <si>
    <t>AUTOMATED AP Payables A 1755075 17560599Jan-25-25Inv Num - 5241000382 , Supplier Name - ATLAS COPCO INDIA LTD , PO Num - 100062103 , Inv Dist Desc - Amendment-1: Open PO towards Rental charges for XAS48 - Diesel Driven Oil Lubricated Portable Screw type Atlas Copco compressor. Details as 2660005210101320</t>
  </si>
  <si>
    <t>AUTOMATED AP Payables A 1755075 17560599</t>
  </si>
  <si>
    <t>08-JAN-2025 Purchase Invoices INR</t>
  </si>
  <si>
    <t xml:space="preserve">Inv Num - 5241000382 , Supplier Name - ATLAS COPCO INDIA LTD , PO Num - 100062103 , Inv Dist Desc - Amendment-1: Open PO towards Rental charges for XAS48 - Diesel Driven Oil Lubricated Portable Screw type Atlas Copco compressor. Details as </t>
  </si>
  <si>
    <t>5241000382266000</t>
  </si>
  <si>
    <t>GEIIPL-ITCOCR178791</t>
  </si>
  <si>
    <t>69694141 Purchase Invoices INR;ATLAS COPCO INDIA LTD;102;5241000382</t>
  </si>
  <si>
    <t>Amendment-1: Open PO towards Rental charges for XAS48 - Diesel Driven Oil Lubricated Portable Screw type Atlas Copco compressor. Details as per annexure and quote ref no. Q-19992 - V1.</t>
  </si>
  <si>
    <t>GRC_137026</t>
  </si>
  <si>
    <t>AUTOMATED AP Payables A 1756093 17634731Jan-25-25Inv Num - TX2924003192 , Supplier Name - STT GLOBAL DATA CENTERS INDIA PRIVATE LIMITED A39060 , PO Num - 100060415 , Inv Dist Desc - Power Consumption Charges for at STT for Aerospace VDI racks for the period Jan 24 to Dec 2024. Billing at 71579.525210101238</t>
  </si>
  <si>
    <t>AUTOMATED AP Payables A 1756093 17634731</t>
  </si>
  <si>
    <t>13-JAN-2025 Purchase Invoices INR</t>
  </si>
  <si>
    <t xml:space="preserve">Inv Num - TX2924003192 , Supplier Name - STT GLOBAL DATA CENTERS INDIA PRIVATE LIMITED A39060 , PO Num - 100060415 , Inv Dist Desc - Power Consumption Charges for at STT for Aerospace VDI racks for the period Jan 24 to Dec 2024. Billing at </t>
  </si>
  <si>
    <t>TX292400319271579.52</t>
  </si>
  <si>
    <t>TX2924003192</t>
  </si>
  <si>
    <t>GEIIPL-ITCOCR178985</t>
  </si>
  <si>
    <t>69710932 Purchase Invoices INR;STT GLOBAL DATA CENTERS INDIA PRIVATE LIMITED A39060;102;TX2924003192</t>
  </si>
  <si>
    <t>GRC_137080</t>
  </si>
  <si>
    <t>AUTOMATED AP Payables A 1756112 17705518Jan-25-25Inv Num - 325811258590 , Supplier Name - BESCOM LTD A37440 , PO Num - 100060266 , Inv Dist Desc - Amendment: Open PO for Power Procurement through BESCOM for the year 2024 at JFWTC Campus, Bangalore. Billing to be done at actuals.46961185210101581</t>
  </si>
  <si>
    <t>AUTOMATED AP Payables A 1756112 17705518</t>
  </si>
  <si>
    <t>16-JAN-2025 Purchase Invoices INR</t>
  </si>
  <si>
    <t>Inv Num - 325811258590 , Supplier Name - BESCOM LTD A37440 , PO Num - 100060266 , Inv Dist Desc - Amendment: Open PO for Power Procurement through BESCOM for the year 2024 at JFWTC Campus, Bangalore. Billing to be done at actuals.</t>
  </si>
  <si>
    <t>3258112585904696118</t>
  </si>
  <si>
    <t>GEIIPL-ITCPO179121</t>
  </si>
  <si>
    <t>69734537 Purchase Invoices INR;BESCOM LTD A37440;101;325811258590</t>
  </si>
  <si>
    <t>Amendment: Open PO for Power Procurement through BESCOM for the year 2024 at JFWTC Campus, Bangalore. Billing to be done at actuals.</t>
  </si>
  <si>
    <t>GRC_137146</t>
  </si>
  <si>
    <t>AUTOMATED AP Payables A 1757094 17682863Jan-25-25Inv Num - PR10006494767766758 , Supplier Name - ADDITIONAL CHIEF ELECTRICAL INSPECTOR, BANGALORE NORTH A38280 , PO Num - 100064947 , Inv Dist Desc - Payment Request : PR: Towards Periodical inspection fee for electrical installations3209005210101581</t>
  </si>
  <si>
    <t>AUTOMATED AP Payables A 1757094 17682863</t>
  </si>
  <si>
    <t>15-JAN-2025 Purchase Invoices INR</t>
  </si>
  <si>
    <t>Inv Num - PR10006494767766758 , Supplier Name - ADDITIONAL CHIEF ELECTRICAL INSPECTOR, BANGALORE NORTH A38280 , PO Num - 100064947 , Inv Dist Desc - Payment Request : PR: Towards Periodical inspection fee for electrical installations</t>
  </si>
  <si>
    <t>PR10006494767766758320900</t>
  </si>
  <si>
    <t>PR10006494767766758</t>
  </si>
  <si>
    <t>GEIIPL-ITCP179081</t>
  </si>
  <si>
    <t>69726841 Purchase Invoices INR;ADDITIONAL CHIEF ELECTRICAL INSPECTOR, BANGALORE NORTH A38280;101;PR10006494767766758</t>
  </si>
  <si>
    <t>GRC_137155</t>
  </si>
  <si>
    <t>AUTOMATED AP Payables A 1757094 17682863Jan-25-25Inv Num - TX2924003176 , Supplier Name - STT GLOBAL DATA CENTERS INDIA PRIVATE LIMITED A39060 , PO Num - 100060705 , Inv Dist Desc - STT Datacenter Monthly Power Usage Charges for 99 DC Rackspace for GE HPC and VDI assets valid from January3582109.445210101232</t>
  </si>
  <si>
    <t>Inv Num - TX2924003176 , Supplier Name - STT GLOBAL DATA CENTERS INDIA PRIVATE LIMITED A39060 , PO Num - 100060705 , Inv Dist Desc - STT Datacenter Monthly Power Usage Charges for 99 DC Rackspace for GE HPC and VDI assets valid from January</t>
  </si>
  <si>
    <t>TX29240031763582109.44</t>
  </si>
  <si>
    <t>TX2924003176</t>
  </si>
  <si>
    <t>GEIIPL-ITCOCR179014</t>
  </si>
  <si>
    <t>69726782 Purchase Invoices INR;STT GLOBAL DATA CENTERS INDIA PRIVATE LIMITED A39060;102;TX2924003176</t>
  </si>
  <si>
    <t>GRC_137448</t>
  </si>
  <si>
    <t>AUTOMATED AP Payables A 1758112 17771426Jan-25-25Inv Num - BS716292400300 , Supplier Name - AMPLUS KN SOLAR PRIVATE LIMITED A37782 , PO Num - 100061150 , Inv Dist Desc - Open PO for Solar Power Procurement for the period March 2024 to Feb 2025 at JFWTC Campus, Bangalore. Billing to be don99264005210101581</t>
  </si>
  <si>
    <t>AUTOMATED AP Payables A 1758112 17771426</t>
  </si>
  <si>
    <t>21-JAN-2025 Purchase Invoices INR</t>
  </si>
  <si>
    <t>Inv Num - BS716292400300 , Supplier Name - AMPLUS KN SOLAR PRIVATE LIMITED A37782 , PO Num - 100061150 , Inv Dist Desc - Open PO for Solar Power Procurement for the period March 2024 to Feb 2025 at JFWTC Campus, Bangalore. Billing to be don</t>
  </si>
  <si>
    <t>BS7162924003009926400</t>
  </si>
  <si>
    <t>BS716292400300</t>
  </si>
  <si>
    <t>GEIIPL-ITCOCR179359</t>
  </si>
  <si>
    <t>69754037 Purchase Invoices INR;AMPLUS KN SOLAR PRIVATE LIMITED A37782;101;BS716292400300</t>
  </si>
  <si>
    <t>GRC_137612</t>
  </si>
  <si>
    <t>AUTOMATED AP Payables A 1761126 18085164Feb-25-25Inv Num - TX2924003389 , Supplier Name - STT GLOBAL DATA CENTERS INDIA PRIVATE LIMITED A39060 , PO Num - 100060705 , Inv Dist Desc - STT Datacenter Monthly Power Usage Charges for 99 DC Rackspace for GE HPC and VDI assets valid from January3739052.355210101232</t>
  </si>
  <si>
    <t>AUTOMATED AP Payables A 1761126 18085164</t>
  </si>
  <si>
    <t>03-FEB-2025 Purchase Invoices INR</t>
  </si>
  <si>
    <t>Inv Num - TX2924003389 , Supplier Name - STT GLOBAL DATA CENTERS INDIA PRIVATE LIMITED A39060 , PO Num - 100060705 , Inv Dist Desc - STT Datacenter Monthly Power Usage Charges for 99 DC Rackspace for GE HPC and VDI assets valid from January</t>
  </si>
  <si>
    <t>TX29240033893739052.35</t>
  </si>
  <si>
    <t>TX2924003389</t>
  </si>
  <si>
    <t>GEIIPL-ITCOCR179784</t>
  </si>
  <si>
    <t>69844103 Purchase Invoices INR;STT GLOBAL DATA CENTERS INDIA PRIVATE LIMITED A39060;102;TX2924003389</t>
  </si>
  <si>
    <t>GRC_137613</t>
  </si>
  <si>
    <t>AUTOMATED AP Payables A 1761126 18085164Feb-25-25Inv Num - PR10006518767767083 , Supplier Name - DEPUTY CHIEF ELECTRICAL INSPECTOR BANGALORE EAST A37421 , PO Num - 100065187 , Inv Dist Desc - Payment Request : PR : Electricity tax on captive consumption for the month of January - 2025.44135210101581</t>
  </si>
  <si>
    <t>Inv Num - PR10006518767767083 , Supplier Name - DEPUTY CHIEF ELECTRICAL INSPECTOR BANGALORE EAST A37421 , PO Num - 100065187 , Inv Dist Desc - Payment Request : PR : Electricity tax on captive consumption for the month of January - 2025.</t>
  </si>
  <si>
    <t>PR100065187677670834413</t>
  </si>
  <si>
    <t>PR10006518767767083</t>
  </si>
  <si>
    <t>GEIIPL-ITCP179785</t>
  </si>
  <si>
    <t>69844181 Purchase Invoices INR;DEPUTY CHIEF ELECTRICAL INSPECTOR BANGALORE EAST A37421;101;PR10006518767767083</t>
  </si>
  <si>
    <t>Payment Request : PR : Electricity tax on captive consumption for the month of January - 2025.</t>
  </si>
  <si>
    <t>GRC_137635</t>
  </si>
  <si>
    <t>AUTOMATED AP Payables A 1761126 18085164Feb-25-25Inv Num - TX2924003406 , Supplier Name - STT GLOBAL DATA CENTERS INDIA PRIVATE LIMITED A39060 , PO Num - 100063788 , Inv Dist Desc - Charges towards STT Datacenter Monthly Power Usage Charges for new 22 ROFR Rackspace built for 2024 HPC Exp864516.15210101232</t>
  </si>
  <si>
    <t>Inv Num - TX2924003406 , Supplier Name - STT GLOBAL DATA CENTERS INDIA PRIVATE LIMITED A39060 , PO Num - 100063788 , Inv Dist Desc - Charges towards STT Datacenter Monthly Power Usage Charges for new 22 ROFR Rackspace built for 2024 HPC Exp</t>
  </si>
  <si>
    <t>TX2924003406864516.1</t>
  </si>
  <si>
    <t>TX2924003406</t>
  </si>
  <si>
    <t>GEIIPL-ITCOCR179782</t>
  </si>
  <si>
    <t>69844105 Purchase Invoices INR;STT GLOBAL DATA CENTERS INDIA PRIVATE LIMITED A39060;102;TX2924003406</t>
  </si>
  <si>
    <t>GRC_137637</t>
  </si>
  <si>
    <t>AUTOMATED AP Payables A 1761126 18085164Feb-25-25Inv Num - TX2924002930 , Supplier Name - STT GLOBAL DATA CENTERS INDIA PRIVATE LIMITED A39060 , PO Num - 100064823 , Inv Dist Desc - Charges towards Power Consumption at STT for Aerospace VDI 6 racks for the period Jan 25 to Dec 25 and paym888827.865210101238</t>
  </si>
  <si>
    <t>Inv Num - TX2924002930 , Supplier Name - STT GLOBAL DATA CENTERS INDIA PRIVATE LIMITED A39060 , PO Num - 100064823 , Inv Dist Desc - Charges towards Power Consumption at STT for Aerospace VDI 6 racks for the period Jan 25 to Dec 25 and paym</t>
  </si>
  <si>
    <t>TX2924002930888827.86</t>
  </si>
  <si>
    <t>TX2924002930</t>
  </si>
  <si>
    <t>GEIIPL-ITCM179765</t>
  </si>
  <si>
    <t>69844090 Purchase Invoices INR;STT GLOBAL DATA CENTERS INDIA PRIVATE LIMITED A39060;102;TX2924002930</t>
  </si>
  <si>
    <t>GRC_137711</t>
  </si>
  <si>
    <t>AUTOMATED AP Payables A 1761126 18085164Feb-25-25Inv Num - TX2924003405 , Supplier Name - STT GLOBAL DATA CENTERS INDIA PRIVATE LIMITED A39060 , PO Num - 100060415 , Inv Dist Desc - Power Consumption Charges for at STT for Aerospace VDI racks for the period Jan 24 to Dec 2024. Billing at 72144.195210101238</t>
  </si>
  <si>
    <t xml:space="preserve">Inv Num - TX2924003405 , Supplier Name - STT GLOBAL DATA CENTERS INDIA PRIVATE LIMITED A39060 , PO Num - 100060415 , Inv Dist Desc - Power Consumption Charges for at STT for Aerospace VDI racks for the period Jan 24 to Dec 2024. Billing at </t>
  </si>
  <si>
    <t>TX292400340572144.19</t>
  </si>
  <si>
    <t>TX2924003405</t>
  </si>
  <si>
    <t>GEIIPL-ITCOCR179726</t>
  </si>
  <si>
    <t>69844102 Purchase Invoices INR;STT GLOBAL DATA CENTERS INDIA PRIVATE LIMITED A39060;102;TX2924003405</t>
  </si>
  <si>
    <t>GRC_137882</t>
  </si>
  <si>
    <t>AUTOMATED AP Payables A 1761176 18207050Feb-25-25Inv Num - PR10006543567767204 , Supplier Name - ADDITIONAL CHIEF ELECTRICAL INSPECTOR, BANGALORE NORTH A38280 , PO Num - 100065435 , Inv Dist Desc - Payment Request : PR: Towards Periodical inspection fee for electrical installations71005210101581</t>
  </si>
  <si>
    <t>AUTOMATED AP Payables A 1761176 18207050</t>
  </si>
  <si>
    <t>19-FEB-2025 Purchase Invoices INR</t>
  </si>
  <si>
    <t>Inv Num - PR10006543567767204 , Supplier Name - ADDITIONAL CHIEF ELECTRICAL INSPECTOR, BANGALORE NORTH A38280 , PO Num - 100065435 , Inv Dist Desc - Payment Request : PR: Towards Periodical inspection fee for electrical installations</t>
  </si>
  <si>
    <t>PR100065435677672047100</t>
  </si>
  <si>
    <t>PR10006543567767204</t>
  </si>
  <si>
    <t>GEIIPL-ITCP180374</t>
  </si>
  <si>
    <t>69930000 Purchase Invoices INR;ADDITIONAL CHIEF ELECTRICAL INSPECTOR, BANGALORE NORTH A38280;101;PR10006543567767204</t>
  </si>
  <si>
    <t>GRC_137914</t>
  </si>
  <si>
    <t>AUTOMATED AP Payables A 1761176 18207050Feb-25-25Inv Num - BS716292400348 , Supplier Name - AMPLUS KN SOLAR PRIVATE LIMITED A37782 , PO Num - 100061150 , Inv Dist Desc - Open PO for Solar Power Procurement for the period March 2024 to Feb 2025 at JFWTC Campus, Bangalore. Billing to be don9900000.055210101581</t>
  </si>
  <si>
    <t>18-FEB-2025 Purchase Invoices INR</t>
  </si>
  <si>
    <t>Inv Num - BS716292400348 , Supplier Name - AMPLUS KN SOLAR PRIVATE LIMITED A37782 , PO Num - 100061150 , Inv Dist Desc - Open PO for Solar Power Procurement for the period March 2024 to Feb 2025 at JFWTC Campus, Bangalore. Billing to be don</t>
  </si>
  <si>
    <t>BS7162924003489900000.05</t>
  </si>
  <si>
    <t>BS716292400348</t>
  </si>
  <si>
    <t>GEIIPL-ITCM180314</t>
  </si>
  <si>
    <t>69919895 Purchase Invoices INR;AMPLUS KN SOLAR PRIVATE LIMITED A37782;101;BS716292400348</t>
  </si>
  <si>
    <t>GRC_138369</t>
  </si>
  <si>
    <t>AUTOMATED AP Payables A 1762133 18145851Feb-25-25Inv Num - 325956413816 , Supplier Name - BESCOM LTD A37440 , PO Num - 100064557 , Inv Dist Desc - Open PO for Power Procurement through BESCOM for the year 2025 at JFWTC Campus, Bangalore. Billing to be done at actuals.47005625210101581</t>
  </si>
  <si>
    <t>AUTOMATED AP Payables A 1762133 18145851</t>
  </si>
  <si>
    <t>12-FEB-2025 Purchase Invoices INR</t>
  </si>
  <si>
    <t>Inv Num - 325956413816 , Supplier Name - BESCOM LTD A37440 , PO Num - 100064557 , Inv Dist Desc - Open PO for Power Procurement through BESCOM for the year 2025 at JFWTC Campus, Bangalore. Billing to be done at actuals.</t>
  </si>
  <si>
    <t>3259564138164700562</t>
  </si>
  <si>
    <t>GEIIPL-ITCPO180013</t>
  </si>
  <si>
    <t>69893458 Purchase Invoices INR;BESCOM LTD A37440;101;325956413816</t>
  </si>
  <si>
    <t>GRC_146196</t>
  </si>
  <si>
    <t>GR16_0125_MK01_CP_TDS gross up and Pcard entries Dec 24 WF#13614384494 Spreadsheet A 17793778Jan-25-25Rectification49155210101581</t>
  </si>
  <si>
    <t>GR16_0125_MK01_CP_TDS gross up and Pcard entries Dec 24 WF#13614384494 Spreadsheet A 17793778</t>
  </si>
  <si>
    <t>GR16_0125_MK01_CP_TDS gross up and Pcard entries Dec 24 WF#13614384494 All Books INR User 1</t>
  </si>
  <si>
    <t>4915</t>
  </si>
  <si>
    <t>GRC_150523</t>
  </si>
  <si>
    <t>GR16_0225_HS14_AP_Laptop Lease &amp; Accessories Charges (CC_Reclass)_Feb-25 Spreadsheet 18301380Feb-25-25Cross charging of Laptop Lease &amp; Accessories Billing booked in IT function (CC Reclass)14293551.885210101238</t>
  </si>
  <si>
    <t>GR16_0225_HS14_AP_Laptop Lease &amp; Accessories Charges (CC_Reclass)_Feb-25 Spreadsheet 18301380</t>
  </si>
  <si>
    <t>GR16_0225_HS14_AP_Laptop Lease &amp; Accessories Charges (CC_Reclass)_Feb-25 All Books USD MOR 28-FEB-2</t>
  </si>
  <si>
    <t>GR16.5210101238.0000.GC9401.000.0000000000.000000.000000.P.000000000.000000</t>
  </si>
  <si>
    <t>Cross charging of Laptop Lease &amp; Accessories Billing booked in IT function (CC Reclass)</t>
  </si>
  <si>
    <t>Cross charging of Laptop Lease &amp; Accessories Billing booked in IT function</t>
  </si>
  <si>
    <t>14293551.88</t>
  </si>
  <si>
    <t>GC9401</t>
  </si>
  <si>
    <t>GM Aviation</t>
  </si>
  <si>
    <t>Aviation Engg</t>
  </si>
  <si>
    <t>GRC_150524</t>
  </si>
  <si>
    <t>GR16_0225_HS14_AP_Laptop Lease &amp; Accessories Charges (CC_Reclass)_Feb-25 Spreadsheet 18301380Feb-25-25Cross charging of Laptop Lease &amp; Accessories Billing booked in IT function (CC Reclass)7696527.745210101238</t>
  </si>
  <si>
    <t>GR16.5210101238.0000.GC9402.000.0000000000.GCN001.GCB100.P.000000000.000000</t>
  </si>
  <si>
    <t>7696527.74</t>
  </si>
  <si>
    <t>GC9402</t>
  </si>
  <si>
    <t>DS Aviation</t>
  </si>
  <si>
    <t>Aviation DT</t>
  </si>
  <si>
    <t>GRC_150525</t>
  </si>
  <si>
    <t>GR16_0225_HS14_AP_Laptop Lease &amp; Accessories Charges (CC_Reclass)_Feb-25 Spreadsheet 18301380Feb-25-25Cross charging of Laptop Lease &amp; Accessories Billing booked in IT function (CC Reclass)824628.135210101238</t>
  </si>
  <si>
    <t>GR16.5210101238.0000.GC9601.000.0000000000.GCN001.GCB100.P.000000000.000000</t>
  </si>
  <si>
    <t>824628.13</t>
  </si>
  <si>
    <t>GC9601</t>
  </si>
  <si>
    <t xml:space="preserve">CORP DT Common Cost </t>
  </si>
  <si>
    <t>Corporate DT</t>
  </si>
  <si>
    <t>GRC_150526</t>
  </si>
  <si>
    <t>GR16_0225_HS14_AP_Laptop Lease &amp; Accessories Charges (CC_Reclass)_Feb-25 Spreadsheet 18301380Feb-25-25Cross charging of Laptop Lease &amp; Accessories Billing booked in IT function (CC Reclass)274876.335210101238</t>
  </si>
  <si>
    <t>GR16.5210101238.0000.GC9797.000.0000000000.GCN001.GCB100.P.000000000.000000</t>
  </si>
  <si>
    <t>274876.33</t>
  </si>
  <si>
    <t>GC9797</t>
  </si>
  <si>
    <t>Global Ops common cost</t>
  </si>
  <si>
    <t>Global Ops</t>
  </si>
  <si>
    <t>GRC_150527</t>
  </si>
  <si>
    <t>GR16_0225_HS14_AP_Laptop Lease &amp; Accessories Charges (CC_Reclass)_Feb-25 Spreadsheet 18301380Feb-25-25Cross charging of Laptop Lease &amp; Accessories Billing booked in IT function (CC Reclass)2473883.515210101238</t>
  </si>
  <si>
    <t>GR16.5210101238.0000.GCC00J.000.0000000000.GCN001.GCC100.P.000000000.000000</t>
  </si>
  <si>
    <t>2473883.51</t>
  </si>
  <si>
    <t>GCC00J</t>
  </si>
  <si>
    <t>Aerospace Research Center Headquarters</t>
  </si>
  <si>
    <t>GRC Tech</t>
  </si>
  <si>
    <t>GRC_150528</t>
  </si>
  <si>
    <t>GR16_0225_HS14_AP_Laptop Lease &amp; Accessories Charges (CC_Reclass)_Feb-25 Spreadsheet 18301380Feb-25-25Laptop lease &amp; Accessories charges (CC Reclass) _Feb-25-25563467.595210101238</t>
  </si>
  <si>
    <t>GR16.5210101238.0000.GC7699.000.0000000000.GCN001.GCC100.P.000000000.000000</t>
  </si>
  <si>
    <t>Laptop lease &amp; Accessories charges (CC Reclass) _Feb-25</t>
  </si>
  <si>
    <t>-25563467.59</t>
  </si>
  <si>
    <t>GC7699</t>
  </si>
  <si>
    <t>INDIA - IT</t>
  </si>
  <si>
    <t>Infra</t>
  </si>
  <si>
    <t>GRC_150539</t>
  </si>
  <si>
    <t>GR16_0225_MK01_CP_TDS gross up and Pcard entries Jan 25 WF#13744945966 Spreadsheet A 18284623Feb-25-25Rectification47015210101581</t>
  </si>
  <si>
    <t>GR16_0225_MK01_CP_TDS gross up and Pcard entries Jan 25 WF#13744945966 Spreadsheet A 18284623</t>
  </si>
  <si>
    <t>GR16_0225_MK01_CP_TDS gross up and Pcard entries Jan 25 WF#13744945966 All Books INR User 1</t>
  </si>
  <si>
    <t>4701</t>
  </si>
  <si>
    <t>GRC_157673</t>
  </si>
  <si>
    <t>Reverses GR16-0324-RG04-SR_SSS PO Accrual STAT INR User 103-MAR-25 02:23:27 - 18320874Feb-25-25Project#117689,Task#5509,INV#TX2923004134,Barcode#,Po#100060705,PoLine#1,VendorName-STT GLOBAL DATA CENTERS INDIA PRIVATE LIMITED,Desc-STT Datacenter Monthly Power Usage Charges for 99 ,PT#1176895509-3715626.625210101232</t>
  </si>
  <si>
    <t>Reverses GR16-0324-RG04-SR_SSS PO Accrual STAT INR User 103-MAR-25 02:23:27 - 18320874</t>
  </si>
  <si>
    <t>Reverses GR16-0324-RG04-SR_SSS PO Accrual STAT INR User 1 1280971</t>
  </si>
  <si>
    <t>Project#117689,Task#5509,INV#TX2923004134,Barcode#,Po#100060705,PoLine#1,VendorName-STT GLOBAL DATA CENTERS INDIA PRIVATE LIMITED,Desc-STT Datacenter Monthly Power Usage Charges for 99 ,PT#1176895509</t>
  </si>
  <si>
    <t>TX2923004134-3715626.62</t>
  </si>
  <si>
    <t>STT GLOBAL DATA CENTERS INDIA PRIVATE LIMITED</t>
  </si>
  <si>
    <t>STT GLOBAL DATA CENTERS INDIA PRIVATE LIMITED,Desc-STT Datacenter Monthly Power Usage Charges for 99 ,PT#1176895509</t>
  </si>
  <si>
    <t>GRC_157710</t>
  </si>
  <si>
    <t>Reverses GR16-0324-RG04-SR_SSS PO Accrual STAT INR User 103-MAR-25 02:23:27 - 18320874Feb-25-25Project#119404,Task#5512,INV#TX2923004135,Barcode#,Po#100060415,PoLine#1,VendorName-STT GLOBAL DATA CENTERS INDIA PRIVATE LIMITED,Desc-Power Consumption Charges for at STT for Aerospace,PT#1194045512-77523.265210101238</t>
  </si>
  <si>
    <t>Project#119404,Task#5512,INV#TX2923004135,Barcode#,Po#100060415,PoLine#1,VendorName-STT GLOBAL DATA CENTERS INDIA PRIVATE LIMITED,Desc-Power Consumption Charges for at STT for Aerospace,PT#1194045512</t>
  </si>
  <si>
    <t>TX2923004135-77523.26</t>
  </si>
  <si>
    <t>STT GLOBAL DATA CENTERS INDIA PRIVATE LIMITED,Desc-Power Consumption Charges for at STT for Aerospace,PT#1194045512</t>
  </si>
  <si>
    <t>GRC_157930</t>
  </si>
  <si>
    <t>Reverses GR16-0324-RG06-SR_Open PO &amp; BOH Accrual adjustment03-MAR-25 02:26:07 - 18320879Feb-25-25Open PO for Power Procurement through BESCOM for the year 2024 at JFWTC Campus Bangalore. Billing to be done at actuals.-46653135210101581</t>
  </si>
  <si>
    <t>Reverses GR16-0324-RG06-SR_Open PO &amp; BOH Accrual adjustment03-MAR-25 02:26:07 - 18320879</t>
  </si>
  <si>
    <t>Reverses GR16-0324-RG06-SR_Open PO &amp; BOH Accrual adjustment for Tax Filling Mar 1281388</t>
  </si>
  <si>
    <t>(blank)-4665313</t>
  </si>
  <si>
    <t>(blank)</t>
  </si>
  <si>
    <t>Actual invoice value taken</t>
  </si>
  <si>
    <t>GRC_157931</t>
  </si>
  <si>
    <t>Reverses GR16-0324-RG06-SR_Open PO &amp; BOH Accrual adjustment03-MAR-25 02:26:07 - 18320879Feb-25-25Open PO for Power Procurement through BESCOM for the year 2024 at JFWTC Campus Bangalore. Billing to be done at actuals.45000005210101581</t>
  </si>
  <si>
    <t>(blank)4500000</t>
  </si>
  <si>
    <t>GRC_157934</t>
  </si>
  <si>
    <t>Reverses GR16-0324-RG06-SR_Open PO &amp; BOH Accrual adjustment03-MAR-25 02:26:07 - 18320879Feb-25-25Open PO for Solar Power Procurement for the period March 2024 to Feb 2025 at JFWTC Campus Bangalore. Billing to be done at actuals. [Tarriff Details INR 5.28/kwh - 7th Year]-104014405210101581</t>
  </si>
  <si>
    <t>BS716292400029-10401440</t>
  </si>
  <si>
    <t>GRC_157935</t>
  </si>
  <si>
    <t>Reverses GR16-0324-RG06-SR_Open PO &amp; BOH Accrual adjustment03-MAR-25 02:26:07 - 18320879Feb-25-25Open PO for Solar Power Procurement for the period March 2024 to Feb 2025 at JFWTC Campus Bangalore. Billing to be done at actuals. [Tarriff Details INR 5.28/kwh - 7th Year]106022405210101581</t>
  </si>
  <si>
    <t>BS71629240002910602240</t>
  </si>
  <si>
    <t>GRC_158797</t>
  </si>
  <si>
    <t>Reverses GR16_Adj24_MK03_CR_TDS gross up and Pcard entries 03-MAR-25 04:29:23 - 18321045Feb-25-25Rectification-43325210101581</t>
  </si>
  <si>
    <t>Reverses GR16_Adj24_MK03_CR_TDS gross up and Pcard entries 03-MAR-25 04:29:23 - 18321045</t>
  </si>
  <si>
    <t>Reverses GR16_Adj24_MK03_CR_TDS gross up and Pcard entries Mar 24 STAT INR User 1281360</t>
  </si>
  <si>
    <t>‭100060266‬-4332</t>
  </si>
  <si>
    <t>GRC_163195</t>
  </si>
  <si>
    <t>AUTOMATED AP Payables A 1762410 18389112Mar-25-25Inv Num - PR10006560467767590 , Supplier Name - DEPUTY CHIEF ELECTRICAL INSPECTOR BANGALORE EAST A37421 , PO Num - 100065604 , Inv Dist Desc - Payment Request : PR : Electricity tax on captive consumption for the month of February - 202514895210101581</t>
  </si>
  <si>
    <t>AUTOMATED AP Payables A 1762410 18389112</t>
  </si>
  <si>
    <t>03-MAR-2025 Purchase Invoices INR</t>
  </si>
  <si>
    <t>Inv Num - PR10006560467767590 , Supplier Name - DEPUTY CHIEF ELECTRICAL INSPECTOR BANGALORE EAST A37421 , PO Num - 100065604 , Inv Dist Desc - Payment Request : PR : Electricity tax on captive consumption for the month of February - 2025</t>
  </si>
  <si>
    <t>PR100065604677675901489</t>
  </si>
  <si>
    <t>PR10006560467767590</t>
  </si>
  <si>
    <t>GEIIPL-ITCP180634</t>
  </si>
  <si>
    <t>70007203 Purchase Invoices INR;DEPUTY CHIEF ELECTRICAL INSPECTOR BANGALORE EAST A37421;101;PR10006560467767590</t>
  </si>
  <si>
    <t>Payment Request : PR : Electricity tax on captive consumption for the month of February - 2025</t>
  </si>
  <si>
    <t>GRC_163590</t>
  </si>
  <si>
    <t>AUTOMATED AP Payables A 1774085 18425823Mar-25-25Inv Num - TX2924003595 , Supplier Name - STT GLOBAL DATA CENTERS INDIA PRIVATE LIMITED A39060 , PO Num - 100064823 , Inv Dist Desc - Charges towards Power Consumption at STT for Aerospace VDI 6 racks for the period Jan 25 to Dec 25 and paym73864.325210101238</t>
  </si>
  <si>
    <t>AUTOMATED AP Payables A 1774085 18425823</t>
  </si>
  <si>
    <t>10-MAR-2025 Purchase Invoices INR</t>
  </si>
  <si>
    <t>Inv Num - TX2924003595 , Supplier Name - STT GLOBAL DATA CENTERS INDIA PRIVATE LIMITED A39060 , PO Num - 100064823 , Inv Dist Desc - Charges towards Power Consumption at STT for Aerospace VDI 6 racks for the period Jan 25 to Dec 25 and paym</t>
  </si>
  <si>
    <t>TX292400359573864.32</t>
  </si>
  <si>
    <t>TX2924003595</t>
  </si>
  <si>
    <t>GEIIPL-ITCOCR180789</t>
  </si>
  <si>
    <t>70047671 Purchase Invoices INR;STT GLOBAL DATA CENTERS INDIA PRIVATE LIMITED A39060;102;TX2924003595</t>
  </si>
  <si>
    <t>GRC_163610</t>
  </si>
  <si>
    <t>AUTOMATED AP Payables A 1774106 18467021Mar-25-25Inv Num - TX2924003579 , Supplier Name - STT GLOBAL DATA CENTERS INDIA PRIVATE LIMITED A39060 , PO Num - , Inv Dist Desc - Charges towards BEC HPC Datacenter Power Charges for DC Racks from January to December 2025 and payment done at actua3810488.265210101232</t>
  </si>
  <si>
    <t>AUTOMATED AP Payables A 1774106 18467021</t>
  </si>
  <si>
    <t>11-MAR-2025 Purchase Invoices INR</t>
  </si>
  <si>
    <t>Inv Num - TX2924003579 , Supplier Name - STT GLOBAL DATA CENTERS INDIA PRIVATE LIMITED A39060 , PO Num - , Inv Dist Desc - Charges towards BEC HPC Datacenter Power Charges for DC Racks from January to December 2025 and payment done at actua</t>
  </si>
  <si>
    <t>TX29240035793810488.26</t>
  </si>
  <si>
    <t>TX2924003579</t>
  </si>
  <si>
    <t>GEIIPL-ITCOCR180814</t>
  </si>
  <si>
    <t>70054728 Purchase Invoices INR;STT GLOBAL DATA CENTERS INDIA PRIVATE LIMITED A39060;102;TX2924003579</t>
  </si>
  <si>
    <t>GRC_163616</t>
  </si>
  <si>
    <t>AUTOMATED AP Payables A 1774106 18467021Mar-25-25Inv Num - TX2924003585 , Supplier Name - STT GLOBAL DATA CENTERS INDIA PRIVATE LIMITED A39060 , PO Num - , Inv Dist Desc - Charges towards BEC HPC Datacenter Power Charges for DC Racks from January to December 2025 and payment done at actua810888.585210101232</t>
  </si>
  <si>
    <t>Inv Num - TX2924003585 , Supplier Name - STT GLOBAL DATA CENTERS INDIA PRIVATE LIMITED A39060 , PO Num - , Inv Dist Desc - Charges towards BEC HPC Datacenter Power Charges for DC Racks from January to December 2025 and payment done at actua</t>
  </si>
  <si>
    <t>TX2924003585810888.58</t>
  </si>
  <si>
    <t>TX2924003585</t>
  </si>
  <si>
    <t>GEIIPL-ITCOCR180813</t>
  </si>
  <si>
    <t>70054730 Purchase Invoices INR;STT GLOBAL DATA CENTERS INDIA PRIVATE LIMITED A39060;102;TX2924003585</t>
  </si>
  <si>
    <t>GRC_163742</t>
  </si>
  <si>
    <t>AUTOMATED AP Payables A 1774118 18499429Mar-25-25Inv Num - 5241000491 , Supplier Name - ATLAS COPCO INDIA PRIVATE LIMITED , PO Num - 100064547 , Inv Dist Desc - Open PO towards Rental charges for XAS48 - Diesel Driven Oil Lubricated Portable Screw type Atlas Copco compressor. INR 133000 p1330005210101320</t>
  </si>
  <si>
    <t>AUTOMATED AP Payables A 1774118 18499429</t>
  </si>
  <si>
    <t>14-MAR-2025 Purchase Invoices INR</t>
  </si>
  <si>
    <t>Inv Num - 5241000491 , Supplier Name - ATLAS COPCO INDIA PRIVATE LIMITED , PO Num - 100064547 , Inv Dist Desc - Open PO towards Rental charges for XAS48 - Diesel Driven Oil Lubricated Portable Screw type Atlas Copco compressor. INR 133000 p</t>
  </si>
  <si>
    <t>5241000491133000</t>
  </si>
  <si>
    <t>GEIIPL-ITCOCR180947</t>
  </si>
  <si>
    <t>70076198 Purchase Invoices INR;ATLAS COPCO INDIA PRIVATE LIMITED;102;5241000491</t>
  </si>
  <si>
    <t>Open PO towards Rental charges for XAS48 - Diesel Driven Oil Lubricated Portable Screw type Atlas Copco compressor. INR 133000 per month and prices will be valid till 30.6.25. Billing to be done at actuals.</t>
  </si>
  <si>
    <t>GRC_163743</t>
  </si>
  <si>
    <t>AUTOMATED AP Payables A 1774118 18499429Mar-25-25Inv Num - 5241000447 , Supplier Name - ATLAS COPCO INDIA PRIVATE LIMITED , PO Num - 100064547 , Inv Dist Desc - Open PO towards Rental charges for XAS48 - Diesel Driven Oil Lubricated Portable Screw type Atlas Copco compressor. INR 133000 p1330005210101320</t>
  </si>
  <si>
    <t>Inv Num - 5241000447 , Supplier Name - ATLAS COPCO INDIA PRIVATE LIMITED , PO Num - 100064547 , Inv Dist Desc - Open PO towards Rental charges for XAS48 - Diesel Driven Oil Lubricated Portable Screw type Atlas Copco compressor. INR 133000 p</t>
  </si>
  <si>
    <t>5241000447133000</t>
  </si>
  <si>
    <t>GEIIPL-ITCOCR180937</t>
  </si>
  <si>
    <t>70076199 Purchase Invoices INR;ATLAS COPCO INDIA PRIVATE LIMITED;102;5241000447</t>
  </si>
  <si>
    <t>GRC_163766</t>
  </si>
  <si>
    <t>AUTOMATED AP Payables A 1774118 18499429Mar-25-25Inv Num - 325231351585 , Supplier Name - BESCOM LTD A37440 , PO Num - 100064557 , Inv Dist Desc - Open PO for Power Procurement through BESCOM for the year 2025 at JFWTC Campus, Bangalore. Billing to be done at actuals.46519685210101581</t>
  </si>
  <si>
    <t>Inv Num - 325231351585 , Supplier Name - BESCOM LTD A37440 , PO Num - 100064557 , Inv Dist Desc - Open PO for Power Procurement through BESCOM for the year 2025 at JFWTC Campus, Bangalore. Billing to be done at actuals.</t>
  </si>
  <si>
    <t>3252313515854651968</t>
  </si>
  <si>
    <t>GEIIPL-ITCPO180934</t>
  </si>
  <si>
    <t>70076230 Purchase Invoices INR;BESCOM LTD A37440;101;325231351585</t>
  </si>
  <si>
    <t>GRC_163994</t>
  </si>
  <si>
    <t>AUTOMATED AP Payables A 1776193 18551826Mar-25-25Inv Num - BS716292400371 , Supplier Name - AMPLUS KN SOLAR PRIVATE LIMITED A37782 , PO Num - 100061150 , Inv Dist Desc - Open PO for Solar Power Procurement for the period March 2024 to Feb 2025 at JFWTC Campus, Bangalore. Billing to be don97680005210101581</t>
  </si>
  <si>
    <t>AUTOMATED AP Payables A 1776193 18551826</t>
  </si>
  <si>
    <t>19-MAR-2025 Purchase Invoices INR</t>
  </si>
  <si>
    <t>Inv Num - BS716292400371 , Supplier Name - AMPLUS KN SOLAR PRIVATE LIMITED A37782 , PO Num - 100061150 , Inv Dist Desc - Open PO for Solar Power Procurement for the period March 2024 to Feb 2025 at JFWTC Campus, Bangalore. Billing to be don</t>
  </si>
  <si>
    <t>BS7162924003719768000</t>
  </si>
  <si>
    <t>BS716292400371</t>
  </si>
  <si>
    <t>GEIIPL-ITCOCR181117</t>
  </si>
  <si>
    <t>70101054 Purchase Invoices INR;AMPLUS KN SOLAR PRIVATE LIMITED A37782;101;BS716292400371</t>
  </si>
  <si>
    <t>GRC_170637</t>
  </si>
  <si>
    <t>GR16_0325_HS23_AP_Laptop Lease &amp; Accessories Charges (CC_Reclass)_Mar-25 Spreadsheet 18630909Mar-25-25Cross charging of Laptop Lease &amp; Accessories Billing booked in IT function11755671.085210101238</t>
  </si>
  <si>
    <t>GR16_0325_HS23_AP_Laptop Lease &amp; Accessories Charges (CC_Reclass)_Mar-25 Spreadsheet 18630909</t>
  </si>
  <si>
    <t>GR16_0325_HS23_AP_Laptop Lease &amp; Accessories Charges (CC_Reclass)_Mar-25 All Books USD MOR 28-MAR-2</t>
  </si>
  <si>
    <t>11755671.08</t>
  </si>
  <si>
    <t>GRC_170638</t>
  </si>
  <si>
    <t>GR16_0325_HS23_AP_Laptop Lease &amp; Accessories Charges (CC_Reclass)_Mar-25 Spreadsheet 18630909Mar-25-25Cross charging of Laptop Lease &amp; Accessories Billing booked in IT function6329976.935210101238</t>
  </si>
  <si>
    <t>6329976.93</t>
  </si>
  <si>
    <t>GRC_170639</t>
  </si>
  <si>
    <t>GR16_0325_HS23_AP_Laptop Lease &amp; Accessories Charges (CC_Reclass)_Mar-25 Spreadsheet 18630909Mar-25-25Cross charging of Laptop Lease &amp; Accessories Billing booked in IT function678212.15210101238</t>
  </si>
  <si>
    <t>678212.1</t>
  </si>
  <si>
    <t>GRC_170640</t>
  </si>
  <si>
    <t>GR16_0325_HS23_AP_Laptop Lease &amp; Accessories Charges (CC_Reclass)_Mar-25 Spreadsheet 18630909Mar-25-25Cross charging of Laptop Lease &amp; Accessories Billing booked in IT function226069.825210101238</t>
  </si>
  <si>
    <t>226069.82</t>
  </si>
  <si>
    <t>GRC_170641</t>
  </si>
  <si>
    <t>GR16_0325_HS23_AP_Laptop Lease &amp; Accessories Charges (CC_Reclass)_Mar-25 Spreadsheet 18630909Mar-25-25Laptop lease &amp; Accessories charges (CC Reclass) _Mar-25-18989929.935210101238</t>
  </si>
  <si>
    <t>Laptop lease &amp; Accessories charges (CC Reclass) _Mar-25</t>
  </si>
  <si>
    <t>-18989929.93</t>
  </si>
  <si>
    <t>GRC_170659</t>
  </si>
  <si>
    <t>GR16_0325_MK02_CP_TDS gross up and Pcard entries Feb 25 WF#13837290872 Spreadsheet A 18553922Mar-25-25TDS on Purchase-Gross-Up47055210101581</t>
  </si>
  <si>
    <t>GR16_0325_MK02_CP_TDS gross up and Pcard entries Feb 25 WF#13837290872 Spreadsheet A 18553922</t>
  </si>
  <si>
    <t>GR16_0325_MK02_CP_TDS gross up and Pcard entries Feb 25 WF#13837290872 All Books INR User 1</t>
  </si>
  <si>
    <t>TDS on Purchase-Gross-Up</t>
  </si>
  <si>
    <t>4705</t>
  </si>
  <si>
    <t>GRC_182578</t>
  </si>
  <si>
    <t>GR16_0325_HS02_SR_ Open PO Accruals_Aviation &amp; Infra_Mar-25 Spreadsheet A 1774395 18704705Adj-25-25Charges towards BEC HPC Datacenter Power Charges for DC Racks from January to December 2025 and payment done at actuals.6831393.285210101232</t>
  </si>
  <si>
    <t>GR16_0325_HS02_SR_ Open PO Accruals_Aviation &amp; Infra_Mar-25 Spreadsheet A 1774395 18704705</t>
  </si>
  <si>
    <t>GR16_0325_HS02_SR_ Open PO Accruals_Aviation &amp; Infra_Mar-25 STAT INR User 1</t>
  </si>
  <si>
    <t>6831393.28</t>
  </si>
  <si>
    <t>GRC_182728</t>
  </si>
  <si>
    <t>GR16_0325_HS02_SR_ Open PO Accruals_Aviation &amp; Infra_Mar-25 Spreadsheet A 1774395 18704705Adj-25-25Open PO for Power Procurement through BESCOM for the year 2025 at JFWTC Campus Bangalore. Billing to be done at actuals.50000005210101581</t>
  </si>
  <si>
    <t>5000000</t>
  </si>
  <si>
    <t>GRC_182734</t>
  </si>
  <si>
    <t>GR16_0325_HS02_SR_ Open PO Accruals_Aviation &amp; Infra_Mar-25 Spreadsheet A 1774395 18704705Adj-25-25Open PO for Solar Power Procurement for the period March 2025 to Feb 2026 at JFWTC Campus Bangalore. Billing to be done at actuals. [Tarriff Details INR 5.39/kwh].114160205210101581</t>
  </si>
  <si>
    <t>11416020</t>
  </si>
  <si>
    <t>GRC_182796</t>
  </si>
  <si>
    <t>GR16_0325_HS03_SR_BOH Accruals_Mar-25 Spreadsheet A 1778219 18704736Adj-25-25Charges towards BEC HPC Datacenter Power Charges for DC Racks from January to December 2025 and payment done at actuals.768606.725210101232</t>
  </si>
  <si>
    <t>GR16_0325_HS03_SR_BOH Accruals_Mar-25 Spreadsheet A 1778219 18704736</t>
  </si>
  <si>
    <t>GR16_0325_HS03_SR_BOH Accruals_Mar-25 STAT INR User 1</t>
  </si>
  <si>
    <t>TX2924004193768606.72</t>
  </si>
  <si>
    <t>TX2924004193</t>
  </si>
  <si>
    <t>GRC_182797</t>
  </si>
  <si>
    <t>GR16_0325_HS03_SR_BOH Accruals_Mar-25 Spreadsheet A 1778219 18704736Adj-25-25Charges towards BEC HPC Datacenter Power Charges for DC Racks from January to December 2025 and payment done at actuals.3352989.695210101232</t>
  </si>
  <si>
    <t>TX29240041833352989.69</t>
  </si>
  <si>
    <t>TX2924004183</t>
  </si>
  <si>
    <t>GRC_182802</t>
  </si>
  <si>
    <t>GR16_0325_HS03_SR_BOH Accruals_Mar-25 Spreadsheet A 1778219 18704736Adj-25-25Charges towards Power Consumption at STT for Aerospace VDI 6 racks for the period Jan 25 to Dec 25 and payment done at actuals.67355.95210101238</t>
  </si>
  <si>
    <t>TX292400418467355.9</t>
  </si>
  <si>
    <t>TX2924004184</t>
  </si>
  <si>
    <t>GRC_182849</t>
  </si>
  <si>
    <t>GR16_0325_HS03_SR_BOH Accruals_Mar-25 Spreadsheet A 1778219 18704736Adj-25-25Open PO towards Rental charges for XAS48 - Diesel Driven Oil Lubricated Portable Screw type Atlas Copco compressor. Details as per annexure and quote ref no. Q-19992 - V1.1330005210101320</t>
  </si>
  <si>
    <t>GR16.5210101320.0000.GC9410.000.0000000000.GCN001.GCB100.P.000000000.000000</t>
  </si>
  <si>
    <t>5241000563133000</t>
  </si>
  <si>
    <t>Diesel Driven Oil Lubricated Portable Screw type Atlas Copco compressor. Details as per annexure and quote ref no. Q-19992 - V1.</t>
  </si>
  <si>
    <t>GRC_184667</t>
  </si>
  <si>
    <t>GR16_0325_HS08_SR_PO-BOH-SSS Accruals &amp;TDS on Accruals_Mar-25 Spreadsheet A 1782120 18958423Adj-25-25Open PO for Power Procurement through BESCOM for the year 2025 at JFWTC Campus Bangalore. Billing to be done at actuals.365425210101581</t>
  </si>
  <si>
    <t>GR16_0325_HS08_SR_PO-BOH-SSS Accruals &amp;TDS on Accruals_Mar-25 Spreadsheet A 1782120 18958423</t>
  </si>
  <si>
    <t>GR16_0325_HS08_SR_PO-BOH-SSS Accruals &amp;TDS on Accruals_Mar-25 STAT INR User 1</t>
  </si>
  <si>
    <t>36542</t>
  </si>
  <si>
    <t>GRC_184668</t>
  </si>
  <si>
    <t>GR16_0325_HS08_SR_PO-BOH-SSS Accruals &amp;TDS on Accruals_Mar-25 Spreadsheet A 1782120 18958423Adj-25-25Open PO for Solar Power Procurement for the period March 2025 to Feb 2026 at JFWTC Campus Bangalore. Billing to be done at actuals. [Tarriff Details INR 5.39/kwh].-2329805210101581</t>
  </si>
  <si>
    <t>-232980</t>
  </si>
  <si>
    <t>GRC_184872</t>
  </si>
  <si>
    <t>GR16_Adj25_MK01_SR_TDS gross up and Pcard entries Mar 25 Spreadsheet A 1782131 18958790Adj-25-25Rectification46575210101581</t>
  </si>
  <si>
    <t>GR16_Adj25_MK01_SR_TDS gross up and Pcard entries Mar 25 Spreadsheet A 1782131 18958790</t>
  </si>
  <si>
    <t>GR16_Adj25_MK01_SR_TDS gross up and Pcard entries Mar 25 STAT INR User 1</t>
  </si>
  <si>
    <t>4657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</si>
</sst>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409]dd/mmm/yy;@"/>
  </numFmts>
  <fonts count="11"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10"/>
      <color theme="1"/>
      <name val="Calibri"/>
      <family val="2"/>
    </font>
    <font>
      <sz val="10"/>
      <color theme="1"/>
      <name val="Calibri"/>
      <family val="2"/>
    </font>
    <font>
      <b/>
      <sz val="12"/>
      <color theme="1"/>
      <name val="calibri"/>
      <family val="2"/>
    </font>
    <font>
      <b/>
      <sz val="11"/>
      <color theme="0"/>
      <name val="Calibri"/>
      <family val="2"/>
      <scheme val="minor"/>
    </font>
    <font>
      <b/>
      <sz val="10"/>
      <color theme="0"/>
      <name val="Calibri"/>
      <family val="2"/>
      <scheme val="minor"/>
    </font>
    <font>
      <b/>
      <sz val="11"/>
      <color theme="1"/>
      <name val="Calibri"/>
      <family val="2"/>
      <scheme val="minor"/>
    </font>
    <font>
      <sz val="10"/>
      <color rgb="FF202124"/>
      <name val="Calibri"/>
      <family val="2"/>
    </font>
  </fonts>
  <fills count="7">
    <fill>
      <patternFill patternType="none"/>
    </fill>
    <fill>
      <patternFill patternType="gray125"/>
    </fill>
    <fill>
      <patternFill patternType="solid">
        <fgColor theme="1"/>
        <bgColor indexed="64"/>
      </patternFill>
    </fill>
    <fill>
      <patternFill patternType="solid">
        <fgColor rgb="FFFFC00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applyAlignment="1">
      <alignment horizontal="left" vertical="top"/>
    </xf>
    <xf numFmtId="43" fontId="3" fillId="0" borderId="0" xfId="0" applyNumberFormat="1" applyFont="1"/>
    <xf numFmtId="0" fontId="6" fillId="0" borderId="0" xfId="0" applyFont="1" applyAlignment="1">
      <alignment horizontal="left" vertical="top"/>
    </xf>
    <xf numFmtId="9" fontId="3" fillId="0" borderId="0" xfId="0" applyNumberFormat="1" applyFont="1"/>
    <xf numFmtId="164" fontId="2" fillId="0" borderId="0" xfId="0" applyNumberFormat="1" applyFont="1"/>
    <xf numFmtId="0" fontId="7" fillId="2" borderId="1" xfId="0" applyFont="1" applyFill="1" applyBorder="1"/>
    <xf numFmtId="0" fontId="7" fillId="2" borderId="2" xfId="0" applyFont="1" applyFill="1" applyBorder="1"/>
    <xf numFmtId="0" fontId="8" fillId="2" borderId="1" xfId="0" applyFont="1" applyFill="1" applyBorder="1" applyAlignment="1">
      <alignment wrapText="1"/>
    </xf>
    <xf numFmtId="0" fontId="0" fillId="0" borderId="1" xfId="0" applyBorder="1" applyAlignment="1">
      <alignment vertical="center"/>
    </xf>
    <xf numFmtId="164" fontId="0" fillId="0" borderId="1" xfId="1" applyNumberFormat="1" applyFont="1" applyFill="1" applyBorder="1" applyAlignment="1">
      <alignment vertical="center"/>
    </xf>
    <xf numFmtId="164" fontId="1" fillId="0" borderId="1" xfId="1" applyNumberFormat="1" applyFont="1" applyBorder="1"/>
    <xf numFmtId="9" fontId="3" fillId="0" borderId="3" xfId="0" applyNumberFormat="1" applyFont="1" applyBorder="1" applyAlignment="1">
      <alignment vertical="center"/>
    </xf>
    <xf numFmtId="0" fontId="3" fillId="0" borderId="1" xfId="0" applyFont="1" applyBorder="1" applyAlignment="1">
      <alignment wrapText="1"/>
    </xf>
    <xf numFmtId="164" fontId="3" fillId="0" borderId="3" xfId="1" applyNumberFormat="1" applyFont="1" applyBorder="1" applyAlignment="1">
      <alignment vertical="center"/>
    </xf>
    <xf numFmtId="9" fontId="3" fillId="0" borderId="1" xfId="1" applyNumberFormat="1" applyFont="1" applyBorder="1" applyAlignment="1">
      <alignment vertical="center"/>
    </xf>
    <xf numFmtId="0" fontId="9" fillId="0" borderId="0" xfId="0" applyFont="1"/>
    <xf numFmtId="0" fontId="0" fillId="0" borderId="1" xfId="0" applyBorder="1"/>
    <xf numFmtId="164" fontId="0" fillId="0" borderId="1" xfId="1" applyNumberFormat="1" applyFont="1" applyFill="1" applyBorder="1"/>
    <xf numFmtId="9" fontId="3" fillId="0" borderId="3" xfId="0" applyNumberFormat="1" applyFont="1" applyBorder="1"/>
    <xf numFmtId="164" fontId="3" fillId="0" borderId="3" xfId="1" applyNumberFormat="1" applyFont="1" applyBorder="1"/>
    <xf numFmtId="9" fontId="3" fillId="0" borderId="1" xfId="1" applyNumberFormat="1" applyFont="1" applyBorder="1"/>
    <xf numFmtId="164" fontId="3" fillId="0" borderId="0" xfId="0" applyNumberFormat="1" applyFont="1"/>
    <xf numFmtId="164" fontId="0" fillId="0" borderId="1" xfId="1" applyNumberFormat="1" applyFont="1" applyBorder="1"/>
    <xf numFmtId="164" fontId="3" fillId="0" borderId="1" xfId="1" applyNumberFormat="1" applyFont="1" applyBorder="1"/>
    <xf numFmtId="10" fontId="3" fillId="0" borderId="1" xfId="0" applyNumberFormat="1" applyFont="1" applyBorder="1"/>
    <xf numFmtId="10" fontId="3" fillId="0" borderId="3" xfId="0" applyNumberFormat="1" applyFont="1" applyBorder="1"/>
    <xf numFmtId="0" fontId="9" fillId="0" borderId="1" xfId="0" applyFont="1" applyBorder="1"/>
    <xf numFmtId="164" fontId="9" fillId="0" borderId="1" xfId="1" applyNumberFormat="1" applyFont="1" applyBorder="1"/>
    <xf numFmtId="9" fontId="9" fillId="0" borderId="3" xfId="1" applyNumberFormat="1" applyFont="1" applyBorder="1"/>
    <xf numFmtId="38" fontId="3" fillId="0" borderId="0" xfId="0" applyNumberFormat="1" applyFont="1"/>
    <xf numFmtId="165" fontId="0" fillId="0" borderId="1" xfId="0" applyNumberFormat="1" applyBorder="1"/>
    <xf numFmtId="0" fontId="3" fillId="3" borderId="0" xfId="0" applyFont="1" applyFill="1"/>
    <xf numFmtId="43" fontId="0" fillId="0" borderId="1" xfId="1" applyFont="1" applyBorder="1"/>
    <xf numFmtId="0" fontId="0" fillId="3" borderId="0" xfId="0" applyFill="1"/>
    <xf numFmtId="0" fontId="0" fillId="0" borderId="1" xfId="0" applyBorder="1" applyAlignment="1">
      <alignment wrapText="1"/>
    </xf>
    <xf numFmtId="0" fontId="8" fillId="2" borderId="4" xfId="0" applyFont="1" applyFill="1" applyBorder="1"/>
    <xf numFmtId="0" fontId="8" fillId="2" borderId="5" xfId="0" applyFont="1" applyFill="1" applyBorder="1"/>
    <xf numFmtId="0" fontId="8" fillId="2" borderId="6" xfId="0" applyFont="1" applyFill="1" applyBorder="1"/>
    <xf numFmtId="0" fontId="8" fillId="2" borderId="7" xfId="0" applyFont="1" applyFill="1" applyBorder="1"/>
    <xf numFmtId="0" fontId="3" fillId="0" borderId="8" xfId="0" applyFont="1" applyBorder="1" applyAlignment="1">
      <alignment vertical="center"/>
    </xf>
    <xf numFmtId="164" fontId="3" fillId="0" borderId="9" xfId="1" applyNumberFormat="1" applyFont="1" applyBorder="1" applyAlignment="1">
      <alignment vertical="center"/>
    </xf>
    <xf numFmtId="164" fontId="2" fillId="0" borderId="10" xfId="1" applyNumberFormat="1" applyFont="1" applyBorder="1" applyAlignment="1">
      <alignment vertical="center"/>
    </xf>
    <xf numFmtId="0" fontId="3" fillId="0" borderId="11" xfId="0" applyFont="1" applyBorder="1" applyAlignment="1">
      <alignment vertical="center"/>
    </xf>
    <xf numFmtId="0" fontId="10" fillId="0" borderId="12" xfId="0" applyFont="1" applyBorder="1" applyAlignment="1">
      <alignment horizontal="left" vertical="top" wrapText="1"/>
    </xf>
    <xf numFmtId="0" fontId="3" fillId="0" borderId="0" xfId="0" applyFont="1" applyAlignment="1">
      <alignment vertical="center"/>
    </xf>
    <xf numFmtId="164" fontId="3" fillId="0" borderId="1" xfId="1" applyNumberFormat="1" applyFont="1" applyBorder="1" applyAlignment="1">
      <alignment vertical="center"/>
    </xf>
    <xf numFmtId="0" fontId="5" fillId="0" borderId="12" xfId="0" applyFont="1" applyBorder="1" applyAlignment="1">
      <alignment horizontal="left" vertical="top" wrapText="1"/>
    </xf>
    <xf numFmtId="0" fontId="3" fillId="0" borderId="11" xfId="0" applyFont="1" applyBorder="1" applyAlignment="1">
      <alignment vertical="center" wrapText="1"/>
    </xf>
    <xf numFmtId="0" fontId="3" fillId="0" borderId="12" xfId="0" applyFont="1" applyBorder="1" applyAlignment="1">
      <alignment vertical="top" wrapText="1"/>
    </xf>
    <xf numFmtId="0" fontId="3" fillId="0" borderId="12" xfId="0" applyFont="1" applyBorder="1" applyAlignment="1">
      <alignment vertical="center" wrapText="1"/>
    </xf>
    <xf numFmtId="0" fontId="3" fillId="0" borderId="12" xfId="0" applyFont="1" applyBorder="1" applyAlignment="1">
      <alignment vertical="center"/>
    </xf>
    <xf numFmtId="0" fontId="3" fillId="0" borderId="13" xfId="0" applyFont="1" applyBorder="1" applyAlignment="1">
      <alignment vertical="center"/>
    </xf>
    <xf numFmtId="164" fontId="3" fillId="0" borderId="14" xfId="1" applyNumberFormat="1" applyFont="1" applyBorder="1" applyAlignment="1">
      <alignment vertical="center"/>
    </xf>
    <xf numFmtId="164" fontId="2" fillId="0" borderId="15" xfId="1" applyNumberFormat="1" applyFont="1" applyBorder="1" applyAlignment="1">
      <alignment vertical="center"/>
    </xf>
    <xf numFmtId="0" fontId="3" fillId="0" borderId="13" xfId="0" applyFont="1" applyBorder="1" applyAlignment="1">
      <alignment vertical="center" wrapText="1"/>
    </xf>
    <xf numFmtId="0" fontId="3" fillId="0" borderId="16" xfId="0" applyFont="1" applyBorder="1" applyAlignment="1">
      <alignment vertical="center"/>
    </xf>
    <xf numFmtId="0" fontId="2" fillId="0" borderId="1" xfId="0" applyFont="1" applyBorder="1"/>
    <xf numFmtId="14" fontId="2" fillId="0" borderId="1" xfId="0" applyNumberFormat="1" applyFont="1" applyBorder="1"/>
    <xf numFmtId="38" fontId="2" fillId="0" borderId="1" xfId="1" applyNumberFormat="1" applyFont="1" applyBorder="1"/>
    <xf numFmtId="0" fontId="2" fillId="4" borderId="1" xfId="0" applyFont="1" applyFill="1" applyBorder="1"/>
    <xf numFmtId="0" fontId="2" fillId="5" borderId="1" xfId="0" applyFont="1" applyFill="1" applyBorder="1"/>
    <xf numFmtId="0" fontId="2" fillId="6" borderId="1" xfId="0" applyFont="1" applyFill="1" applyBorder="1"/>
    <xf numFmtId="1" fontId="2" fillId="0" borderId="1" xfId="0" applyNumberFormat="1" applyFont="1" applyBorder="1"/>
    <xf numFmtId="0" fontId="3" fillId="0" borderId="1" xfId="0" applyFont="1" applyBorder="1"/>
    <xf numFmtId="15" fontId="3" fillId="0" borderId="1" xfId="0" applyNumberFormat="1" applyFont="1" applyBorder="1"/>
    <xf numFmtId="38" fontId="3" fillId="0" borderId="1" xfId="1" applyNumberFormat="1" applyFont="1" applyBorder="1"/>
    <xf numFmtId="1" fontId="3" fillId="0" borderId="1" xfId="0" applyNumberFormat="1" applyFont="1" applyBorder="1"/>
    <xf numFmtId="2" fontId="3" fillId="0" borderId="1" xfId="0" applyNumberFormat="1" applyFont="1" applyBorder="1"/>
    <xf numFmtId="14" fontId="3" fillId="0" borderId="1" xfId="0" applyNumberFormat="1" applyFont="1" applyBorder="1"/>
    <xf numFmtId="38" fontId="3" fillId="0" borderId="1" xfId="1" applyNumberFormat="1" applyFont="1" applyFill="1" applyBorder="1"/>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sharma19\Downloads\GE%20India\GEITC%20Year%20End%20Audit\Other%20Expenses\Power%20&amp;%20Fuel%20Omnia%20done\OPEX-GEITC%20Power%20&amp;%20Fuel%20Wp%202026.xlsx" TargetMode="External"/><Relationship Id="rId1" Type="http://schemas.openxmlformats.org/officeDocument/2006/relationships/externalLinkPath" Target="GE%20India/GEITC%20Year%20End%20Audit/Other%20Expenses/Power%20&amp;%20Fuel%20Omnia%20done/OPEX-GEITC%20Power%20&amp;%20Fuel%20Wp%20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jpdeloitte.sharepoint.com/sites/omnia-v4prod-in-63fabfeec5/5105ab74024045e0768408de234eaa6a/OPEX-GEITC%20Power%20&amp;%20Fuel%20Wp%202025.xlsx" TargetMode="External"/><Relationship Id="rId1" Type="http://schemas.openxmlformats.org/officeDocument/2006/relationships/externalLinkPath" Target="https://jpdeloitte.sharepoint.com/sites/omnia-v4prod-in-63fabfeec5/5105ab74024045e0768408de234eaa6a/OPEX-GEITC%20Power%20&amp;%20Fuel%20Wp%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Lead Sheet"/>
      <sheetName val="Vendor wise Analysis"/>
      <sheetName val="Major Vendor Analysis"/>
      <sheetName val="GL Dump"/>
      <sheetName val="tmp661852"/>
    </sheetNames>
    <sheetDataSet>
      <sheetData sheetId="0">
        <row r="1">
          <cell r="A1" t="str">
            <v>Deloitte Haskins &amp; Sells</v>
          </cell>
        </row>
        <row r="2">
          <cell r="A2" t="str">
            <v>GE India Industrial Private Limited- GEITC</v>
          </cell>
        </row>
        <row r="3">
          <cell r="A3" t="str">
            <v>Audit for the year ended March 31, 2026</v>
          </cell>
        </row>
      </sheetData>
      <sheetData sheetId="1" refreshError="1"/>
      <sheetData sheetId="2"/>
      <sheetData sheetId="3" refreshError="1"/>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Lead Sheet"/>
      <sheetName val="Vendor wise Analysis"/>
      <sheetName val="GL Dump"/>
      <sheetName val="MUS Sample"/>
      <sheetName val="Sheet2"/>
    </sheetNames>
    <sheetDataSet>
      <sheetData sheetId="0">
        <row r="1">
          <cell r="A1" t="str">
            <v>Deloitte Haskins &amp; Sells</v>
          </cell>
        </row>
        <row r="2">
          <cell r="A2" t="str">
            <v>GE India Industrial Private Limited</v>
          </cell>
        </row>
        <row r="3">
          <cell r="A3" t="str">
            <v>Audit for the year ended March 31, 2025</v>
          </cell>
        </row>
      </sheetData>
      <sheetData sheetId="1" refreshError="1"/>
      <sheetData sheetId="2"/>
      <sheetData sheetId="3"/>
      <sheetData sheetId="4" refreshError="1"/>
      <sheetData sheetId="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646C-A259-4001-929B-A6436E6CB191}">
  <dimension ref="A1:Q28"/>
  <sheetViews>
    <sheetView showGridLines="0" tabSelected="1" topLeftCell="A4" zoomScale="70" zoomScaleNormal="70" workbookViewId="0">
      <selection activeCell="K23" sqref="K23"/>
    </sheetView>
  </sheetViews>
  <sheetFormatPr defaultColWidth="8.796875" defaultRowHeight="13.3" x14ac:dyDescent="0.3"/>
  <cols>
    <col min="1" max="1" width="63.59765625" style="2" bestFit="1" customWidth="1"/>
    <col min="2" max="2" width="11.8984375" style="2" bestFit="1" customWidth="1"/>
    <col min="3" max="3" width="12.3984375" style="2" bestFit="1" customWidth="1"/>
    <col min="4" max="5" width="11.8984375" style="2" bestFit="1" customWidth="1"/>
    <col min="6" max="12" width="10.796875" style="2" bestFit="1" customWidth="1"/>
    <col min="13" max="13" width="11.8984375" style="2" bestFit="1" customWidth="1"/>
    <col min="14" max="14" width="10.796875" style="2" bestFit="1" customWidth="1"/>
    <col min="15" max="15" width="13" style="2" bestFit="1" customWidth="1"/>
    <col min="16" max="16" width="60.19921875" style="2" bestFit="1" customWidth="1"/>
    <col min="17" max="17" width="45.69921875" style="2" customWidth="1"/>
    <col min="18" max="16384" width="8.796875" style="2"/>
  </cols>
  <sheetData>
    <row r="1" spans="1:3" x14ac:dyDescent="0.3">
      <c r="A1" s="1" t="str">
        <f>[2]Memo!A1</f>
        <v>Deloitte Haskins &amp; Sells</v>
      </c>
    </row>
    <row r="2" spans="1:3" x14ac:dyDescent="0.3">
      <c r="A2" s="1" t="str">
        <f>[2]Memo!A2</f>
        <v>GE India Industrial Private Limited</v>
      </c>
    </row>
    <row r="3" spans="1:3" x14ac:dyDescent="0.3">
      <c r="A3" s="1" t="str">
        <f>[2]Memo!A3</f>
        <v>Audit for the year ended March 31, 2025</v>
      </c>
    </row>
    <row r="5" spans="1:3" x14ac:dyDescent="0.3">
      <c r="A5" s="3" t="s">
        <v>0</v>
      </c>
    </row>
    <row r="6" spans="1:3" x14ac:dyDescent="0.3">
      <c r="A6" s="4" t="s">
        <v>990</v>
      </c>
    </row>
    <row r="7" spans="1:3" x14ac:dyDescent="0.3">
      <c r="A7" s="4" t="s">
        <v>2</v>
      </c>
    </row>
    <row r="8" spans="1:3" x14ac:dyDescent="0.3">
      <c r="A8" s="4" t="s">
        <v>3</v>
      </c>
    </row>
    <row r="9" spans="1:3" ht="13.85" thickBot="1" x14ac:dyDescent="0.35">
      <c r="A9" s="4"/>
    </row>
    <row r="10" spans="1:3" ht="13.85" thickBot="1" x14ac:dyDescent="0.35">
      <c r="A10" s="39" t="s">
        <v>991</v>
      </c>
      <c r="B10" s="40" t="s">
        <v>992</v>
      </c>
      <c r="C10" s="40" t="s">
        <v>993</v>
      </c>
    </row>
    <row r="11" spans="1:3" x14ac:dyDescent="0.3">
      <c r="A11" s="4" t="s">
        <v>994</v>
      </c>
      <c r="B11" s="25">
        <f>O18</f>
        <v>254410761.25999999</v>
      </c>
    </row>
    <row r="12" spans="1:3" x14ac:dyDescent="0.3">
      <c r="A12" s="3" t="s">
        <v>995</v>
      </c>
    </row>
    <row r="13" spans="1:3" x14ac:dyDescent="0.3">
      <c r="A13" s="4" t="s">
        <v>996</v>
      </c>
      <c r="B13" s="25">
        <v>29706574.73999998</v>
      </c>
      <c r="C13" s="2" t="s">
        <v>997</v>
      </c>
    </row>
    <row r="14" spans="1:3" x14ac:dyDescent="0.3">
      <c r="A14" s="4"/>
    </row>
    <row r="15" spans="1:3" x14ac:dyDescent="0.3">
      <c r="A15" s="3" t="s">
        <v>998</v>
      </c>
      <c r="B15" s="25">
        <f>SUM(B11:B13)</f>
        <v>284117336</v>
      </c>
    </row>
    <row r="16" spans="1:3" x14ac:dyDescent="0.3">
      <c r="A16" s="4"/>
    </row>
    <row r="17" spans="1:17" x14ac:dyDescent="0.3">
      <c r="A17" s="3" t="s">
        <v>4</v>
      </c>
    </row>
    <row r="18" spans="1:17" ht="13.85" thickBot="1" x14ac:dyDescent="0.35">
      <c r="O18" s="8">
        <f>SUM(O20:O28)</f>
        <v>254410761.25999999</v>
      </c>
    </row>
    <row r="19" spans="1:17" ht="13.85" thickBot="1" x14ac:dyDescent="0.35">
      <c r="A19" s="39" t="s">
        <v>999</v>
      </c>
      <c r="B19" s="40" t="s">
        <v>1000</v>
      </c>
      <c r="C19" s="40" t="s">
        <v>1001</v>
      </c>
      <c r="D19" s="40" t="s">
        <v>1002</v>
      </c>
      <c r="E19" s="40" t="s">
        <v>1003</v>
      </c>
      <c r="F19" s="40" t="s">
        <v>1004</v>
      </c>
      <c r="G19" s="40" t="s">
        <v>1005</v>
      </c>
      <c r="H19" s="40" t="s">
        <v>1006</v>
      </c>
      <c r="I19" s="40" t="s">
        <v>1007</v>
      </c>
      <c r="J19" s="40" t="s">
        <v>1008</v>
      </c>
      <c r="K19" s="40" t="s">
        <v>1009</v>
      </c>
      <c r="L19" s="40" t="s">
        <v>1010</v>
      </c>
      <c r="M19" s="40" t="s">
        <v>1011</v>
      </c>
      <c r="N19" s="40" t="s">
        <v>1012</v>
      </c>
      <c r="O19" s="41" t="s">
        <v>19</v>
      </c>
      <c r="P19" s="42" t="s">
        <v>21</v>
      </c>
      <c r="Q19" s="42" t="s">
        <v>1013</v>
      </c>
    </row>
    <row r="20" spans="1:17" s="48" customFormat="1" ht="93.05" x14ac:dyDescent="0.3">
      <c r="A20" s="43" t="s">
        <v>154</v>
      </c>
      <c r="B20" s="44">
        <v>11183040</v>
      </c>
      <c r="C20" s="44">
        <v>-10602240</v>
      </c>
      <c r="D20" s="44">
        <v>21225440</v>
      </c>
      <c r="E20" s="44">
        <v>11220000</v>
      </c>
      <c r="F20" s="44">
        <v>9345600</v>
      </c>
      <c r="G20" s="44">
        <v>9345600</v>
      </c>
      <c r="H20" s="44">
        <v>9345600</v>
      </c>
      <c r="I20" s="44">
        <v>9768000</v>
      </c>
      <c r="J20" s="44">
        <v>9768000</v>
      </c>
      <c r="K20" s="44">
        <v>9768000</v>
      </c>
      <c r="L20" s="44">
        <v>9926400</v>
      </c>
      <c r="M20" s="44">
        <v>10100800.050000001</v>
      </c>
      <c r="N20" s="44">
        <v>9768000</v>
      </c>
      <c r="O20" s="45">
        <f t="shared" ref="O20:O28" si="0">SUM(B20:N20)</f>
        <v>120162240.05</v>
      </c>
      <c r="P20" s="46" t="s">
        <v>28</v>
      </c>
      <c r="Q20" s="47" t="s">
        <v>1014</v>
      </c>
    </row>
    <row r="21" spans="1:17" s="48" customFormat="1" ht="79.75" x14ac:dyDescent="0.3">
      <c r="A21" s="46" t="s">
        <v>29</v>
      </c>
      <c r="B21" s="49">
        <v>5041199</v>
      </c>
      <c r="C21" s="49">
        <v>169645</v>
      </c>
      <c r="D21" s="49">
        <v>4941610</v>
      </c>
      <c r="E21" s="49">
        <v>938354</v>
      </c>
      <c r="F21" s="49">
        <v>8301571</v>
      </c>
      <c r="G21" s="49">
        <v>5985708</v>
      </c>
      <c r="H21" s="49">
        <v>6716455</v>
      </c>
      <c r="I21" s="49">
        <v>5189291</v>
      </c>
      <c r="J21" s="49">
        <v>5495925</v>
      </c>
      <c r="K21" s="49">
        <v>4915380</v>
      </c>
      <c r="L21" s="49">
        <v>4701033</v>
      </c>
      <c r="M21" s="49">
        <v>4535618</v>
      </c>
      <c r="N21" s="49">
        <v>4656673</v>
      </c>
      <c r="O21" s="45">
        <f t="shared" si="0"/>
        <v>61588462</v>
      </c>
      <c r="P21" s="46" t="s">
        <v>30</v>
      </c>
      <c r="Q21" s="50" t="s">
        <v>1015</v>
      </c>
    </row>
    <row r="22" spans="1:17" s="48" customFormat="1" ht="66.5" x14ac:dyDescent="0.3">
      <c r="A22" s="46" t="s">
        <v>996</v>
      </c>
      <c r="B22" s="49">
        <v>11020345.59</v>
      </c>
      <c r="C22" s="49">
        <v>-484418.11999999988</v>
      </c>
      <c r="D22" s="49">
        <v>4049181.31</v>
      </c>
      <c r="E22" s="49">
        <v>3900349.4400000004</v>
      </c>
      <c r="F22" s="49">
        <v>81554.3</v>
      </c>
      <c r="G22" s="49">
        <v>7871250.25</v>
      </c>
      <c r="H22" s="49">
        <v>3769407.5500000003</v>
      </c>
      <c r="I22" s="49">
        <v>3813624.96</v>
      </c>
      <c r="J22" s="49">
        <v>5985461.1799999997</v>
      </c>
      <c r="K22" s="49">
        <v>998842.74999999988</v>
      </c>
      <c r="L22" s="49">
        <v>8209740.0899999999</v>
      </c>
      <c r="M22" s="49">
        <v>1771390.6200000008</v>
      </c>
      <c r="N22" s="49">
        <v>4695241.1599999992</v>
      </c>
      <c r="O22" s="45">
        <f t="shared" si="0"/>
        <v>55681971.079999991</v>
      </c>
      <c r="P22" s="51" t="s">
        <v>1016</v>
      </c>
      <c r="Q22" s="52" t="s">
        <v>1017</v>
      </c>
    </row>
    <row r="23" spans="1:17" s="48" customFormat="1" ht="26.6" x14ac:dyDescent="0.3">
      <c r="A23" s="46" t="s">
        <v>31</v>
      </c>
      <c r="B23" s="49">
        <v>0</v>
      </c>
      <c r="C23" s="49">
        <v>0</v>
      </c>
      <c r="D23" s="49">
        <v>0</v>
      </c>
      <c r="E23" s="49">
        <v>0</v>
      </c>
      <c r="F23" s="49">
        <v>0</v>
      </c>
      <c r="G23" s="49">
        <v>1501234</v>
      </c>
      <c r="H23" s="49">
        <v>0</v>
      </c>
      <c r="I23" s="49">
        <v>3002463</v>
      </c>
      <c r="J23" s="49">
        <v>1050866</v>
      </c>
      <c r="K23" s="49">
        <v>9913790</v>
      </c>
      <c r="L23" s="49">
        <v>0</v>
      </c>
      <c r="M23" s="49">
        <v>0</v>
      </c>
      <c r="N23" s="49">
        <v>0</v>
      </c>
      <c r="O23" s="45">
        <f t="shared" si="0"/>
        <v>15468353</v>
      </c>
      <c r="P23" s="46" t="s">
        <v>1018</v>
      </c>
      <c r="Q23" s="53" t="s">
        <v>1019</v>
      </c>
    </row>
    <row r="24" spans="1:17" s="48" customFormat="1" ht="26.6" x14ac:dyDescent="0.3">
      <c r="A24" s="46" t="s">
        <v>43</v>
      </c>
      <c r="B24" s="49">
        <v>133000</v>
      </c>
      <c r="C24" s="49">
        <v>0</v>
      </c>
      <c r="D24" s="49">
        <v>0</v>
      </c>
      <c r="E24" s="49">
        <v>0</v>
      </c>
      <c r="F24" s="49">
        <v>0</v>
      </c>
      <c r="G24" s="49">
        <v>153000</v>
      </c>
      <c r="H24" s="49">
        <v>133000</v>
      </c>
      <c r="I24" s="49">
        <v>0</v>
      </c>
      <c r="J24" s="49">
        <v>133000</v>
      </c>
      <c r="K24" s="49">
        <v>0</v>
      </c>
      <c r="L24" s="49">
        <v>266000</v>
      </c>
      <c r="M24" s="49">
        <v>0</v>
      </c>
      <c r="N24" s="49">
        <v>266000</v>
      </c>
      <c r="O24" s="45">
        <f t="shared" si="0"/>
        <v>1084000</v>
      </c>
      <c r="P24" s="51" t="s">
        <v>44</v>
      </c>
      <c r="Q24" s="54"/>
    </row>
    <row r="25" spans="1:17" s="48" customFormat="1" x14ac:dyDescent="0.3">
      <c r="A25" s="46" t="s">
        <v>35</v>
      </c>
      <c r="B25" s="49">
        <v>0</v>
      </c>
      <c r="C25" s="49">
        <v>0</v>
      </c>
      <c r="D25" s="49">
        <v>0</v>
      </c>
      <c r="E25" s="49">
        <v>0</v>
      </c>
      <c r="F25" s="49">
        <v>0</v>
      </c>
      <c r="G25" s="49">
        <v>0</v>
      </c>
      <c r="H25" s="49">
        <v>0</v>
      </c>
      <c r="I25" s="49">
        <v>0</v>
      </c>
      <c r="J25" s="49">
        <v>0</v>
      </c>
      <c r="K25" s="49">
        <v>0</v>
      </c>
      <c r="L25" s="49">
        <v>320900</v>
      </c>
      <c r="M25" s="49">
        <v>7100</v>
      </c>
      <c r="N25" s="49">
        <v>0</v>
      </c>
      <c r="O25" s="45">
        <f t="shared" si="0"/>
        <v>328000</v>
      </c>
      <c r="P25" s="46" t="s">
        <v>36</v>
      </c>
      <c r="Q25" s="54"/>
    </row>
    <row r="26" spans="1:17" s="48" customFormat="1" x14ac:dyDescent="0.3">
      <c r="A26" s="46" t="s">
        <v>39</v>
      </c>
      <c r="B26" s="49">
        <v>0</v>
      </c>
      <c r="C26" s="49">
        <v>14978</v>
      </c>
      <c r="D26" s="49">
        <v>7060</v>
      </c>
      <c r="E26" s="49">
        <v>12643</v>
      </c>
      <c r="F26" s="49">
        <v>428</v>
      </c>
      <c r="G26" s="49">
        <v>16000</v>
      </c>
      <c r="H26" s="49">
        <v>7735</v>
      </c>
      <c r="I26" s="49">
        <v>22203</v>
      </c>
      <c r="J26" s="49">
        <v>17198</v>
      </c>
      <c r="K26" s="49">
        <v>6830</v>
      </c>
      <c r="L26" s="49">
        <v>3050</v>
      </c>
      <c r="M26" s="49">
        <v>4413</v>
      </c>
      <c r="N26" s="49">
        <v>1489</v>
      </c>
      <c r="O26" s="45">
        <f t="shared" si="0"/>
        <v>114027</v>
      </c>
      <c r="P26" s="46" t="s">
        <v>40</v>
      </c>
      <c r="Q26" s="54"/>
    </row>
    <row r="27" spans="1:17" s="48" customFormat="1" x14ac:dyDescent="0.3">
      <c r="A27" s="46" t="s">
        <v>45</v>
      </c>
      <c r="B27" s="49">
        <v>0</v>
      </c>
      <c r="C27" s="49">
        <v>0</v>
      </c>
      <c r="D27" s="49">
        <v>6600</v>
      </c>
      <c r="E27" s="49">
        <v>0</v>
      </c>
      <c r="F27" s="49">
        <v>0</v>
      </c>
      <c r="G27" s="49">
        <v>0</v>
      </c>
      <c r="H27" s="49">
        <v>0</v>
      </c>
      <c r="I27" s="49">
        <v>0</v>
      </c>
      <c r="J27" s="49">
        <v>0</v>
      </c>
      <c r="K27" s="49">
        <v>0</v>
      </c>
      <c r="L27" s="49">
        <v>0</v>
      </c>
      <c r="M27" s="49">
        <v>0</v>
      </c>
      <c r="N27" s="49">
        <v>0</v>
      </c>
      <c r="O27" s="45">
        <f t="shared" si="0"/>
        <v>6600</v>
      </c>
      <c r="P27" s="46" t="s">
        <v>46</v>
      </c>
      <c r="Q27" s="54"/>
    </row>
    <row r="28" spans="1:17" s="48" customFormat="1" ht="13.85" thickBot="1" x14ac:dyDescent="0.35">
      <c r="A28" s="55" t="s">
        <v>47</v>
      </c>
      <c r="B28" s="56">
        <v>0</v>
      </c>
      <c r="C28" s="56">
        <v>0</v>
      </c>
      <c r="D28" s="56">
        <v>0</v>
      </c>
      <c r="E28" s="56">
        <v>0</v>
      </c>
      <c r="F28" s="56">
        <v>-22891.87</v>
      </c>
      <c r="G28" s="56">
        <v>0</v>
      </c>
      <c r="H28" s="56">
        <v>0</v>
      </c>
      <c r="I28" s="56">
        <v>0</v>
      </c>
      <c r="J28" s="56">
        <v>0</v>
      </c>
      <c r="K28" s="56">
        <v>0</v>
      </c>
      <c r="L28" s="56">
        <v>0</v>
      </c>
      <c r="M28" s="56">
        <v>0</v>
      </c>
      <c r="N28" s="56">
        <v>0</v>
      </c>
      <c r="O28" s="57">
        <f t="shared" si="0"/>
        <v>-22891.87</v>
      </c>
      <c r="P28" s="58" t="s">
        <v>48</v>
      </c>
      <c r="Q28" s="5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4B8B-A97D-45B1-A2D2-B9FE5257F654}">
  <dimension ref="A1:BM147"/>
  <sheetViews>
    <sheetView showGridLines="0" zoomScale="80" zoomScaleNormal="80" workbookViewId="0">
      <selection activeCell="K23" sqref="K23"/>
    </sheetView>
  </sheetViews>
  <sheetFormatPr defaultColWidth="8.796875" defaultRowHeight="13.3" x14ac:dyDescent="0.3"/>
  <cols>
    <col min="1" max="1" width="8.69921875" style="2" bestFit="1" customWidth="1"/>
    <col min="2" max="2" width="10.19921875" style="2" bestFit="1" customWidth="1"/>
    <col min="3" max="3" width="14.59765625" style="2" bestFit="1" customWidth="1"/>
    <col min="4" max="4" width="16.796875" style="2" bestFit="1" customWidth="1"/>
    <col min="5" max="5" width="12.19921875" style="2" bestFit="1" customWidth="1"/>
    <col min="6" max="6" width="16.796875" style="2" bestFit="1" customWidth="1"/>
    <col min="7" max="7" width="18.19921875" style="2" bestFit="1" customWidth="1"/>
    <col min="8" max="8" width="15.19921875" style="2" bestFit="1" customWidth="1"/>
    <col min="9" max="9" width="17.796875" style="2" bestFit="1" customWidth="1"/>
    <col min="10" max="10" width="14.19921875" style="2" bestFit="1" customWidth="1"/>
    <col min="11" max="11" width="20.8984375" style="2" bestFit="1" customWidth="1"/>
    <col min="12" max="12" width="18.796875" style="2" bestFit="1" customWidth="1"/>
    <col min="13" max="13" width="9.59765625" style="2" bestFit="1" customWidth="1"/>
    <col min="14" max="14" width="11.796875" style="2" bestFit="1" customWidth="1"/>
    <col min="15" max="15" width="16.8984375" style="2" bestFit="1" customWidth="1"/>
    <col min="16" max="16" width="13.796875" style="2" bestFit="1" customWidth="1"/>
    <col min="17" max="17" width="13.59765625" style="2" bestFit="1" customWidth="1"/>
    <col min="18" max="18" width="16.296875" style="2" bestFit="1" customWidth="1"/>
    <col min="19" max="19" width="16.09765625" style="2" bestFit="1" customWidth="1"/>
    <col min="20" max="20" width="17.69921875" style="2" bestFit="1" customWidth="1"/>
    <col min="21" max="21" width="11.09765625" style="2" bestFit="1" customWidth="1"/>
    <col min="22" max="22" width="11.796875" style="2" bestFit="1" customWidth="1"/>
    <col min="23" max="23" width="12.8984375" style="2" bestFit="1" customWidth="1"/>
    <col min="24" max="24" width="13.09765625" style="2" bestFit="1" customWidth="1"/>
    <col min="25" max="25" width="12.19921875" style="2" bestFit="1" customWidth="1"/>
    <col min="26" max="26" width="9.19921875" style="2" bestFit="1" customWidth="1"/>
    <col min="27" max="27" width="12.796875" style="2" bestFit="1" customWidth="1"/>
    <col min="28" max="28" width="8.796875" style="2" bestFit="1" customWidth="1"/>
    <col min="29" max="29" width="8.09765625" style="2" bestFit="1" customWidth="1"/>
    <col min="30" max="30" width="12.796875" style="2" bestFit="1" customWidth="1"/>
    <col min="31" max="31" width="22.3984375" style="2" bestFit="1" customWidth="1"/>
    <col min="32" max="32" width="10.19921875" style="2" bestFit="1" customWidth="1"/>
    <col min="33" max="33" width="21.59765625" style="2" bestFit="1" customWidth="1"/>
    <col min="34" max="34" width="12.19921875" style="2" bestFit="1" customWidth="1"/>
    <col min="35" max="35" width="23.69921875" style="2" bestFit="1" customWidth="1"/>
    <col min="36" max="36" width="14.3984375" style="2" bestFit="1" customWidth="1"/>
    <col min="37" max="37" width="16.796875" style="2" bestFit="1" customWidth="1"/>
    <col min="38" max="38" width="6.796875" style="2" bestFit="1" customWidth="1"/>
    <col min="39" max="39" width="17.8984375" style="2" bestFit="1" customWidth="1"/>
    <col min="40" max="42" width="14.09765625" style="2" bestFit="1" customWidth="1"/>
    <col min="43" max="43" width="14.796875" style="2" bestFit="1" customWidth="1"/>
    <col min="44" max="44" width="14.8984375" style="2" bestFit="1" customWidth="1"/>
    <col min="45" max="45" width="16" style="2" bestFit="1" customWidth="1"/>
    <col min="46" max="46" width="16.09765625" style="2" bestFit="1" customWidth="1"/>
    <col min="47" max="47" width="9.8984375" style="2" bestFit="1" customWidth="1"/>
    <col min="48" max="48" width="12.296875" style="2" bestFit="1" customWidth="1"/>
    <col min="49" max="49" width="11.09765625" style="2" bestFit="1" customWidth="1"/>
    <col min="50" max="50" width="15.3984375" style="2" bestFit="1" customWidth="1"/>
    <col min="51" max="51" width="18.19921875" style="2" bestFit="1" customWidth="1"/>
    <col min="52" max="52" width="24.09765625" style="2" bestFit="1" customWidth="1"/>
    <col min="53" max="53" width="15.3984375" style="2" bestFit="1" customWidth="1"/>
    <col min="54" max="54" width="18.796875" style="2" bestFit="1" customWidth="1"/>
    <col min="55" max="55" width="10.796875" style="2" bestFit="1" customWidth="1"/>
    <col min="56" max="56" width="14.3984375" style="2" bestFit="1" customWidth="1"/>
    <col min="57" max="57" width="11.59765625" style="2" bestFit="1" customWidth="1"/>
    <col min="58" max="58" width="15.59765625" style="2" bestFit="1" customWidth="1"/>
    <col min="59" max="59" width="14.59765625" style="2" bestFit="1" customWidth="1"/>
    <col min="60" max="60" width="18.19921875" style="2" bestFit="1" customWidth="1"/>
    <col min="61" max="61" width="19.8984375" style="2" bestFit="1" customWidth="1"/>
    <col min="62" max="62" width="23.296875" style="2" bestFit="1" customWidth="1"/>
    <col min="63" max="63" width="18.09765625" style="2" bestFit="1" customWidth="1"/>
    <col min="64" max="64" width="15.296875" style="2" bestFit="1" customWidth="1"/>
    <col min="65" max="65" width="10.3984375" style="2" bestFit="1" customWidth="1"/>
    <col min="66" max="16384" width="8.796875" style="2"/>
  </cols>
  <sheetData>
    <row r="1" spans="1:65" x14ac:dyDescent="0.3">
      <c r="A1" s="1" t="str">
        <f>[2]Memo!A1</f>
        <v>Deloitte Haskins &amp; Sells</v>
      </c>
    </row>
    <row r="2" spans="1:65" x14ac:dyDescent="0.3">
      <c r="A2" s="1" t="str">
        <f>[2]Memo!A2</f>
        <v>GE India Industrial Private Limited</v>
      </c>
    </row>
    <row r="3" spans="1:65" x14ac:dyDescent="0.3">
      <c r="A3" s="1" t="str">
        <f>[2]Memo!A3</f>
        <v>Audit for the year ended March 31, 2025</v>
      </c>
    </row>
    <row r="5" spans="1:65" x14ac:dyDescent="0.3">
      <c r="A5" s="1" t="s">
        <v>49</v>
      </c>
    </row>
    <row r="6" spans="1:65" x14ac:dyDescent="0.3">
      <c r="T6" s="33">
        <f>SUM(T7:T147)</f>
        <v>254410761.26000002</v>
      </c>
    </row>
    <row r="7" spans="1:65" x14ac:dyDescent="0.3">
      <c r="A7" s="60" t="s">
        <v>1020</v>
      </c>
      <c r="B7" s="60" t="s">
        <v>993</v>
      </c>
      <c r="C7" s="60" t="s">
        <v>51</v>
      </c>
      <c r="D7" s="60" t="s">
        <v>52</v>
      </c>
      <c r="E7" s="60" t="s">
        <v>53</v>
      </c>
      <c r="F7" s="60" t="s">
        <v>54</v>
      </c>
      <c r="G7" s="60" t="s">
        <v>55</v>
      </c>
      <c r="H7" s="60" t="s">
        <v>56</v>
      </c>
      <c r="I7" s="61" t="s">
        <v>57</v>
      </c>
      <c r="J7" s="60" t="s">
        <v>58</v>
      </c>
      <c r="K7" s="60" t="s">
        <v>60</v>
      </c>
      <c r="L7" s="60" t="s">
        <v>61</v>
      </c>
      <c r="M7" s="60" t="s">
        <v>62</v>
      </c>
      <c r="N7" s="60" t="s">
        <v>59</v>
      </c>
      <c r="O7" s="60" t="s">
        <v>63</v>
      </c>
      <c r="P7" s="62" t="s">
        <v>64</v>
      </c>
      <c r="Q7" s="62" t="s">
        <v>65</v>
      </c>
      <c r="R7" s="62" t="s">
        <v>66</v>
      </c>
      <c r="S7" s="62" t="s">
        <v>67</v>
      </c>
      <c r="T7" s="62" t="s">
        <v>68</v>
      </c>
      <c r="U7" s="60" t="s">
        <v>70</v>
      </c>
      <c r="V7" s="63" t="s">
        <v>1021</v>
      </c>
      <c r="W7" s="63" t="s">
        <v>1022</v>
      </c>
      <c r="X7" s="64" t="s">
        <v>1023</v>
      </c>
      <c r="Y7" s="64" t="s">
        <v>1024</v>
      </c>
      <c r="Z7" s="64" t="s">
        <v>109</v>
      </c>
      <c r="AA7" s="64" t="s">
        <v>1025</v>
      </c>
      <c r="AB7" s="64" t="s">
        <v>48</v>
      </c>
      <c r="AC7" s="65" t="s">
        <v>1026</v>
      </c>
      <c r="AD7" s="65" t="s">
        <v>1027</v>
      </c>
      <c r="AE7" s="60" t="s">
        <v>75</v>
      </c>
      <c r="AF7" s="60" t="s">
        <v>76</v>
      </c>
      <c r="AG7" s="60" t="s">
        <v>77</v>
      </c>
      <c r="AH7" s="60" t="s">
        <v>78</v>
      </c>
      <c r="AI7" s="60" t="s">
        <v>79</v>
      </c>
      <c r="AJ7" s="60" t="s">
        <v>80</v>
      </c>
      <c r="AK7" s="60" t="s">
        <v>81</v>
      </c>
      <c r="AL7" s="60" t="s">
        <v>82</v>
      </c>
      <c r="AM7" s="60" t="s">
        <v>83</v>
      </c>
      <c r="AN7" s="60" t="s">
        <v>84</v>
      </c>
      <c r="AO7" s="60" t="s">
        <v>85</v>
      </c>
      <c r="AP7" s="60" t="s">
        <v>86</v>
      </c>
      <c r="AQ7" s="66" t="s">
        <v>87</v>
      </c>
      <c r="AR7" s="60" t="s">
        <v>88</v>
      </c>
      <c r="AS7" s="60" t="s">
        <v>89</v>
      </c>
      <c r="AT7" s="60" t="s">
        <v>90</v>
      </c>
      <c r="AU7" s="63" t="s">
        <v>92</v>
      </c>
      <c r="AV7" s="63" t="s">
        <v>1028</v>
      </c>
      <c r="AW7" s="60" t="s">
        <v>93</v>
      </c>
      <c r="AX7" s="60" t="s">
        <v>94</v>
      </c>
      <c r="AY7" s="60" t="s">
        <v>95</v>
      </c>
      <c r="AZ7" s="60" t="s">
        <v>1029</v>
      </c>
      <c r="BA7" s="60" t="s">
        <v>96</v>
      </c>
      <c r="BB7" s="60" t="s">
        <v>97</v>
      </c>
      <c r="BC7" s="60" t="s">
        <v>98</v>
      </c>
      <c r="BD7" s="60" t="s">
        <v>99</v>
      </c>
      <c r="BE7" s="60" t="s">
        <v>100</v>
      </c>
      <c r="BF7" s="60" t="s">
        <v>101</v>
      </c>
      <c r="BG7" s="60" t="s">
        <v>102</v>
      </c>
      <c r="BH7" s="60" t="s">
        <v>103</v>
      </c>
      <c r="BI7" s="60" t="s">
        <v>104</v>
      </c>
      <c r="BJ7" s="60" t="s">
        <v>105</v>
      </c>
      <c r="BK7" s="60" t="s">
        <v>106</v>
      </c>
      <c r="BL7" s="60" t="s">
        <v>107</v>
      </c>
      <c r="BM7" s="60" t="s">
        <v>108</v>
      </c>
    </row>
    <row r="8" spans="1:65" x14ac:dyDescent="0.3">
      <c r="A8" s="67" t="s">
        <v>1030</v>
      </c>
      <c r="B8" s="67" t="s">
        <v>1031</v>
      </c>
      <c r="C8" s="67" t="s">
        <v>1032</v>
      </c>
      <c r="D8" s="67" t="s">
        <v>1033</v>
      </c>
      <c r="E8" s="67" t="s">
        <v>142</v>
      </c>
      <c r="F8" s="67" t="s">
        <v>143</v>
      </c>
      <c r="G8" s="67">
        <v>7</v>
      </c>
      <c r="H8" s="67" t="s">
        <v>1003</v>
      </c>
      <c r="I8" s="68">
        <v>45453</v>
      </c>
      <c r="J8" s="67">
        <v>99</v>
      </c>
      <c r="K8" s="67" t="s">
        <v>145</v>
      </c>
      <c r="L8" s="67" t="s">
        <v>117</v>
      </c>
      <c r="M8" s="67" t="s">
        <v>118</v>
      </c>
      <c r="N8" s="67" t="s">
        <v>1034</v>
      </c>
      <c r="O8" s="67" t="s">
        <v>119</v>
      </c>
      <c r="P8" s="69">
        <v>11220000</v>
      </c>
      <c r="Q8" s="69"/>
      <c r="R8" s="69">
        <v>11220000</v>
      </c>
      <c r="S8" s="69"/>
      <c r="T8" s="69">
        <v>11220000</v>
      </c>
      <c r="U8" s="67">
        <v>5210101581</v>
      </c>
      <c r="V8" s="67" t="s">
        <v>120</v>
      </c>
      <c r="W8" s="67" t="s">
        <v>154</v>
      </c>
      <c r="X8" s="67" t="s">
        <v>123</v>
      </c>
      <c r="Y8" s="67" t="s">
        <v>124</v>
      </c>
      <c r="Z8" s="67" t="s">
        <v>1035</v>
      </c>
      <c r="AA8" s="67" t="s">
        <v>123</v>
      </c>
      <c r="AB8" s="67"/>
      <c r="AC8" s="67" t="e">
        <v>#REF!</v>
      </c>
      <c r="AD8" s="67"/>
      <c r="AE8" s="67" t="s">
        <v>147</v>
      </c>
      <c r="AF8" s="67">
        <v>0</v>
      </c>
      <c r="AG8" s="67" t="s">
        <v>126</v>
      </c>
      <c r="AH8" s="67" t="s">
        <v>148</v>
      </c>
      <c r="AI8" s="67" t="s">
        <v>149</v>
      </c>
      <c r="AJ8" s="67" t="s">
        <v>150</v>
      </c>
      <c r="AK8" s="67" t="s">
        <v>151</v>
      </c>
      <c r="AL8" s="67" t="s">
        <v>131</v>
      </c>
      <c r="AM8" s="67" t="s">
        <v>132</v>
      </c>
      <c r="AN8" s="67"/>
      <c r="AO8" s="67"/>
      <c r="AP8" s="67"/>
      <c r="AQ8" s="70" t="s">
        <v>1036</v>
      </c>
      <c r="AR8" s="68">
        <v>45445</v>
      </c>
      <c r="AS8" s="67" t="s">
        <v>1037</v>
      </c>
      <c r="AT8" s="67" t="s">
        <v>154</v>
      </c>
      <c r="AU8" s="67"/>
      <c r="AV8" s="67"/>
      <c r="AW8" s="67" t="s">
        <v>1038</v>
      </c>
      <c r="AX8" s="67" t="s">
        <v>1039</v>
      </c>
      <c r="AY8" s="67">
        <v>117399</v>
      </c>
      <c r="AZ8" s="67" t="s">
        <v>157</v>
      </c>
      <c r="BA8" s="67">
        <v>4100</v>
      </c>
      <c r="BB8" s="67" t="s">
        <v>158</v>
      </c>
      <c r="BC8" s="67">
        <v>100061150</v>
      </c>
      <c r="BD8" s="67"/>
      <c r="BE8" s="67"/>
      <c r="BF8" s="67"/>
      <c r="BG8" s="67"/>
      <c r="BH8" s="67"/>
      <c r="BI8" s="67"/>
      <c r="BJ8" s="67"/>
      <c r="BK8" s="67"/>
      <c r="BL8" s="67"/>
      <c r="BM8" s="67"/>
    </row>
    <row r="9" spans="1:65" x14ac:dyDescent="0.3">
      <c r="A9" s="67" t="s">
        <v>1040</v>
      </c>
      <c r="B9" s="67" t="s">
        <v>1041</v>
      </c>
      <c r="C9" s="67" t="s">
        <v>1042</v>
      </c>
      <c r="D9" s="67" t="s">
        <v>1043</v>
      </c>
      <c r="E9" s="67" t="s">
        <v>142</v>
      </c>
      <c r="F9" s="67" t="s">
        <v>143</v>
      </c>
      <c r="G9" s="67">
        <v>7</v>
      </c>
      <c r="H9" s="67" t="s">
        <v>1002</v>
      </c>
      <c r="I9" s="68">
        <v>45425</v>
      </c>
      <c r="J9" s="67">
        <v>125</v>
      </c>
      <c r="K9" s="67" t="s">
        <v>145</v>
      </c>
      <c r="L9" s="67" t="s">
        <v>117</v>
      </c>
      <c r="M9" s="67" t="s">
        <v>118</v>
      </c>
      <c r="N9" s="67" t="s">
        <v>1044</v>
      </c>
      <c r="O9" s="67" t="s">
        <v>119</v>
      </c>
      <c r="P9" s="69">
        <v>10824000</v>
      </c>
      <c r="Q9" s="69"/>
      <c r="R9" s="69">
        <v>10824000</v>
      </c>
      <c r="S9" s="69"/>
      <c r="T9" s="69">
        <v>10824000</v>
      </c>
      <c r="U9" s="67">
        <v>5210101581</v>
      </c>
      <c r="V9" s="67" t="s">
        <v>120</v>
      </c>
      <c r="W9" s="67" t="s">
        <v>154</v>
      </c>
      <c r="X9" s="67" t="s">
        <v>123</v>
      </c>
      <c r="Y9" s="67" t="s">
        <v>124</v>
      </c>
      <c r="Z9" s="67" t="s">
        <v>1045</v>
      </c>
      <c r="AA9" s="67" t="s">
        <v>123</v>
      </c>
      <c r="AB9" s="67"/>
      <c r="AC9" s="67" t="e">
        <v>#REF!</v>
      </c>
      <c r="AD9" s="67"/>
      <c r="AE9" s="67" t="s">
        <v>147</v>
      </c>
      <c r="AF9" s="67">
        <v>0</v>
      </c>
      <c r="AG9" s="67" t="s">
        <v>126</v>
      </c>
      <c r="AH9" s="67" t="s">
        <v>148</v>
      </c>
      <c r="AI9" s="67" t="s">
        <v>149</v>
      </c>
      <c r="AJ9" s="67" t="s">
        <v>150</v>
      </c>
      <c r="AK9" s="67" t="s">
        <v>151</v>
      </c>
      <c r="AL9" s="67" t="s">
        <v>131</v>
      </c>
      <c r="AM9" s="67" t="s">
        <v>132</v>
      </c>
      <c r="AN9" s="67"/>
      <c r="AO9" s="67"/>
      <c r="AP9" s="67"/>
      <c r="AQ9" s="70" t="s">
        <v>1046</v>
      </c>
      <c r="AR9" s="68">
        <v>45413</v>
      </c>
      <c r="AS9" s="67" t="s">
        <v>1047</v>
      </c>
      <c r="AT9" s="67" t="s">
        <v>154</v>
      </c>
      <c r="AU9" s="67"/>
      <c r="AV9" s="67"/>
      <c r="AW9" s="67" t="s">
        <v>1048</v>
      </c>
      <c r="AX9" s="67" t="s">
        <v>1039</v>
      </c>
      <c r="AY9" s="67">
        <v>117399</v>
      </c>
      <c r="AZ9" s="67" t="s">
        <v>157</v>
      </c>
      <c r="BA9" s="67">
        <v>4100</v>
      </c>
      <c r="BB9" s="67" t="s">
        <v>158</v>
      </c>
      <c r="BC9" s="67">
        <v>100061150</v>
      </c>
      <c r="BD9" s="67"/>
      <c r="BE9" s="67"/>
      <c r="BF9" s="67"/>
      <c r="BG9" s="67"/>
      <c r="BH9" s="67"/>
      <c r="BI9" s="67"/>
      <c r="BJ9" s="67"/>
      <c r="BK9" s="67"/>
      <c r="BL9" s="67"/>
      <c r="BM9" s="67"/>
    </row>
    <row r="10" spans="1:65" x14ac:dyDescent="0.3">
      <c r="A10" s="67" t="s">
        <v>1049</v>
      </c>
      <c r="B10" s="67" t="s">
        <v>1050</v>
      </c>
      <c r="C10" s="67" t="s">
        <v>1051</v>
      </c>
      <c r="D10" s="67" t="s">
        <v>1052</v>
      </c>
      <c r="E10" s="67" t="s">
        <v>172</v>
      </c>
      <c r="F10" s="67" t="s">
        <v>173</v>
      </c>
      <c r="G10" s="67">
        <v>7</v>
      </c>
      <c r="H10" s="67" t="s">
        <v>1001</v>
      </c>
      <c r="I10" s="68">
        <v>45400</v>
      </c>
      <c r="J10" s="67">
        <v>187</v>
      </c>
      <c r="K10" s="67" t="s">
        <v>192</v>
      </c>
      <c r="L10" s="67" t="s">
        <v>117</v>
      </c>
      <c r="M10" s="67" t="s">
        <v>118</v>
      </c>
      <c r="N10" s="67" t="s">
        <v>1053</v>
      </c>
      <c r="O10" s="67" t="s">
        <v>119</v>
      </c>
      <c r="P10" s="69"/>
      <c r="Q10" s="69">
        <v>10602240</v>
      </c>
      <c r="R10" s="69"/>
      <c r="S10" s="69">
        <v>10602240</v>
      </c>
      <c r="T10" s="69">
        <v>-10602240</v>
      </c>
      <c r="U10" s="67">
        <v>5210101581</v>
      </c>
      <c r="V10" s="67" t="s">
        <v>1054</v>
      </c>
      <c r="W10" s="67" t="s">
        <v>154</v>
      </c>
      <c r="X10" s="67" t="s">
        <v>123</v>
      </c>
      <c r="Y10" s="67" t="s">
        <v>124</v>
      </c>
      <c r="Z10" s="67" t="s">
        <v>1055</v>
      </c>
      <c r="AA10" s="67" t="s">
        <v>123</v>
      </c>
      <c r="AB10" s="67"/>
      <c r="AC10" s="67" t="e">
        <v>#REF!</v>
      </c>
      <c r="AD10" s="67"/>
      <c r="AE10" s="67" t="s">
        <v>147</v>
      </c>
      <c r="AF10" s="67">
        <v>0</v>
      </c>
      <c r="AG10" s="67" t="s">
        <v>126</v>
      </c>
      <c r="AH10" s="67" t="s">
        <v>127</v>
      </c>
      <c r="AI10" s="67" t="s">
        <v>128</v>
      </c>
      <c r="AJ10" s="67" t="s">
        <v>150</v>
      </c>
      <c r="AK10" s="67" t="s">
        <v>151</v>
      </c>
      <c r="AL10" s="67" t="s">
        <v>131</v>
      </c>
      <c r="AM10" s="67" t="s">
        <v>132</v>
      </c>
      <c r="AN10" s="67"/>
      <c r="AO10" s="67"/>
      <c r="AP10" s="67"/>
      <c r="AQ10" s="70"/>
      <c r="AR10" s="67"/>
      <c r="AS10" s="67"/>
      <c r="AT10" s="67" t="s">
        <v>1056</v>
      </c>
      <c r="AU10" s="67"/>
      <c r="AV10" s="67"/>
      <c r="AW10" s="67"/>
      <c r="AX10" s="67"/>
      <c r="AY10" s="67">
        <v>4100</v>
      </c>
      <c r="AZ10" s="67"/>
      <c r="BA10" s="67"/>
      <c r="BB10" s="67"/>
      <c r="BC10" s="67">
        <v>100061150</v>
      </c>
      <c r="BD10" s="67" t="s">
        <v>1057</v>
      </c>
      <c r="BE10" s="67"/>
      <c r="BF10" s="67"/>
      <c r="BG10" s="67"/>
      <c r="BH10" s="67"/>
      <c r="BI10" s="67"/>
      <c r="BJ10" s="67"/>
      <c r="BK10" s="67"/>
      <c r="BL10" s="67"/>
      <c r="BM10" s="67"/>
    </row>
    <row r="11" spans="1:65" x14ac:dyDescent="0.3">
      <c r="A11" s="67" t="s">
        <v>1058</v>
      </c>
      <c r="B11" s="67" t="s">
        <v>1059</v>
      </c>
      <c r="C11" s="67" t="s">
        <v>1042</v>
      </c>
      <c r="D11" s="67" t="s">
        <v>1060</v>
      </c>
      <c r="E11" s="67" t="s">
        <v>142</v>
      </c>
      <c r="F11" s="67" t="s">
        <v>143</v>
      </c>
      <c r="G11" s="67">
        <v>7</v>
      </c>
      <c r="H11" s="67" t="s">
        <v>1002</v>
      </c>
      <c r="I11" s="68">
        <v>45413</v>
      </c>
      <c r="J11" s="67">
        <v>143</v>
      </c>
      <c r="K11" s="67" t="s">
        <v>145</v>
      </c>
      <c r="L11" s="67" t="s">
        <v>117</v>
      </c>
      <c r="M11" s="67" t="s">
        <v>118</v>
      </c>
      <c r="N11" s="67" t="s">
        <v>1061</v>
      </c>
      <c r="O11" s="67" t="s">
        <v>119</v>
      </c>
      <c r="P11" s="69">
        <v>10401440</v>
      </c>
      <c r="Q11" s="69"/>
      <c r="R11" s="69">
        <v>10401440</v>
      </c>
      <c r="S11" s="69"/>
      <c r="T11" s="69">
        <v>10401440</v>
      </c>
      <c r="U11" s="67">
        <v>5210101581</v>
      </c>
      <c r="V11" s="67" t="s">
        <v>1054</v>
      </c>
      <c r="W11" s="67" t="s">
        <v>154</v>
      </c>
      <c r="X11" s="67" t="s">
        <v>123</v>
      </c>
      <c r="Y11" s="67" t="s">
        <v>124</v>
      </c>
      <c r="Z11" s="67" t="s">
        <v>1062</v>
      </c>
      <c r="AA11" s="67" t="s">
        <v>123</v>
      </c>
      <c r="AB11" s="67"/>
      <c r="AC11" s="67" t="e">
        <v>#REF!</v>
      </c>
      <c r="AD11" s="67"/>
      <c r="AE11" s="67" t="s">
        <v>147</v>
      </c>
      <c r="AF11" s="67">
        <v>0</v>
      </c>
      <c r="AG11" s="67" t="s">
        <v>126</v>
      </c>
      <c r="AH11" s="67" t="s">
        <v>148</v>
      </c>
      <c r="AI11" s="67" t="s">
        <v>149</v>
      </c>
      <c r="AJ11" s="67" t="s">
        <v>150</v>
      </c>
      <c r="AK11" s="67" t="s">
        <v>151</v>
      </c>
      <c r="AL11" s="67" t="s">
        <v>131</v>
      </c>
      <c r="AM11" s="67" t="s">
        <v>132</v>
      </c>
      <c r="AN11" s="67"/>
      <c r="AO11" s="67"/>
      <c r="AP11" s="67"/>
      <c r="AQ11" s="70" t="s">
        <v>1063</v>
      </c>
      <c r="AR11" s="68">
        <v>45397</v>
      </c>
      <c r="AS11" s="67" t="s">
        <v>1064</v>
      </c>
      <c r="AT11" s="67" t="s">
        <v>154</v>
      </c>
      <c r="AU11" s="67"/>
      <c r="AV11" s="67"/>
      <c r="AW11" s="67" t="s">
        <v>1065</v>
      </c>
      <c r="AX11" s="67" t="s">
        <v>1039</v>
      </c>
      <c r="AY11" s="67">
        <v>117399</v>
      </c>
      <c r="AZ11" s="67" t="s">
        <v>157</v>
      </c>
      <c r="BA11" s="67">
        <v>4100</v>
      </c>
      <c r="BB11" s="67" t="s">
        <v>158</v>
      </c>
      <c r="BC11" s="67">
        <v>100061150</v>
      </c>
      <c r="BD11" s="67"/>
      <c r="BE11" s="67"/>
      <c r="BF11" s="67"/>
      <c r="BG11" s="67"/>
      <c r="BH11" s="67"/>
      <c r="BI11" s="67"/>
      <c r="BJ11" s="67"/>
      <c r="BK11" s="67"/>
      <c r="BL11" s="67"/>
      <c r="BM11" s="67"/>
    </row>
    <row r="12" spans="1:65" x14ac:dyDescent="0.3">
      <c r="A12" s="67" t="s">
        <v>1066</v>
      </c>
      <c r="B12" s="67" t="s">
        <v>1067</v>
      </c>
      <c r="C12" s="67" t="s">
        <v>1042</v>
      </c>
      <c r="D12" s="67" t="s">
        <v>1068</v>
      </c>
      <c r="E12" s="67" t="s">
        <v>142</v>
      </c>
      <c r="F12" s="67" t="s">
        <v>143</v>
      </c>
      <c r="G12" s="67">
        <v>7</v>
      </c>
      <c r="H12" s="67" t="s">
        <v>1002</v>
      </c>
      <c r="I12" s="68">
        <v>45428</v>
      </c>
      <c r="J12" s="67">
        <v>3</v>
      </c>
      <c r="K12" s="67" t="s">
        <v>145</v>
      </c>
      <c r="L12" s="67" t="s">
        <v>117</v>
      </c>
      <c r="M12" s="67" t="s">
        <v>118</v>
      </c>
      <c r="N12" s="67" t="s">
        <v>1069</v>
      </c>
      <c r="O12" s="67" t="s">
        <v>119</v>
      </c>
      <c r="P12" s="69">
        <v>4936940</v>
      </c>
      <c r="Q12" s="69"/>
      <c r="R12" s="69">
        <v>4936940</v>
      </c>
      <c r="S12" s="69"/>
      <c r="T12" s="69">
        <v>4936940</v>
      </c>
      <c r="U12" s="67">
        <v>5210101581</v>
      </c>
      <c r="V12" s="67" t="s">
        <v>120</v>
      </c>
      <c r="W12" s="67" t="s">
        <v>29</v>
      </c>
      <c r="X12" s="67" t="s">
        <v>123</v>
      </c>
      <c r="Y12" s="67" t="s">
        <v>124</v>
      </c>
      <c r="Z12" s="67" t="s">
        <v>1070</v>
      </c>
      <c r="AA12" s="67" t="s">
        <v>123</v>
      </c>
      <c r="AB12" s="67"/>
      <c r="AC12" s="67" t="e">
        <v>#REF!</v>
      </c>
      <c r="AD12" s="67"/>
      <c r="AE12" s="67" t="s">
        <v>147</v>
      </c>
      <c r="AF12" s="67">
        <v>0</v>
      </c>
      <c r="AG12" s="67" t="s">
        <v>126</v>
      </c>
      <c r="AH12" s="67" t="s">
        <v>148</v>
      </c>
      <c r="AI12" s="67" t="s">
        <v>149</v>
      </c>
      <c r="AJ12" s="67" t="s">
        <v>150</v>
      </c>
      <c r="AK12" s="67" t="s">
        <v>151</v>
      </c>
      <c r="AL12" s="67" t="s">
        <v>131</v>
      </c>
      <c r="AM12" s="67" t="s">
        <v>132</v>
      </c>
      <c r="AN12" s="67"/>
      <c r="AO12" s="67"/>
      <c r="AP12" s="67"/>
      <c r="AQ12" s="70">
        <v>325342647200</v>
      </c>
      <c r="AR12" s="68">
        <v>45413</v>
      </c>
      <c r="AS12" s="67" t="s">
        <v>1071</v>
      </c>
      <c r="AT12" s="67" t="s">
        <v>29</v>
      </c>
      <c r="AU12" s="67"/>
      <c r="AV12" s="67"/>
      <c r="AW12" s="67" t="s">
        <v>1072</v>
      </c>
      <c r="AX12" s="67" t="s">
        <v>1073</v>
      </c>
      <c r="AY12" s="67">
        <v>117399</v>
      </c>
      <c r="AZ12" s="67" t="s">
        <v>157</v>
      </c>
      <c r="BA12" s="67">
        <v>4100</v>
      </c>
      <c r="BB12" s="67" t="s">
        <v>158</v>
      </c>
      <c r="BC12" s="67">
        <v>100060266</v>
      </c>
      <c r="BD12" s="67"/>
      <c r="BE12" s="67"/>
      <c r="BF12" s="67"/>
      <c r="BG12" s="67"/>
      <c r="BH12" s="67"/>
      <c r="BI12" s="67"/>
      <c r="BJ12" s="67"/>
      <c r="BK12" s="67"/>
      <c r="BL12" s="67"/>
      <c r="BM12" s="67"/>
    </row>
    <row r="13" spans="1:65" x14ac:dyDescent="0.3">
      <c r="A13" s="67" t="s">
        <v>226</v>
      </c>
      <c r="B13" s="67" t="s">
        <v>1074</v>
      </c>
      <c r="C13" s="67" t="s">
        <v>1075</v>
      </c>
      <c r="D13" s="67" t="s">
        <v>1076</v>
      </c>
      <c r="E13" s="67" t="s">
        <v>142</v>
      </c>
      <c r="F13" s="67" t="s">
        <v>143</v>
      </c>
      <c r="G13" s="67">
        <v>7</v>
      </c>
      <c r="H13" s="67" t="s">
        <v>1001</v>
      </c>
      <c r="I13" s="68">
        <v>45392</v>
      </c>
      <c r="J13" s="67">
        <v>32</v>
      </c>
      <c r="K13" s="67" t="s">
        <v>145</v>
      </c>
      <c r="L13" s="67" t="s">
        <v>117</v>
      </c>
      <c r="M13" s="67" t="s">
        <v>118</v>
      </c>
      <c r="N13" s="67" t="s">
        <v>1077</v>
      </c>
      <c r="O13" s="67" t="s">
        <v>119</v>
      </c>
      <c r="P13" s="69">
        <v>4665313</v>
      </c>
      <c r="Q13" s="69"/>
      <c r="R13" s="69">
        <v>4665313</v>
      </c>
      <c r="S13" s="69"/>
      <c r="T13" s="69">
        <v>4665313</v>
      </c>
      <c r="U13" s="67">
        <v>5210101581</v>
      </c>
      <c r="V13" s="67" t="s">
        <v>1054</v>
      </c>
      <c r="W13" s="67" t="s">
        <v>29</v>
      </c>
      <c r="X13" s="67" t="s">
        <v>123</v>
      </c>
      <c r="Y13" s="67" t="s">
        <v>124</v>
      </c>
      <c r="Z13" s="67" t="s">
        <v>1078</v>
      </c>
      <c r="AA13" s="67" t="s">
        <v>123</v>
      </c>
      <c r="AB13" s="67"/>
      <c r="AC13" s="67" t="e">
        <v>#REF!</v>
      </c>
      <c r="AD13" s="67"/>
      <c r="AE13" s="67" t="s">
        <v>147</v>
      </c>
      <c r="AF13" s="67">
        <v>0</v>
      </c>
      <c r="AG13" s="67" t="s">
        <v>126</v>
      </c>
      <c r="AH13" s="67" t="s">
        <v>148</v>
      </c>
      <c r="AI13" s="67" t="s">
        <v>149</v>
      </c>
      <c r="AJ13" s="67" t="s">
        <v>150</v>
      </c>
      <c r="AK13" s="67" t="s">
        <v>151</v>
      </c>
      <c r="AL13" s="67" t="s">
        <v>131</v>
      </c>
      <c r="AM13" s="67" t="s">
        <v>132</v>
      </c>
      <c r="AN13" s="67"/>
      <c r="AO13" s="67"/>
      <c r="AP13" s="67"/>
      <c r="AQ13" s="70">
        <v>325362159389</v>
      </c>
      <c r="AR13" s="68">
        <v>45383</v>
      </c>
      <c r="AS13" s="67" t="s">
        <v>1079</v>
      </c>
      <c r="AT13" s="67" t="s">
        <v>29</v>
      </c>
      <c r="AU13" s="67"/>
      <c r="AV13" s="67"/>
      <c r="AW13" s="67" t="s">
        <v>1080</v>
      </c>
      <c r="AX13" s="67" t="s">
        <v>1073</v>
      </c>
      <c r="AY13" s="67">
        <v>117399</v>
      </c>
      <c r="AZ13" s="67" t="s">
        <v>157</v>
      </c>
      <c r="BA13" s="67">
        <v>4100</v>
      </c>
      <c r="BB13" s="67" t="s">
        <v>158</v>
      </c>
      <c r="BC13" s="67">
        <v>100060266</v>
      </c>
      <c r="BD13" s="67"/>
      <c r="BE13" s="67"/>
      <c r="BF13" s="67"/>
      <c r="BG13" s="67"/>
      <c r="BH13" s="67"/>
      <c r="BI13" s="67"/>
      <c r="BJ13" s="67"/>
      <c r="BK13" s="67"/>
      <c r="BL13" s="67"/>
      <c r="BM13" s="67"/>
    </row>
    <row r="14" spans="1:65" x14ac:dyDescent="0.3">
      <c r="A14" s="67" t="s">
        <v>1081</v>
      </c>
      <c r="B14" s="67" t="s">
        <v>1082</v>
      </c>
      <c r="C14" s="67" t="s">
        <v>1051</v>
      </c>
      <c r="D14" s="67" t="s">
        <v>1052</v>
      </c>
      <c r="E14" s="67" t="s">
        <v>172</v>
      </c>
      <c r="F14" s="67" t="s">
        <v>173</v>
      </c>
      <c r="G14" s="67">
        <v>7</v>
      </c>
      <c r="H14" s="67" t="s">
        <v>1001</v>
      </c>
      <c r="I14" s="68">
        <v>45400</v>
      </c>
      <c r="J14" s="67">
        <v>186</v>
      </c>
      <c r="K14" s="67" t="s">
        <v>192</v>
      </c>
      <c r="L14" s="67" t="s">
        <v>117</v>
      </c>
      <c r="M14" s="67" t="s">
        <v>118</v>
      </c>
      <c r="N14" s="67" t="s">
        <v>1083</v>
      </c>
      <c r="O14" s="67" t="s">
        <v>119</v>
      </c>
      <c r="P14" s="69"/>
      <c r="Q14" s="69">
        <v>4500000</v>
      </c>
      <c r="R14" s="69"/>
      <c r="S14" s="69">
        <v>4500000</v>
      </c>
      <c r="T14" s="69">
        <v>-4500000</v>
      </c>
      <c r="U14" s="67">
        <v>5210101581</v>
      </c>
      <c r="V14" s="67" t="s">
        <v>1054</v>
      </c>
      <c r="W14" s="67" t="s">
        <v>29</v>
      </c>
      <c r="X14" s="67" t="s">
        <v>123</v>
      </c>
      <c r="Y14" s="67" t="s">
        <v>124</v>
      </c>
      <c r="Z14" s="67" t="s">
        <v>1084</v>
      </c>
      <c r="AA14" s="67" t="s">
        <v>123</v>
      </c>
      <c r="AB14" s="67"/>
      <c r="AC14" s="67" t="e">
        <v>#REF!</v>
      </c>
      <c r="AD14" s="67"/>
      <c r="AE14" s="67" t="s">
        <v>147</v>
      </c>
      <c r="AF14" s="67">
        <v>0</v>
      </c>
      <c r="AG14" s="67" t="s">
        <v>126</v>
      </c>
      <c r="AH14" s="67" t="s">
        <v>127</v>
      </c>
      <c r="AI14" s="67" t="s">
        <v>128</v>
      </c>
      <c r="AJ14" s="67" t="s">
        <v>150</v>
      </c>
      <c r="AK14" s="67" t="s">
        <v>151</v>
      </c>
      <c r="AL14" s="67" t="s">
        <v>131</v>
      </c>
      <c r="AM14" s="67" t="s">
        <v>132</v>
      </c>
      <c r="AN14" s="67"/>
      <c r="AO14" s="67"/>
      <c r="AP14" s="67"/>
      <c r="AQ14" s="70"/>
      <c r="AR14" s="67"/>
      <c r="AS14" s="67"/>
      <c r="AT14" s="67" t="s">
        <v>1085</v>
      </c>
      <c r="AU14" s="67"/>
      <c r="AV14" s="67"/>
      <c r="AW14" s="67"/>
      <c r="AX14" s="67"/>
      <c r="AY14" s="67">
        <v>4100</v>
      </c>
      <c r="AZ14" s="67"/>
      <c r="BA14" s="67"/>
      <c r="BB14" s="67"/>
      <c r="BC14" s="67">
        <v>100060266</v>
      </c>
      <c r="BD14" s="67" t="s">
        <v>1083</v>
      </c>
      <c r="BE14" s="67"/>
      <c r="BF14" s="67"/>
      <c r="BG14" s="67"/>
      <c r="BH14" s="67"/>
      <c r="BI14" s="67"/>
      <c r="BJ14" s="67"/>
      <c r="BK14" s="67"/>
      <c r="BL14" s="67"/>
      <c r="BM14" s="67"/>
    </row>
    <row r="15" spans="1:65" x14ac:dyDescent="0.3">
      <c r="A15" s="67" t="s">
        <v>1086</v>
      </c>
      <c r="B15" s="67" t="s">
        <v>1087</v>
      </c>
      <c r="C15" s="67" t="s">
        <v>1088</v>
      </c>
      <c r="D15" s="67" t="s">
        <v>1089</v>
      </c>
      <c r="E15" s="67" t="s">
        <v>142</v>
      </c>
      <c r="F15" s="67" t="s">
        <v>143</v>
      </c>
      <c r="G15" s="67">
        <v>7</v>
      </c>
      <c r="H15" s="67" t="s">
        <v>1002</v>
      </c>
      <c r="I15" s="68">
        <v>45432</v>
      </c>
      <c r="J15" s="67">
        <v>62</v>
      </c>
      <c r="K15" s="67" t="s">
        <v>116</v>
      </c>
      <c r="L15" s="67" t="s">
        <v>117</v>
      </c>
      <c r="M15" s="67" t="s">
        <v>118</v>
      </c>
      <c r="N15" s="67" t="s">
        <v>1090</v>
      </c>
      <c r="O15" s="67" t="s">
        <v>119</v>
      </c>
      <c r="P15" s="69">
        <v>3967222.27</v>
      </c>
      <c r="Q15" s="69"/>
      <c r="R15" s="69">
        <v>3967222.27</v>
      </c>
      <c r="S15" s="69"/>
      <c r="T15" s="69">
        <v>3967222.27</v>
      </c>
      <c r="U15" s="67">
        <v>5210101232</v>
      </c>
      <c r="V15" s="67" t="s">
        <v>120</v>
      </c>
      <c r="W15" s="67" t="s">
        <v>996</v>
      </c>
      <c r="X15" s="67" t="s">
        <v>123</v>
      </c>
      <c r="Y15" s="67" t="s">
        <v>124</v>
      </c>
      <c r="Z15" s="67" t="s">
        <v>1091</v>
      </c>
      <c r="AA15" s="67" t="s">
        <v>123</v>
      </c>
      <c r="AB15" s="67"/>
      <c r="AC15" s="67" t="e">
        <v>#REF!</v>
      </c>
      <c r="AD15" s="67"/>
      <c r="AE15" s="67" t="s">
        <v>125</v>
      </c>
      <c r="AF15" s="67">
        <v>0</v>
      </c>
      <c r="AG15" s="67" t="s">
        <v>126</v>
      </c>
      <c r="AH15" s="67" t="s">
        <v>127</v>
      </c>
      <c r="AI15" s="67" t="s">
        <v>128</v>
      </c>
      <c r="AJ15" s="67" t="s">
        <v>129</v>
      </c>
      <c r="AK15" s="67" t="s">
        <v>130</v>
      </c>
      <c r="AL15" s="67" t="s">
        <v>131</v>
      </c>
      <c r="AM15" s="67" t="s">
        <v>132</v>
      </c>
      <c r="AN15" s="67"/>
      <c r="AO15" s="67"/>
      <c r="AP15" s="67"/>
      <c r="AQ15" s="70" t="s">
        <v>1092</v>
      </c>
      <c r="AR15" s="68">
        <v>45400</v>
      </c>
      <c r="AS15" s="67" t="s">
        <v>1093</v>
      </c>
      <c r="AT15" s="67" t="s">
        <v>24</v>
      </c>
      <c r="AU15" s="67"/>
      <c r="AV15" s="67"/>
      <c r="AW15" s="67" t="s">
        <v>1094</v>
      </c>
      <c r="AX15" s="67" t="s">
        <v>1095</v>
      </c>
      <c r="AY15" s="67">
        <v>117689</v>
      </c>
      <c r="AZ15" s="67" t="s">
        <v>135</v>
      </c>
      <c r="BA15" s="67">
        <v>5509</v>
      </c>
      <c r="BB15" s="67" t="s">
        <v>136</v>
      </c>
      <c r="BC15" s="67">
        <v>100060705</v>
      </c>
      <c r="BD15" s="67"/>
      <c r="BE15" s="67"/>
      <c r="BF15" s="67"/>
      <c r="BG15" s="67"/>
      <c r="BH15" s="67"/>
      <c r="BI15" s="67"/>
      <c r="BJ15" s="67"/>
      <c r="BK15" s="67"/>
      <c r="BL15" s="67"/>
      <c r="BM15" s="67"/>
    </row>
    <row r="16" spans="1:65" x14ac:dyDescent="0.3">
      <c r="A16" s="67" t="s">
        <v>1096</v>
      </c>
      <c r="B16" s="67" t="s">
        <v>1097</v>
      </c>
      <c r="C16" s="67" t="s">
        <v>1051</v>
      </c>
      <c r="D16" s="67" t="s">
        <v>1052</v>
      </c>
      <c r="E16" s="67" t="s">
        <v>172</v>
      </c>
      <c r="F16" s="67" t="s">
        <v>173</v>
      </c>
      <c r="G16" s="67">
        <v>7</v>
      </c>
      <c r="H16" s="67" t="s">
        <v>1001</v>
      </c>
      <c r="I16" s="68">
        <v>45400</v>
      </c>
      <c r="J16" s="67">
        <v>2</v>
      </c>
      <c r="K16" s="67" t="s">
        <v>116</v>
      </c>
      <c r="L16" s="67" t="s">
        <v>117</v>
      </c>
      <c r="M16" s="67" t="s">
        <v>118</v>
      </c>
      <c r="N16" s="67" t="s">
        <v>1095</v>
      </c>
      <c r="O16" s="67" t="s">
        <v>119</v>
      </c>
      <c r="P16" s="69"/>
      <c r="Q16" s="69">
        <v>3966312</v>
      </c>
      <c r="R16" s="69"/>
      <c r="S16" s="69">
        <v>3966312</v>
      </c>
      <c r="T16" s="69">
        <v>-3966312</v>
      </c>
      <c r="U16" s="67">
        <v>5210101232</v>
      </c>
      <c r="V16" s="67" t="s">
        <v>120</v>
      </c>
      <c r="W16" s="67" t="s">
        <v>996</v>
      </c>
      <c r="X16" s="67" t="s">
        <v>123</v>
      </c>
      <c r="Y16" s="67" t="s">
        <v>124</v>
      </c>
      <c r="Z16" s="67" t="s">
        <v>1098</v>
      </c>
      <c r="AA16" s="67" t="s">
        <v>123</v>
      </c>
      <c r="AB16" s="67"/>
      <c r="AC16" s="67" t="e">
        <v>#REF!</v>
      </c>
      <c r="AD16" s="67"/>
      <c r="AE16" s="67" t="s">
        <v>125</v>
      </c>
      <c r="AF16" s="67">
        <v>0</v>
      </c>
      <c r="AG16" s="67" t="s">
        <v>126</v>
      </c>
      <c r="AH16" s="67" t="s">
        <v>127</v>
      </c>
      <c r="AI16" s="67" t="s">
        <v>128</v>
      </c>
      <c r="AJ16" s="67" t="s">
        <v>129</v>
      </c>
      <c r="AK16" s="67" t="s">
        <v>130</v>
      </c>
      <c r="AL16" s="67" t="s">
        <v>131</v>
      </c>
      <c r="AM16" s="67" t="s">
        <v>132</v>
      </c>
      <c r="AN16" s="67"/>
      <c r="AO16" s="67"/>
      <c r="AP16" s="67"/>
      <c r="AQ16" s="70"/>
      <c r="AR16" s="67"/>
      <c r="AS16" s="67"/>
      <c r="AT16" s="67" t="s">
        <v>996</v>
      </c>
      <c r="AU16" s="67"/>
      <c r="AV16" s="67"/>
      <c r="AW16" s="67"/>
      <c r="AX16" s="67"/>
      <c r="AY16" s="67">
        <v>5509</v>
      </c>
      <c r="AZ16" s="67"/>
      <c r="BA16" s="67"/>
      <c r="BB16" s="67"/>
      <c r="BC16" s="67">
        <v>100060705</v>
      </c>
      <c r="BD16" s="67" t="s">
        <v>1095</v>
      </c>
      <c r="BE16" s="67"/>
      <c r="BF16" s="67"/>
      <c r="BG16" s="67"/>
      <c r="BH16" s="67"/>
      <c r="BI16" s="67"/>
      <c r="BJ16" s="67"/>
      <c r="BK16" s="67"/>
      <c r="BL16" s="67"/>
      <c r="BM16" s="67"/>
    </row>
    <row r="17" spans="1:65" x14ac:dyDescent="0.3">
      <c r="A17" s="67" t="s">
        <v>1099</v>
      </c>
      <c r="B17" s="67" t="s">
        <v>1100</v>
      </c>
      <c r="C17" s="67" t="s">
        <v>1101</v>
      </c>
      <c r="D17" s="67" t="s">
        <v>1102</v>
      </c>
      <c r="E17" s="67" t="s">
        <v>142</v>
      </c>
      <c r="F17" s="67" t="s">
        <v>143</v>
      </c>
      <c r="G17" s="67">
        <v>7</v>
      </c>
      <c r="H17" s="67" t="s">
        <v>1003</v>
      </c>
      <c r="I17" s="68">
        <v>45455</v>
      </c>
      <c r="J17" s="67">
        <v>21</v>
      </c>
      <c r="K17" s="67" t="s">
        <v>116</v>
      </c>
      <c r="L17" s="67" t="s">
        <v>117</v>
      </c>
      <c r="M17" s="67" t="s">
        <v>118</v>
      </c>
      <c r="N17" s="67" t="s">
        <v>1103</v>
      </c>
      <c r="O17" s="67" t="s">
        <v>119</v>
      </c>
      <c r="P17" s="69">
        <v>3822307.2</v>
      </c>
      <c r="Q17" s="69"/>
      <c r="R17" s="69">
        <v>3822307.2</v>
      </c>
      <c r="S17" s="69"/>
      <c r="T17" s="69">
        <v>3822307.2</v>
      </c>
      <c r="U17" s="67">
        <v>5210101232</v>
      </c>
      <c r="V17" s="67" t="s">
        <v>120</v>
      </c>
      <c r="W17" s="67" t="s">
        <v>996</v>
      </c>
      <c r="X17" s="67" t="s">
        <v>123</v>
      </c>
      <c r="Y17" s="67" t="s">
        <v>124</v>
      </c>
      <c r="Z17" s="67" t="s">
        <v>1104</v>
      </c>
      <c r="AA17" s="67" t="s">
        <v>123</v>
      </c>
      <c r="AB17" s="67"/>
      <c r="AC17" s="67" t="e">
        <v>#REF!</v>
      </c>
      <c r="AD17" s="67"/>
      <c r="AE17" s="67" t="s">
        <v>125</v>
      </c>
      <c r="AF17" s="67">
        <v>0</v>
      </c>
      <c r="AG17" s="67" t="s">
        <v>126</v>
      </c>
      <c r="AH17" s="67" t="s">
        <v>127</v>
      </c>
      <c r="AI17" s="67" t="s">
        <v>128</v>
      </c>
      <c r="AJ17" s="67" t="s">
        <v>129</v>
      </c>
      <c r="AK17" s="67" t="s">
        <v>130</v>
      </c>
      <c r="AL17" s="67" t="s">
        <v>131</v>
      </c>
      <c r="AM17" s="67" t="s">
        <v>132</v>
      </c>
      <c r="AN17" s="67"/>
      <c r="AO17" s="67"/>
      <c r="AP17" s="67"/>
      <c r="AQ17" s="70" t="s">
        <v>1105</v>
      </c>
      <c r="AR17" s="68">
        <v>45430</v>
      </c>
      <c r="AS17" s="67" t="s">
        <v>1106</v>
      </c>
      <c r="AT17" s="67" t="s">
        <v>24</v>
      </c>
      <c r="AU17" s="67"/>
      <c r="AV17" s="67"/>
      <c r="AW17" s="67" t="s">
        <v>1107</v>
      </c>
      <c r="AX17" s="67" t="s">
        <v>1095</v>
      </c>
      <c r="AY17" s="67">
        <v>117689</v>
      </c>
      <c r="AZ17" s="67" t="s">
        <v>135</v>
      </c>
      <c r="BA17" s="67">
        <v>5509</v>
      </c>
      <c r="BB17" s="67" t="s">
        <v>136</v>
      </c>
      <c r="BC17" s="67">
        <v>100060705</v>
      </c>
      <c r="BD17" s="67"/>
      <c r="BE17" s="67"/>
      <c r="BF17" s="67"/>
      <c r="BG17" s="67"/>
      <c r="BH17" s="67"/>
      <c r="BI17" s="67"/>
      <c r="BJ17" s="67"/>
      <c r="BK17" s="67"/>
      <c r="BL17" s="67"/>
      <c r="BM17" s="67"/>
    </row>
    <row r="18" spans="1:65" x14ac:dyDescent="0.3">
      <c r="A18" s="67" t="s">
        <v>1108</v>
      </c>
      <c r="B18" s="67" t="s">
        <v>1109</v>
      </c>
      <c r="C18" s="67" t="s">
        <v>1075</v>
      </c>
      <c r="D18" s="67" t="s">
        <v>1076</v>
      </c>
      <c r="E18" s="67" t="s">
        <v>142</v>
      </c>
      <c r="F18" s="67" t="s">
        <v>143</v>
      </c>
      <c r="G18" s="67">
        <v>7</v>
      </c>
      <c r="H18" s="67" t="s">
        <v>1001</v>
      </c>
      <c r="I18" s="68">
        <v>45392</v>
      </c>
      <c r="J18" s="67">
        <v>15</v>
      </c>
      <c r="K18" s="67" t="s">
        <v>116</v>
      </c>
      <c r="L18" s="67" t="s">
        <v>117</v>
      </c>
      <c r="M18" s="67" t="s">
        <v>118</v>
      </c>
      <c r="N18" s="67" t="s">
        <v>1110</v>
      </c>
      <c r="O18" s="67" t="s">
        <v>119</v>
      </c>
      <c r="P18" s="69">
        <v>3715626.62</v>
      </c>
      <c r="Q18" s="69"/>
      <c r="R18" s="69">
        <v>3715626.62</v>
      </c>
      <c r="S18" s="69"/>
      <c r="T18" s="69">
        <v>3715626.62</v>
      </c>
      <c r="U18" s="67">
        <v>5210101232</v>
      </c>
      <c r="V18" s="67" t="s">
        <v>1054</v>
      </c>
      <c r="W18" s="67" t="s">
        <v>996</v>
      </c>
      <c r="X18" s="67" t="s">
        <v>123</v>
      </c>
      <c r="Y18" s="67" t="s">
        <v>124</v>
      </c>
      <c r="Z18" s="67" t="s">
        <v>1111</v>
      </c>
      <c r="AA18" s="67" t="s">
        <v>123</v>
      </c>
      <c r="AB18" s="67"/>
      <c r="AC18" s="67" t="e">
        <v>#REF!</v>
      </c>
      <c r="AD18" s="67"/>
      <c r="AE18" s="67" t="s">
        <v>125</v>
      </c>
      <c r="AF18" s="67">
        <v>0</v>
      </c>
      <c r="AG18" s="67" t="s">
        <v>126</v>
      </c>
      <c r="AH18" s="67" t="s">
        <v>127</v>
      </c>
      <c r="AI18" s="67" t="s">
        <v>128</v>
      </c>
      <c r="AJ18" s="67" t="s">
        <v>129</v>
      </c>
      <c r="AK18" s="67" t="s">
        <v>130</v>
      </c>
      <c r="AL18" s="67" t="s">
        <v>131</v>
      </c>
      <c r="AM18" s="67" t="s">
        <v>132</v>
      </c>
      <c r="AN18" s="67"/>
      <c r="AO18" s="67"/>
      <c r="AP18" s="67"/>
      <c r="AQ18" s="70" t="s">
        <v>1112</v>
      </c>
      <c r="AR18" s="68">
        <v>45369</v>
      </c>
      <c r="AS18" s="67" t="s">
        <v>1113</v>
      </c>
      <c r="AT18" s="67" t="s">
        <v>24</v>
      </c>
      <c r="AU18" s="67"/>
      <c r="AV18" s="67"/>
      <c r="AW18" s="67" t="s">
        <v>1114</v>
      </c>
      <c r="AX18" s="67" t="s">
        <v>1095</v>
      </c>
      <c r="AY18" s="67">
        <v>117689</v>
      </c>
      <c r="AZ18" s="67" t="s">
        <v>135</v>
      </c>
      <c r="BA18" s="67">
        <v>5509</v>
      </c>
      <c r="BB18" s="67" t="s">
        <v>136</v>
      </c>
      <c r="BC18" s="67">
        <v>100060705</v>
      </c>
      <c r="BD18" s="67"/>
      <c r="BE18" s="67"/>
      <c r="BF18" s="67"/>
      <c r="BG18" s="67"/>
      <c r="BH18" s="67"/>
      <c r="BI18" s="67"/>
      <c r="BJ18" s="67"/>
      <c r="BK18" s="67"/>
      <c r="BL18" s="67"/>
      <c r="BM18" s="67"/>
    </row>
    <row r="19" spans="1:65" x14ac:dyDescent="0.3">
      <c r="A19" s="67" t="s">
        <v>1115</v>
      </c>
      <c r="B19" s="67" t="s">
        <v>1116</v>
      </c>
      <c r="C19" s="67" t="s">
        <v>1101</v>
      </c>
      <c r="D19" s="67" t="s">
        <v>1117</v>
      </c>
      <c r="E19" s="67" t="s">
        <v>142</v>
      </c>
      <c r="F19" s="67" t="s">
        <v>143</v>
      </c>
      <c r="G19" s="67">
        <v>7</v>
      </c>
      <c r="H19" s="67" t="s">
        <v>1003</v>
      </c>
      <c r="I19" s="68">
        <v>45457</v>
      </c>
      <c r="J19" s="67">
        <v>24</v>
      </c>
      <c r="K19" s="67" t="s">
        <v>145</v>
      </c>
      <c r="L19" s="67" t="s">
        <v>117</v>
      </c>
      <c r="M19" s="67" t="s">
        <v>118</v>
      </c>
      <c r="N19" s="67" t="s">
        <v>1118</v>
      </c>
      <c r="O19" s="67" t="s">
        <v>119</v>
      </c>
      <c r="P19" s="69">
        <v>3093092</v>
      </c>
      <c r="Q19" s="69"/>
      <c r="R19" s="69">
        <v>3093092</v>
      </c>
      <c r="S19" s="69"/>
      <c r="T19" s="69">
        <v>3093092</v>
      </c>
      <c r="U19" s="67">
        <v>5210101581</v>
      </c>
      <c r="V19" s="67" t="s">
        <v>120</v>
      </c>
      <c r="W19" s="67" t="s">
        <v>29</v>
      </c>
      <c r="X19" s="67" t="s">
        <v>123</v>
      </c>
      <c r="Y19" s="67" t="s">
        <v>124</v>
      </c>
      <c r="Z19" s="67" t="s">
        <v>1119</v>
      </c>
      <c r="AA19" s="67" t="s">
        <v>123</v>
      </c>
      <c r="AB19" s="67"/>
      <c r="AC19" s="67" t="e">
        <v>#REF!</v>
      </c>
      <c r="AD19" s="67"/>
      <c r="AE19" s="67" t="s">
        <v>147</v>
      </c>
      <c r="AF19" s="67">
        <v>0</v>
      </c>
      <c r="AG19" s="67" t="s">
        <v>126</v>
      </c>
      <c r="AH19" s="67" t="s">
        <v>148</v>
      </c>
      <c r="AI19" s="67" t="s">
        <v>149</v>
      </c>
      <c r="AJ19" s="67" t="s">
        <v>150</v>
      </c>
      <c r="AK19" s="67" t="s">
        <v>151</v>
      </c>
      <c r="AL19" s="67" t="s">
        <v>131</v>
      </c>
      <c r="AM19" s="67" t="s">
        <v>132</v>
      </c>
      <c r="AN19" s="67"/>
      <c r="AO19" s="67"/>
      <c r="AP19" s="67"/>
      <c r="AQ19" s="70">
        <v>325637975618</v>
      </c>
      <c r="AR19" s="68">
        <v>45444</v>
      </c>
      <c r="AS19" s="67" t="s">
        <v>1120</v>
      </c>
      <c r="AT19" s="67" t="s">
        <v>29</v>
      </c>
      <c r="AU19" s="67"/>
      <c r="AV19" s="67"/>
      <c r="AW19" s="67" t="s">
        <v>1121</v>
      </c>
      <c r="AX19" s="67" t="s">
        <v>1073</v>
      </c>
      <c r="AY19" s="67">
        <v>117399</v>
      </c>
      <c r="AZ19" s="67" t="s">
        <v>157</v>
      </c>
      <c r="BA19" s="67">
        <v>4100</v>
      </c>
      <c r="BB19" s="67" t="s">
        <v>158</v>
      </c>
      <c r="BC19" s="67">
        <v>100060266</v>
      </c>
      <c r="BD19" s="67"/>
      <c r="BE19" s="67"/>
      <c r="BF19" s="67"/>
      <c r="BG19" s="67"/>
      <c r="BH19" s="67"/>
      <c r="BI19" s="67"/>
      <c r="BJ19" s="67"/>
      <c r="BK19" s="67"/>
      <c r="BL19" s="67"/>
      <c r="BM19" s="67"/>
    </row>
    <row r="20" spans="1:65" x14ac:dyDescent="0.3">
      <c r="A20" s="67" t="s">
        <v>1122</v>
      </c>
      <c r="B20" s="67" t="s">
        <v>1123</v>
      </c>
      <c r="C20" s="67" t="s">
        <v>1101</v>
      </c>
      <c r="D20" s="67" t="s">
        <v>1117</v>
      </c>
      <c r="E20" s="67" t="s">
        <v>142</v>
      </c>
      <c r="F20" s="67" t="s">
        <v>143</v>
      </c>
      <c r="G20" s="67">
        <v>7</v>
      </c>
      <c r="H20" s="67" t="s">
        <v>1003</v>
      </c>
      <c r="I20" s="68">
        <v>45457</v>
      </c>
      <c r="J20" s="67">
        <v>6</v>
      </c>
      <c r="K20" s="67" t="s">
        <v>1124</v>
      </c>
      <c r="L20" s="67" t="s">
        <v>117</v>
      </c>
      <c r="M20" s="67" t="s">
        <v>118</v>
      </c>
      <c r="N20" s="67" t="s">
        <v>1125</v>
      </c>
      <c r="O20" s="67" t="s">
        <v>119</v>
      </c>
      <c r="P20" s="69"/>
      <c r="Q20" s="69">
        <v>2159680</v>
      </c>
      <c r="R20" s="69"/>
      <c r="S20" s="69">
        <v>2159680</v>
      </c>
      <c r="T20" s="69">
        <v>-2159680</v>
      </c>
      <c r="U20" s="67">
        <v>5210101581</v>
      </c>
      <c r="V20" s="67" t="s">
        <v>120</v>
      </c>
      <c r="W20" s="67" t="s">
        <v>29</v>
      </c>
      <c r="X20" s="67" t="s">
        <v>123</v>
      </c>
      <c r="Y20" s="67" t="s">
        <v>124</v>
      </c>
      <c r="Z20" s="67" t="s">
        <v>1126</v>
      </c>
      <c r="AA20" s="67" t="s">
        <v>123</v>
      </c>
      <c r="AB20" s="67"/>
      <c r="AC20" s="67" t="e">
        <v>#REF!</v>
      </c>
      <c r="AD20" s="67"/>
      <c r="AE20" s="67" t="s">
        <v>147</v>
      </c>
      <c r="AF20" s="67">
        <v>0</v>
      </c>
      <c r="AG20" s="67" t="s">
        <v>126</v>
      </c>
      <c r="AH20" s="67" t="s">
        <v>148</v>
      </c>
      <c r="AI20" s="67" t="s">
        <v>149</v>
      </c>
      <c r="AJ20" s="67" t="s">
        <v>1127</v>
      </c>
      <c r="AK20" s="67" t="s">
        <v>1128</v>
      </c>
      <c r="AL20" s="67" t="s">
        <v>131</v>
      </c>
      <c r="AM20" s="67" t="s">
        <v>132</v>
      </c>
      <c r="AN20" s="67"/>
      <c r="AO20" s="67"/>
      <c r="AP20" s="67"/>
      <c r="AQ20" s="70" t="s">
        <v>1129</v>
      </c>
      <c r="AR20" s="68">
        <v>45444</v>
      </c>
      <c r="AS20" s="67" t="s">
        <v>1130</v>
      </c>
      <c r="AT20" s="67" t="s">
        <v>29</v>
      </c>
      <c r="AU20" s="67"/>
      <c r="AV20" s="67"/>
      <c r="AW20" s="67" t="s">
        <v>1131</v>
      </c>
      <c r="AX20" s="67" t="s">
        <v>1132</v>
      </c>
      <c r="AY20" s="67">
        <v>116839</v>
      </c>
      <c r="AZ20" s="67" t="s">
        <v>1133</v>
      </c>
      <c r="BA20" s="67">
        <v>4100</v>
      </c>
      <c r="BB20" s="67" t="s">
        <v>158</v>
      </c>
      <c r="BC20" s="67"/>
      <c r="BD20" s="67"/>
      <c r="BE20" s="67"/>
      <c r="BF20" s="67"/>
      <c r="BG20" s="67"/>
      <c r="BH20" s="67"/>
      <c r="BI20" s="67"/>
      <c r="BJ20" s="67"/>
      <c r="BK20" s="67"/>
      <c r="BL20" s="67"/>
      <c r="BM20" s="67"/>
    </row>
    <row r="21" spans="1:65" x14ac:dyDescent="0.3">
      <c r="A21" s="67" t="s">
        <v>1134</v>
      </c>
      <c r="B21" s="67" t="s">
        <v>1135</v>
      </c>
      <c r="C21" s="67" t="s">
        <v>1136</v>
      </c>
      <c r="D21" s="67" t="s">
        <v>1137</v>
      </c>
      <c r="E21" s="67" t="s">
        <v>172</v>
      </c>
      <c r="F21" s="67" t="s">
        <v>173</v>
      </c>
      <c r="G21" s="67">
        <v>7</v>
      </c>
      <c r="H21" s="67" t="s">
        <v>1001</v>
      </c>
      <c r="I21" s="68">
        <v>45400</v>
      </c>
      <c r="J21" s="67">
        <v>5</v>
      </c>
      <c r="K21" s="67" t="s">
        <v>561</v>
      </c>
      <c r="L21" s="67" t="s">
        <v>117</v>
      </c>
      <c r="M21" s="67" t="s">
        <v>118</v>
      </c>
      <c r="N21" s="67" t="s">
        <v>1138</v>
      </c>
      <c r="O21" s="67" t="s">
        <v>119</v>
      </c>
      <c r="P21" s="69"/>
      <c r="Q21" s="69">
        <v>233733</v>
      </c>
      <c r="R21" s="69"/>
      <c r="S21" s="69">
        <v>233733</v>
      </c>
      <c r="T21" s="69">
        <v>-233733</v>
      </c>
      <c r="U21" s="67">
        <v>5210101238</v>
      </c>
      <c r="V21" s="67" t="s">
        <v>120</v>
      </c>
      <c r="W21" s="67" t="s">
        <v>996</v>
      </c>
      <c r="X21" s="67" t="s">
        <v>123</v>
      </c>
      <c r="Y21" s="67" t="s">
        <v>124</v>
      </c>
      <c r="Z21" s="67" t="s">
        <v>1139</v>
      </c>
      <c r="AA21" s="67" t="s">
        <v>123</v>
      </c>
      <c r="AB21" s="67"/>
      <c r="AC21" s="67" t="e">
        <v>#REF!</v>
      </c>
      <c r="AD21" s="67"/>
      <c r="AE21" s="67" t="s">
        <v>562</v>
      </c>
      <c r="AF21" s="67">
        <v>0</v>
      </c>
      <c r="AG21" s="67" t="s">
        <v>126</v>
      </c>
      <c r="AH21" s="67" t="s">
        <v>127</v>
      </c>
      <c r="AI21" s="67" t="s">
        <v>128</v>
      </c>
      <c r="AJ21" s="67" t="s">
        <v>548</v>
      </c>
      <c r="AK21" s="67" t="s">
        <v>549</v>
      </c>
      <c r="AL21" s="67" t="s">
        <v>131</v>
      </c>
      <c r="AM21" s="67" t="s">
        <v>132</v>
      </c>
      <c r="AN21" s="67"/>
      <c r="AO21" s="67"/>
      <c r="AP21" s="67"/>
      <c r="AQ21" s="70"/>
      <c r="AR21" s="67"/>
      <c r="AS21" s="67"/>
      <c r="AT21" s="67" t="s">
        <v>996</v>
      </c>
      <c r="AU21" s="67"/>
      <c r="AV21" s="67"/>
      <c r="AW21" s="67"/>
      <c r="AX21" s="67"/>
      <c r="AY21" s="67">
        <v>119404</v>
      </c>
      <c r="AZ21" s="67" t="s">
        <v>554</v>
      </c>
      <c r="BA21" s="67">
        <v>5512</v>
      </c>
      <c r="BB21" s="67" t="s">
        <v>567</v>
      </c>
      <c r="BC21" s="67">
        <v>100054032</v>
      </c>
      <c r="BD21" s="67" t="s">
        <v>1138</v>
      </c>
      <c r="BE21" s="67"/>
      <c r="BF21" s="67"/>
      <c r="BG21" s="67"/>
      <c r="BH21" s="67"/>
      <c r="BI21" s="67"/>
      <c r="BJ21" s="67"/>
      <c r="BK21" s="67"/>
      <c r="BL21" s="67"/>
      <c r="BM21" s="67"/>
    </row>
    <row r="22" spans="1:65" x14ac:dyDescent="0.3">
      <c r="A22" s="67" t="s">
        <v>1140</v>
      </c>
      <c r="B22" s="67" t="s">
        <v>1141</v>
      </c>
      <c r="C22" s="67" t="s">
        <v>1088</v>
      </c>
      <c r="D22" s="67" t="s">
        <v>1089</v>
      </c>
      <c r="E22" s="67" t="s">
        <v>142</v>
      </c>
      <c r="F22" s="67" t="s">
        <v>143</v>
      </c>
      <c r="G22" s="67">
        <v>7</v>
      </c>
      <c r="H22" s="67" t="s">
        <v>1002</v>
      </c>
      <c r="I22" s="68">
        <v>45432</v>
      </c>
      <c r="J22" s="67">
        <v>1094</v>
      </c>
      <c r="K22" s="67" t="s">
        <v>561</v>
      </c>
      <c r="L22" s="67" t="s">
        <v>117</v>
      </c>
      <c r="M22" s="67" t="s">
        <v>118</v>
      </c>
      <c r="N22" s="67" t="s">
        <v>1142</v>
      </c>
      <c r="O22" s="67" t="s">
        <v>119</v>
      </c>
      <c r="P22" s="69">
        <v>81959.039999999994</v>
      </c>
      <c r="Q22" s="69"/>
      <c r="R22" s="69">
        <v>81959.039999999994</v>
      </c>
      <c r="S22" s="69"/>
      <c r="T22" s="69">
        <v>81959.039999999994</v>
      </c>
      <c r="U22" s="67">
        <v>5210101238</v>
      </c>
      <c r="V22" s="67" t="s">
        <v>120</v>
      </c>
      <c r="W22" s="67" t="s">
        <v>996</v>
      </c>
      <c r="X22" s="67" t="s">
        <v>123</v>
      </c>
      <c r="Y22" s="67" t="s">
        <v>124</v>
      </c>
      <c r="Z22" s="67" t="s">
        <v>1143</v>
      </c>
      <c r="AA22" s="67" t="s">
        <v>123</v>
      </c>
      <c r="AB22" s="67"/>
      <c r="AC22" s="67" t="e">
        <v>#REF!</v>
      </c>
      <c r="AD22" s="67"/>
      <c r="AE22" s="67" t="s">
        <v>562</v>
      </c>
      <c r="AF22" s="67">
        <v>0</v>
      </c>
      <c r="AG22" s="67" t="s">
        <v>126</v>
      </c>
      <c r="AH22" s="67" t="s">
        <v>127</v>
      </c>
      <c r="AI22" s="67" t="s">
        <v>128</v>
      </c>
      <c r="AJ22" s="67" t="s">
        <v>548</v>
      </c>
      <c r="AK22" s="67" t="s">
        <v>549</v>
      </c>
      <c r="AL22" s="67" t="s">
        <v>131</v>
      </c>
      <c r="AM22" s="67" t="s">
        <v>132</v>
      </c>
      <c r="AN22" s="67"/>
      <c r="AO22" s="67"/>
      <c r="AP22" s="67"/>
      <c r="AQ22" s="70" t="s">
        <v>1144</v>
      </c>
      <c r="AR22" s="68">
        <v>45400</v>
      </c>
      <c r="AS22" s="67" t="s">
        <v>1145</v>
      </c>
      <c r="AT22" s="67" t="s">
        <v>24</v>
      </c>
      <c r="AU22" s="67"/>
      <c r="AV22" s="67"/>
      <c r="AW22" s="67" t="s">
        <v>1146</v>
      </c>
      <c r="AX22" s="67" t="s">
        <v>1147</v>
      </c>
      <c r="AY22" s="67">
        <v>119404</v>
      </c>
      <c r="AZ22" s="67" t="s">
        <v>554</v>
      </c>
      <c r="BA22" s="67">
        <v>5512</v>
      </c>
      <c r="BB22" s="67" t="s">
        <v>567</v>
      </c>
      <c r="BC22" s="67">
        <v>100060415</v>
      </c>
      <c r="BD22" s="67"/>
      <c r="BE22" s="67"/>
      <c r="BF22" s="67"/>
      <c r="BG22" s="67"/>
      <c r="BH22" s="67"/>
      <c r="BI22" s="67"/>
      <c r="BJ22" s="67"/>
      <c r="BK22" s="67"/>
      <c r="BL22" s="67"/>
      <c r="BM22" s="67"/>
    </row>
    <row r="23" spans="1:65" x14ac:dyDescent="0.3">
      <c r="A23" s="67" t="s">
        <v>1148</v>
      </c>
      <c r="B23" s="67" t="s">
        <v>1149</v>
      </c>
      <c r="C23" s="67" t="s">
        <v>1101</v>
      </c>
      <c r="D23" s="67" t="s">
        <v>1150</v>
      </c>
      <c r="E23" s="67" t="s">
        <v>142</v>
      </c>
      <c r="F23" s="67" t="s">
        <v>143</v>
      </c>
      <c r="G23" s="67">
        <v>7</v>
      </c>
      <c r="H23" s="67" t="s">
        <v>1003</v>
      </c>
      <c r="I23" s="68">
        <v>45456</v>
      </c>
      <c r="J23" s="67">
        <v>264</v>
      </c>
      <c r="K23" s="67" t="s">
        <v>561</v>
      </c>
      <c r="L23" s="67" t="s">
        <v>117</v>
      </c>
      <c r="M23" s="67" t="s">
        <v>118</v>
      </c>
      <c r="N23" s="67" t="s">
        <v>1151</v>
      </c>
      <c r="O23" s="67" t="s">
        <v>119</v>
      </c>
      <c r="P23" s="69">
        <v>78042.240000000005</v>
      </c>
      <c r="Q23" s="69"/>
      <c r="R23" s="69">
        <v>78042.240000000005</v>
      </c>
      <c r="S23" s="69"/>
      <c r="T23" s="69">
        <v>78042.240000000005</v>
      </c>
      <c r="U23" s="67">
        <v>5210101238</v>
      </c>
      <c r="V23" s="67" t="s">
        <v>120</v>
      </c>
      <c r="W23" s="67" t="s">
        <v>996</v>
      </c>
      <c r="X23" s="67" t="s">
        <v>123</v>
      </c>
      <c r="Y23" s="67" t="s">
        <v>124</v>
      </c>
      <c r="Z23" s="67" t="s">
        <v>1152</v>
      </c>
      <c r="AA23" s="67" t="s">
        <v>123</v>
      </c>
      <c r="AB23" s="67"/>
      <c r="AC23" s="67" t="e">
        <v>#REF!</v>
      </c>
      <c r="AD23" s="67"/>
      <c r="AE23" s="67" t="s">
        <v>562</v>
      </c>
      <c r="AF23" s="67">
        <v>0</v>
      </c>
      <c r="AG23" s="67" t="s">
        <v>126</v>
      </c>
      <c r="AH23" s="67" t="s">
        <v>127</v>
      </c>
      <c r="AI23" s="67" t="s">
        <v>128</v>
      </c>
      <c r="AJ23" s="67" t="s">
        <v>548</v>
      </c>
      <c r="AK23" s="67" t="s">
        <v>549</v>
      </c>
      <c r="AL23" s="67" t="s">
        <v>131</v>
      </c>
      <c r="AM23" s="67" t="s">
        <v>132</v>
      </c>
      <c r="AN23" s="67"/>
      <c r="AO23" s="67"/>
      <c r="AP23" s="67"/>
      <c r="AQ23" s="70" t="s">
        <v>1153</v>
      </c>
      <c r="AR23" s="68">
        <v>45430</v>
      </c>
      <c r="AS23" s="67" t="s">
        <v>1154</v>
      </c>
      <c r="AT23" s="67" t="s">
        <v>24</v>
      </c>
      <c r="AU23" s="67"/>
      <c r="AV23" s="67"/>
      <c r="AW23" s="67" t="s">
        <v>1155</v>
      </c>
      <c r="AX23" s="67" t="s">
        <v>1147</v>
      </c>
      <c r="AY23" s="67">
        <v>119404</v>
      </c>
      <c r="AZ23" s="67" t="s">
        <v>554</v>
      </c>
      <c r="BA23" s="67">
        <v>5512</v>
      </c>
      <c r="BB23" s="67" t="s">
        <v>567</v>
      </c>
      <c r="BC23" s="67">
        <v>100060415</v>
      </c>
      <c r="BD23" s="67"/>
      <c r="BE23" s="67"/>
      <c r="BF23" s="67"/>
      <c r="BG23" s="67"/>
      <c r="BH23" s="67"/>
      <c r="BI23" s="67"/>
      <c r="BJ23" s="67"/>
      <c r="BK23" s="67"/>
      <c r="BL23" s="67"/>
      <c r="BM23" s="67"/>
    </row>
    <row r="24" spans="1:65" x14ac:dyDescent="0.3">
      <c r="A24" s="67" t="s">
        <v>1156</v>
      </c>
      <c r="B24" s="67" t="s">
        <v>1157</v>
      </c>
      <c r="C24" s="67" t="s">
        <v>1075</v>
      </c>
      <c r="D24" s="67" t="s">
        <v>1158</v>
      </c>
      <c r="E24" s="67" t="s">
        <v>142</v>
      </c>
      <c r="F24" s="67" t="s">
        <v>143</v>
      </c>
      <c r="G24" s="67">
        <v>7</v>
      </c>
      <c r="H24" s="67" t="s">
        <v>1001</v>
      </c>
      <c r="I24" s="68">
        <v>45384</v>
      </c>
      <c r="J24" s="67">
        <v>326</v>
      </c>
      <c r="K24" s="67" t="s">
        <v>561</v>
      </c>
      <c r="L24" s="67" t="s">
        <v>117</v>
      </c>
      <c r="M24" s="67" t="s">
        <v>118</v>
      </c>
      <c r="N24" s="67" t="s">
        <v>1159</v>
      </c>
      <c r="O24" s="67" t="s">
        <v>119</v>
      </c>
      <c r="P24" s="69">
        <v>77523.259999999995</v>
      </c>
      <c r="Q24" s="69"/>
      <c r="R24" s="69">
        <v>77523.259999999995</v>
      </c>
      <c r="S24" s="69"/>
      <c r="T24" s="69">
        <v>77523.259999999995</v>
      </c>
      <c r="U24" s="67">
        <v>5210101238</v>
      </c>
      <c r="V24" s="67" t="s">
        <v>1054</v>
      </c>
      <c r="W24" s="67" t="s">
        <v>996</v>
      </c>
      <c r="X24" s="67" t="s">
        <v>123</v>
      </c>
      <c r="Y24" s="67" t="s">
        <v>124</v>
      </c>
      <c r="Z24" s="67" t="s">
        <v>1160</v>
      </c>
      <c r="AA24" s="67" t="s">
        <v>123</v>
      </c>
      <c r="AB24" s="67"/>
      <c r="AC24" s="67" t="e">
        <v>#REF!</v>
      </c>
      <c r="AD24" s="67"/>
      <c r="AE24" s="67" t="s">
        <v>562</v>
      </c>
      <c r="AF24" s="67">
        <v>0</v>
      </c>
      <c r="AG24" s="67" t="s">
        <v>126</v>
      </c>
      <c r="AH24" s="67" t="s">
        <v>127</v>
      </c>
      <c r="AI24" s="67" t="s">
        <v>128</v>
      </c>
      <c r="AJ24" s="67" t="s">
        <v>548</v>
      </c>
      <c r="AK24" s="67" t="s">
        <v>549</v>
      </c>
      <c r="AL24" s="67" t="s">
        <v>131</v>
      </c>
      <c r="AM24" s="67" t="s">
        <v>132</v>
      </c>
      <c r="AN24" s="67"/>
      <c r="AO24" s="67"/>
      <c r="AP24" s="67"/>
      <c r="AQ24" s="70" t="s">
        <v>1161</v>
      </c>
      <c r="AR24" s="68">
        <v>45369</v>
      </c>
      <c r="AS24" s="67" t="s">
        <v>1162</v>
      </c>
      <c r="AT24" s="67" t="s">
        <v>24</v>
      </c>
      <c r="AU24" s="67"/>
      <c r="AV24" s="67"/>
      <c r="AW24" s="67" t="s">
        <v>1163</v>
      </c>
      <c r="AX24" s="67" t="s">
        <v>1147</v>
      </c>
      <c r="AY24" s="67">
        <v>119404</v>
      </c>
      <c r="AZ24" s="67" t="s">
        <v>554</v>
      </c>
      <c r="BA24" s="67">
        <v>5512</v>
      </c>
      <c r="BB24" s="67" t="s">
        <v>567</v>
      </c>
      <c r="BC24" s="67">
        <v>100060415</v>
      </c>
      <c r="BD24" s="67"/>
      <c r="BE24" s="67"/>
      <c r="BF24" s="67"/>
      <c r="BG24" s="67"/>
      <c r="BH24" s="67"/>
      <c r="BI24" s="67"/>
      <c r="BJ24" s="67"/>
      <c r="BK24" s="67"/>
      <c r="BL24" s="67"/>
      <c r="BM24" s="67"/>
    </row>
    <row r="25" spans="1:65" x14ac:dyDescent="0.3">
      <c r="A25" s="67" t="s">
        <v>1164</v>
      </c>
      <c r="B25" s="67" t="s">
        <v>1165</v>
      </c>
      <c r="C25" s="67" t="s">
        <v>1136</v>
      </c>
      <c r="D25" s="67" t="s">
        <v>1137</v>
      </c>
      <c r="E25" s="67" t="s">
        <v>172</v>
      </c>
      <c r="F25" s="67" t="s">
        <v>173</v>
      </c>
      <c r="G25" s="67">
        <v>7</v>
      </c>
      <c r="H25" s="67" t="s">
        <v>1001</v>
      </c>
      <c r="I25" s="68">
        <v>45400</v>
      </c>
      <c r="J25" s="67">
        <v>4</v>
      </c>
      <c r="K25" s="67" t="s">
        <v>561</v>
      </c>
      <c r="L25" s="67" t="s">
        <v>117</v>
      </c>
      <c r="M25" s="67" t="s">
        <v>118</v>
      </c>
      <c r="N25" s="67" t="s">
        <v>1147</v>
      </c>
      <c r="O25" s="67" t="s">
        <v>119</v>
      </c>
      <c r="P25" s="69"/>
      <c r="Q25" s="69">
        <v>77523</v>
      </c>
      <c r="R25" s="69"/>
      <c r="S25" s="69">
        <v>77523</v>
      </c>
      <c r="T25" s="69">
        <v>-77523</v>
      </c>
      <c r="U25" s="67">
        <v>5210101238</v>
      </c>
      <c r="V25" s="67" t="s">
        <v>1054</v>
      </c>
      <c r="W25" s="67" t="s">
        <v>996</v>
      </c>
      <c r="X25" s="67" t="s">
        <v>123</v>
      </c>
      <c r="Y25" s="67" t="s">
        <v>124</v>
      </c>
      <c r="Z25" s="67" t="s">
        <v>1166</v>
      </c>
      <c r="AA25" s="67" t="s">
        <v>123</v>
      </c>
      <c r="AB25" s="67"/>
      <c r="AC25" s="67" t="e">
        <v>#REF!</v>
      </c>
      <c r="AD25" s="67"/>
      <c r="AE25" s="67" t="s">
        <v>562</v>
      </c>
      <c r="AF25" s="67">
        <v>0</v>
      </c>
      <c r="AG25" s="67" t="s">
        <v>126</v>
      </c>
      <c r="AH25" s="67" t="s">
        <v>127</v>
      </c>
      <c r="AI25" s="67" t="s">
        <v>128</v>
      </c>
      <c r="AJ25" s="67" t="s">
        <v>548</v>
      </c>
      <c r="AK25" s="67" t="s">
        <v>549</v>
      </c>
      <c r="AL25" s="67" t="s">
        <v>131</v>
      </c>
      <c r="AM25" s="67" t="s">
        <v>132</v>
      </c>
      <c r="AN25" s="67"/>
      <c r="AO25" s="67"/>
      <c r="AP25" s="67"/>
      <c r="AQ25" s="70"/>
      <c r="AR25" s="67"/>
      <c r="AS25" s="67"/>
      <c r="AT25" s="67" t="s">
        <v>996</v>
      </c>
      <c r="AU25" s="67"/>
      <c r="AV25" s="67"/>
      <c r="AW25" s="67"/>
      <c r="AX25" s="67"/>
      <c r="AY25" s="67">
        <v>119404</v>
      </c>
      <c r="AZ25" s="67" t="s">
        <v>554</v>
      </c>
      <c r="BA25" s="67">
        <v>5512</v>
      </c>
      <c r="BB25" s="67" t="s">
        <v>567</v>
      </c>
      <c r="BC25" s="67">
        <v>100060415</v>
      </c>
      <c r="BD25" s="67" t="s">
        <v>1147</v>
      </c>
      <c r="BE25" s="67"/>
      <c r="BF25" s="67"/>
      <c r="BG25" s="67"/>
      <c r="BH25" s="67"/>
      <c r="BI25" s="67"/>
      <c r="BJ25" s="67"/>
      <c r="BK25" s="67"/>
      <c r="BL25" s="67"/>
      <c r="BM25" s="67"/>
    </row>
    <row r="26" spans="1:65" x14ac:dyDescent="0.3">
      <c r="A26" s="67" t="s">
        <v>1167</v>
      </c>
      <c r="B26" s="67" t="s">
        <v>1168</v>
      </c>
      <c r="C26" s="67" t="s">
        <v>1075</v>
      </c>
      <c r="D26" s="67" t="s">
        <v>1169</v>
      </c>
      <c r="E26" s="67" t="s">
        <v>142</v>
      </c>
      <c r="F26" s="67" t="s">
        <v>143</v>
      </c>
      <c r="G26" s="67">
        <v>7</v>
      </c>
      <c r="H26" s="67" t="s">
        <v>1001</v>
      </c>
      <c r="I26" s="68">
        <v>45383</v>
      </c>
      <c r="J26" s="67">
        <v>61</v>
      </c>
      <c r="K26" s="67" t="s">
        <v>145</v>
      </c>
      <c r="L26" s="67" t="s">
        <v>117</v>
      </c>
      <c r="M26" s="67" t="s">
        <v>118</v>
      </c>
      <c r="N26" s="67" t="s">
        <v>1170</v>
      </c>
      <c r="O26" s="67" t="s">
        <v>119</v>
      </c>
      <c r="P26" s="69">
        <v>14978</v>
      </c>
      <c r="Q26" s="69"/>
      <c r="R26" s="69">
        <v>14978</v>
      </c>
      <c r="S26" s="69"/>
      <c r="T26" s="69">
        <v>14978</v>
      </c>
      <c r="U26" s="67">
        <v>5210101581</v>
      </c>
      <c r="V26" s="67" t="s">
        <v>120</v>
      </c>
      <c r="W26" s="67" t="s">
        <v>39</v>
      </c>
      <c r="X26" s="67" t="s">
        <v>123</v>
      </c>
      <c r="Y26" s="67" t="s">
        <v>124</v>
      </c>
      <c r="Z26" s="67" t="s">
        <v>1171</v>
      </c>
      <c r="AA26" s="67" t="s">
        <v>123</v>
      </c>
      <c r="AB26" s="67"/>
      <c r="AC26" s="67" t="e">
        <v>#REF!</v>
      </c>
      <c r="AD26" s="67"/>
      <c r="AE26" s="67" t="s">
        <v>147</v>
      </c>
      <c r="AF26" s="67">
        <v>0</v>
      </c>
      <c r="AG26" s="67" t="s">
        <v>126</v>
      </c>
      <c r="AH26" s="67" t="s">
        <v>148</v>
      </c>
      <c r="AI26" s="67" t="s">
        <v>149</v>
      </c>
      <c r="AJ26" s="67" t="s">
        <v>150</v>
      </c>
      <c r="AK26" s="67" t="s">
        <v>151</v>
      </c>
      <c r="AL26" s="67" t="s">
        <v>131</v>
      </c>
      <c r="AM26" s="67" t="s">
        <v>132</v>
      </c>
      <c r="AN26" s="67"/>
      <c r="AO26" s="67"/>
      <c r="AP26" s="67"/>
      <c r="AQ26" s="70" t="s">
        <v>1172</v>
      </c>
      <c r="AR26" s="68">
        <v>45383</v>
      </c>
      <c r="AS26" s="67" t="s">
        <v>1173</v>
      </c>
      <c r="AT26" s="67" t="s">
        <v>39</v>
      </c>
      <c r="AU26" s="67"/>
      <c r="AV26" s="67"/>
      <c r="AW26" s="67" t="s">
        <v>1174</v>
      </c>
      <c r="AX26" s="67" t="s">
        <v>1175</v>
      </c>
      <c r="AY26" s="67">
        <v>117399</v>
      </c>
      <c r="AZ26" s="67" t="s">
        <v>157</v>
      </c>
      <c r="BA26" s="67">
        <v>4100</v>
      </c>
      <c r="BB26" s="67" t="s">
        <v>158</v>
      </c>
      <c r="BC26" s="67">
        <v>100061255</v>
      </c>
      <c r="BD26" s="67"/>
      <c r="BE26" s="67"/>
      <c r="BF26" s="67"/>
      <c r="BG26" s="67"/>
      <c r="BH26" s="67"/>
      <c r="BI26" s="67"/>
      <c r="BJ26" s="67"/>
      <c r="BK26" s="67"/>
      <c r="BL26" s="67"/>
      <c r="BM26" s="67"/>
    </row>
    <row r="27" spans="1:65" x14ac:dyDescent="0.3">
      <c r="A27" s="67" t="s">
        <v>1176</v>
      </c>
      <c r="B27" s="67" t="s">
        <v>1177</v>
      </c>
      <c r="C27" s="67" t="s">
        <v>1178</v>
      </c>
      <c r="D27" s="67" t="s">
        <v>1179</v>
      </c>
      <c r="E27" s="67" t="s">
        <v>142</v>
      </c>
      <c r="F27" s="67" t="s">
        <v>143</v>
      </c>
      <c r="G27" s="67">
        <v>7</v>
      </c>
      <c r="H27" s="67" t="s">
        <v>1003</v>
      </c>
      <c r="I27" s="68">
        <v>45447</v>
      </c>
      <c r="J27" s="67">
        <v>18</v>
      </c>
      <c r="K27" s="67" t="s">
        <v>145</v>
      </c>
      <c r="L27" s="67" t="s">
        <v>117</v>
      </c>
      <c r="M27" s="67" t="s">
        <v>118</v>
      </c>
      <c r="N27" s="67" t="s">
        <v>1180</v>
      </c>
      <c r="O27" s="67" t="s">
        <v>119</v>
      </c>
      <c r="P27" s="69">
        <v>12643</v>
      </c>
      <c r="Q27" s="69"/>
      <c r="R27" s="69">
        <v>12643</v>
      </c>
      <c r="S27" s="69"/>
      <c r="T27" s="69">
        <v>12643</v>
      </c>
      <c r="U27" s="67">
        <v>5210101581</v>
      </c>
      <c r="V27" s="67" t="s">
        <v>120</v>
      </c>
      <c r="W27" s="67" t="s">
        <v>39</v>
      </c>
      <c r="X27" s="67" t="s">
        <v>123</v>
      </c>
      <c r="Y27" s="67" t="s">
        <v>124</v>
      </c>
      <c r="Z27" s="67" t="s">
        <v>1181</v>
      </c>
      <c r="AA27" s="67" t="s">
        <v>123</v>
      </c>
      <c r="AB27" s="67"/>
      <c r="AC27" s="67" t="e">
        <v>#REF!</v>
      </c>
      <c r="AD27" s="67"/>
      <c r="AE27" s="67" t="s">
        <v>147</v>
      </c>
      <c r="AF27" s="67">
        <v>0</v>
      </c>
      <c r="AG27" s="67" t="s">
        <v>126</v>
      </c>
      <c r="AH27" s="67" t="s">
        <v>148</v>
      </c>
      <c r="AI27" s="67" t="s">
        <v>149</v>
      </c>
      <c r="AJ27" s="67" t="s">
        <v>150</v>
      </c>
      <c r="AK27" s="67" t="s">
        <v>151</v>
      </c>
      <c r="AL27" s="67" t="s">
        <v>131</v>
      </c>
      <c r="AM27" s="67" t="s">
        <v>132</v>
      </c>
      <c r="AN27" s="67"/>
      <c r="AO27" s="67"/>
      <c r="AP27" s="67"/>
      <c r="AQ27" s="70" t="s">
        <v>1182</v>
      </c>
      <c r="AR27" s="68">
        <v>45446</v>
      </c>
      <c r="AS27" s="67" t="s">
        <v>1183</v>
      </c>
      <c r="AT27" s="67" t="s">
        <v>39</v>
      </c>
      <c r="AU27" s="67"/>
      <c r="AV27" s="67"/>
      <c r="AW27" s="67" t="s">
        <v>1184</v>
      </c>
      <c r="AX27" s="67" t="s">
        <v>1185</v>
      </c>
      <c r="AY27" s="67">
        <v>117399</v>
      </c>
      <c r="AZ27" s="67" t="s">
        <v>157</v>
      </c>
      <c r="BA27" s="67">
        <v>4100</v>
      </c>
      <c r="BB27" s="67" t="s">
        <v>158</v>
      </c>
      <c r="BC27" s="67">
        <v>100061944</v>
      </c>
      <c r="BD27" s="67"/>
      <c r="BE27" s="67"/>
      <c r="BF27" s="67"/>
      <c r="BG27" s="67"/>
      <c r="BH27" s="67"/>
      <c r="BI27" s="67"/>
      <c r="BJ27" s="67"/>
      <c r="BK27" s="67"/>
      <c r="BL27" s="67"/>
      <c r="BM27" s="67"/>
    </row>
    <row r="28" spans="1:65" x14ac:dyDescent="0.3">
      <c r="A28" s="67" t="s">
        <v>1186</v>
      </c>
      <c r="B28" s="67" t="s">
        <v>1187</v>
      </c>
      <c r="C28" s="67" t="s">
        <v>1042</v>
      </c>
      <c r="D28" s="67" t="s">
        <v>1188</v>
      </c>
      <c r="E28" s="67" t="s">
        <v>142</v>
      </c>
      <c r="F28" s="67" t="s">
        <v>143</v>
      </c>
      <c r="G28" s="67">
        <v>7</v>
      </c>
      <c r="H28" s="67" t="s">
        <v>1002</v>
      </c>
      <c r="I28" s="68">
        <v>45419</v>
      </c>
      <c r="J28" s="67">
        <v>8</v>
      </c>
      <c r="K28" s="67" t="s">
        <v>145</v>
      </c>
      <c r="L28" s="67" t="s">
        <v>117</v>
      </c>
      <c r="M28" s="67" t="s">
        <v>118</v>
      </c>
      <c r="N28" s="67" t="s">
        <v>1189</v>
      </c>
      <c r="O28" s="67" t="s">
        <v>119</v>
      </c>
      <c r="P28" s="69">
        <v>7060</v>
      </c>
      <c r="Q28" s="69"/>
      <c r="R28" s="69">
        <v>7060</v>
      </c>
      <c r="S28" s="69"/>
      <c r="T28" s="69">
        <v>7060</v>
      </c>
      <c r="U28" s="67">
        <v>5210101581</v>
      </c>
      <c r="V28" s="67" t="s">
        <v>120</v>
      </c>
      <c r="W28" s="67" t="s">
        <v>39</v>
      </c>
      <c r="X28" s="67" t="s">
        <v>123</v>
      </c>
      <c r="Y28" s="67" t="s">
        <v>124</v>
      </c>
      <c r="Z28" s="67" t="s">
        <v>1190</v>
      </c>
      <c r="AA28" s="67" t="s">
        <v>123</v>
      </c>
      <c r="AB28" s="67"/>
      <c r="AC28" s="67" t="e">
        <v>#REF!</v>
      </c>
      <c r="AD28" s="67"/>
      <c r="AE28" s="67" t="s">
        <v>147</v>
      </c>
      <c r="AF28" s="67">
        <v>0</v>
      </c>
      <c r="AG28" s="67" t="s">
        <v>126</v>
      </c>
      <c r="AH28" s="67" t="s">
        <v>148</v>
      </c>
      <c r="AI28" s="67" t="s">
        <v>149</v>
      </c>
      <c r="AJ28" s="67" t="s">
        <v>150</v>
      </c>
      <c r="AK28" s="67" t="s">
        <v>151</v>
      </c>
      <c r="AL28" s="67" t="s">
        <v>131</v>
      </c>
      <c r="AM28" s="67" t="s">
        <v>132</v>
      </c>
      <c r="AN28" s="67"/>
      <c r="AO28" s="67"/>
      <c r="AP28" s="67"/>
      <c r="AQ28" s="70" t="s">
        <v>1191</v>
      </c>
      <c r="AR28" s="68">
        <v>45414</v>
      </c>
      <c r="AS28" s="67" t="s">
        <v>1192</v>
      </c>
      <c r="AT28" s="67" t="s">
        <v>39</v>
      </c>
      <c r="AU28" s="67"/>
      <c r="AV28" s="67"/>
      <c r="AW28" s="67" t="s">
        <v>1193</v>
      </c>
      <c r="AX28" s="67" t="s">
        <v>1194</v>
      </c>
      <c r="AY28" s="67">
        <v>117399</v>
      </c>
      <c r="AZ28" s="67" t="s">
        <v>157</v>
      </c>
      <c r="BA28" s="67">
        <v>4100</v>
      </c>
      <c r="BB28" s="67" t="s">
        <v>158</v>
      </c>
      <c r="BC28" s="67">
        <v>100061608</v>
      </c>
      <c r="BD28" s="67"/>
      <c r="BE28" s="67"/>
      <c r="BF28" s="67"/>
      <c r="BG28" s="67"/>
      <c r="BH28" s="67"/>
      <c r="BI28" s="67"/>
      <c r="BJ28" s="67"/>
      <c r="BK28" s="67"/>
      <c r="BL28" s="67"/>
      <c r="BM28" s="67"/>
    </row>
    <row r="29" spans="1:65" x14ac:dyDescent="0.3">
      <c r="A29" s="67" t="s">
        <v>1195</v>
      </c>
      <c r="B29" s="67" t="s">
        <v>1196</v>
      </c>
      <c r="C29" s="67" t="s">
        <v>1042</v>
      </c>
      <c r="D29" s="67" t="s">
        <v>1197</v>
      </c>
      <c r="E29" s="67" t="s">
        <v>142</v>
      </c>
      <c r="F29" s="67" t="s">
        <v>143</v>
      </c>
      <c r="G29" s="67">
        <v>7</v>
      </c>
      <c r="H29" s="67" t="s">
        <v>1002</v>
      </c>
      <c r="I29" s="68">
        <v>45418</v>
      </c>
      <c r="J29" s="67">
        <v>7</v>
      </c>
      <c r="K29" s="67" t="s">
        <v>145</v>
      </c>
      <c r="L29" s="67" t="s">
        <v>117</v>
      </c>
      <c r="M29" s="67" t="s">
        <v>118</v>
      </c>
      <c r="N29" s="67" t="s">
        <v>1198</v>
      </c>
      <c r="O29" s="67" t="s">
        <v>119</v>
      </c>
      <c r="P29" s="69">
        <v>6600</v>
      </c>
      <c r="Q29" s="69"/>
      <c r="R29" s="69">
        <v>6600</v>
      </c>
      <c r="S29" s="69"/>
      <c r="T29" s="69">
        <v>6600</v>
      </c>
      <c r="U29" s="67">
        <v>5210101581</v>
      </c>
      <c r="V29" s="67" t="s">
        <v>120</v>
      </c>
      <c r="W29" s="67" t="s">
        <v>45</v>
      </c>
      <c r="X29" s="67" t="s">
        <v>123</v>
      </c>
      <c r="Y29" s="67" t="s">
        <v>124</v>
      </c>
      <c r="Z29" s="67" t="s">
        <v>1199</v>
      </c>
      <c r="AA29" s="67" t="s">
        <v>123</v>
      </c>
      <c r="AB29" s="67"/>
      <c r="AC29" s="67" t="e">
        <v>#REF!</v>
      </c>
      <c r="AD29" s="67"/>
      <c r="AE29" s="67" t="s">
        <v>147</v>
      </c>
      <c r="AF29" s="67">
        <v>0</v>
      </c>
      <c r="AG29" s="67" t="s">
        <v>126</v>
      </c>
      <c r="AH29" s="67" t="s">
        <v>148</v>
      </c>
      <c r="AI29" s="67" t="s">
        <v>149</v>
      </c>
      <c r="AJ29" s="67" t="s">
        <v>150</v>
      </c>
      <c r="AK29" s="67" t="s">
        <v>151</v>
      </c>
      <c r="AL29" s="67" t="s">
        <v>131</v>
      </c>
      <c r="AM29" s="67" t="s">
        <v>132</v>
      </c>
      <c r="AN29" s="67"/>
      <c r="AO29" s="67"/>
      <c r="AP29" s="67"/>
      <c r="AQ29" s="70" t="s">
        <v>1200</v>
      </c>
      <c r="AR29" s="68">
        <v>45406</v>
      </c>
      <c r="AS29" s="67" t="s">
        <v>1201</v>
      </c>
      <c r="AT29" s="67" t="s">
        <v>45</v>
      </c>
      <c r="AU29" s="67"/>
      <c r="AV29" s="67"/>
      <c r="AW29" s="67" t="s">
        <v>1202</v>
      </c>
      <c r="AX29" s="67" t="s">
        <v>1203</v>
      </c>
      <c r="AY29" s="67">
        <v>117399</v>
      </c>
      <c r="AZ29" s="67" t="s">
        <v>157</v>
      </c>
      <c r="BA29" s="67">
        <v>4100</v>
      </c>
      <c r="BB29" s="67" t="s">
        <v>158</v>
      </c>
      <c r="BC29" s="67">
        <v>100061471</v>
      </c>
      <c r="BD29" s="67"/>
      <c r="BE29" s="67"/>
      <c r="BF29" s="67"/>
      <c r="BG29" s="67"/>
      <c r="BH29" s="67"/>
      <c r="BI29" s="67"/>
      <c r="BJ29" s="67"/>
      <c r="BK29" s="67"/>
      <c r="BL29" s="67"/>
      <c r="BM29" s="67"/>
    </row>
    <row r="30" spans="1:65" x14ac:dyDescent="0.3">
      <c r="A30" s="67" t="s">
        <v>1204</v>
      </c>
      <c r="B30" s="67" t="s">
        <v>1205</v>
      </c>
      <c r="C30" s="67" t="s">
        <v>1206</v>
      </c>
      <c r="D30" s="67" t="s">
        <v>1207</v>
      </c>
      <c r="E30" s="67" t="s">
        <v>172</v>
      </c>
      <c r="F30" s="67" t="s">
        <v>173</v>
      </c>
      <c r="G30" s="67">
        <v>7</v>
      </c>
      <c r="H30" s="67" t="s">
        <v>1003</v>
      </c>
      <c r="I30" s="68">
        <v>45467</v>
      </c>
      <c r="J30" s="67">
        <v>16</v>
      </c>
      <c r="K30" s="67" t="s">
        <v>145</v>
      </c>
      <c r="L30" s="67" t="s">
        <v>117</v>
      </c>
      <c r="M30" s="67" t="s">
        <v>118</v>
      </c>
      <c r="N30" s="67" t="s">
        <v>677</v>
      </c>
      <c r="O30" s="67" t="s">
        <v>119</v>
      </c>
      <c r="P30" s="69">
        <v>4942</v>
      </c>
      <c r="Q30" s="69"/>
      <c r="R30" s="69">
        <v>4942</v>
      </c>
      <c r="S30" s="69"/>
      <c r="T30" s="69">
        <v>4942</v>
      </c>
      <c r="U30" s="67">
        <v>5210101581</v>
      </c>
      <c r="V30" s="67" t="s">
        <v>120</v>
      </c>
      <c r="W30" s="67" t="s">
        <v>29</v>
      </c>
      <c r="X30" s="67" t="s">
        <v>123</v>
      </c>
      <c r="Y30" s="67" t="s">
        <v>124</v>
      </c>
      <c r="Z30" s="67" t="s">
        <v>1208</v>
      </c>
      <c r="AA30" s="67" t="s">
        <v>123</v>
      </c>
      <c r="AB30" s="67"/>
      <c r="AC30" s="67" t="e">
        <v>#REF!</v>
      </c>
      <c r="AD30" s="67"/>
      <c r="AE30" s="67" t="s">
        <v>147</v>
      </c>
      <c r="AF30" s="67">
        <v>0</v>
      </c>
      <c r="AG30" s="67" t="s">
        <v>126</v>
      </c>
      <c r="AH30" s="67" t="s">
        <v>148</v>
      </c>
      <c r="AI30" s="67" t="s">
        <v>149</v>
      </c>
      <c r="AJ30" s="67" t="s">
        <v>150</v>
      </c>
      <c r="AK30" s="67" t="s">
        <v>151</v>
      </c>
      <c r="AL30" s="67" t="s">
        <v>131</v>
      </c>
      <c r="AM30" s="67" t="s">
        <v>132</v>
      </c>
      <c r="AN30" s="67"/>
      <c r="AO30" s="67"/>
      <c r="AP30" s="67"/>
      <c r="AQ30" s="70" t="s">
        <v>1209</v>
      </c>
      <c r="AR30" s="67"/>
      <c r="AS30" s="67"/>
      <c r="AT30" s="67" t="s">
        <v>1085</v>
      </c>
      <c r="AU30" s="67"/>
      <c r="AV30" s="67"/>
      <c r="AW30" s="67"/>
      <c r="AX30" s="67"/>
      <c r="AY30" s="67">
        <v>325342647200</v>
      </c>
      <c r="AZ30" s="67"/>
      <c r="BA30" s="67" t="s">
        <v>679</v>
      </c>
      <c r="BB30" s="67"/>
      <c r="BC30" s="67" t="s">
        <v>1210</v>
      </c>
      <c r="BD30" s="67" t="s">
        <v>677</v>
      </c>
      <c r="BE30" s="67"/>
      <c r="BF30" s="67"/>
      <c r="BG30" s="67"/>
      <c r="BH30" s="67"/>
      <c r="BI30" s="67"/>
      <c r="BJ30" s="67"/>
      <c r="BK30" s="67"/>
      <c r="BL30" s="67"/>
      <c r="BM30" s="67">
        <v>4100</v>
      </c>
    </row>
    <row r="31" spans="1:65" x14ac:dyDescent="0.3">
      <c r="A31" s="67" t="s">
        <v>1211</v>
      </c>
      <c r="B31" s="67" t="s">
        <v>1212</v>
      </c>
      <c r="C31" s="67" t="s">
        <v>1213</v>
      </c>
      <c r="D31" s="67" t="s">
        <v>1214</v>
      </c>
      <c r="E31" s="67" t="s">
        <v>172</v>
      </c>
      <c r="F31" s="67" t="s">
        <v>173</v>
      </c>
      <c r="G31" s="67">
        <v>7</v>
      </c>
      <c r="H31" s="67" t="s">
        <v>1002</v>
      </c>
      <c r="I31" s="68">
        <v>45439</v>
      </c>
      <c r="J31" s="67">
        <v>7</v>
      </c>
      <c r="K31" s="67" t="s">
        <v>145</v>
      </c>
      <c r="L31" s="67" t="s">
        <v>117</v>
      </c>
      <c r="M31" s="67" t="s">
        <v>118</v>
      </c>
      <c r="N31" s="67" t="s">
        <v>677</v>
      </c>
      <c r="O31" s="67" t="s">
        <v>119</v>
      </c>
      <c r="P31" s="69">
        <v>4670</v>
      </c>
      <c r="Q31" s="69"/>
      <c r="R31" s="69">
        <v>4670</v>
      </c>
      <c r="S31" s="69"/>
      <c r="T31" s="69">
        <v>4670</v>
      </c>
      <c r="U31" s="67">
        <v>5210101581</v>
      </c>
      <c r="V31" s="67" t="s">
        <v>120</v>
      </c>
      <c r="W31" s="67" t="s">
        <v>29</v>
      </c>
      <c r="X31" s="67" t="s">
        <v>123</v>
      </c>
      <c r="Y31" s="67" t="s">
        <v>124</v>
      </c>
      <c r="Z31" s="67" t="s">
        <v>1215</v>
      </c>
      <c r="AA31" s="67" t="s">
        <v>123</v>
      </c>
      <c r="AB31" s="67"/>
      <c r="AC31" s="67" t="e">
        <v>#REF!</v>
      </c>
      <c r="AD31" s="67"/>
      <c r="AE31" s="67" t="s">
        <v>147</v>
      </c>
      <c r="AF31" s="67">
        <v>0</v>
      </c>
      <c r="AG31" s="67" t="s">
        <v>126</v>
      </c>
      <c r="AH31" s="67" t="s">
        <v>148</v>
      </c>
      <c r="AI31" s="67" t="s">
        <v>149</v>
      </c>
      <c r="AJ31" s="67" t="s">
        <v>150</v>
      </c>
      <c r="AK31" s="67" t="s">
        <v>151</v>
      </c>
      <c r="AL31" s="67" t="s">
        <v>131</v>
      </c>
      <c r="AM31" s="67" t="s">
        <v>132</v>
      </c>
      <c r="AN31" s="67"/>
      <c r="AO31" s="67"/>
      <c r="AP31" s="67"/>
      <c r="AQ31" s="70" t="s">
        <v>1209</v>
      </c>
      <c r="AR31" s="67"/>
      <c r="AS31" s="67"/>
      <c r="AT31" s="67" t="s">
        <v>1085</v>
      </c>
      <c r="AU31" s="67"/>
      <c r="AV31" s="67"/>
      <c r="AW31" s="67"/>
      <c r="AX31" s="67"/>
      <c r="AY31" s="67">
        <v>325088368073</v>
      </c>
      <c r="AZ31" s="67"/>
      <c r="BA31" s="67" t="s">
        <v>679</v>
      </c>
      <c r="BB31" s="67"/>
      <c r="BC31" s="67" t="s">
        <v>1210</v>
      </c>
      <c r="BD31" s="67" t="s">
        <v>677</v>
      </c>
      <c r="BE31" s="67"/>
      <c r="BF31" s="67"/>
      <c r="BG31" s="67"/>
      <c r="BH31" s="67"/>
      <c r="BI31" s="67"/>
      <c r="BJ31" s="67"/>
      <c r="BK31" s="67"/>
      <c r="BL31" s="67"/>
      <c r="BM31" s="67">
        <v>4100</v>
      </c>
    </row>
    <row r="32" spans="1:65" x14ac:dyDescent="0.3">
      <c r="A32" s="67" t="s">
        <v>1216</v>
      </c>
      <c r="B32" s="67" t="s">
        <v>1217</v>
      </c>
      <c r="C32" s="67" t="s">
        <v>1218</v>
      </c>
      <c r="D32" s="67" t="s">
        <v>1219</v>
      </c>
      <c r="E32" s="67" t="s">
        <v>172</v>
      </c>
      <c r="F32" s="67" t="s">
        <v>173</v>
      </c>
      <c r="G32" s="67">
        <v>7</v>
      </c>
      <c r="H32" s="67" t="s">
        <v>1001</v>
      </c>
      <c r="I32" s="68">
        <v>45408</v>
      </c>
      <c r="J32" s="67">
        <v>8</v>
      </c>
      <c r="K32" s="67" t="s">
        <v>145</v>
      </c>
      <c r="L32" s="67" t="s">
        <v>117</v>
      </c>
      <c r="M32" s="67" t="s">
        <v>118</v>
      </c>
      <c r="N32" s="67" t="s">
        <v>677</v>
      </c>
      <c r="O32" s="67" t="s">
        <v>119</v>
      </c>
      <c r="P32" s="69">
        <v>4332</v>
      </c>
      <c r="Q32" s="69"/>
      <c r="R32" s="69">
        <v>4332</v>
      </c>
      <c r="S32" s="69"/>
      <c r="T32" s="69">
        <v>4332</v>
      </c>
      <c r="U32" s="67">
        <v>5210101581</v>
      </c>
      <c r="V32" s="67" t="s">
        <v>1054</v>
      </c>
      <c r="W32" s="67" t="s">
        <v>29</v>
      </c>
      <c r="X32" s="67" t="s">
        <v>123</v>
      </c>
      <c r="Y32" s="67" t="s">
        <v>124</v>
      </c>
      <c r="Z32" s="67" t="s">
        <v>1220</v>
      </c>
      <c r="AA32" s="67" t="s">
        <v>123</v>
      </c>
      <c r="AB32" s="67"/>
      <c r="AC32" s="67" t="e">
        <v>#REF!</v>
      </c>
      <c r="AD32" s="67"/>
      <c r="AE32" s="67" t="s">
        <v>147</v>
      </c>
      <c r="AF32" s="67">
        <v>0</v>
      </c>
      <c r="AG32" s="67" t="s">
        <v>126</v>
      </c>
      <c r="AH32" s="67" t="s">
        <v>148</v>
      </c>
      <c r="AI32" s="67" t="s">
        <v>149</v>
      </c>
      <c r="AJ32" s="67" t="s">
        <v>150</v>
      </c>
      <c r="AK32" s="67" t="s">
        <v>151</v>
      </c>
      <c r="AL32" s="67" t="s">
        <v>131</v>
      </c>
      <c r="AM32" s="67" t="s">
        <v>132</v>
      </c>
      <c r="AN32" s="67"/>
      <c r="AO32" s="67"/>
      <c r="AP32" s="67"/>
      <c r="AQ32" s="70" t="s">
        <v>1209</v>
      </c>
      <c r="AR32" s="67"/>
      <c r="AS32" s="67"/>
      <c r="AT32" s="67" t="s">
        <v>1085</v>
      </c>
      <c r="AU32" s="67"/>
      <c r="AV32" s="67"/>
      <c r="AW32" s="67"/>
      <c r="AX32" s="67"/>
      <c r="AY32" s="67">
        <v>325088368073</v>
      </c>
      <c r="AZ32" s="67"/>
      <c r="BA32" s="67" t="s">
        <v>679</v>
      </c>
      <c r="BB32" s="67"/>
      <c r="BC32" s="67" t="s">
        <v>1210</v>
      </c>
      <c r="BD32" s="67" t="s">
        <v>677</v>
      </c>
      <c r="BE32" s="67"/>
      <c r="BF32" s="67"/>
      <c r="BG32" s="67"/>
      <c r="BH32" s="67"/>
      <c r="BI32" s="67"/>
      <c r="BJ32" s="67"/>
      <c r="BK32" s="67"/>
      <c r="BL32" s="67"/>
      <c r="BM32" s="67">
        <v>4100</v>
      </c>
    </row>
    <row r="33" spans="1:65" x14ac:dyDescent="0.3">
      <c r="A33" s="67" t="s">
        <v>1221</v>
      </c>
      <c r="B33" s="67" t="s">
        <v>1222</v>
      </c>
      <c r="C33" s="67" t="s">
        <v>1223</v>
      </c>
      <c r="D33" s="67" t="s">
        <v>1224</v>
      </c>
      <c r="E33" s="67" t="s">
        <v>142</v>
      </c>
      <c r="F33" s="67" t="s">
        <v>143</v>
      </c>
      <c r="G33" s="67">
        <v>7</v>
      </c>
      <c r="H33" s="67" t="s">
        <v>1004</v>
      </c>
      <c r="I33" s="68">
        <v>45484</v>
      </c>
      <c r="J33" s="67">
        <v>84</v>
      </c>
      <c r="K33" s="67" t="s">
        <v>145</v>
      </c>
      <c r="L33" s="67" t="s">
        <v>117</v>
      </c>
      <c r="M33" s="67" t="s">
        <v>118</v>
      </c>
      <c r="N33" s="67" t="s">
        <v>1225</v>
      </c>
      <c r="O33" s="67" t="s">
        <v>119</v>
      </c>
      <c r="P33" s="69">
        <v>9345600</v>
      </c>
      <c r="Q33" s="69"/>
      <c r="R33" s="69">
        <v>9345600</v>
      </c>
      <c r="S33" s="69"/>
      <c r="T33" s="69">
        <v>9345600</v>
      </c>
      <c r="U33" s="67">
        <v>5210101581</v>
      </c>
      <c r="V33" s="67" t="s">
        <v>120</v>
      </c>
      <c r="W33" s="67" t="s">
        <v>154</v>
      </c>
      <c r="X33" s="67" t="s">
        <v>123</v>
      </c>
      <c r="Y33" s="67" t="s">
        <v>124</v>
      </c>
      <c r="Z33" s="67" t="s">
        <v>1226</v>
      </c>
      <c r="AA33" s="67" t="s">
        <v>123</v>
      </c>
      <c r="AB33" s="67"/>
      <c r="AC33" s="67" t="e">
        <v>#REF!</v>
      </c>
      <c r="AD33" s="67"/>
      <c r="AE33" s="67" t="s">
        <v>147</v>
      </c>
      <c r="AF33" s="67">
        <v>0</v>
      </c>
      <c r="AG33" s="67" t="s">
        <v>126</v>
      </c>
      <c r="AH33" s="67" t="s">
        <v>148</v>
      </c>
      <c r="AI33" s="67" t="s">
        <v>149</v>
      </c>
      <c r="AJ33" s="67" t="s">
        <v>150</v>
      </c>
      <c r="AK33" s="67" t="s">
        <v>151</v>
      </c>
      <c r="AL33" s="67" t="s">
        <v>131</v>
      </c>
      <c r="AM33" s="67" t="s">
        <v>132</v>
      </c>
      <c r="AN33" s="67"/>
      <c r="AO33" s="67"/>
      <c r="AP33" s="67"/>
      <c r="AQ33" s="70" t="s">
        <v>1227</v>
      </c>
      <c r="AR33" s="68">
        <v>45475</v>
      </c>
      <c r="AS33" s="67" t="s">
        <v>1228</v>
      </c>
      <c r="AT33" s="67" t="s">
        <v>154</v>
      </c>
      <c r="AU33" s="67"/>
      <c r="AV33" s="67"/>
      <c r="AW33" s="67" t="s">
        <v>1229</v>
      </c>
      <c r="AX33" s="67" t="s">
        <v>1039</v>
      </c>
      <c r="AY33" s="67">
        <v>117399</v>
      </c>
      <c r="AZ33" s="67" t="s">
        <v>157</v>
      </c>
      <c r="BA33" s="67">
        <v>4100</v>
      </c>
      <c r="BB33" s="67" t="s">
        <v>158</v>
      </c>
      <c r="BC33" s="67">
        <v>100061150</v>
      </c>
      <c r="BD33" s="67"/>
      <c r="BE33" s="67"/>
      <c r="BF33" s="67"/>
      <c r="BG33" s="67"/>
      <c r="BH33" s="71"/>
      <c r="BI33" s="67"/>
      <c r="BJ33" s="67"/>
      <c r="BK33" s="67"/>
      <c r="BL33" s="67"/>
      <c r="BM33" s="67"/>
    </row>
    <row r="34" spans="1:65" x14ac:dyDescent="0.3">
      <c r="A34" s="67" t="s">
        <v>1230</v>
      </c>
      <c r="B34" s="67" t="s">
        <v>1231</v>
      </c>
      <c r="C34" s="67" t="s">
        <v>1232</v>
      </c>
      <c r="D34" s="67" t="s">
        <v>1233</v>
      </c>
      <c r="E34" s="67" t="s">
        <v>142</v>
      </c>
      <c r="F34" s="67" t="s">
        <v>143</v>
      </c>
      <c r="G34" s="67">
        <v>7</v>
      </c>
      <c r="H34" s="67" t="s">
        <v>1005</v>
      </c>
      <c r="I34" s="68">
        <v>45526</v>
      </c>
      <c r="J34" s="67">
        <v>49</v>
      </c>
      <c r="K34" s="67" t="s">
        <v>145</v>
      </c>
      <c r="L34" s="67" t="s">
        <v>117</v>
      </c>
      <c r="M34" s="67" t="s">
        <v>118</v>
      </c>
      <c r="N34" s="67" t="s">
        <v>1234</v>
      </c>
      <c r="O34" s="67" t="s">
        <v>119</v>
      </c>
      <c r="P34" s="69">
        <v>9345600</v>
      </c>
      <c r="Q34" s="69"/>
      <c r="R34" s="69">
        <v>9345600</v>
      </c>
      <c r="S34" s="69"/>
      <c r="T34" s="69">
        <v>9345600</v>
      </c>
      <c r="U34" s="67">
        <v>5210101581</v>
      </c>
      <c r="V34" s="67" t="s">
        <v>120</v>
      </c>
      <c r="W34" s="67" t="s">
        <v>154</v>
      </c>
      <c r="X34" s="67" t="s">
        <v>123</v>
      </c>
      <c r="Y34" s="67" t="s">
        <v>124</v>
      </c>
      <c r="Z34" s="67" t="s">
        <v>1235</v>
      </c>
      <c r="AA34" s="67" t="s">
        <v>123</v>
      </c>
      <c r="AB34" s="67"/>
      <c r="AC34" s="67" t="e">
        <v>#REF!</v>
      </c>
      <c r="AD34" s="67"/>
      <c r="AE34" s="67" t="s">
        <v>147</v>
      </c>
      <c r="AF34" s="67">
        <v>0</v>
      </c>
      <c r="AG34" s="67" t="s">
        <v>126</v>
      </c>
      <c r="AH34" s="67" t="s">
        <v>148</v>
      </c>
      <c r="AI34" s="67" t="s">
        <v>149</v>
      </c>
      <c r="AJ34" s="67" t="s">
        <v>150</v>
      </c>
      <c r="AK34" s="67" t="s">
        <v>151</v>
      </c>
      <c r="AL34" s="67" t="s">
        <v>131</v>
      </c>
      <c r="AM34" s="67" t="s">
        <v>132</v>
      </c>
      <c r="AN34" s="67"/>
      <c r="AO34" s="67"/>
      <c r="AP34" s="67"/>
      <c r="AQ34" s="70" t="s">
        <v>1236</v>
      </c>
      <c r="AR34" s="68">
        <v>45507</v>
      </c>
      <c r="AS34" s="67" t="s">
        <v>1237</v>
      </c>
      <c r="AT34" s="67" t="s">
        <v>154</v>
      </c>
      <c r="AU34" s="67"/>
      <c r="AV34" s="67"/>
      <c r="AW34" s="67" t="s">
        <v>1238</v>
      </c>
      <c r="AX34" s="67" t="s">
        <v>1039</v>
      </c>
      <c r="AY34" s="67">
        <v>117399</v>
      </c>
      <c r="AZ34" s="67" t="s">
        <v>157</v>
      </c>
      <c r="BA34" s="67">
        <v>4100</v>
      </c>
      <c r="BB34" s="67" t="s">
        <v>158</v>
      </c>
      <c r="BC34" s="67">
        <v>100061150</v>
      </c>
      <c r="BD34" s="67"/>
      <c r="BE34" s="67"/>
      <c r="BF34" s="67"/>
      <c r="BG34" s="67"/>
      <c r="BH34" s="71"/>
      <c r="BI34" s="67"/>
      <c r="BJ34" s="67"/>
      <c r="BK34" s="67"/>
      <c r="BL34" s="67"/>
      <c r="BM34" s="67"/>
    </row>
    <row r="35" spans="1:65" x14ac:dyDescent="0.3">
      <c r="A35" s="67" t="s">
        <v>1239</v>
      </c>
      <c r="B35" s="67" t="s">
        <v>1240</v>
      </c>
      <c r="C35" s="67" t="s">
        <v>1241</v>
      </c>
      <c r="D35" s="67" t="s">
        <v>1242</v>
      </c>
      <c r="E35" s="67" t="s">
        <v>142</v>
      </c>
      <c r="F35" s="67" t="s">
        <v>143</v>
      </c>
      <c r="G35" s="67">
        <v>7</v>
      </c>
      <c r="H35" s="67" t="s">
        <v>1006</v>
      </c>
      <c r="I35" s="68">
        <v>45547</v>
      </c>
      <c r="J35" s="67">
        <v>53</v>
      </c>
      <c r="K35" s="67" t="s">
        <v>145</v>
      </c>
      <c r="L35" s="67" t="s">
        <v>117</v>
      </c>
      <c r="M35" s="67" t="s">
        <v>118</v>
      </c>
      <c r="N35" s="67" t="s">
        <v>1243</v>
      </c>
      <c r="O35" s="67" t="s">
        <v>119</v>
      </c>
      <c r="P35" s="69">
        <v>9345600</v>
      </c>
      <c r="Q35" s="69"/>
      <c r="R35" s="69">
        <v>9345600</v>
      </c>
      <c r="S35" s="69"/>
      <c r="T35" s="69">
        <v>9345600</v>
      </c>
      <c r="U35" s="67">
        <v>5210101581</v>
      </c>
      <c r="V35" s="67" t="s">
        <v>120</v>
      </c>
      <c r="W35" s="67" t="s">
        <v>154</v>
      </c>
      <c r="X35" s="67" t="s">
        <v>123</v>
      </c>
      <c r="Y35" s="67" t="s">
        <v>124</v>
      </c>
      <c r="Z35" s="67" t="s">
        <v>1244</v>
      </c>
      <c r="AA35" s="67" t="s">
        <v>123</v>
      </c>
      <c r="AB35" s="67"/>
      <c r="AC35" s="67" t="e">
        <v>#REF!</v>
      </c>
      <c r="AD35" s="67"/>
      <c r="AE35" s="67" t="s">
        <v>147</v>
      </c>
      <c r="AF35" s="67">
        <v>0</v>
      </c>
      <c r="AG35" s="67" t="s">
        <v>126</v>
      </c>
      <c r="AH35" s="67" t="s">
        <v>148</v>
      </c>
      <c r="AI35" s="67" t="s">
        <v>149</v>
      </c>
      <c r="AJ35" s="67" t="s">
        <v>150</v>
      </c>
      <c r="AK35" s="67" t="s">
        <v>151</v>
      </c>
      <c r="AL35" s="67" t="s">
        <v>131</v>
      </c>
      <c r="AM35" s="67" t="s">
        <v>132</v>
      </c>
      <c r="AN35" s="67"/>
      <c r="AO35" s="67"/>
      <c r="AP35" s="67"/>
      <c r="AQ35" s="70" t="s">
        <v>1245</v>
      </c>
      <c r="AR35" s="68">
        <v>45537</v>
      </c>
      <c r="AS35" s="67" t="s">
        <v>1246</v>
      </c>
      <c r="AT35" s="67" t="s">
        <v>154</v>
      </c>
      <c r="AU35" s="67"/>
      <c r="AV35" s="67"/>
      <c r="AW35" s="67" t="s">
        <v>1247</v>
      </c>
      <c r="AX35" s="67" t="s">
        <v>1039</v>
      </c>
      <c r="AY35" s="67">
        <v>117399</v>
      </c>
      <c r="AZ35" s="67" t="s">
        <v>157</v>
      </c>
      <c r="BA35" s="67">
        <v>4100</v>
      </c>
      <c r="BB35" s="67" t="s">
        <v>158</v>
      </c>
      <c r="BC35" s="67">
        <v>100061150</v>
      </c>
      <c r="BD35" s="67"/>
      <c r="BE35" s="67"/>
      <c r="BF35" s="67"/>
      <c r="BG35" s="67"/>
      <c r="BH35" s="71"/>
      <c r="BI35" s="67"/>
      <c r="BJ35" s="67"/>
      <c r="BK35" s="67"/>
      <c r="BL35" s="67"/>
      <c r="BM35" s="67"/>
    </row>
    <row r="36" spans="1:65" x14ac:dyDescent="0.3">
      <c r="A36" s="67" t="s">
        <v>1248</v>
      </c>
      <c r="B36" s="67" t="s">
        <v>1249</v>
      </c>
      <c r="C36" s="67" t="s">
        <v>1241</v>
      </c>
      <c r="D36" s="67" t="s">
        <v>1242</v>
      </c>
      <c r="E36" s="67" t="s">
        <v>142</v>
      </c>
      <c r="F36" s="67" t="s">
        <v>143</v>
      </c>
      <c r="G36" s="67">
        <v>7</v>
      </c>
      <c r="H36" s="67" t="s">
        <v>1006</v>
      </c>
      <c r="I36" s="68">
        <v>45547</v>
      </c>
      <c r="J36" s="67">
        <v>52</v>
      </c>
      <c r="K36" s="67" t="s">
        <v>145</v>
      </c>
      <c r="L36" s="67" t="s">
        <v>117</v>
      </c>
      <c r="M36" s="67" t="s">
        <v>118</v>
      </c>
      <c r="N36" s="67" t="s">
        <v>1250</v>
      </c>
      <c r="O36" s="67" t="s">
        <v>119</v>
      </c>
      <c r="P36" s="69">
        <v>6710470</v>
      </c>
      <c r="Q36" s="69"/>
      <c r="R36" s="69">
        <v>6710470</v>
      </c>
      <c r="S36" s="69"/>
      <c r="T36" s="69">
        <v>6710470</v>
      </c>
      <c r="U36" s="67">
        <v>5210101581</v>
      </c>
      <c r="V36" s="67" t="s">
        <v>120</v>
      </c>
      <c r="W36" s="67" t="s">
        <v>29</v>
      </c>
      <c r="X36" s="67" t="s">
        <v>123</v>
      </c>
      <c r="Y36" s="67" t="s">
        <v>124</v>
      </c>
      <c r="Z36" s="67" t="s">
        <v>1251</v>
      </c>
      <c r="AA36" s="67" t="s">
        <v>123</v>
      </c>
      <c r="AB36" s="67"/>
      <c r="AC36" s="67" t="e">
        <v>#REF!</v>
      </c>
      <c r="AD36" s="67"/>
      <c r="AE36" s="67" t="s">
        <v>147</v>
      </c>
      <c r="AF36" s="67">
        <v>0</v>
      </c>
      <c r="AG36" s="67" t="s">
        <v>126</v>
      </c>
      <c r="AH36" s="67" t="s">
        <v>148</v>
      </c>
      <c r="AI36" s="67" t="s">
        <v>149</v>
      </c>
      <c r="AJ36" s="67" t="s">
        <v>150</v>
      </c>
      <c r="AK36" s="67" t="s">
        <v>151</v>
      </c>
      <c r="AL36" s="67" t="s">
        <v>131</v>
      </c>
      <c r="AM36" s="67" t="s">
        <v>132</v>
      </c>
      <c r="AN36" s="67"/>
      <c r="AO36" s="67"/>
      <c r="AP36" s="67"/>
      <c r="AQ36" s="70">
        <v>325930191934</v>
      </c>
      <c r="AR36" s="68">
        <v>45536</v>
      </c>
      <c r="AS36" s="67" t="s">
        <v>1252</v>
      </c>
      <c r="AT36" s="67" t="s">
        <v>29</v>
      </c>
      <c r="AU36" s="67"/>
      <c r="AV36" s="67"/>
      <c r="AW36" s="67" t="s">
        <v>1253</v>
      </c>
      <c r="AX36" s="67" t="s">
        <v>1073</v>
      </c>
      <c r="AY36" s="67">
        <v>117399</v>
      </c>
      <c r="AZ36" s="67" t="s">
        <v>157</v>
      </c>
      <c r="BA36" s="67">
        <v>4100</v>
      </c>
      <c r="BB36" s="67" t="s">
        <v>158</v>
      </c>
      <c r="BC36" s="67">
        <v>100060266</v>
      </c>
      <c r="BD36" s="67"/>
      <c r="BE36" s="67"/>
      <c r="BF36" s="67"/>
      <c r="BG36" s="67"/>
      <c r="BH36" s="71"/>
      <c r="BI36" s="67"/>
      <c r="BJ36" s="67"/>
      <c r="BK36" s="67"/>
      <c r="BL36" s="67"/>
      <c r="BM36" s="67"/>
    </row>
    <row r="37" spans="1:65" x14ac:dyDescent="0.3">
      <c r="A37" s="67" t="s">
        <v>1254</v>
      </c>
      <c r="B37" s="67" t="s">
        <v>1255</v>
      </c>
      <c r="C37" s="67" t="s">
        <v>1223</v>
      </c>
      <c r="D37" s="67" t="s">
        <v>1256</v>
      </c>
      <c r="E37" s="67" t="s">
        <v>142</v>
      </c>
      <c r="F37" s="67" t="s">
        <v>143</v>
      </c>
      <c r="G37" s="67">
        <v>7</v>
      </c>
      <c r="H37" s="67" t="s">
        <v>1004</v>
      </c>
      <c r="I37" s="68">
        <v>45483</v>
      </c>
      <c r="J37" s="67">
        <v>39</v>
      </c>
      <c r="K37" s="67" t="s">
        <v>145</v>
      </c>
      <c r="L37" s="67" t="s">
        <v>117</v>
      </c>
      <c r="M37" s="67" t="s">
        <v>118</v>
      </c>
      <c r="N37" s="67" t="s">
        <v>1257</v>
      </c>
      <c r="O37" s="67" t="s">
        <v>119</v>
      </c>
      <c r="P37" s="69">
        <v>6352817</v>
      </c>
      <c r="Q37" s="69"/>
      <c r="R37" s="69">
        <v>6352817</v>
      </c>
      <c r="S37" s="69"/>
      <c r="T37" s="69">
        <v>6352817</v>
      </c>
      <c r="U37" s="67">
        <v>5210101581</v>
      </c>
      <c r="V37" s="67" t="s">
        <v>120</v>
      </c>
      <c r="W37" s="67" t="s">
        <v>29</v>
      </c>
      <c r="X37" s="67" t="s">
        <v>123</v>
      </c>
      <c r="Y37" s="67" t="s">
        <v>124</v>
      </c>
      <c r="Z37" s="67" t="s">
        <v>1258</v>
      </c>
      <c r="AA37" s="67" t="s">
        <v>123</v>
      </c>
      <c r="AB37" s="67"/>
      <c r="AC37" s="67" t="e">
        <v>#REF!</v>
      </c>
      <c r="AD37" s="67"/>
      <c r="AE37" s="67" t="s">
        <v>147</v>
      </c>
      <c r="AF37" s="67">
        <v>0</v>
      </c>
      <c r="AG37" s="67" t="s">
        <v>126</v>
      </c>
      <c r="AH37" s="67" t="s">
        <v>148</v>
      </c>
      <c r="AI37" s="67" t="s">
        <v>149</v>
      </c>
      <c r="AJ37" s="67" t="s">
        <v>150</v>
      </c>
      <c r="AK37" s="67" t="s">
        <v>151</v>
      </c>
      <c r="AL37" s="67" t="s">
        <v>131</v>
      </c>
      <c r="AM37" s="67" t="s">
        <v>132</v>
      </c>
      <c r="AN37" s="67"/>
      <c r="AO37" s="67"/>
      <c r="AP37" s="67"/>
      <c r="AQ37" s="70">
        <v>325478774581</v>
      </c>
      <c r="AR37" s="68">
        <v>45474</v>
      </c>
      <c r="AS37" s="67" t="s">
        <v>1259</v>
      </c>
      <c r="AT37" s="67" t="s">
        <v>29</v>
      </c>
      <c r="AU37" s="67"/>
      <c r="AV37" s="67"/>
      <c r="AW37" s="67" t="s">
        <v>1260</v>
      </c>
      <c r="AX37" s="67" t="s">
        <v>1073</v>
      </c>
      <c r="AY37" s="67">
        <v>117399</v>
      </c>
      <c r="AZ37" s="67" t="s">
        <v>157</v>
      </c>
      <c r="BA37" s="67">
        <v>4100</v>
      </c>
      <c r="BB37" s="67" t="s">
        <v>158</v>
      </c>
      <c r="BC37" s="67">
        <v>100060266</v>
      </c>
      <c r="BD37" s="67"/>
      <c r="BE37" s="67"/>
      <c r="BF37" s="67"/>
      <c r="BG37" s="67"/>
      <c r="BH37" s="71"/>
      <c r="BI37" s="67"/>
      <c r="BJ37" s="67"/>
      <c r="BK37" s="67"/>
      <c r="BL37" s="67"/>
      <c r="BM37" s="67"/>
    </row>
    <row r="38" spans="1:65" x14ac:dyDescent="0.3">
      <c r="A38" s="67" t="s">
        <v>1261</v>
      </c>
      <c r="B38" s="67" t="s">
        <v>1262</v>
      </c>
      <c r="C38" s="67" t="s">
        <v>1263</v>
      </c>
      <c r="D38" s="67" t="s">
        <v>1264</v>
      </c>
      <c r="E38" s="67" t="s">
        <v>142</v>
      </c>
      <c r="F38" s="67" t="s">
        <v>143</v>
      </c>
      <c r="G38" s="67">
        <v>7</v>
      </c>
      <c r="H38" s="67" t="s">
        <v>1005</v>
      </c>
      <c r="I38" s="68">
        <v>45513</v>
      </c>
      <c r="J38" s="67">
        <v>91</v>
      </c>
      <c r="K38" s="67" t="s">
        <v>145</v>
      </c>
      <c r="L38" s="67" t="s">
        <v>117</v>
      </c>
      <c r="M38" s="67" t="s">
        <v>118</v>
      </c>
      <c r="N38" s="67" t="s">
        <v>1265</v>
      </c>
      <c r="O38" s="67" t="s">
        <v>119</v>
      </c>
      <c r="P38" s="69">
        <v>5979349</v>
      </c>
      <c r="Q38" s="69"/>
      <c r="R38" s="69">
        <v>5979349</v>
      </c>
      <c r="S38" s="69"/>
      <c r="T38" s="69">
        <v>5979349</v>
      </c>
      <c r="U38" s="67">
        <v>5210101581</v>
      </c>
      <c r="V38" s="67" t="s">
        <v>120</v>
      </c>
      <c r="W38" s="67" t="s">
        <v>29</v>
      </c>
      <c r="X38" s="67" t="s">
        <v>123</v>
      </c>
      <c r="Y38" s="67" t="s">
        <v>124</v>
      </c>
      <c r="Z38" s="67" t="s">
        <v>1266</v>
      </c>
      <c r="AA38" s="67" t="s">
        <v>123</v>
      </c>
      <c r="AB38" s="67"/>
      <c r="AC38" s="67" t="e">
        <v>#REF!</v>
      </c>
      <c r="AD38" s="67"/>
      <c r="AE38" s="67" t="s">
        <v>147</v>
      </c>
      <c r="AF38" s="67">
        <v>0</v>
      </c>
      <c r="AG38" s="67" t="s">
        <v>126</v>
      </c>
      <c r="AH38" s="67" t="s">
        <v>148</v>
      </c>
      <c r="AI38" s="67" t="s">
        <v>149</v>
      </c>
      <c r="AJ38" s="67" t="s">
        <v>150</v>
      </c>
      <c r="AK38" s="67" t="s">
        <v>151</v>
      </c>
      <c r="AL38" s="67" t="s">
        <v>131</v>
      </c>
      <c r="AM38" s="67" t="s">
        <v>132</v>
      </c>
      <c r="AN38" s="67"/>
      <c r="AO38" s="67"/>
      <c r="AP38" s="67"/>
      <c r="AQ38" s="70">
        <v>325313945880</v>
      </c>
      <c r="AR38" s="68">
        <v>45505</v>
      </c>
      <c r="AS38" s="67" t="s">
        <v>1267</v>
      </c>
      <c r="AT38" s="67" t="s">
        <v>29</v>
      </c>
      <c r="AU38" s="67"/>
      <c r="AV38" s="67"/>
      <c r="AW38" s="67" t="s">
        <v>1268</v>
      </c>
      <c r="AX38" s="67" t="s">
        <v>1073</v>
      </c>
      <c r="AY38" s="67">
        <v>117399</v>
      </c>
      <c r="AZ38" s="67" t="s">
        <v>157</v>
      </c>
      <c r="BA38" s="67">
        <v>4100</v>
      </c>
      <c r="BB38" s="67" t="s">
        <v>158</v>
      </c>
      <c r="BC38" s="67">
        <v>100060266</v>
      </c>
      <c r="BD38" s="67"/>
      <c r="BE38" s="67"/>
      <c r="BF38" s="67"/>
      <c r="BG38" s="67"/>
      <c r="BH38" s="71"/>
      <c r="BI38" s="67"/>
      <c r="BJ38" s="67"/>
      <c r="BK38" s="67"/>
      <c r="BL38" s="67"/>
      <c r="BM38" s="67"/>
    </row>
    <row r="39" spans="1:65" x14ac:dyDescent="0.3">
      <c r="A39" s="67" t="s">
        <v>1269</v>
      </c>
      <c r="B39" s="67" t="s">
        <v>1270</v>
      </c>
      <c r="C39" s="67" t="s">
        <v>1271</v>
      </c>
      <c r="D39" s="67" t="s">
        <v>1272</v>
      </c>
      <c r="E39" s="67" t="s">
        <v>142</v>
      </c>
      <c r="F39" s="67" t="s">
        <v>143</v>
      </c>
      <c r="G39" s="67">
        <v>7</v>
      </c>
      <c r="H39" s="67" t="s">
        <v>1005</v>
      </c>
      <c r="I39" s="68">
        <v>45505</v>
      </c>
      <c r="J39" s="67">
        <v>86</v>
      </c>
      <c r="K39" s="67" t="s">
        <v>116</v>
      </c>
      <c r="L39" s="67" t="s">
        <v>117</v>
      </c>
      <c r="M39" s="67" t="s">
        <v>118</v>
      </c>
      <c r="N39" s="67" t="s">
        <v>1273</v>
      </c>
      <c r="O39" s="67" t="s">
        <v>119</v>
      </c>
      <c r="P39" s="69">
        <v>3920374.09</v>
      </c>
      <c r="Q39" s="69"/>
      <c r="R39" s="69">
        <v>3920374.09</v>
      </c>
      <c r="S39" s="69"/>
      <c r="T39" s="69">
        <v>3920374.09</v>
      </c>
      <c r="U39" s="67">
        <v>5210101232</v>
      </c>
      <c r="V39" s="67" t="s">
        <v>120</v>
      </c>
      <c r="W39" s="67" t="s">
        <v>996</v>
      </c>
      <c r="X39" s="67" t="s">
        <v>123</v>
      </c>
      <c r="Y39" s="67" t="s">
        <v>124</v>
      </c>
      <c r="Z39" s="67" t="s">
        <v>1274</v>
      </c>
      <c r="AA39" s="67" t="s">
        <v>123</v>
      </c>
      <c r="AB39" s="67"/>
      <c r="AC39" s="67" t="e">
        <v>#REF!</v>
      </c>
      <c r="AD39" s="67"/>
      <c r="AE39" s="67" t="s">
        <v>125</v>
      </c>
      <c r="AF39" s="67">
        <v>0</v>
      </c>
      <c r="AG39" s="67" t="s">
        <v>126</v>
      </c>
      <c r="AH39" s="67" t="s">
        <v>127</v>
      </c>
      <c r="AI39" s="67" t="s">
        <v>128</v>
      </c>
      <c r="AJ39" s="67" t="s">
        <v>129</v>
      </c>
      <c r="AK39" s="67" t="s">
        <v>130</v>
      </c>
      <c r="AL39" s="67" t="s">
        <v>131</v>
      </c>
      <c r="AM39" s="67" t="s">
        <v>132</v>
      </c>
      <c r="AN39" s="67"/>
      <c r="AO39" s="67"/>
      <c r="AP39" s="67"/>
      <c r="AQ39" s="70" t="s">
        <v>1275</v>
      </c>
      <c r="AR39" s="68">
        <v>45463</v>
      </c>
      <c r="AS39" s="67" t="s">
        <v>1276</v>
      </c>
      <c r="AT39" s="67" t="s">
        <v>24</v>
      </c>
      <c r="AU39" s="67"/>
      <c r="AV39" s="67"/>
      <c r="AW39" s="67" t="s">
        <v>1277</v>
      </c>
      <c r="AX39" s="67" t="s">
        <v>1095</v>
      </c>
      <c r="AY39" s="67">
        <v>117689</v>
      </c>
      <c r="AZ39" s="67" t="s">
        <v>135</v>
      </c>
      <c r="BA39" s="67">
        <v>5509</v>
      </c>
      <c r="BB39" s="67" t="s">
        <v>136</v>
      </c>
      <c r="BC39" s="67">
        <v>100060705</v>
      </c>
      <c r="BD39" s="67"/>
      <c r="BE39" s="67"/>
      <c r="BF39" s="67"/>
      <c r="BG39" s="67"/>
      <c r="BH39" s="71"/>
      <c r="BI39" s="67"/>
      <c r="BJ39" s="67"/>
      <c r="BK39" s="67"/>
      <c r="BL39" s="67"/>
      <c r="BM39" s="67"/>
    </row>
    <row r="40" spans="1:65" x14ac:dyDescent="0.3">
      <c r="A40" s="67" t="s">
        <v>1278</v>
      </c>
      <c r="B40" s="67" t="s">
        <v>1279</v>
      </c>
      <c r="C40" s="67" t="s">
        <v>1263</v>
      </c>
      <c r="D40" s="67" t="s">
        <v>1264</v>
      </c>
      <c r="E40" s="67" t="s">
        <v>142</v>
      </c>
      <c r="F40" s="67" t="s">
        <v>143</v>
      </c>
      <c r="G40" s="67">
        <v>7</v>
      </c>
      <c r="H40" s="67" t="s">
        <v>1005</v>
      </c>
      <c r="I40" s="68">
        <v>45513</v>
      </c>
      <c r="J40" s="67">
        <v>44</v>
      </c>
      <c r="K40" s="67" t="s">
        <v>116</v>
      </c>
      <c r="L40" s="67" t="s">
        <v>117</v>
      </c>
      <c r="M40" s="67" t="s">
        <v>118</v>
      </c>
      <c r="N40" s="67" t="s">
        <v>1280</v>
      </c>
      <c r="O40" s="67" t="s">
        <v>119</v>
      </c>
      <c r="P40" s="69">
        <v>3872246.4</v>
      </c>
      <c r="Q40" s="69"/>
      <c r="R40" s="69">
        <v>3872246.4</v>
      </c>
      <c r="S40" s="69"/>
      <c r="T40" s="69">
        <v>3872246.4</v>
      </c>
      <c r="U40" s="67">
        <v>5210101232</v>
      </c>
      <c r="V40" s="67" t="s">
        <v>120</v>
      </c>
      <c r="W40" s="67" t="s">
        <v>996</v>
      </c>
      <c r="X40" s="67" t="s">
        <v>123</v>
      </c>
      <c r="Y40" s="67" t="s">
        <v>124</v>
      </c>
      <c r="Z40" s="67" t="s">
        <v>1281</v>
      </c>
      <c r="AA40" s="67" t="s">
        <v>123</v>
      </c>
      <c r="AB40" s="67"/>
      <c r="AC40" s="67" t="e">
        <v>#REF!</v>
      </c>
      <c r="AD40" s="67"/>
      <c r="AE40" s="67" t="s">
        <v>125</v>
      </c>
      <c r="AF40" s="67">
        <v>0</v>
      </c>
      <c r="AG40" s="67" t="s">
        <v>126</v>
      </c>
      <c r="AH40" s="67" t="s">
        <v>127</v>
      </c>
      <c r="AI40" s="67" t="s">
        <v>128</v>
      </c>
      <c r="AJ40" s="67" t="s">
        <v>129</v>
      </c>
      <c r="AK40" s="67" t="s">
        <v>130</v>
      </c>
      <c r="AL40" s="67" t="s">
        <v>131</v>
      </c>
      <c r="AM40" s="67" t="s">
        <v>132</v>
      </c>
      <c r="AN40" s="67"/>
      <c r="AO40" s="67"/>
      <c r="AP40" s="67"/>
      <c r="AQ40" s="70" t="s">
        <v>1282</v>
      </c>
      <c r="AR40" s="68">
        <v>45490</v>
      </c>
      <c r="AS40" s="67" t="s">
        <v>1283</v>
      </c>
      <c r="AT40" s="67" t="s">
        <v>24</v>
      </c>
      <c r="AU40" s="67"/>
      <c r="AV40" s="67"/>
      <c r="AW40" s="67" t="s">
        <v>1284</v>
      </c>
      <c r="AX40" s="67" t="s">
        <v>1095</v>
      </c>
      <c r="AY40" s="67">
        <v>117689</v>
      </c>
      <c r="AZ40" s="67" t="s">
        <v>135</v>
      </c>
      <c r="BA40" s="67">
        <v>5509</v>
      </c>
      <c r="BB40" s="67" t="s">
        <v>136</v>
      </c>
      <c r="BC40" s="67">
        <v>100060705</v>
      </c>
      <c r="BD40" s="67"/>
      <c r="BE40" s="67"/>
      <c r="BF40" s="67"/>
      <c r="BG40" s="67"/>
      <c r="BH40" s="71"/>
      <c r="BI40" s="67"/>
      <c r="BJ40" s="67"/>
      <c r="BK40" s="67"/>
      <c r="BL40" s="67"/>
      <c r="BM40" s="67"/>
    </row>
    <row r="41" spans="1:65" x14ac:dyDescent="0.3">
      <c r="A41" s="67" t="s">
        <v>1285</v>
      </c>
      <c r="B41" s="67" t="s">
        <v>1286</v>
      </c>
      <c r="C41" s="67" t="s">
        <v>1287</v>
      </c>
      <c r="D41" s="67" t="s">
        <v>1288</v>
      </c>
      <c r="E41" s="67" t="s">
        <v>142</v>
      </c>
      <c r="F41" s="67" t="s">
        <v>143</v>
      </c>
      <c r="G41" s="67">
        <v>7</v>
      </c>
      <c r="H41" s="67" t="s">
        <v>1006</v>
      </c>
      <c r="I41" s="68">
        <v>45552</v>
      </c>
      <c r="J41" s="67">
        <v>20</v>
      </c>
      <c r="K41" s="67" t="s">
        <v>116</v>
      </c>
      <c r="L41" s="67" t="s">
        <v>117</v>
      </c>
      <c r="M41" s="67" t="s">
        <v>118</v>
      </c>
      <c r="N41" s="67" t="s">
        <v>1289</v>
      </c>
      <c r="O41" s="67" t="s">
        <v>119</v>
      </c>
      <c r="P41" s="69">
        <v>3693418.37</v>
      </c>
      <c r="Q41" s="69"/>
      <c r="R41" s="69">
        <v>3693418.37</v>
      </c>
      <c r="S41" s="69"/>
      <c r="T41" s="69">
        <v>3693418.37</v>
      </c>
      <c r="U41" s="67">
        <v>5210101232</v>
      </c>
      <c r="V41" s="67" t="s">
        <v>120</v>
      </c>
      <c r="W41" s="67" t="s">
        <v>996</v>
      </c>
      <c r="X41" s="67" t="s">
        <v>123</v>
      </c>
      <c r="Y41" s="67" t="s">
        <v>124</v>
      </c>
      <c r="Z41" s="67" t="s">
        <v>1290</v>
      </c>
      <c r="AA41" s="67" t="s">
        <v>123</v>
      </c>
      <c r="AB41" s="67"/>
      <c r="AC41" s="67" t="e">
        <v>#REF!</v>
      </c>
      <c r="AD41" s="67"/>
      <c r="AE41" s="67" t="s">
        <v>125</v>
      </c>
      <c r="AF41" s="67">
        <v>0</v>
      </c>
      <c r="AG41" s="67" t="s">
        <v>126</v>
      </c>
      <c r="AH41" s="67" t="s">
        <v>127</v>
      </c>
      <c r="AI41" s="67" t="s">
        <v>128</v>
      </c>
      <c r="AJ41" s="67" t="s">
        <v>129</v>
      </c>
      <c r="AK41" s="67" t="s">
        <v>130</v>
      </c>
      <c r="AL41" s="67" t="s">
        <v>131</v>
      </c>
      <c r="AM41" s="67" t="s">
        <v>132</v>
      </c>
      <c r="AN41" s="67"/>
      <c r="AO41" s="67"/>
      <c r="AP41" s="67"/>
      <c r="AQ41" s="70" t="s">
        <v>1291</v>
      </c>
      <c r="AR41" s="68">
        <v>45519</v>
      </c>
      <c r="AS41" s="67" t="s">
        <v>1292</v>
      </c>
      <c r="AT41" s="67" t="s">
        <v>24</v>
      </c>
      <c r="AU41" s="67"/>
      <c r="AV41" s="67"/>
      <c r="AW41" s="67" t="s">
        <v>1293</v>
      </c>
      <c r="AX41" s="67" t="s">
        <v>1095</v>
      </c>
      <c r="AY41" s="67">
        <v>117689</v>
      </c>
      <c r="AZ41" s="67" t="s">
        <v>135</v>
      </c>
      <c r="BA41" s="67">
        <v>5509</v>
      </c>
      <c r="BB41" s="67" t="s">
        <v>136</v>
      </c>
      <c r="BC41" s="67">
        <v>100060705</v>
      </c>
      <c r="BD41" s="67"/>
      <c r="BE41" s="67"/>
      <c r="BF41" s="67"/>
      <c r="BG41" s="67"/>
      <c r="BH41" s="71"/>
      <c r="BI41" s="67"/>
      <c r="BJ41" s="67"/>
      <c r="BK41" s="67"/>
      <c r="BL41" s="67"/>
      <c r="BM41" s="67"/>
    </row>
    <row r="42" spans="1:65" x14ac:dyDescent="0.3">
      <c r="A42" s="67" t="s">
        <v>1294</v>
      </c>
      <c r="B42" s="67" t="s">
        <v>1295</v>
      </c>
      <c r="C42" s="67" t="s">
        <v>1223</v>
      </c>
      <c r="D42" s="67" t="s">
        <v>1256</v>
      </c>
      <c r="E42" s="67" t="s">
        <v>142</v>
      </c>
      <c r="F42" s="67" t="s">
        <v>143</v>
      </c>
      <c r="G42" s="67">
        <v>7</v>
      </c>
      <c r="H42" s="67" t="s">
        <v>1004</v>
      </c>
      <c r="I42" s="68">
        <v>45483</v>
      </c>
      <c r="J42" s="67">
        <v>38</v>
      </c>
      <c r="K42" s="67" t="s">
        <v>145</v>
      </c>
      <c r="L42" s="67" t="s">
        <v>117</v>
      </c>
      <c r="M42" s="67" t="s">
        <v>118</v>
      </c>
      <c r="N42" s="67" t="s">
        <v>1296</v>
      </c>
      <c r="O42" s="67" t="s">
        <v>119</v>
      </c>
      <c r="P42" s="69">
        <v>1943712</v>
      </c>
      <c r="Q42" s="69"/>
      <c r="R42" s="69">
        <v>1943712</v>
      </c>
      <c r="S42" s="69"/>
      <c r="T42" s="69">
        <v>1943712</v>
      </c>
      <c r="U42" s="67">
        <v>5210101581</v>
      </c>
      <c r="V42" s="67" t="s">
        <v>120</v>
      </c>
      <c r="W42" s="67" t="s">
        <v>29</v>
      </c>
      <c r="X42" s="67" t="s">
        <v>123</v>
      </c>
      <c r="Y42" s="67" t="s">
        <v>124</v>
      </c>
      <c r="Z42" s="67" t="s">
        <v>1297</v>
      </c>
      <c r="AA42" s="67" t="s">
        <v>123</v>
      </c>
      <c r="AB42" s="67"/>
      <c r="AC42" s="67" t="e">
        <v>#REF!</v>
      </c>
      <c r="AD42" s="67"/>
      <c r="AE42" s="67" t="s">
        <v>147</v>
      </c>
      <c r="AF42" s="67">
        <v>0</v>
      </c>
      <c r="AG42" s="67" t="s">
        <v>126</v>
      </c>
      <c r="AH42" s="67" t="s">
        <v>148</v>
      </c>
      <c r="AI42" s="67" t="s">
        <v>149</v>
      </c>
      <c r="AJ42" s="67" t="s">
        <v>150</v>
      </c>
      <c r="AK42" s="67" t="s">
        <v>151</v>
      </c>
      <c r="AL42" s="67" t="s">
        <v>131</v>
      </c>
      <c r="AM42" s="67" t="s">
        <v>132</v>
      </c>
      <c r="AN42" s="67"/>
      <c r="AO42" s="67"/>
      <c r="AP42" s="67"/>
      <c r="AQ42" s="70" t="s">
        <v>1298</v>
      </c>
      <c r="AR42" s="68">
        <v>45444</v>
      </c>
      <c r="AS42" s="67" t="s">
        <v>1299</v>
      </c>
      <c r="AT42" s="67" t="s">
        <v>29</v>
      </c>
      <c r="AU42" s="67"/>
      <c r="AV42" s="67"/>
      <c r="AW42" s="67" t="s">
        <v>1300</v>
      </c>
      <c r="AX42" s="67" t="s">
        <v>1132</v>
      </c>
      <c r="AY42" s="67">
        <v>117399</v>
      </c>
      <c r="AZ42" s="67" t="s">
        <v>157</v>
      </c>
      <c r="BA42" s="67">
        <v>4100</v>
      </c>
      <c r="BB42" s="67" t="s">
        <v>158</v>
      </c>
      <c r="BC42" s="67"/>
      <c r="BD42" s="67"/>
      <c r="BE42" s="67"/>
      <c r="BF42" s="67"/>
      <c r="BG42" s="67"/>
      <c r="BH42" s="71"/>
      <c r="BI42" s="67"/>
      <c r="BJ42" s="67"/>
      <c r="BK42" s="67"/>
      <c r="BL42" s="67"/>
      <c r="BM42" s="67"/>
    </row>
    <row r="43" spans="1:65" x14ac:dyDescent="0.3">
      <c r="A43" s="67" t="s">
        <v>1301</v>
      </c>
      <c r="B43" s="67" t="s">
        <v>1302</v>
      </c>
      <c r="C43" s="67" t="s">
        <v>1303</v>
      </c>
      <c r="D43" s="67" t="s">
        <v>1304</v>
      </c>
      <c r="E43" s="67" t="s">
        <v>142</v>
      </c>
      <c r="F43" s="67" t="s">
        <v>143</v>
      </c>
      <c r="G43" s="67">
        <v>7</v>
      </c>
      <c r="H43" s="67" t="s">
        <v>1005</v>
      </c>
      <c r="I43" s="68">
        <v>45523</v>
      </c>
      <c r="J43" s="67">
        <v>21</v>
      </c>
      <c r="K43" s="67" t="s">
        <v>506</v>
      </c>
      <c r="L43" s="67" t="s">
        <v>117</v>
      </c>
      <c r="M43" s="67" t="s">
        <v>118</v>
      </c>
      <c r="N43" s="67" t="s">
        <v>1305</v>
      </c>
      <c r="O43" s="67" t="s">
        <v>119</v>
      </c>
      <c r="P43" s="69">
        <v>1501234</v>
      </c>
      <c r="Q43" s="69"/>
      <c r="R43" s="69">
        <v>1501234</v>
      </c>
      <c r="S43" s="69"/>
      <c r="T43" s="69">
        <v>1501234</v>
      </c>
      <c r="U43" s="67">
        <v>5210101581</v>
      </c>
      <c r="V43" s="67" t="s">
        <v>120</v>
      </c>
      <c r="W43" s="67" t="s">
        <v>31</v>
      </c>
      <c r="X43" s="67" t="s">
        <v>123</v>
      </c>
      <c r="Y43" s="67" t="s">
        <v>124</v>
      </c>
      <c r="Z43" s="67" t="s">
        <v>1306</v>
      </c>
      <c r="AA43" s="67" t="s">
        <v>123</v>
      </c>
      <c r="AB43" s="67"/>
      <c r="AC43" s="67" t="e">
        <v>#REF!</v>
      </c>
      <c r="AD43" s="67"/>
      <c r="AE43" s="67" t="s">
        <v>147</v>
      </c>
      <c r="AF43" s="67">
        <v>0</v>
      </c>
      <c r="AG43" s="67" t="s">
        <v>126</v>
      </c>
      <c r="AH43" s="67" t="s">
        <v>507</v>
      </c>
      <c r="AI43" s="67" t="s">
        <v>508</v>
      </c>
      <c r="AJ43" s="67" t="s">
        <v>150</v>
      </c>
      <c r="AK43" s="67" t="s">
        <v>151</v>
      </c>
      <c r="AL43" s="67" t="s">
        <v>131</v>
      </c>
      <c r="AM43" s="67" t="s">
        <v>132</v>
      </c>
      <c r="AN43" s="67"/>
      <c r="AO43" s="67"/>
      <c r="AP43" s="67"/>
      <c r="AQ43" s="70">
        <v>1020951930</v>
      </c>
      <c r="AR43" s="68">
        <v>45458</v>
      </c>
      <c r="AS43" s="67" t="s">
        <v>1307</v>
      </c>
      <c r="AT43" s="67" t="s">
        <v>31</v>
      </c>
      <c r="AU43" s="67"/>
      <c r="AV43" s="67"/>
      <c r="AW43" s="67" t="s">
        <v>1308</v>
      </c>
      <c r="AX43" s="67" t="s">
        <v>1309</v>
      </c>
      <c r="AY43" s="67">
        <v>117399</v>
      </c>
      <c r="AZ43" s="67" t="s">
        <v>157</v>
      </c>
      <c r="BA43" s="67">
        <v>4203</v>
      </c>
      <c r="BB43" s="67" t="s">
        <v>512</v>
      </c>
      <c r="BC43" s="67">
        <v>100060183</v>
      </c>
      <c r="BD43" s="67"/>
      <c r="BE43" s="67"/>
      <c r="BF43" s="67"/>
      <c r="BG43" s="67"/>
      <c r="BH43" s="71"/>
      <c r="BI43" s="67"/>
      <c r="BJ43" s="67"/>
      <c r="BK43" s="67"/>
      <c r="BL43" s="67"/>
      <c r="BM43" s="67"/>
    </row>
    <row r="44" spans="1:65" x14ac:dyDescent="0.3">
      <c r="A44" s="67" t="s">
        <v>1310</v>
      </c>
      <c r="B44" s="67" t="s">
        <v>1311</v>
      </c>
      <c r="C44" s="67" t="s">
        <v>1232</v>
      </c>
      <c r="D44" s="67" t="s">
        <v>1233</v>
      </c>
      <c r="E44" s="67" t="s">
        <v>142</v>
      </c>
      <c r="F44" s="67" t="s">
        <v>143</v>
      </c>
      <c r="G44" s="67">
        <v>7</v>
      </c>
      <c r="H44" s="67" t="s">
        <v>1005</v>
      </c>
      <c r="I44" s="68">
        <v>45526</v>
      </c>
      <c r="J44" s="67">
        <v>6</v>
      </c>
      <c r="K44" s="67" t="s">
        <v>1312</v>
      </c>
      <c r="L44" s="67" t="s">
        <v>117</v>
      </c>
      <c r="M44" s="67" t="s">
        <v>118</v>
      </c>
      <c r="N44" s="67" t="s">
        <v>1313</v>
      </c>
      <c r="O44" s="67" t="s">
        <v>119</v>
      </c>
      <c r="P44" s="69">
        <v>153000</v>
      </c>
      <c r="Q44" s="69"/>
      <c r="R44" s="69">
        <v>153000</v>
      </c>
      <c r="S44" s="69"/>
      <c r="T44" s="69">
        <v>153000</v>
      </c>
      <c r="U44" s="67">
        <v>5210101320</v>
      </c>
      <c r="V44" s="67" t="s">
        <v>120</v>
      </c>
      <c r="W44" s="67" t="s">
        <v>43</v>
      </c>
      <c r="X44" s="67" t="s">
        <v>123</v>
      </c>
      <c r="Y44" s="67" t="s">
        <v>124</v>
      </c>
      <c r="Z44" s="67" t="s">
        <v>1314</v>
      </c>
      <c r="AA44" s="67" t="s">
        <v>123</v>
      </c>
      <c r="AB44" s="67"/>
      <c r="AC44" s="67" t="e">
        <v>#REF!</v>
      </c>
      <c r="AD44" s="67"/>
      <c r="AE44" s="67" t="s">
        <v>545</v>
      </c>
      <c r="AF44" s="67">
        <v>0</v>
      </c>
      <c r="AG44" s="67" t="s">
        <v>126</v>
      </c>
      <c r="AH44" s="67" t="s">
        <v>546</v>
      </c>
      <c r="AI44" s="67" t="s">
        <v>547</v>
      </c>
      <c r="AJ44" s="67" t="s">
        <v>1315</v>
      </c>
      <c r="AK44" s="67" t="s">
        <v>1316</v>
      </c>
      <c r="AL44" s="67" t="s">
        <v>131</v>
      </c>
      <c r="AM44" s="67" t="s">
        <v>132</v>
      </c>
      <c r="AN44" s="67"/>
      <c r="AO44" s="67"/>
      <c r="AP44" s="67"/>
      <c r="AQ44" s="70">
        <v>5241000188</v>
      </c>
      <c r="AR44" s="68">
        <v>45518</v>
      </c>
      <c r="AS44" s="67" t="s">
        <v>1317</v>
      </c>
      <c r="AT44" s="67" t="s">
        <v>43</v>
      </c>
      <c r="AU44" s="67"/>
      <c r="AV44" s="67"/>
      <c r="AW44" s="67" t="s">
        <v>1318</v>
      </c>
      <c r="AX44" s="67" t="s">
        <v>1319</v>
      </c>
      <c r="AY44" s="67">
        <v>119410</v>
      </c>
      <c r="AZ44" s="67" t="s">
        <v>1320</v>
      </c>
      <c r="BA44" s="67">
        <v>5503</v>
      </c>
      <c r="BB44" s="67" t="s">
        <v>555</v>
      </c>
      <c r="BC44" s="67">
        <v>100062103</v>
      </c>
      <c r="BD44" s="67"/>
      <c r="BE44" s="67"/>
      <c r="BF44" s="67"/>
      <c r="BG44" s="67"/>
      <c r="BH44" s="71"/>
      <c r="BI44" s="67"/>
      <c r="BJ44" s="67"/>
      <c r="BK44" s="67"/>
      <c r="BL44" s="67"/>
      <c r="BM44" s="67"/>
    </row>
    <row r="45" spans="1:65" x14ac:dyDescent="0.3">
      <c r="A45" s="67" t="s">
        <v>1321</v>
      </c>
      <c r="B45" s="67" t="s">
        <v>1322</v>
      </c>
      <c r="C45" s="67" t="s">
        <v>1323</v>
      </c>
      <c r="D45" s="67" t="s">
        <v>1324</v>
      </c>
      <c r="E45" s="67" t="s">
        <v>142</v>
      </c>
      <c r="F45" s="67" t="s">
        <v>143</v>
      </c>
      <c r="G45" s="67">
        <v>7</v>
      </c>
      <c r="H45" s="67" t="s">
        <v>1006</v>
      </c>
      <c r="I45" s="68">
        <v>45558</v>
      </c>
      <c r="J45" s="67">
        <v>39</v>
      </c>
      <c r="K45" s="67" t="s">
        <v>1312</v>
      </c>
      <c r="L45" s="67" t="s">
        <v>117</v>
      </c>
      <c r="M45" s="67" t="s">
        <v>118</v>
      </c>
      <c r="N45" s="67" t="s">
        <v>1325</v>
      </c>
      <c r="O45" s="67" t="s">
        <v>119</v>
      </c>
      <c r="P45" s="69">
        <v>133000</v>
      </c>
      <c r="Q45" s="69"/>
      <c r="R45" s="69">
        <v>133000</v>
      </c>
      <c r="S45" s="69"/>
      <c r="T45" s="69">
        <v>133000</v>
      </c>
      <c r="U45" s="67">
        <v>5210101320</v>
      </c>
      <c r="V45" s="67" t="s">
        <v>120</v>
      </c>
      <c r="W45" s="67" t="s">
        <v>43</v>
      </c>
      <c r="X45" s="67" t="s">
        <v>123</v>
      </c>
      <c r="Y45" s="67" t="s">
        <v>124</v>
      </c>
      <c r="Z45" s="67" t="s">
        <v>1326</v>
      </c>
      <c r="AA45" s="67" t="s">
        <v>123</v>
      </c>
      <c r="AB45" s="67"/>
      <c r="AC45" s="67" t="e">
        <v>#REF!</v>
      </c>
      <c r="AD45" s="67"/>
      <c r="AE45" s="67" t="s">
        <v>545</v>
      </c>
      <c r="AF45" s="67">
        <v>0</v>
      </c>
      <c r="AG45" s="67" t="s">
        <v>126</v>
      </c>
      <c r="AH45" s="67" t="s">
        <v>546</v>
      </c>
      <c r="AI45" s="67" t="s">
        <v>547</v>
      </c>
      <c r="AJ45" s="67" t="s">
        <v>1315</v>
      </c>
      <c r="AK45" s="67" t="s">
        <v>1316</v>
      </c>
      <c r="AL45" s="67" t="s">
        <v>131</v>
      </c>
      <c r="AM45" s="67" t="s">
        <v>132</v>
      </c>
      <c r="AN45" s="67"/>
      <c r="AO45" s="67"/>
      <c r="AP45" s="67"/>
      <c r="AQ45" s="70">
        <v>5241000232</v>
      </c>
      <c r="AR45" s="68">
        <v>45540</v>
      </c>
      <c r="AS45" s="67" t="s">
        <v>1327</v>
      </c>
      <c r="AT45" s="67" t="s">
        <v>43</v>
      </c>
      <c r="AU45" s="67"/>
      <c r="AV45" s="67"/>
      <c r="AW45" s="67" t="s">
        <v>1328</v>
      </c>
      <c r="AX45" s="67" t="s">
        <v>1329</v>
      </c>
      <c r="AY45" s="67">
        <v>119410</v>
      </c>
      <c r="AZ45" s="67" t="s">
        <v>1320</v>
      </c>
      <c r="BA45" s="67">
        <v>5503</v>
      </c>
      <c r="BB45" s="67" t="s">
        <v>555</v>
      </c>
      <c r="BC45" s="67">
        <v>100062954</v>
      </c>
      <c r="BD45" s="67"/>
      <c r="BE45" s="67"/>
      <c r="BF45" s="67"/>
      <c r="BG45" s="67"/>
      <c r="BH45" s="71"/>
      <c r="BI45" s="67"/>
      <c r="BJ45" s="67"/>
      <c r="BK45" s="67"/>
      <c r="BL45" s="67"/>
      <c r="BM45" s="67"/>
    </row>
    <row r="46" spans="1:65" x14ac:dyDescent="0.3">
      <c r="A46" s="67" t="s">
        <v>1330</v>
      </c>
      <c r="B46" s="67" t="s">
        <v>1331</v>
      </c>
      <c r="C46" s="67" t="s">
        <v>1332</v>
      </c>
      <c r="D46" s="67" t="s">
        <v>1333</v>
      </c>
      <c r="E46" s="67" t="s">
        <v>142</v>
      </c>
      <c r="F46" s="67" t="s">
        <v>143</v>
      </c>
      <c r="G46" s="67">
        <v>7</v>
      </c>
      <c r="H46" s="67" t="s">
        <v>1004</v>
      </c>
      <c r="I46" s="68">
        <v>45498</v>
      </c>
      <c r="J46" s="67">
        <v>252</v>
      </c>
      <c r="K46" s="67" t="s">
        <v>561</v>
      </c>
      <c r="L46" s="67" t="s">
        <v>117</v>
      </c>
      <c r="M46" s="67" t="s">
        <v>118</v>
      </c>
      <c r="N46" s="67" t="s">
        <v>1334</v>
      </c>
      <c r="O46" s="67" t="s">
        <v>119</v>
      </c>
      <c r="P46" s="69">
        <v>81554.3</v>
      </c>
      <c r="Q46" s="69"/>
      <c r="R46" s="69">
        <v>81554.3</v>
      </c>
      <c r="S46" s="69"/>
      <c r="T46" s="69">
        <v>81554.3</v>
      </c>
      <c r="U46" s="67">
        <v>5210101238</v>
      </c>
      <c r="V46" s="67" t="s">
        <v>120</v>
      </c>
      <c r="W46" s="67" t="s">
        <v>996</v>
      </c>
      <c r="X46" s="67" t="s">
        <v>123</v>
      </c>
      <c r="Y46" s="67" t="s">
        <v>124</v>
      </c>
      <c r="Z46" s="67" t="s">
        <v>1335</v>
      </c>
      <c r="AA46" s="67" t="s">
        <v>123</v>
      </c>
      <c r="AB46" s="67"/>
      <c r="AC46" s="67" t="e">
        <v>#REF!</v>
      </c>
      <c r="AD46" s="67"/>
      <c r="AE46" s="67" t="s">
        <v>562</v>
      </c>
      <c r="AF46" s="67">
        <v>0</v>
      </c>
      <c r="AG46" s="67" t="s">
        <v>126</v>
      </c>
      <c r="AH46" s="67" t="s">
        <v>127</v>
      </c>
      <c r="AI46" s="67" t="s">
        <v>128</v>
      </c>
      <c r="AJ46" s="67" t="s">
        <v>548</v>
      </c>
      <c r="AK46" s="67" t="s">
        <v>549</v>
      </c>
      <c r="AL46" s="67" t="s">
        <v>131</v>
      </c>
      <c r="AM46" s="67" t="s">
        <v>132</v>
      </c>
      <c r="AN46" s="67"/>
      <c r="AO46" s="67"/>
      <c r="AP46" s="67"/>
      <c r="AQ46" s="70" t="s">
        <v>1336</v>
      </c>
      <c r="AR46" s="68">
        <v>45464</v>
      </c>
      <c r="AS46" s="67" t="s">
        <v>1337</v>
      </c>
      <c r="AT46" s="67" t="s">
        <v>24</v>
      </c>
      <c r="AU46" s="67"/>
      <c r="AV46" s="67"/>
      <c r="AW46" s="67" t="s">
        <v>1338</v>
      </c>
      <c r="AX46" s="67" t="s">
        <v>1147</v>
      </c>
      <c r="AY46" s="67">
        <v>119404</v>
      </c>
      <c r="AZ46" s="67" t="s">
        <v>554</v>
      </c>
      <c r="BA46" s="67">
        <v>5512</v>
      </c>
      <c r="BB46" s="67" t="s">
        <v>567</v>
      </c>
      <c r="BC46" s="67">
        <v>100060415</v>
      </c>
      <c r="BD46" s="67"/>
      <c r="BE46" s="67"/>
      <c r="BF46" s="67"/>
      <c r="BG46" s="67"/>
      <c r="BH46" s="71"/>
      <c r="BI46" s="67"/>
      <c r="BJ46" s="67"/>
      <c r="BK46" s="67"/>
      <c r="BL46" s="67"/>
      <c r="BM46" s="67"/>
    </row>
    <row r="47" spans="1:65" x14ac:dyDescent="0.3">
      <c r="A47" s="67" t="s">
        <v>1339</v>
      </c>
      <c r="B47" s="67" t="s">
        <v>1340</v>
      </c>
      <c r="C47" s="67" t="s">
        <v>1341</v>
      </c>
      <c r="D47" s="67" t="s">
        <v>1342</v>
      </c>
      <c r="E47" s="67" t="s">
        <v>142</v>
      </c>
      <c r="F47" s="67" t="s">
        <v>143</v>
      </c>
      <c r="G47" s="67">
        <v>7</v>
      </c>
      <c r="H47" s="67" t="s">
        <v>1005</v>
      </c>
      <c r="I47" s="68">
        <v>45512</v>
      </c>
      <c r="J47" s="67">
        <v>536</v>
      </c>
      <c r="K47" s="67" t="s">
        <v>561</v>
      </c>
      <c r="L47" s="67" t="s">
        <v>117</v>
      </c>
      <c r="M47" s="67" t="s">
        <v>118</v>
      </c>
      <c r="N47" s="67" t="s">
        <v>1343</v>
      </c>
      <c r="O47" s="67" t="s">
        <v>119</v>
      </c>
      <c r="P47" s="69">
        <v>78629.759999999995</v>
      </c>
      <c r="Q47" s="69"/>
      <c r="R47" s="69">
        <v>78629.759999999995</v>
      </c>
      <c r="S47" s="69"/>
      <c r="T47" s="69">
        <v>78629.759999999995</v>
      </c>
      <c r="U47" s="67">
        <v>5210101238</v>
      </c>
      <c r="V47" s="67" t="s">
        <v>120</v>
      </c>
      <c r="W47" s="67" t="s">
        <v>996</v>
      </c>
      <c r="X47" s="67" t="s">
        <v>123</v>
      </c>
      <c r="Y47" s="67" t="s">
        <v>124</v>
      </c>
      <c r="Z47" s="67" t="s">
        <v>1344</v>
      </c>
      <c r="AA47" s="67" t="s">
        <v>123</v>
      </c>
      <c r="AB47" s="67"/>
      <c r="AC47" s="67" t="e">
        <v>#REF!</v>
      </c>
      <c r="AD47" s="67"/>
      <c r="AE47" s="67" t="s">
        <v>562</v>
      </c>
      <c r="AF47" s="67">
        <v>0</v>
      </c>
      <c r="AG47" s="67" t="s">
        <v>126</v>
      </c>
      <c r="AH47" s="67" t="s">
        <v>127</v>
      </c>
      <c r="AI47" s="67" t="s">
        <v>128</v>
      </c>
      <c r="AJ47" s="67" t="s">
        <v>548</v>
      </c>
      <c r="AK47" s="67" t="s">
        <v>549</v>
      </c>
      <c r="AL47" s="67" t="s">
        <v>131</v>
      </c>
      <c r="AM47" s="67" t="s">
        <v>132</v>
      </c>
      <c r="AN47" s="67"/>
      <c r="AO47" s="67"/>
      <c r="AP47" s="67"/>
      <c r="AQ47" s="70" t="s">
        <v>1345</v>
      </c>
      <c r="AR47" s="68">
        <v>45490</v>
      </c>
      <c r="AS47" s="67" t="s">
        <v>1346</v>
      </c>
      <c r="AT47" s="67" t="s">
        <v>24</v>
      </c>
      <c r="AU47" s="67"/>
      <c r="AV47" s="67"/>
      <c r="AW47" s="67" t="s">
        <v>1347</v>
      </c>
      <c r="AX47" s="67" t="s">
        <v>1147</v>
      </c>
      <c r="AY47" s="67">
        <v>119404</v>
      </c>
      <c r="AZ47" s="67" t="s">
        <v>554</v>
      </c>
      <c r="BA47" s="67">
        <v>5512</v>
      </c>
      <c r="BB47" s="67" t="s">
        <v>567</v>
      </c>
      <c r="BC47" s="67">
        <v>100060415</v>
      </c>
      <c r="BD47" s="67"/>
      <c r="BE47" s="67"/>
      <c r="BF47" s="67"/>
      <c r="BG47" s="67"/>
      <c r="BH47" s="71"/>
      <c r="BI47" s="67"/>
      <c r="BJ47" s="67"/>
      <c r="BK47" s="67"/>
      <c r="BL47" s="67"/>
      <c r="BM47" s="67"/>
    </row>
    <row r="48" spans="1:65" x14ac:dyDescent="0.3">
      <c r="A48" s="67" t="s">
        <v>1348</v>
      </c>
      <c r="B48" s="67" t="s">
        <v>1349</v>
      </c>
      <c r="C48" s="67" t="s">
        <v>1350</v>
      </c>
      <c r="D48" s="67" t="s">
        <v>1351</v>
      </c>
      <c r="E48" s="67" t="s">
        <v>142</v>
      </c>
      <c r="F48" s="67" t="s">
        <v>143</v>
      </c>
      <c r="G48" s="67">
        <v>7</v>
      </c>
      <c r="H48" s="67" t="s">
        <v>1006</v>
      </c>
      <c r="I48" s="68">
        <v>45551</v>
      </c>
      <c r="J48" s="67">
        <v>1356</v>
      </c>
      <c r="K48" s="67" t="s">
        <v>561</v>
      </c>
      <c r="L48" s="67" t="s">
        <v>117</v>
      </c>
      <c r="M48" s="67" t="s">
        <v>118</v>
      </c>
      <c r="N48" s="67" t="s">
        <v>1352</v>
      </c>
      <c r="O48" s="67" t="s">
        <v>119</v>
      </c>
      <c r="P48" s="69">
        <v>75989.179999999993</v>
      </c>
      <c r="Q48" s="69"/>
      <c r="R48" s="69">
        <v>75989.179999999993</v>
      </c>
      <c r="S48" s="69"/>
      <c r="T48" s="69">
        <v>75989.179999999993</v>
      </c>
      <c r="U48" s="67">
        <v>5210101238</v>
      </c>
      <c r="V48" s="67" t="s">
        <v>120</v>
      </c>
      <c r="W48" s="67" t="s">
        <v>996</v>
      </c>
      <c r="X48" s="67" t="s">
        <v>123</v>
      </c>
      <c r="Y48" s="67" t="s">
        <v>124</v>
      </c>
      <c r="Z48" s="67" t="s">
        <v>1353</v>
      </c>
      <c r="AA48" s="67" t="s">
        <v>123</v>
      </c>
      <c r="AB48" s="67"/>
      <c r="AC48" s="67" t="e">
        <v>#REF!</v>
      </c>
      <c r="AD48" s="67"/>
      <c r="AE48" s="67" t="s">
        <v>562</v>
      </c>
      <c r="AF48" s="67">
        <v>0</v>
      </c>
      <c r="AG48" s="67" t="s">
        <v>126</v>
      </c>
      <c r="AH48" s="67" t="s">
        <v>127</v>
      </c>
      <c r="AI48" s="67" t="s">
        <v>128</v>
      </c>
      <c r="AJ48" s="67" t="s">
        <v>548</v>
      </c>
      <c r="AK48" s="67" t="s">
        <v>549</v>
      </c>
      <c r="AL48" s="67" t="s">
        <v>131</v>
      </c>
      <c r="AM48" s="67" t="s">
        <v>132</v>
      </c>
      <c r="AN48" s="67"/>
      <c r="AO48" s="67"/>
      <c r="AP48" s="67"/>
      <c r="AQ48" s="70" t="s">
        <v>1354</v>
      </c>
      <c r="AR48" s="68">
        <v>45519</v>
      </c>
      <c r="AS48" s="67" t="s">
        <v>1355</v>
      </c>
      <c r="AT48" s="67" t="s">
        <v>24</v>
      </c>
      <c r="AU48" s="67"/>
      <c r="AV48" s="67"/>
      <c r="AW48" s="67" t="s">
        <v>1356</v>
      </c>
      <c r="AX48" s="67" t="s">
        <v>1147</v>
      </c>
      <c r="AY48" s="67">
        <v>119404</v>
      </c>
      <c r="AZ48" s="67" t="s">
        <v>554</v>
      </c>
      <c r="BA48" s="67">
        <v>5512</v>
      </c>
      <c r="BB48" s="67" t="s">
        <v>567</v>
      </c>
      <c r="BC48" s="67">
        <v>100060415</v>
      </c>
      <c r="BD48" s="67"/>
      <c r="BE48" s="67"/>
      <c r="BF48" s="67"/>
      <c r="BG48" s="67"/>
      <c r="BH48" s="71"/>
      <c r="BI48" s="67"/>
      <c r="BJ48" s="67"/>
      <c r="BK48" s="67"/>
      <c r="BL48" s="67"/>
      <c r="BM48" s="67"/>
    </row>
    <row r="49" spans="1:65" x14ac:dyDescent="0.3">
      <c r="A49" s="67" t="s">
        <v>1357</v>
      </c>
      <c r="B49" s="67" t="s">
        <v>1358</v>
      </c>
      <c r="C49" s="67" t="s">
        <v>1359</v>
      </c>
      <c r="D49" s="67" t="s">
        <v>1360</v>
      </c>
      <c r="E49" s="67" t="s">
        <v>172</v>
      </c>
      <c r="F49" s="67" t="s">
        <v>173</v>
      </c>
      <c r="G49" s="67">
        <v>7</v>
      </c>
      <c r="H49" s="67" t="s">
        <v>1004</v>
      </c>
      <c r="I49" s="68">
        <v>45505</v>
      </c>
      <c r="J49" s="67">
        <v>2</v>
      </c>
      <c r="K49" s="67" t="s">
        <v>1361</v>
      </c>
      <c r="L49" s="67" t="s">
        <v>117</v>
      </c>
      <c r="M49" s="67" t="s">
        <v>118</v>
      </c>
      <c r="N49" s="67" t="s">
        <v>1362</v>
      </c>
      <c r="O49" s="67" t="s">
        <v>1363</v>
      </c>
      <c r="P49" s="69">
        <v>0</v>
      </c>
      <c r="Q49" s="69">
        <v>274.24</v>
      </c>
      <c r="R49" s="69">
        <v>0</v>
      </c>
      <c r="S49" s="69">
        <v>22891.87</v>
      </c>
      <c r="T49" s="69">
        <v>-22891.87</v>
      </c>
      <c r="U49" s="67">
        <v>5210101238</v>
      </c>
      <c r="V49" s="67" t="s">
        <v>120</v>
      </c>
      <c r="W49" s="67" t="s">
        <v>47</v>
      </c>
      <c r="X49" s="67" t="s">
        <v>123</v>
      </c>
      <c r="Y49" s="67" t="s">
        <v>124</v>
      </c>
      <c r="Z49" s="67" t="s">
        <v>1364</v>
      </c>
      <c r="AA49" s="67" t="s">
        <v>123</v>
      </c>
      <c r="AB49" s="67"/>
      <c r="AC49" s="67" t="e">
        <v>#REF!</v>
      </c>
      <c r="AD49" s="67"/>
      <c r="AE49" s="67" t="s">
        <v>562</v>
      </c>
      <c r="AF49" s="67">
        <v>0</v>
      </c>
      <c r="AG49" s="67" t="s">
        <v>126</v>
      </c>
      <c r="AH49" s="67">
        <v>0</v>
      </c>
      <c r="AI49" s="67" t="s">
        <v>1365</v>
      </c>
      <c r="AJ49" s="67" t="s">
        <v>1366</v>
      </c>
      <c r="AK49" s="67" t="s">
        <v>1367</v>
      </c>
      <c r="AL49" s="67" t="s">
        <v>131</v>
      </c>
      <c r="AM49" s="67" t="s">
        <v>132</v>
      </c>
      <c r="AN49" s="67"/>
      <c r="AO49" s="67"/>
      <c r="AP49" s="67"/>
      <c r="AQ49" s="70" t="s">
        <v>1362</v>
      </c>
      <c r="AR49" s="67"/>
      <c r="AS49" s="67"/>
      <c r="AT49" s="67" t="s">
        <v>47</v>
      </c>
      <c r="AU49" s="67"/>
      <c r="AV49" s="67"/>
      <c r="AW49" s="67"/>
      <c r="AX49" s="67"/>
      <c r="AY49" s="67"/>
      <c r="AZ49" s="67"/>
      <c r="BA49" s="67"/>
      <c r="BB49" s="67"/>
      <c r="BC49" s="67"/>
      <c r="BD49" s="67" t="s">
        <v>1368</v>
      </c>
      <c r="BE49" s="67"/>
      <c r="BF49" s="67"/>
      <c r="BG49" s="67"/>
      <c r="BH49" s="71"/>
      <c r="BI49" s="67"/>
      <c r="BJ49" s="67"/>
      <c r="BK49" s="67"/>
      <c r="BL49" s="67"/>
      <c r="BM49" s="67" t="s">
        <v>1369</v>
      </c>
    </row>
    <row r="50" spans="1:65" x14ac:dyDescent="0.3">
      <c r="A50" s="67" t="s">
        <v>1370</v>
      </c>
      <c r="B50" s="67" t="s">
        <v>1371</v>
      </c>
      <c r="C50" s="67" t="s">
        <v>1271</v>
      </c>
      <c r="D50" s="67" t="s">
        <v>1272</v>
      </c>
      <c r="E50" s="67" t="s">
        <v>142</v>
      </c>
      <c r="F50" s="67" t="s">
        <v>143</v>
      </c>
      <c r="G50" s="67">
        <v>7</v>
      </c>
      <c r="H50" s="67" t="s">
        <v>1005</v>
      </c>
      <c r="I50" s="68">
        <v>45505</v>
      </c>
      <c r="J50" s="67">
        <v>214</v>
      </c>
      <c r="K50" s="67" t="s">
        <v>145</v>
      </c>
      <c r="L50" s="67" t="s">
        <v>117</v>
      </c>
      <c r="M50" s="67" t="s">
        <v>118</v>
      </c>
      <c r="N50" s="67" t="s">
        <v>1372</v>
      </c>
      <c r="O50" s="67" t="s">
        <v>119</v>
      </c>
      <c r="P50" s="69">
        <v>16000</v>
      </c>
      <c r="Q50" s="69"/>
      <c r="R50" s="69">
        <v>16000</v>
      </c>
      <c r="S50" s="69"/>
      <c r="T50" s="69">
        <v>16000</v>
      </c>
      <c r="U50" s="67">
        <v>5210101581</v>
      </c>
      <c r="V50" s="67" t="s">
        <v>120</v>
      </c>
      <c r="W50" s="67" t="s">
        <v>39</v>
      </c>
      <c r="X50" s="67" t="s">
        <v>123</v>
      </c>
      <c r="Y50" s="67" t="s">
        <v>124</v>
      </c>
      <c r="Z50" s="67" t="s">
        <v>1373</v>
      </c>
      <c r="AA50" s="67" t="s">
        <v>123</v>
      </c>
      <c r="AB50" s="67"/>
      <c r="AC50" s="67" t="e">
        <v>#REF!</v>
      </c>
      <c r="AD50" s="67"/>
      <c r="AE50" s="67" t="s">
        <v>147</v>
      </c>
      <c r="AF50" s="67">
        <v>0</v>
      </c>
      <c r="AG50" s="67" t="s">
        <v>126</v>
      </c>
      <c r="AH50" s="67" t="s">
        <v>148</v>
      </c>
      <c r="AI50" s="67" t="s">
        <v>149</v>
      </c>
      <c r="AJ50" s="67" t="s">
        <v>150</v>
      </c>
      <c r="AK50" s="67" t="s">
        <v>151</v>
      </c>
      <c r="AL50" s="67" t="s">
        <v>131</v>
      </c>
      <c r="AM50" s="67" t="s">
        <v>132</v>
      </c>
      <c r="AN50" s="67"/>
      <c r="AO50" s="67"/>
      <c r="AP50" s="67"/>
      <c r="AQ50" s="70" t="s">
        <v>1374</v>
      </c>
      <c r="AR50" s="68">
        <v>45505</v>
      </c>
      <c r="AS50" s="67" t="s">
        <v>1375</v>
      </c>
      <c r="AT50" s="67" t="s">
        <v>39</v>
      </c>
      <c r="AU50" s="67"/>
      <c r="AV50" s="67"/>
      <c r="AW50" s="67" t="s">
        <v>1376</v>
      </c>
      <c r="AX50" s="67" t="s">
        <v>1377</v>
      </c>
      <c r="AY50" s="67">
        <v>117399</v>
      </c>
      <c r="AZ50" s="67" t="s">
        <v>157</v>
      </c>
      <c r="BA50" s="67">
        <v>4100</v>
      </c>
      <c r="BB50" s="67" t="s">
        <v>158</v>
      </c>
      <c r="BC50" s="67">
        <v>100062724</v>
      </c>
      <c r="BD50" s="67"/>
      <c r="BE50" s="67"/>
      <c r="BF50" s="67"/>
      <c r="BG50" s="67"/>
      <c r="BH50" s="71"/>
      <c r="BI50" s="67"/>
      <c r="BJ50" s="67"/>
      <c r="BK50" s="67"/>
      <c r="BL50" s="67"/>
      <c r="BM50" s="67"/>
    </row>
    <row r="51" spans="1:65" x14ac:dyDescent="0.3">
      <c r="A51" s="67" t="s">
        <v>1378</v>
      </c>
      <c r="B51" s="67" t="s">
        <v>1379</v>
      </c>
      <c r="C51" s="67" t="s">
        <v>1380</v>
      </c>
      <c r="D51" s="67" t="s">
        <v>1381</v>
      </c>
      <c r="E51" s="67" t="s">
        <v>142</v>
      </c>
      <c r="F51" s="67" t="s">
        <v>143</v>
      </c>
      <c r="G51" s="67">
        <v>7</v>
      </c>
      <c r="H51" s="67" t="s">
        <v>1006</v>
      </c>
      <c r="I51" s="68">
        <v>45541</v>
      </c>
      <c r="J51" s="67">
        <v>7</v>
      </c>
      <c r="K51" s="67" t="s">
        <v>145</v>
      </c>
      <c r="L51" s="67" t="s">
        <v>117</v>
      </c>
      <c r="M51" s="67" t="s">
        <v>118</v>
      </c>
      <c r="N51" s="67" t="s">
        <v>1382</v>
      </c>
      <c r="O51" s="67" t="s">
        <v>119</v>
      </c>
      <c r="P51" s="69">
        <v>7735</v>
      </c>
      <c r="Q51" s="69"/>
      <c r="R51" s="69">
        <v>7735</v>
      </c>
      <c r="S51" s="69"/>
      <c r="T51" s="69">
        <v>7735</v>
      </c>
      <c r="U51" s="67">
        <v>5210101581</v>
      </c>
      <c r="V51" s="67" t="s">
        <v>120</v>
      </c>
      <c r="W51" s="67" t="s">
        <v>39</v>
      </c>
      <c r="X51" s="67" t="s">
        <v>123</v>
      </c>
      <c r="Y51" s="67" t="s">
        <v>124</v>
      </c>
      <c r="Z51" s="67" t="s">
        <v>1383</v>
      </c>
      <c r="AA51" s="67" t="s">
        <v>123</v>
      </c>
      <c r="AB51" s="67"/>
      <c r="AC51" s="67" t="e">
        <v>#REF!</v>
      </c>
      <c r="AD51" s="67"/>
      <c r="AE51" s="67" t="s">
        <v>147</v>
      </c>
      <c r="AF51" s="67">
        <v>0</v>
      </c>
      <c r="AG51" s="67" t="s">
        <v>126</v>
      </c>
      <c r="AH51" s="67" t="s">
        <v>148</v>
      </c>
      <c r="AI51" s="67" t="s">
        <v>149</v>
      </c>
      <c r="AJ51" s="67" t="s">
        <v>150</v>
      </c>
      <c r="AK51" s="67" t="s">
        <v>151</v>
      </c>
      <c r="AL51" s="67" t="s">
        <v>131</v>
      </c>
      <c r="AM51" s="67" t="s">
        <v>132</v>
      </c>
      <c r="AN51" s="67"/>
      <c r="AO51" s="67"/>
      <c r="AP51" s="67"/>
      <c r="AQ51" s="70" t="s">
        <v>1384</v>
      </c>
      <c r="AR51" s="68">
        <v>45537</v>
      </c>
      <c r="AS51" s="67" t="s">
        <v>1385</v>
      </c>
      <c r="AT51" s="67" t="s">
        <v>39</v>
      </c>
      <c r="AU51" s="67"/>
      <c r="AV51" s="67"/>
      <c r="AW51" s="67" t="s">
        <v>1386</v>
      </c>
      <c r="AX51" s="67" t="s">
        <v>1387</v>
      </c>
      <c r="AY51" s="67">
        <v>117399</v>
      </c>
      <c r="AZ51" s="67" t="s">
        <v>157</v>
      </c>
      <c r="BA51" s="67">
        <v>4100</v>
      </c>
      <c r="BB51" s="67" t="s">
        <v>158</v>
      </c>
      <c r="BC51" s="67">
        <v>100063226</v>
      </c>
      <c r="BD51" s="67"/>
      <c r="BE51" s="67"/>
      <c r="BF51" s="67"/>
      <c r="BG51" s="67"/>
      <c r="BH51" s="71"/>
      <c r="BI51" s="67"/>
      <c r="BJ51" s="67"/>
      <c r="BK51" s="67"/>
      <c r="BL51" s="67"/>
      <c r="BM51" s="67"/>
    </row>
    <row r="52" spans="1:65" x14ac:dyDescent="0.3">
      <c r="A52" s="67" t="s">
        <v>1388</v>
      </c>
      <c r="B52" s="67" t="s">
        <v>1389</v>
      </c>
      <c r="C52" s="67" t="s">
        <v>1390</v>
      </c>
      <c r="D52" s="67" t="s">
        <v>1391</v>
      </c>
      <c r="E52" s="67" t="s">
        <v>172</v>
      </c>
      <c r="F52" s="67" t="s">
        <v>173</v>
      </c>
      <c r="G52" s="67">
        <v>7</v>
      </c>
      <c r="H52" s="67" t="s">
        <v>1005</v>
      </c>
      <c r="I52" s="68">
        <v>45532</v>
      </c>
      <c r="J52" s="67">
        <v>6</v>
      </c>
      <c r="K52" s="67" t="s">
        <v>145</v>
      </c>
      <c r="L52" s="67" t="s">
        <v>117</v>
      </c>
      <c r="M52" s="67" t="s">
        <v>118</v>
      </c>
      <c r="N52" s="67" t="s">
        <v>677</v>
      </c>
      <c r="O52" s="67" t="s">
        <v>119</v>
      </c>
      <c r="P52" s="69">
        <v>6359</v>
      </c>
      <c r="Q52" s="69"/>
      <c r="R52" s="69">
        <v>6359</v>
      </c>
      <c r="S52" s="69"/>
      <c r="T52" s="69">
        <v>6359</v>
      </c>
      <c r="U52" s="67">
        <v>5210101581</v>
      </c>
      <c r="V52" s="67" t="s">
        <v>120</v>
      </c>
      <c r="W52" s="67" t="s">
        <v>29</v>
      </c>
      <c r="X52" s="67" t="s">
        <v>123</v>
      </c>
      <c r="Y52" s="67" t="s">
        <v>124</v>
      </c>
      <c r="Z52" s="67" t="s">
        <v>1392</v>
      </c>
      <c r="AA52" s="67" t="s">
        <v>123</v>
      </c>
      <c r="AB52" s="67"/>
      <c r="AC52" s="67" t="e">
        <v>#REF!</v>
      </c>
      <c r="AD52" s="67"/>
      <c r="AE52" s="67" t="s">
        <v>147</v>
      </c>
      <c r="AF52" s="67">
        <v>0</v>
      </c>
      <c r="AG52" s="67" t="s">
        <v>126</v>
      </c>
      <c r="AH52" s="67" t="s">
        <v>148</v>
      </c>
      <c r="AI52" s="67" t="s">
        <v>149</v>
      </c>
      <c r="AJ52" s="67" t="s">
        <v>150</v>
      </c>
      <c r="AK52" s="67" t="s">
        <v>151</v>
      </c>
      <c r="AL52" s="67" t="s">
        <v>131</v>
      </c>
      <c r="AM52" s="67" t="s">
        <v>132</v>
      </c>
      <c r="AN52" s="67"/>
      <c r="AO52" s="67"/>
      <c r="AP52" s="67"/>
      <c r="AQ52" s="70" t="s">
        <v>1209</v>
      </c>
      <c r="AR52" s="67"/>
      <c r="AS52" s="67"/>
      <c r="AT52" s="67" t="s">
        <v>1085</v>
      </c>
      <c r="AU52" s="67"/>
      <c r="AV52" s="67"/>
      <c r="AW52" s="67"/>
      <c r="AX52" s="67"/>
      <c r="AY52" s="67">
        <v>325478774581</v>
      </c>
      <c r="AZ52" s="67"/>
      <c r="BA52" s="67" t="s">
        <v>679</v>
      </c>
      <c r="BB52" s="67"/>
      <c r="BC52" s="67" t="s">
        <v>1393</v>
      </c>
      <c r="BD52" s="67" t="s">
        <v>677</v>
      </c>
      <c r="BE52" s="67"/>
      <c r="BF52" s="67"/>
      <c r="BG52" s="67"/>
      <c r="BH52" s="71"/>
      <c r="BI52" s="67"/>
      <c r="BJ52" s="67"/>
      <c r="BK52" s="67"/>
      <c r="BL52" s="67"/>
      <c r="BM52" s="67">
        <v>4100</v>
      </c>
    </row>
    <row r="53" spans="1:65" x14ac:dyDescent="0.3">
      <c r="A53" s="67" t="s">
        <v>1394</v>
      </c>
      <c r="B53" s="67" t="s">
        <v>1395</v>
      </c>
      <c r="C53" s="67" t="s">
        <v>1396</v>
      </c>
      <c r="D53" s="67" t="s">
        <v>1397</v>
      </c>
      <c r="E53" s="67" t="s">
        <v>172</v>
      </c>
      <c r="F53" s="67" t="s">
        <v>173</v>
      </c>
      <c r="G53" s="67">
        <v>7</v>
      </c>
      <c r="H53" s="67" t="s">
        <v>1006</v>
      </c>
      <c r="I53" s="68">
        <v>45560</v>
      </c>
      <c r="J53" s="67">
        <v>2</v>
      </c>
      <c r="K53" s="67" t="s">
        <v>145</v>
      </c>
      <c r="L53" s="67" t="s">
        <v>117</v>
      </c>
      <c r="M53" s="67" t="s">
        <v>118</v>
      </c>
      <c r="N53" s="67" t="s">
        <v>677</v>
      </c>
      <c r="O53" s="67" t="s">
        <v>119</v>
      </c>
      <c r="P53" s="69">
        <v>5985</v>
      </c>
      <c r="Q53" s="69"/>
      <c r="R53" s="69">
        <v>5985</v>
      </c>
      <c r="S53" s="69"/>
      <c r="T53" s="69">
        <v>5985</v>
      </c>
      <c r="U53" s="67">
        <v>5210101581</v>
      </c>
      <c r="V53" s="67" t="s">
        <v>120</v>
      </c>
      <c r="W53" s="67" t="s">
        <v>29</v>
      </c>
      <c r="X53" s="67" t="s">
        <v>123</v>
      </c>
      <c r="Y53" s="67" t="s">
        <v>124</v>
      </c>
      <c r="Z53" s="67" t="s">
        <v>1398</v>
      </c>
      <c r="AA53" s="67" t="s">
        <v>123</v>
      </c>
      <c r="AB53" s="67"/>
      <c r="AC53" s="67" t="e">
        <v>#REF!</v>
      </c>
      <c r="AD53" s="67"/>
      <c r="AE53" s="67" t="s">
        <v>147</v>
      </c>
      <c r="AF53" s="67">
        <v>0</v>
      </c>
      <c r="AG53" s="67" t="s">
        <v>126</v>
      </c>
      <c r="AH53" s="67" t="s">
        <v>148</v>
      </c>
      <c r="AI53" s="67" t="s">
        <v>149</v>
      </c>
      <c r="AJ53" s="67" t="s">
        <v>150</v>
      </c>
      <c r="AK53" s="67" t="s">
        <v>151</v>
      </c>
      <c r="AL53" s="67" t="s">
        <v>131</v>
      </c>
      <c r="AM53" s="67" t="s">
        <v>132</v>
      </c>
      <c r="AN53" s="67"/>
      <c r="AO53" s="67"/>
      <c r="AP53" s="67"/>
      <c r="AQ53" s="70" t="s">
        <v>1209</v>
      </c>
      <c r="AR53" s="67"/>
      <c r="AS53" s="67"/>
      <c r="AT53" s="67" t="s">
        <v>1085</v>
      </c>
      <c r="AU53" s="67"/>
      <c r="AV53" s="67"/>
      <c r="AW53" s="67"/>
      <c r="AX53" s="67"/>
      <c r="AY53" s="67" t="s">
        <v>1209</v>
      </c>
      <c r="AZ53" s="67"/>
      <c r="BA53" s="67" t="s">
        <v>679</v>
      </c>
      <c r="BB53" s="67"/>
      <c r="BC53" s="67">
        <v>325313945880</v>
      </c>
      <c r="BD53" s="67" t="s">
        <v>677</v>
      </c>
      <c r="BE53" s="67"/>
      <c r="BF53" s="67"/>
      <c r="BG53" s="67"/>
      <c r="BH53" s="71"/>
      <c r="BI53" s="67"/>
      <c r="BJ53" s="67"/>
      <c r="BK53" s="67"/>
      <c r="BL53" s="67"/>
      <c r="BM53" s="67">
        <v>4100</v>
      </c>
    </row>
    <row r="54" spans="1:65" x14ac:dyDescent="0.3">
      <c r="A54" s="67" t="s">
        <v>1399</v>
      </c>
      <c r="B54" s="67" t="s">
        <v>1400</v>
      </c>
      <c r="C54" s="67" t="s">
        <v>1401</v>
      </c>
      <c r="D54" s="67" t="s">
        <v>1402</v>
      </c>
      <c r="E54" s="67" t="s">
        <v>172</v>
      </c>
      <c r="F54" s="67" t="s">
        <v>173</v>
      </c>
      <c r="G54" s="67">
        <v>7</v>
      </c>
      <c r="H54" s="67" t="s">
        <v>1004</v>
      </c>
      <c r="I54" s="68">
        <v>45502</v>
      </c>
      <c r="J54" s="67">
        <v>6</v>
      </c>
      <c r="K54" s="67" t="s">
        <v>145</v>
      </c>
      <c r="L54" s="67" t="s">
        <v>117</v>
      </c>
      <c r="M54" s="67" t="s">
        <v>118</v>
      </c>
      <c r="N54" s="67" t="s">
        <v>677</v>
      </c>
      <c r="O54" s="67" t="s">
        <v>119</v>
      </c>
      <c r="P54" s="69">
        <v>5042</v>
      </c>
      <c r="Q54" s="69"/>
      <c r="R54" s="69">
        <v>5042</v>
      </c>
      <c r="S54" s="69"/>
      <c r="T54" s="69">
        <v>5042</v>
      </c>
      <c r="U54" s="67">
        <v>5210101581</v>
      </c>
      <c r="V54" s="67" t="s">
        <v>120</v>
      </c>
      <c r="W54" s="67" t="s">
        <v>29</v>
      </c>
      <c r="X54" s="67" t="s">
        <v>123</v>
      </c>
      <c r="Y54" s="67" t="s">
        <v>124</v>
      </c>
      <c r="Z54" s="67" t="s">
        <v>1403</v>
      </c>
      <c r="AA54" s="67" t="s">
        <v>123</v>
      </c>
      <c r="AB54" s="67"/>
      <c r="AC54" s="67" t="e">
        <v>#REF!</v>
      </c>
      <c r="AD54" s="67"/>
      <c r="AE54" s="67" t="s">
        <v>147</v>
      </c>
      <c r="AF54" s="67">
        <v>0</v>
      </c>
      <c r="AG54" s="67" t="s">
        <v>126</v>
      </c>
      <c r="AH54" s="67" t="s">
        <v>148</v>
      </c>
      <c r="AI54" s="67" t="s">
        <v>149</v>
      </c>
      <c r="AJ54" s="67" t="s">
        <v>150</v>
      </c>
      <c r="AK54" s="67" t="s">
        <v>151</v>
      </c>
      <c r="AL54" s="67" t="s">
        <v>131</v>
      </c>
      <c r="AM54" s="67" t="s">
        <v>132</v>
      </c>
      <c r="AN54" s="67"/>
      <c r="AO54" s="67"/>
      <c r="AP54" s="67"/>
      <c r="AQ54" s="70" t="s">
        <v>1209</v>
      </c>
      <c r="AR54" s="67"/>
      <c r="AS54" s="67"/>
      <c r="AT54" s="67" t="s">
        <v>1085</v>
      </c>
      <c r="AU54" s="67"/>
      <c r="AV54" s="67"/>
      <c r="AW54" s="67"/>
      <c r="AX54" s="67"/>
      <c r="AY54" s="67">
        <v>325637975618</v>
      </c>
      <c r="AZ54" s="67"/>
      <c r="BA54" s="67" t="s">
        <v>679</v>
      </c>
      <c r="BB54" s="67"/>
      <c r="BC54" s="67" t="s">
        <v>1393</v>
      </c>
      <c r="BD54" s="67" t="s">
        <v>677</v>
      </c>
      <c r="BE54" s="67"/>
      <c r="BF54" s="67"/>
      <c r="BG54" s="67"/>
      <c r="BH54" s="71"/>
      <c r="BI54" s="67"/>
      <c r="BJ54" s="67"/>
      <c r="BK54" s="67"/>
      <c r="BL54" s="67"/>
      <c r="BM54" s="67">
        <v>4100</v>
      </c>
    </row>
    <row r="55" spans="1:65" x14ac:dyDescent="0.3">
      <c r="A55" s="67" t="s">
        <v>1404</v>
      </c>
      <c r="B55" s="67" t="s">
        <v>1405</v>
      </c>
      <c r="C55" s="67" t="s">
        <v>1406</v>
      </c>
      <c r="D55" s="67" t="s">
        <v>1407</v>
      </c>
      <c r="E55" s="67" t="s">
        <v>142</v>
      </c>
      <c r="F55" s="67" t="s">
        <v>143</v>
      </c>
      <c r="G55" s="67">
        <v>7</v>
      </c>
      <c r="H55" s="67" t="s">
        <v>1004</v>
      </c>
      <c r="I55" s="68">
        <v>45475</v>
      </c>
      <c r="J55" s="67">
        <v>22</v>
      </c>
      <c r="K55" s="67" t="s">
        <v>145</v>
      </c>
      <c r="L55" s="67" t="s">
        <v>117</v>
      </c>
      <c r="M55" s="67" t="s">
        <v>118</v>
      </c>
      <c r="N55" s="67" t="s">
        <v>1408</v>
      </c>
      <c r="O55" s="67" t="s">
        <v>119</v>
      </c>
      <c r="P55" s="69">
        <v>428</v>
      </c>
      <c r="Q55" s="69"/>
      <c r="R55" s="69">
        <v>428</v>
      </c>
      <c r="S55" s="69"/>
      <c r="T55" s="69">
        <v>428</v>
      </c>
      <c r="U55" s="67">
        <v>5210101581</v>
      </c>
      <c r="V55" s="67" t="s">
        <v>120</v>
      </c>
      <c r="W55" s="67" t="s">
        <v>39</v>
      </c>
      <c r="X55" s="67" t="s">
        <v>123</v>
      </c>
      <c r="Y55" s="67" t="s">
        <v>124</v>
      </c>
      <c r="Z55" s="67" t="s">
        <v>1409</v>
      </c>
      <c r="AA55" s="67" t="s">
        <v>123</v>
      </c>
      <c r="AB55" s="67"/>
      <c r="AC55" s="67" t="e">
        <v>#REF!</v>
      </c>
      <c r="AD55" s="67"/>
      <c r="AE55" s="67" t="s">
        <v>147</v>
      </c>
      <c r="AF55" s="67">
        <v>0</v>
      </c>
      <c r="AG55" s="67" t="s">
        <v>126</v>
      </c>
      <c r="AH55" s="67" t="s">
        <v>148</v>
      </c>
      <c r="AI55" s="67" t="s">
        <v>149</v>
      </c>
      <c r="AJ55" s="67" t="s">
        <v>150</v>
      </c>
      <c r="AK55" s="67" t="s">
        <v>151</v>
      </c>
      <c r="AL55" s="67" t="s">
        <v>131</v>
      </c>
      <c r="AM55" s="67" t="s">
        <v>132</v>
      </c>
      <c r="AN55" s="67"/>
      <c r="AO55" s="67"/>
      <c r="AP55" s="67"/>
      <c r="AQ55" s="70" t="s">
        <v>1410</v>
      </c>
      <c r="AR55" s="68">
        <v>45475</v>
      </c>
      <c r="AS55" s="67" t="s">
        <v>1411</v>
      </c>
      <c r="AT55" s="67" t="s">
        <v>39</v>
      </c>
      <c r="AU55" s="67"/>
      <c r="AV55" s="67"/>
      <c r="AW55" s="67" t="s">
        <v>1412</v>
      </c>
      <c r="AX55" s="67" t="s">
        <v>1413</v>
      </c>
      <c r="AY55" s="67">
        <v>117399</v>
      </c>
      <c r="AZ55" s="67" t="s">
        <v>157</v>
      </c>
      <c r="BA55" s="67">
        <v>4100</v>
      </c>
      <c r="BB55" s="67" t="s">
        <v>158</v>
      </c>
      <c r="BC55" s="67">
        <v>100062315</v>
      </c>
      <c r="BD55" s="67"/>
      <c r="BE55" s="67"/>
      <c r="BF55" s="67"/>
      <c r="BG55" s="67"/>
      <c r="BH55" s="71"/>
      <c r="BI55" s="67"/>
      <c r="BJ55" s="67"/>
      <c r="BK55" s="67"/>
      <c r="BL55" s="67"/>
      <c r="BM55" s="67"/>
    </row>
    <row r="56" spans="1:65" x14ac:dyDescent="0.3">
      <c r="A56" s="67" t="s">
        <v>1414</v>
      </c>
      <c r="B56" s="67" t="s">
        <v>1415</v>
      </c>
      <c r="C56" s="67" t="s">
        <v>1416</v>
      </c>
      <c r="D56" s="67" t="s">
        <v>1417</v>
      </c>
      <c r="E56" s="67" t="s">
        <v>142</v>
      </c>
      <c r="F56" s="67" t="s">
        <v>143</v>
      </c>
      <c r="G56" s="67">
        <v>7</v>
      </c>
      <c r="H56" s="67" t="s">
        <v>1007</v>
      </c>
      <c r="I56" s="68">
        <v>45580</v>
      </c>
      <c r="J56" s="67">
        <v>60</v>
      </c>
      <c r="K56" s="67" t="s">
        <v>145</v>
      </c>
      <c r="L56" s="67" t="s">
        <v>117</v>
      </c>
      <c r="M56" s="67" t="s">
        <v>118</v>
      </c>
      <c r="N56" s="67" t="s">
        <v>1418</v>
      </c>
      <c r="O56" s="67" t="s">
        <v>119</v>
      </c>
      <c r="P56" s="69">
        <v>9768000</v>
      </c>
      <c r="Q56" s="69"/>
      <c r="R56" s="69">
        <v>9768000</v>
      </c>
      <c r="S56" s="69"/>
      <c r="T56" s="69">
        <v>9768000</v>
      </c>
      <c r="U56" s="67">
        <v>5210101581</v>
      </c>
      <c r="V56" s="67" t="s">
        <v>120</v>
      </c>
      <c r="W56" s="67" t="s">
        <v>154</v>
      </c>
      <c r="X56" s="67" t="s">
        <v>123</v>
      </c>
      <c r="Y56" s="67" t="s">
        <v>124</v>
      </c>
      <c r="Z56" s="67" t="s">
        <v>1419</v>
      </c>
      <c r="AA56" s="67" t="s">
        <v>123</v>
      </c>
      <c r="AB56" s="67"/>
      <c r="AC56" s="67" t="e">
        <v>#REF!</v>
      </c>
      <c r="AD56" s="67"/>
      <c r="AE56" s="67" t="s">
        <v>147</v>
      </c>
      <c r="AF56" s="67">
        <v>0</v>
      </c>
      <c r="AG56" s="67" t="s">
        <v>126</v>
      </c>
      <c r="AH56" s="67" t="s">
        <v>148</v>
      </c>
      <c r="AI56" s="67" t="s">
        <v>149</v>
      </c>
      <c r="AJ56" s="67" t="s">
        <v>150</v>
      </c>
      <c r="AK56" s="67" t="s">
        <v>151</v>
      </c>
      <c r="AL56" s="67" t="s">
        <v>131</v>
      </c>
      <c r="AM56" s="67" t="s">
        <v>132</v>
      </c>
      <c r="AN56" s="67"/>
      <c r="AO56" s="67"/>
      <c r="AP56" s="67"/>
      <c r="AQ56" s="70" t="s">
        <v>1420</v>
      </c>
      <c r="AR56" s="68">
        <v>45568</v>
      </c>
      <c r="AS56" s="67" t="s">
        <v>1421</v>
      </c>
      <c r="AT56" s="67" t="s">
        <v>154</v>
      </c>
      <c r="AU56" s="67"/>
      <c r="AV56" s="67"/>
      <c r="AW56" s="67" t="s">
        <v>1422</v>
      </c>
      <c r="AX56" s="67" t="s">
        <v>1039</v>
      </c>
      <c r="AY56" s="67">
        <v>117399</v>
      </c>
      <c r="AZ56" s="67" t="s">
        <v>157</v>
      </c>
      <c r="BA56" s="67">
        <v>4100</v>
      </c>
      <c r="BB56" s="67" t="s">
        <v>158</v>
      </c>
      <c r="BC56" s="67">
        <v>100061150</v>
      </c>
      <c r="BD56" s="67"/>
      <c r="BE56" s="67"/>
      <c r="BF56" s="67"/>
      <c r="BG56" s="67"/>
      <c r="BH56" s="67"/>
      <c r="BI56" s="67"/>
      <c r="BJ56" s="67"/>
      <c r="BK56" s="67"/>
      <c r="BL56" s="67"/>
      <c r="BM56" s="67"/>
    </row>
    <row r="57" spans="1:65" x14ac:dyDescent="0.3">
      <c r="A57" s="67" t="s">
        <v>1423</v>
      </c>
      <c r="B57" s="67" t="s">
        <v>1424</v>
      </c>
      <c r="C57" s="67" t="s">
        <v>1425</v>
      </c>
      <c r="D57" s="67" t="s">
        <v>1426</v>
      </c>
      <c r="E57" s="67" t="s">
        <v>142</v>
      </c>
      <c r="F57" s="67" t="s">
        <v>143</v>
      </c>
      <c r="G57" s="67">
        <v>7</v>
      </c>
      <c r="H57" s="67" t="s">
        <v>1008</v>
      </c>
      <c r="I57" s="68">
        <v>45610</v>
      </c>
      <c r="J57" s="67">
        <v>94</v>
      </c>
      <c r="K57" s="67" t="s">
        <v>145</v>
      </c>
      <c r="L57" s="67" t="s">
        <v>117</v>
      </c>
      <c r="M57" s="67" t="s">
        <v>118</v>
      </c>
      <c r="N57" s="67" t="s">
        <v>1427</v>
      </c>
      <c r="O57" s="67" t="s">
        <v>119</v>
      </c>
      <c r="P57" s="69">
        <v>9768000</v>
      </c>
      <c r="Q57" s="69"/>
      <c r="R57" s="69">
        <v>9768000</v>
      </c>
      <c r="S57" s="69"/>
      <c r="T57" s="69">
        <v>9768000</v>
      </c>
      <c r="U57" s="67">
        <v>5210101581</v>
      </c>
      <c r="V57" s="67" t="s">
        <v>120</v>
      </c>
      <c r="W57" s="67" t="s">
        <v>154</v>
      </c>
      <c r="X57" s="67" t="s">
        <v>123</v>
      </c>
      <c r="Y57" s="67" t="s">
        <v>124</v>
      </c>
      <c r="Z57" s="67" t="s">
        <v>1428</v>
      </c>
      <c r="AA57" s="67" t="s">
        <v>123</v>
      </c>
      <c r="AB57" s="67"/>
      <c r="AC57" s="67" t="e">
        <v>#REF!</v>
      </c>
      <c r="AD57" s="67"/>
      <c r="AE57" s="67" t="s">
        <v>147</v>
      </c>
      <c r="AF57" s="67">
        <v>0</v>
      </c>
      <c r="AG57" s="67" t="s">
        <v>126</v>
      </c>
      <c r="AH57" s="67" t="s">
        <v>148</v>
      </c>
      <c r="AI57" s="67" t="s">
        <v>149</v>
      </c>
      <c r="AJ57" s="67" t="s">
        <v>150</v>
      </c>
      <c r="AK57" s="67" t="s">
        <v>151</v>
      </c>
      <c r="AL57" s="67" t="s">
        <v>131</v>
      </c>
      <c r="AM57" s="67" t="s">
        <v>132</v>
      </c>
      <c r="AN57" s="67"/>
      <c r="AO57" s="67"/>
      <c r="AP57" s="67"/>
      <c r="AQ57" s="70" t="s">
        <v>1429</v>
      </c>
      <c r="AR57" s="68">
        <v>45600</v>
      </c>
      <c r="AS57" s="67" t="s">
        <v>1430</v>
      </c>
      <c r="AT57" s="67" t="s">
        <v>154</v>
      </c>
      <c r="AU57" s="67"/>
      <c r="AV57" s="67"/>
      <c r="AW57" s="67" t="s">
        <v>1431</v>
      </c>
      <c r="AX57" s="67" t="s">
        <v>1039</v>
      </c>
      <c r="AY57" s="67">
        <v>117399</v>
      </c>
      <c r="AZ57" s="67" t="s">
        <v>157</v>
      </c>
      <c r="BA57" s="67">
        <v>4100</v>
      </c>
      <c r="BB57" s="67" t="s">
        <v>158</v>
      </c>
      <c r="BC57" s="67">
        <v>100061150</v>
      </c>
      <c r="BD57" s="67"/>
      <c r="BE57" s="67"/>
      <c r="BF57" s="67"/>
      <c r="BG57" s="67"/>
      <c r="BH57" s="67"/>
      <c r="BI57" s="67"/>
      <c r="BJ57" s="67"/>
      <c r="BK57" s="67"/>
      <c r="BL57" s="67"/>
      <c r="BM57" s="67"/>
    </row>
    <row r="58" spans="1:65" x14ac:dyDescent="0.3">
      <c r="A58" s="67" t="s">
        <v>1432</v>
      </c>
      <c r="B58" s="67" t="s">
        <v>1433</v>
      </c>
      <c r="C58" s="67" t="s">
        <v>1434</v>
      </c>
      <c r="D58" s="67" t="s">
        <v>1435</v>
      </c>
      <c r="E58" s="67" t="s">
        <v>142</v>
      </c>
      <c r="F58" s="67" t="s">
        <v>143</v>
      </c>
      <c r="G58" s="67">
        <v>7</v>
      </c>
      <c r="H58" s="67" t="s">
        <v>1009</v>
      </c>
      <c r="I58" s="68">
        <v>45650</v>
      </c>
      <c r="J58" s="67">
        <v>77</v>
      </c>
      <c r="K58" s="67" t="s">
        <v>145</v>
      </c>
      <c r="L58" s="67" t="s">
        <v>117</v>
      </c>
      <c r="M58" s="67" t="s">
        <v>118</v>
      </c>
      <c r="N58" s="67" t="s">
        <v>1436</v>
      </c>
      <c r="O58" s="67" t="s">
        <v>119</v>
      </c>
      <c r="P58" s="69">
        <v>9768000</v>
      </c>
      <c r="Q58" s="69"/>
      <c r="R58" s="69">
        <v>9768000</v>
      </c>
      <c r="S58" s="69"/>
      <c r="T58" s="69">
        <v>9768000</v>
      </c>
      <c r="U58" s="67">
        <v>5210101581</v>
      </c>
      <c r="V58" s="67" t="s">
        <v>120</v>
      </c>
      <c r="W58" s="67" t="s">
        <v>154</v>
      </c>
      <c r="X58" s="67" t="s">
        <v>123</v>
      </c>
      <c r="Y58" s="67" t="s">
        <v>124</v>
      </c>
      <c r="Z58" s="67" t="s">
        <v>1437</v>
      </c>
      <c r="AA58" s="67" t="s">
        <v>123</v>
      </c>
      <c r="AB58" s="67"/>
      <c r="AC58" s="67" t="e">
        <v>#REF!</v>
      </c>
      <c r="AD58" s="67"/>
      <c r="AE58" s="67" t="s">
        <v>147</v>
      </c>
      <c r="AF58" s="67">
        <v>0</v>
      </c>
      <c r="AG58" s="67" t="s">
        <v>126</v>
      </c>
      <c r="AH58" s="67" t="s">
        <v>148</v>
      </c>
      <c r="AI58" s="67" t="s">
        <v>149</v>
      </c>
      <c r="AJ58" s="67" t="s">
        <v>150</v>
      </c>
      <c r="AK58" s="67" t="s">
        <v>151</v>
      </c>
      <c r="AL58" s="67" t="s">
        <v>131</v>
      </c>
      <c r="AM58" s="67" t="s">
        <v>132</v>
      </c>
      <c r="AN58" s="67"/>
      <c r="AO58" s="67"/>
      <c r="AP58" s="67"/>
      <c r="AQ58" s="70" t="s">
        <v>1438</v>
      </c>
      <c r="AR58" s="68">
        <v>45631</v>
      </c>
      <c r="AS58" s="67" t="s">
        <v>1439</v>
      </c>
      <c r="AT58" s="67" t="s">
        <v>154</v>
      </c>
      <c r="AU58" s="67"/>
      <c r="AV58" s="67"/>
      <c r="AW58" s="67" t="s">
        <v>1440</v>
      </c>
      <c r="AX58" s="67" t="s">
        <v>1039</v>
      </c>
      <c r="AY58" s="67">
        <v>117399</v>
      </c>
      <c r="AZ58" s="67" t="s">
        <v>157</v>
      </c>
      <c r="BA58" s="67">
        <v>4100</v>
      </c>
      <c r="BB58" s="67" t="s">
        <v>158</v>
      </c>
      <c r="BC58" s="67">
        <v>100061150</v>
      </c>
      <c r="BD58" s="67"/>
      <c r="BE58" s="67"/>
      <c r="BF58" s="67"/>
      <c r="BG58" s="67"/>
      <c r="BH58" s="67"/>
      <c r="BI58" s="67"/>
      <c r="BJ58" s="67"/>
      <c r="BK58" s="67"/>
      <c r="BL58" s="67"/>
      <c r="BM58" s="67"/>
    </row>
    <row r="59" spans="1:65" x14ac:dyDescent="0.3">
      <c r="A59" s="67" t="s">
        <v>1441</v>
      </c>
      <c r="B59" s="67" t="s">
        <v>1442</v>
      </c>
      <c r="C59" s="67" t="s">
        <v>1443</v>
      </c>
      <c r="D59" s="67" t="s">
        <v>1444</v>
      </c>
      <c r="E59" s="67" t="s">
        <v>142</v>
      </c>
      <c r="F59" s="67" t="s">
        <v>143</v>
      </c>
      <c r="G59" s="67">
        <v>7</v>
      </c>
      <c r="H59" s="67" t="s">
        <v>1008</v>
      </c>
      <c r="I59" s="68">
        <v>45609</v>
      </c>
      <c r="J59" s="67">
        <v>71</v>
      </c>
      <c r="K59" s="67" t="s">
        <v>145</v>
      </c>
      <c r="L59" s="67" t="s">
        <v>117</v>
      </c>
      <c r="M59" s="67" t="s">
        <v>118</v>
      </c>
      <c r="N59" s="67" t="s">
        <v>1445</v>
      </c>
      <c r="O59" s="67" t="s">
        <v>119</v>
      </c>
      <c r="P59" s="69">
        <v>5490737</v>
      </c>
      <c r="Q59" s="69"/>
      <c r="R59" s="69">
        <v>5490737</v>
      </c>
      <c r="S59" s="69"/>
      <c r="T59" s="69">
        <v>5490737</v>
      </c>
      <c r="U59" s="67">
        <v>5210101581</v>
      </c>
      <c r="V59" s="67" t="s">
        <v>120</v>
      </c>
      <c r="W59" s="67" t="s">
        <v>29</v>
      </c>
      <c r="X59" s="67" t="s">
        <v>123</v>
      </c>
      <c r="Y59" s="67" t="s">
        <v>124</v>
      </c>
      <c r="Z59" s="67" t="s">
        <v>1446</v>
      </c>
      <c r="AA59" s="67" t="s">
        <v>123</v>
      </c>
      <c r="AB59" s="67"/>
      <c r="AC59" s="67" t="e">
        <v>#REF!</v>
      </c>
      <c r="AD59" s="67"/>
      <c r="AE59" s="67" t="s">
        <v>147</v>
      </c>
      <c r="AF59" s="67">
        <v>0</v>
      </c>
      <c r="AG59" s="67" t="s">
        <v>126</v>
      </c>
      <c r="AH59" s="67" t="s">
        <v>148</v>
      </c>
      <c r="AI59" s="67" t="s">
        <v>149</v>
      </c>
      <c r="AJ59" s="67" t="s">
        <v>150</v>
      </c>
      <c r="AK59" s="67" t="s">
        <v>151</v>
      </c>
      <c r="AL59" s="67" t="s">
        <v>131</v>
      </c>
      <c r="AM59" s="67" t="s">
        <v>132</v>
      </c>
      <c r="AN59" s="67"/>
      <c r="AO59" s="67"/>
      <c r="AP59" s="67"/>
      <c r="AQ59" s="70">
        <v>325999358756</v>
      </c>
      <c r="AR59" s="68">
        <v>45597</v>
      </c>
      <c r="AS59" s="67" t="s">
        <v>1447</v>
      </c>
      <c r="AT59" s="67" t="s">
        <v>29</v>
      </c>
      <c r="AU59" s="67"/>
      <c r="AV59" s="67"/>
      <c r="AW59" s="67" t="s">
        <v>1448</v>
      </c>
      <c r="AX59" s="67" t="s">
        <v>1073</v>
      </c>
      <c r="AY59" s="67">
        <v>117399</v>
      </c>
      <c r="AZ59" s="67" t="s">
        <v>157</v>
      </c>
      <c r="BA59" s="67">
        <v>4100</v>
      </c>
      <c r="BB59" s="67" t="s">
        <v>158</v>
      </c>
      <c r="BC59" s="67">
        <v>100060266</v>
      </c>
      <c r="BD59" s="67"/>
      <c r="BE59" s="67"/>
      <c r="BF59" s="67"/>
      <c r="BG59" s="67"/>
      <c r="BH59" s="67"/>
      <c r="BI59" s="67"/>
      <c r="BJ59" s="67"/>
      <c r="BK59" s="67"/>
      <c r="BL59" s="67"/>
      <c r="BM59" s="67"/>
    </row>
    <row r="60" spans="1:65" x14ac:dyDescent="0.3">
      <c r="A60" s="67" t="s">
        <v>1449</v>
      </c>
      <c r="B60" s="67" t="s">
        <v>1450</v>
      </c>
      <c r="C60" s="67" t="s">
        <v>1451</v>
      </c>
      <c r="D60" s="67" t="s">
        <v>1452</v>
      </c>
      <c r="E60" s="67" t="s">
        <v>142</v>
      </c>
      <c r="F60" s="67" t="s">
        <v>143</v>
      </c>
      <c r="G60" s="67">
        <v>7</v>
      </c>
      <c r="H60" s="67" t="s">
        <v>1007</v>
      </c>
      <c r="I60" s="68">
        <v>45576</v>
      </c>
      <c r="J60" s="67">
        <v>10</v>
      </c>
      <c r="K60" s="67" t="s">
        <v>145</v>
      </c>
      <c r="L60" s="67" t="s">
        <v>117</v>
      </c>
      <c r="M60" s="67" t="s">
        <v>118</v>
      </c>
      <c r="N60" s="67" t="s">
        <v>1453</v>
      </c>
      <c r="O60" s="67" t="s">
        <v>119</v>
      </c>
      <c r="P60" s="69">
        <v>5182574</v>
      </c>
      <c r="Q60" s="69"/>
      <c r="R60" s="69">
        <v>5182574</v>
      </c>
      <c r="S60" s="69"/>
      <c r="T60" s="69">
        <v>5182574</v>
      </c>
      <c r="U60" s="67">
        <v>5210101581</v>
      </c>
      <c r="V60" s="67" t="s">
        <v>120</v>
      </c>
      <c r="W60" s="67" t="s">
        <v>29</v>
      </c>
      <c r="X60" s="67" t="s">
        <v>123</v>
      </c>
      <c r="Y60" s="67" t="s">
        <v>124</v>
      </c>
      <c r="Z60" s="67" t="s">
        <v>1454</v>
      </c>
      <c r="AA60" s="67" t="s">
        <v>123</v>
      </c>
      <c r="AB60" s="67"/>
      <c r="AC60" s="67" t="e">
        <v>#REF!</v>
      </c>
      <c r="AD60" s="67"/>
      <c r="AE60" s="67" t="s">
        <v>147</v>
      </c>
      <c r="AF60" s="67">
        <v>0</v>
      </c>
      <c r="AG60" s="67" t="s">
        <v>126</v>
      </c>
      <c r="AH60" s="67" t="s">
        <v>148</v>
      </c>
      <c r="AI60" s="67" t="s">
        <v>149</v>
      </c>
      <c r="AJ60" s="67" t="s">
        <v>150</v>
      </c>
      <c r="AK60" s="67" t="s">
        <v>151</v>
      </c>
      <c r="AL60" s="67" t="s">
        <v>131</v>
      </c>
      <c r="AM60" s="67" t="s">
        <v>132</v>
      </c>
      <c r="AN60" s="67"/>
      <c r="AO60" s="67"/>
      <c r="AP60" s="67"/>
      <c r="AQ60" s="70">
        <v>325727840601</v>
      </c>
      <c r="AR60" s="68">
        <v>45566</v>
      </c>
      <c r="AS60" s="67" t="s">
        <v>1455</v>
      </c>
      <c r="AT60" s="67" t="s">
        <v>29</v>
      </c>
      <c r="AU60" s="67"/>
      <c r="AV60" s="67"/>
      <c r="AW60" s="67" t="s">
        <v>1456</v>
      </c>
      <c r="AX60" s="67" t="s">
        <v>1073</v>
      </c>
      <c r="AY60" s="67">
        <v>117399</v>
      </c>
      <c r="AZ60" s="67" t="s">
        <v>157</v>
      </c>
      <c r="BA60" s="67">
        <v>4100</v>
      </c>
      <c r="BB60" s="67" t="s">
        <v>158</v>
      </c>
      <c r="BC60" s="67">
        <v>100060266</v>
      </c>
      <c r="BD60" s="67"/>
      <c r="BE60" s="67"/>
      <c r="BF60" s="67"/>
      <c r="BG60" s="67"/>
      <c r="BH60" s="67"/>
      <c r="BI60" s="67"/>
      <c r="BJ60" s="67"/>
      <c r="BK60" s="67"/>
      <c r="BL60" s="67"/>
      <c r="BM60" s="67"/>
    </row>
    <row r="61" spans="1:65" x14ac:dyDescent="0.3">
      <c r="A61" s="67" t="s">
        <v>1457</v>
      </c>
      <c r="B61" s="67" t="s">
        <v>1458</v>
      </c>
      <c r="C61" s="67" t="s">
        <v>1459</v>
      </c>
      <c r="D61" s="67" t="s">
        <v>1460</v>
      </c>
      <c r="E61" s="67" t="s">
        <v>142</v>
      </c>
      <c r="F61" s="67" t="s">
        <v>143</v>
      </c>
      <c r="G61" s="67">
        <v>7</v>
      </c>
      <c r="H61" s="67" t="s">
        <v>1009</v>
      </c>
      <c r="I61" s="68">
        <v>45644</v>
      </c>
      <c r="J61" s="67">
        <v>44</v>
      </c>
      <c r="K61" s="67" t="s">
        <v>145</v>
      </c>
      <c r="L61" s="67" t="s">
        <v>117</v>
      </c>
      <c r="M61" s="67" t="s">
        <v>118</v>
      </c>
      <c r="N61" s="67" t="s">
        <v>1461</v>
      </c>
      <c r="O61" s="67" t="s">
        <v>119</v>
      </c>
      <c r="P61" s="69">
        <v>4909884</v>
      </c>
      <c r="Q61" s="69"/>
      <c r="R61" s="69">
        <v>4909884</v>
      </c>
      <c r="S61" s="69"/>
      <c r="T61" s="69">
        <v>4909884</v>
      </c>
      <c r="U61" s="67">
        <v>5210101581</v>
      </c>
      <c r="V61" s="67" t="s">
        <v>120</v>
      </c>
      <c r="W61" s="67" t="s">
        <v>29</v>
      </c>
      <c r="X61" s="67" t="s">
        <v>123</v>
      </c>
      <c r="Y61" s="67" t="s">
        <v>124</v>
      </c>
      <c r="Z61" s="67" t="s">
        <v>1462</v>
      </c>
      <c r="AA61" s="67" t="s">
        <v>123</v>
      </c>
      <c r="AB61" s="67"/>
      <c r="AC61" s="67" t="e">
        <v>#REF!</v>
      </c>
      <c r="AD61" s="67"/>
      <c r="AE61" s="67" t="s">
        <v>147</v>
      </c>
      <c r="AF61" s="67">
        <v>0</v>
      </c>
      <c r="AG61" s="67" t="s">
        <v>126</v>
      </c>
      <c r="AH61" s="67" t="s">
        <v>148</v>
      </c>
      <c r="AI61" s="67" t="s">
        <v>149</v>
      </c>
      <c r="AJ61" s="67" t="s">
        <v>150</v>
      </c>
      <c r="AK61" s="67" t="s">
        <v>151</v>
      </c>
      <c r="AL61" s="67" t="s">
        <v>131</v>
      </c>
      <c r="AM61" s="67" t="s">
        <v>132</v>
      </c>
      <c r="AN61" s="67"/>
      <c r="AO61" s="67"/>
      <c r="AP61" s="67"/>
      <c r="AQ61" s="70">
        <v>325490823156</v>
      </c>
      <c r="AR61" s="68">
        <v>45627</v>
      </c>
      <c r="AS61" s="67" t="s">
        <v>1463</v>
      </c>
      <c r="AT61" s="67" t="s">
        <v>29</v>
      </c>
      <c r="AU61" s="67"/>
      <c r="AV61" s="67"/>
      <c r="AW61" s="67" t="s">
        <v>1464</v>
      </c>
      <c r="AX61" s="67" t="s">
        <v>1073</v>
      </c>
      <c r="AY61" s="67">
        <v>117399</v>
      </c>
      <c r="AZ61" s="67" t="s">
        <v>157</v>
      </c>
      <c r="BA61" s="67">
        <v>4100</v>
      </c>
      <c r="BB61" s="67" t="s">
        <v>158</v>
      </c>
      <c r="BC61" s="67">
        <v>100060266</v>
      </c>
      <c r="BD61" s="67"/>
      <c r="BE61" s="67"/>
      <c r="BF61" s="67"/>
      <c r="BG61" s="67"/>
      <c r="BH61" s="67"/>
      <c r="BI61" s="67"/>
      <c r="BJ61" s="67"/>
      <c r="BK61" s="67"/>
      <c r="BL61" s="67"/>
      <c r="BM61" s="67"/>
    </row>
    <row r="62" spans="1:65" x14ac:dyDescent="0.3">
      <c r="A62" s="67" t="s">
        <v>1465</v>
      </c>
      <c r="B62" s="67" t="s">
        <v>1466</v>
      </c>
      <c r="C62" s="67" t="s">
        <v>1416</v>
      </c>
      <c r="D62" s="67" t="s">
        <v>1417</v>
      </c>
      <c r="E62" s="67" t="s">
        <v>142</v>
      </c>
      <c r="F62" s="67" t="s">
        <v>143</v>
      </c>
      <c r="G62" s="67">
        <v>7</v>
      </c>
      <c r="H62" s="67" t="s">
        <v>1007</v>
      </c>
      <c r="I62" s="68">
        <v>45580</v>
      </c>
      <c r="J62" s="67">
        <v>33</v>
      </c>
      <c r="K62" s="67" t="s">
        <v>116</v>
      </c>
      <c r="L62" s="67" t="s">
        <v>117</v>
      </c>
      <c r="M62" s="67" t="s">
        <v>118</v>
      </c>
      <c r="N62" s="67" t="s">
        <v>1467</v>
      </c>
      <c r="O62" s="67" t="s">
        <v>119</v>
      </c>
      <c r="P62" s="69">
        <v>3740570.11</v>
      </c>
      <c r="Q62" s="69"/>
      <c r="R62" s="69">
        <v>3740570.11</v>
      </c>
      <c r="S62" s="69"/>
      <c r="T62" s="69">
        <v>3740570.11</v>
      </c>
      <c r="U62" s="67">
        <v>5210101232</v>
      </c>
      <c r="V62" s="67" t="s">
        <v>120</v>
      </c>
      <c r="W62" s="67" t="s">
        <v>996</v>
      </c>
      <c r="X62" s="67" t="s">
        <v>123</v>
      </c>
      <c r="Y62" s="67" t="s">
        <v>124</v>
      </c>
      <c r="Z62" s="67" t="s">
        <v>1468</v>
      </c>
      <c r="AA62" s="67" t="s">
        <v>123</v>
      </c>
      <c r="AB62" s="67"/>
      <c r="AC62" s="67" t="e">
        <v>#REF!</v>
      </c>
      <c r="AD62" s="67"/>
      <c r="AE62" s="67" t="s">
        <v>125</v>
      </c>
      <c r="AF62" s="67">
        <v>0</v>
      </c>
      <c r="AG62" s="67" t="s">
        <v>126</v>
      </c>
      <c r="AH62" s="67" t="s">
        <v>127</v>
      </c>
      <c r="AI62" s="67" t="s">
        <v>128</v>
      </c>
      <c r="AJ62" s="67" t="s">
        <v>129</v>
      </c>
      <c r="AK62" s="67" t="s">
        <v>130</v>
      </c>
      <c r="AL62" s="67" t="s">
        <v>131</v>
      </c>
      <c r="AM62" s="67" t="s">
        <v>132</v>
      </c>
      <c r="AN62" s="67"/>
      <c r="AO62" s="67"/>
      <c r="AP62" s="67"/>
      <c r="AQ62" s="70" t="s">
        <v>1469</v>
      </c>
      <c r="AR62" s="68">
        <v>45551</v>
      </c>
      <c r="AS62" s="67" t="s">
        <v>1470</v>
      </c>
      <c r="AT62" s="67" t="s">
        <v>24</v>
      </c>
      <c r="AU62" s="67"/>
      <c r="AV62" s="67"/>
      <c r="AW62" s="67" t="s">
        <v>1471</v>
      </c>
      <c r="AX62" s="67" t="s">
        <v>1095</v>
      </c>
      <c r="AY62" s="67">
        <v>117689</v>
      </c>
      <c r="AZ62" s="67" t="s">
        <v>135</v>
      </c>
      <c r="BA62" s="67">
        <v>5509</v>
      </c>
      <c r="BB62" s="67" t="s">
        <v>136</v>
      </c>
      <c r="BC62" s="67">
        <v>100060705</v>
      </c>
      <c r="BD62" s="67"/>
      <c r="BE62" s="67"/>
      <c r="BF62" s="67"/>
      <c r="BG62" s="67"/>
      <c r="BH62" s="67"/>
      <c r="BI62" s="67"/>
      <c r="BJ62" s="67"/>
      <c r="BK62" s="67"/>
      <c r="BL62" s="67"/>
      <c r="BM62" s="67"/>
    </row>
    <row r="63" spans="1:65" x14ac:dyDescent="0.3">
      <c r="A63" s="67" t="s">
        <v>1472</v>
      </c>
      <c r="B63" s="67" t="s">
        <v>1473</v>
      </c>
      <c r="C63" s="67" t="s">
        <v>1425</v>
      </c>
      <c r="D63" s="67" t="s">
        <v>1426</v>
      </c>
      <c r="E63" s="67" t="s">
        <v>142</v>
      </c>
      <c r="F63" s="67" t="s">
        <v>143</v>
      </c>
      <c r="G63" s="67">
        <v>7</v>
      </c>
      <c r="H63" s="67" t="s">
        <v>1008</v>
      </c>
      <c r="I63" s="68">
        <v>45610</v>
      </c>
      <c r="J63" s="67">
        <v>53</v>
      </c>
      <c r="K63" s="67" t="s">
        <v>116</v>
      </c>
      <c r="L63" s="67" t="s">
        <v>117</v>
      </c>
      <c r="M63" s="67" t="s">
        <v>118</v>
      </c>
      <c r="N63" s="67" t="s">
        <v>1474</v>
      </c>
      <c r="O63" s="67" t="s">
        <v>119</v>
      </c>
      <c r="P63" s="69">
        <v>3648009.6</v>
      </c>
      <c r="Q63" s="69"/>
      <c r="R63" s="69">
        <v>3648009.6</v>
      </c>
      <c r="S63" s="69"/>
      <c r="T63" s="69">
        <v>3648009.6</v>
      </c>
      <c r="U63" s="67">
        <v>5210101232</v>
      </c>
      <c r="V63" s="67" t="s">
        <v>120</v>
      </c>
      <c r="W63" s="67" t="s">
        <v>996</v>
      </c>
      <c r="X63" s="67" t="s">
        <v>123</v>
      </c>
      <c r="Y63" s="67" t="s">
        <v>124</v>
      </c>
      <c r="Z63" s="67" t="s">
        <v>1475</v>
      </c>
      <c r="AA63" s="67" t="s">
        <v>123</v>
      </c>
      <c r="AB63" s="67"/>
      <c r="AC63" s="67" t="e">
        <v>#REF!</v>
      </c>
      <c r="AD63" s="67"/>
      <c r="AE63" s="67" t="s">
        <v>125</v>
      </c>
      <c r="AF63" s="67">
        <v>0</v>
      </c>
      <c r="AG63" s="67" t="s">
        <v>126</v>
      </c>
      <c r="AH63" s="67" t="s">
        <v>127</v>
      </c>
      <c r="AI63" s="67" t="s">
        <v>128</v>
      </c>
      <c r="AJ63" s="67" t="s">
        <v>129</v>
      </c>
      <c r="AK63" s="67" t="s">
        <v>130</v>
      </c>
      <c r="AL63" s="67" t="s">
        <v>131</v>
      </c>
      <c r="AM63" s="67" t="s">
        <v>132</v>
      </c>
      <c r="AN63" s="67"/>
      <c r="AO63" s="67"/>
      <c r="AP63" s="67"/>
      <c r="AQ63" s="70" t="s">
        <v>1476</v>
      </c>
      <c r="AR63" s="68">
        <v>45584</v>
      </c>
      <c r="AS63" s="67" t="s">
        <v>1477</v>
      </c>
      <c r="AT63" s="67" t="s">
        <v>24</v>
      </c>
      <c r="AU63" s="67"/>
      <c r="AV63" s="67"/>
      <c r="AW63" s="67" t="s">
        <v>1478</v>
      </c>
      <c r="AX63" s="67" t="s">
        <v>1095</v>
      </c>
      <c r="AY63" s="67">
        <v>117689</v>
      </c>
      <c r="AZ63" s="67" t="s">
        <v>135</v>
      </c>
      <c r="BA63" s="67">
        <v>5509</v>
      </c>
      <c r="BB63" s="67" t="s">
        <v>136</v>
      </c>
      <c r="BC63" s="67">
        <v>100060705</v>
      </c>
      <c r="BD63" s="67"/>
      <c r="BE63" s="67"/>
      <c r="BF63" s="67"/>
      <c r="BG63" s="67"/>
      <c r="BH63" s="67"/>
      <c r="BI63" s="67"/>
      <c r="BJ63" s="67"/>
      <c r="BK63" s="67"/>
      <c r="BL63" s="67"/>
      <c r="BM63" s="67"/>
    </row>
    <row r="64" spans="1:65" x14ac:dyDescent="0.3">
      <c r="A64" s="67" t="s">
        <v>1479</v>
      </c>
      <c r="B64" s="67" t="s">
        <v>1480</v>
      </c>
      <c r="C64" s="67" t="s">
        <v>1434</v>
      </c>
      <c r="D64" s="67" t="s">
        <v>1435</v>
      </c>
      <c r="E64" s="67" t="s">
        <v>142</v>
      </c>
      <c r="F64" s="67" t="s">
        <v>143</v>
      </c>
      <c r="G64" s="67">
        <v>7</v>
      </c>
      <c r="H64" s="67" t="s">
        <v>1009</v>
      </c>
      <c r="I64" s="68">
        <v>45650</v>
      </c>
      <c r="J64" s="67">
        <v>31</v>
      </c>
      <c r="K64" s="67" t="s">
        <v>506</v>
      </c>
      <c r="L64" s="67" t="s">
        <v>117</v>
      </c>
      <c r="M64" s="67" t="s">
        <v>118</v>
      </c>
      <c r="N64" s="67" t="s">
        <v>1481</v>
      </c>
      <c r="O64" s="67" t="s">
        <v>119</v>
      </c>
      <c r="P64" s="69">
        <v>1502090</v>
      </c>
      <c r="Q64" s="69"/>
      <c r="R64" s="69">
        <v>1502090</v>
      </c>
      <c r="S64" s="69"/>
      <c r="T64" s="69">
        <v>1502090</v>
      </c>
      <c r="U64" s="67">
        <v>5210101581</v>
      </c>
      <c r="V64" s="67" t="s">
        <v>120</v>
      </c>
      <c r="W64" s="67" t="s">
        <v>31</v>
      </c>
      <c r="X64" s="67" t="s">
        <v>123</v>
      </c>
      <c r="Y64" s="67" t="s">
        <v>124</v>
      </c>
      <c r="Z64" s="67" t="s">
        <v>1482</v>
      </c>
      <c r="AA64" s="67" t="s">
        <v>123</v>
      </c>
      <c r="AB64" s="67"/>
      <c r="AC64" s="67" t="e">
        <v>#REF!</v>
      </c>
      <c r="AD64" s="67"/>
      <c r="AE64" s="67" t="s">
        <v>147</v>
      </c>
      <c r="AF64" s="67">
        <v>0</v>
      </c>
      <c r="AG64" s="67" t="s">
        <v>126</v>
      </c>
      <c r="AH64" s="67" t="s">
        <v>507</v>
      </c>
      <c r="AI64" s="67" t="s">
        <v>508</v>
      </c>
      <c r="AJ64" s="67" t="s">
        <v>150</v>
      </c>
      <c r="AK64" s="67" t="s">
        <v>151</v>
      </c>
      <c r="AL64" s="67" t="s">
        <v>131</v>
      </c>
      <c r="AM64" s="67" t="s">
        <v>132</v>
      </c>
      <c r="AN64" s="67"/>
      <c r="AO64" s="67"/>
      <c r="AP64" s="67"/>
      <c r="AQ64" s="70">
        <v>1021225352</v>
      </c>
      <c r="AR64" s="68">
        <v>45636</v>
      </c>
      <c r="AS64" s="67" t="s">
        <v>1483</v>
      </c>
      <c r="AT64" s="67" t="s">
        <v>31</v>
      </c>
      <c r="AU64" s="67"/>
      <c r="AV64" s="67"/>
      <c r="AW64" s="67" t="s">
        <v>1484</v>
      </c>
      <c r="AX64" s="67" t="s">
        <v>1485</v>
      </c>
      <c r="AY64" s="67">
        <v>117399</v>
      </c>
      <c r="AZ64" s="67" t="s">
        <v>157</v>
      </c>
      <c r="BA64" s="67">
        <v>4203</v>
      </c>
      <c r="BB64" s="67" t="s">
        <v>512</v>
      </c>
      <c r="BC64" s="67">
        <v>100060183</v>
      </c>
      <c r="BD64" s="67"/>
      <c r="BE64" s="67"/>
      <c r="BF64" s="67"/>
      <c r="BG64" s="67"/>
      <c r="BH64" s="67"/>
      <c r="BI64" s="67"/>
      <c r="BJ64" s="67"/>
      <c r="BK64" s="67"/>
      <c r="BL64" s="67"/>
      <c r="BM64" s="67"/>
    </row>
    <row r="65" spans="1:65" x14ac:dyDescent="0.3">
      <c r="A65" s="67" t="s">
        <v>1486</v>
      </c>
      <c r="B65" s="67" t="s">
        <v>1487</v>
      </c>
      <c r="C65" s="67" t="s">
        <v>1488</v>
      </c>
      <c r="D65" s="67" t="s">
        <v>1489</v>
      </c>
      <c r="E65" s="67" t="s">
        <v>142</v>
      </c>
      <c r="F65" s="67" t="s">
        <v>143</v>
      </c>
      <c r="G65" s="67">
        <v>7</v>
      </c>
      <c r="H65" s="67" t="s">
        <v>1009</v>
      </c>
      <c r="I65" s="68">
        <v>45646</v>
      </c>
      <c r="J65" s="67">
        <v>51</v>
      </c>
      <c r="K65" s="67" t="s">
        <v>506</v>
      </c>
      <c r="L65" s="67" t="s">
        <v>117</v>
      </c>
      <c r="M65" s="67" t="s">
        <v>118</v>
      </c>
      <c r="N65" s="67" t="s">
        <v>1490</v>
      </c>
      <c r="O65" s="67" t="s">
        <v>119</v>
      </c>
      <c r="P65" s="69">
        <v>1051463</v>
      </c>
      <c r="Q65" s="69"/>
      <c r="R65" s="69">
        <v>1051463</v>
      </c>
      <c r="S65" s="69"/>
      <c r="T65" s="69">
        <v>1051463</v>
      </c>
      <c r="U65" s="67">
        <v>5210101581</v>
      </c>
      <c r="V65" s="67" t="s">
        <v>120</v>
      </c>
      <c r="W65" s="67" t="s">
        <v>31</v>
      </c>
      <c r="X65" s="67" t="s">
        <v>123</v>
      </c>
      <c r="Y65" s="67" t="s">
        <v>124</v>
      </c>
      <c r="Z65" s="67" t="s">
        <v>1491</v>
      </c>
      <c r="AA65" s="67" t="s">
        <v>123</v>
      </c>
      <c r="AB65" s="67"/>
      <c r="AC65" s="67" t="e">
        <v>#REF!</v>
      </c>
      <c r="AD65" s="67"/>
      <c r="AE65" s="67" t="s">
        <v>147</v>
      </c>
      <c r="AF65" s="67">
        <v>0</v>
      </c>
      <c r="AG65" s="67" t="s">
        <v>126</v>
      </c>
      <c r="AH65" s="67" t="s">
        <v>507</v>
      </c>
      <c r="AI65" s="67" t="s">
        <v>508</v>
      </c>
      <c r="AJ65" s="67" t="s">
        <v>150</v>
      </c>
      <c r="AK65" s="67" t="s">
        <v>151</v>
      </c>
      <c r="AL65" s="67" t="s">
        <v>131</v>
      </c>
      <c r="AM65" s="67" t="s">
        <v>132</v>
      </c>
      <c r="AN65" s="67"/>
      <c r="AO65" s="67"/>
      <c r="AP65" s="67"/>
      <c r="AQ65" s="70">
        <v>1021219002</v>
      </c>
      <c r="AR65" s="68">
        <v>45632</v>
      </c>
      <c r="AS65" s="67" t="s">
        <v>1492</v>
      </c>
      <c r="AT65" s="67" t="s">
        <v>31</v>
      </c>
      <c r="AU65" s="67"/>
      <c r="AV65" s="67"/>
      <c r="AW65" s="67" t="s">
        <v>1493</v>
      </c>
      <c r="AX65" s="67" t="s">
        <v>1485</v>
      </c>
      <c r="AY65" s="67">
        <v>117399</v>
      </c>
      <c r="AZ65" s="67" t="s">
        <v>157</v>
      </c>
      <c r="BA65" s="67">
        <v>4203</v>
      </c>
      <c r="BB65" s="67" t="s">
        <v>512</v>
      </c>
      <c r="BC65" s="67">
        <v>100060183</v>
      </c>
      <c r="BD65" s="67"/>
      <c r="BE65" s="67"/>
      <c r="BF65" s="67"/>
      <c r="BG65" s="67"/>
      <c r="BH65" s="67"/>
      <c r="BI65" s="67"/>
      <c r="BJ65" s="67"/>
      <c r="BK65" s="67"/>
      <c r="BL65" s="67"/>
      <c r="BM65" s="67"/>
    </row>
    <row r="66" spans="1:65" x14ac:dyDescent="0.3">
      <c r="A66" s="67" t="s">
        <v>1494</v>
      </c>
      <c r="B66" s="67" t="s">
        <v>1495</v>
      </c>
      <c r="C66" s="67" t="s">
        <v>1488</v>
      </c>
      <c r="D66" s="67" t="s">
        <v>1489</v>
      </c>
      <c r="E66" s="67" t="s">
        <v>142</v>
      </c>
      <c r="F66" s="67" t="s">
        <v>143</v>
      </c>
      <c r="G66" s="67">
        <v>7</v>
      </c>
      <c r="H66" s="67" t="s">
        <v>1009</v>
      </c>
      <c r="I66" s="68">
        <v>45646</v>
      </c>
      <c r="J66" s="67">
        <v>52</v>
      </c>
      <c r="K66" s="67" t="s">
        <v>506</v>
      </c>
      <c r="L66" s="67" t="s">
        <v>117</v>
      </c>
      <c r="M66" s="67" t="s">
        <v>118</v>
      </c>
      <c r="N66" s="67" t="s">
        <v>1496</v>
      </c>
      <c r="O66" s="67" t="s">
        <v>119</v>
      </c>
      <c r="P66" s="69">
        <v>1051463</v>
      </c>
      <c r="Q66" s="69"/>
      <c r="R66" s="69">
        <v>1051463</v>
      </c>
      <c r="S66" s="69"/>
      <c r="T66" s="69">
        <v>1051463</v>
      </c>
      <c r="U66" s="67">
        <v>5210101581</v>
      </c>
      <c r="V66" s="67" t="s">
        <v>120</v>
      </c>
      <c r="W66" s="67" t="s">
        <v>31</v>
      </c>
      <c r="X66" s="67" t="s">
        <v>123</v>
      </c>
      <c r="Y66" s="67" t="s">
        <v>124</v>
      </c>
      <c r="Z66" s="67" t="s">
        <v>1497</v>
      </c>
      <c r="AA66" s="67" t="s">
        <v>123</v>
      </c>
      <c r="AB66" s="67"/>
      <c r="AC66" s="67" t="e">
        <v>#REF!</v>
      </c>
      <c r="AD66" s="67"/>
      <c r="AE66" s="67" t="s">
        <v>147</v>
      </c>
      <c r="AF66" s="67">
        <v>0</v>
      </c>
      <c r="AG66" s="67" t="s">
        <v>126</v>
      </c>
      <c r="AH66" s="67" t="s">
        <v>507</v>
      </c>
      <c r="AI66" s="67" t="s">
        <v>508</v>
      </c>
      <c r="AJ66" s="67" t="s">
        <v>150</v>
      </c>
      <c r="AK66" s="67" t="s">
        <v>151</v>
      </c>
      <c r="AL66" s="67" t="s">
        <v>131</v>
      </c>
      <c r="AM66" s="67" t="s">
        <v>132</v>
      </c>
      <c r="AN66" s="67"/>
      <c r="AO66" s="67"/>
      <c r="AP66" s="67"/>
      <c r="AQ66" s="70">
        <v>1021219000</v>
      </c>
      <c r="AR66" s="68">
        <v>45632</v>
      </c>
      <c r="AS66" s="67" t="s">
        <v>1498</v>
      </c>
      <c r="AT66" s="67" t="s">
        <v>31</v>
      </c>
      <c r="AU66" s="67"/>
      <c r="AV66" s="67"/>
      <c r="AW66" s="67" t="s">
        <v>1499</v>
      </c>
      <c r="AX66" s="67" t="s">
        <v>1485</v>
      </c>
      <c r="AY66" s="67">
        <v>117399</v>
      </c>
      <c r="AZ66" s="67" t="s">
        <v>157</v>
      </c>
      <c r="BA66" s="67">
        <v>4203</v>
      </c>
      <c r="BB66" s="67" t="s">
        <v>512</v>
      </c>
      <c r="BC66" s="67">
        <v>100060183</v>
      </c>
      <c r="BD66" s="67"/>
      <c r="BE66" s="67"/>
      <c r="BF66" s="67"/>
      <c r="BG66" s="67"/>
      <c r="BH66" s="67"/>
      <c r="BI66" s="67"/>
      <c r="BJ66" s="67"/>
      <c r="BK66" s="67"/>
      <c r="BL66" s="67"/>
      <c r="BM66" s="67"/>
    </row>
    <row r="67" spans="1:65" x14ac:dyDescent="0.3">
      <c r="A67" s="67" t="s">
        <v>1500</v>
      </c>
      <c r="B67" s="67" t="s">
        <v>1501</v>
      </c>
      <c r="C67" s="67" t="s">
        <v>1488</v>
      </c>
      <c r="D67" s="67" t="s">
        <v>1489</v>
      </c>
      <c r="E67" s="67" t="s">
        <v>142</v>
      </c>
      <c r="F67" s="67" t="s">
        <v>143</v>
      </c>
      <c r="G67" s="67">
        <v>7</v>
      </c>
      <c r="H67" s="67" t="s">
        <v>1009</v>
      </c>
      <c r="I67" s="68">
        <v>45646</v>
      </c>
      <c r="J67" s="67">
        <v>53</v>
      </c>
      <c r="K67" s="67" t="s">
        <v>506</v>
      </c>
      <c r="L67" s="67" t="s">
        <v>117</v>
      </c>
      <c r="M67" s="67" t="s">
        <v>118</v>
      </c>
      <c r="N67" s="67" t="s">
        <v>1502</v>
      </c>
      <c r="O67" s="67" t="s">
        <v>119</v>
      </c>
      <c r="P67" s="69">
        <v>1051463</v>
      </c>
      <c r="Q67" s="69"/>
      <c r="R67" s="69">
        <v>1051463</v>
      </c>
      <c r="S67" s="69"/>
      <c r="T67" s="69">
        <v>1051463</v>
      </c>
      <c r="U67" s="67">
        <v>5210101581</v>
      </c>
      <c r="V67" s="67" t="s">
        <v>120</v>
      </c>
      <c r="W67" s="67" t="s">
        <v>31</v>
      </c>
      <c r="X67" s="67" t="s">
        <v>123</v>
      </c>
      <c r="Y67" s="67" t="s">
        <v>124</v>
      </c>
      <c r="Z67" s="67" t="s">
        <v>1503</v>
      </c>
      <c r="AA67" s="67" t="s">
        <v>123</v>
      </c>
      <c r="AB67" s="67"/>
      <c r="AC67" s="67" t="e">
        <v>#REF!</v>
      </c>
      <c r="AD67" s="67"/>
      <c r="AE67" s="67" t="s">
        <v>147</v>
      </c>
      <c r="AF67" s="67">
        <v>0</v>
      </c>
      <c r="AG67" s="67" t="s">
        <v>126</v>
      </c>
      <c r="AH67" s="67" t="s">
        <v>507</v>
      </c>
      <c r="AI67" s="67" t="s">
        <v>508</v>
      </c>
      <c r="AJ67" s="67" t="s">
        <v>150</v>
      </c>
      <c r="AK67" s="67" t="s">
        <v>151</v>
      </c>
      <c r="AL67" s="67" t="s">
        <v>131</v>
      </c>
      <c r="AM67" s="67" t="s">
        <v>132</v>
      </c>
      <c r="AN67" s="67"/>
      <c r="AO67" s="67"/>
      <c r="AP67" s="67"/>
      <c r="AQ67" s="70">
        <v>1021217458</v>
      </c>
      <c r="AR67" s="68">
        <v>45631</v>
      </c>
      <c r="AS67" s="67" t="s">
        <v>1504</v>
      </c>
      <c r="AT67" s="67" t="s">
        <v>31</v>
      </c>
      <c r="AU67" s="67"/>
      <c r="AV67" s="67"/>
      <c r="AW67" s="67" t="s">
        <v>1505</v>
      </c>
      <c r="AX67" s="67" t="s">
        <v>1485</v>
      </c>
      <c r="AY67" s="67">
        <v>117399</v>
      </c>
      <c r="AZ67" s="67" t="s">
        <v>157</v>
      </c>
      <c r="BA67" s="67">
        <v>4203</v>
      </c>
      <c r="BB67" s="67" t="s">
        <v>512</v>
      </c>
      <c r="BC67" s="67">
        <v>100060183</v>
      </c>
      <c r="BD67" s="67"/>
      <c r="BE67" s="67"/>
      <c r="BF67" s="67"/>
      <c r="BG67" s="67"/>
      <c r="BH67" s="67"/>
      <c r="BI67" s="67"/>
      <c r="BJ67" s="67"/>
      <c r="BK67" s="67"/>
      <c r="BL67" s="67"/>
      <c r="BM67" s="67"/>
    </row>
    <row r="68" spans="1:65" x14ac:dyDescent="0.3">
      <c r="A68" s="67" t="s">
        <v>1506</v>
      </c>
      <c r="B68" s="67" t="s">
        <v>1507</v>
      </c>
      <c r="C68" s="67" t="s">
        <v>1434</v>
      </c>
      <c r="D68" s="67" t="s">
        <v>1508</v>
      </c>
      <c r="E68" s="67" t="s">
        <v>142</v>
      </c>
      <c r="F68" s="67" t="s">
        <v>143</v>
      </c>
      <c r="G68" s="67">
        <v>7</v>
      </c>
      <c r="H68" s="67" t="s">
        <v>1009</v>
      </c>
      <c r="I68" s="68">
        <v>45651</v>
      </c>
      <c r="J68" s="67">
        <v>147</v>
      </c>
      <c r="K68" s="67" t="s">
        <v>506</v>
      </c>
      <c r="L68" s="67" t="s">
        <v>117</v>
      </c>
      <c r="M68" s="67" t="s">
        <v>118</v>
      </c>
      <c r="N68" s="67" t="s">
        <v>1509</v>
      </c>
      <c r="O68" s="67" t="s">
        <v>119</v>
      </c>
      <c r="P68" s="69">
        <v>1051463</v>
      </c>
      <c r="Q68" s="69"/>
      <c r="R68" s="69">
        <v>1051463</v>
      </c>
      <c r="S68" s="69"/>
      <c r="T68" s="69">
        <v>1051463</v>
      </c>
      <c r="U68" s="67">
        <v>5210101581</v>
      </c>
      <c r="V68" s="67" t="s">
        <v>120</v>
      </c>
      <c r="W68" s="67" t="s">
        <v>31</v>
      </c>
      <c r="X68" s="67" t="s">
        <v>123</v>
      </c>
      <c r="Y68" s="67" t="s">
        <v>124</v>
      </c>
      <c r="Z68" s="67" t="s">
        <v>1510</v>
      </c>
      <c r="AA68" s="67" t="s">
        <v>123</v>
      </c>
      <c r="AB68" s="67"/>
      <c r="AC68" s="67" t="e">
        <v>#REF!</v>
      </c>
      <c r="AD68" s="67"/>
      <c r="AE68" s="67" t="s">
        <v>147</v>
      </c>
      <c r="AF68" s="67">
        <v>0</v>
      </c>
      <c r="AG68" s="67" t="s">
        <v>126</v>
      </c>
      <c r="AH68" s="67" t="s">
        <v>507</v>
      </c>
      <c r="AI68" s="67" t="s">
        <v>508</v>
      </c>
      <c r="AJ68" s="67" t="s">
        <v>150</v>
      </c>
      <c r="AK68" s="67" t="s">
        <v>151</v>
      </c>
      <c r="AL68" s="67" t="s">
        <v>131</v>
      </c>
      <c r="AM68" s="67" t="s">
        <v>132</v>
      </c>
      <c r="AN68" s="67"/>
      <c r="AO68" s="67"/>
      <c r="AP68" s="67"/>
      <c r="AQ68" s="70">
        <v>1021220784</v>
      </c>
      <c r="AR68" s="68">
        <v>45633</v>
      </c>
      <c r="AS68" s="67" t="s">
        <v>1511</v>
      </c>
      <c r="AT68" s="67" t="s">
        <v>31</v>
      </c>
      <c r="AU68" s="67"/>
      <c r="AV68" s="67"/>
      <c r="AW68" s="67" t="s">
        <v>1512</v>
      </c>
      <c r="AX68" s="67" t="s">
        <v>1485</v>
      </c>
      <c r="AY68" s="67">
        <v>117399</v>
      </c>
      <c r="AZ68" s="67" t="s">
        <v>157</v>
      </c>
      <c r="BA68" s="67">
        <v>4203</v>
      </c>
      <c r="BB68" s="67" t="s">
        <v>512</v>
      </c>
      <c r="BC68" s="67">
        <v>100060183</v>
      </c>
      <c r="BD68" s="67"/>
      <c r="BE68" s="67"/>
      <c r="BF68" s="67"/>
      <c r="BG68" s="67"/>
      <c r="BH68" s="67"/>
      <c r="BI68" s="67"/>
      <c r="BJ68" s="67"/>
      <c r="BK68" s="67"/>
      <c r="BL68" s="67"/>
      <c r="BM68" s="67"/>
    </row>
    <row r="69" spans="1:65" x14ac:dyDescent="0.3">
      <c r="A69" s="67" t="s">
        <v>1513</v>
      </c>
      <c r="B69" s="67" t="s">
        <v>1514</v>
      </c>
      <c r="C69" s="67" t="s">
        <v>1434</v>
      </c>
      <c r="D69" s="67" t="s">
        <v>1508</v>
      </c>
      <c r="E69" s="67" t="s">
        <v>142</v>
      </c>
      <c r="F69" s="67" t="s">
        <v>143</v>
      </c>
      <c r="G69" s="67">
        <v>7</v>
      </c>
      <c r="H69" s="67" t="s">
        <v>1009</v>
      </c>
      <c r="I69" s="68">
        <v>45651</v>
      </c>
      <c r="J69" s="67">
        <v>149</v>
      </c>
      <c r="K69" s="67" t="s">
        <v>506</v>
      </c>
      <c r="L69" s="67" t="s">
        <v>117</v>
      </c>
      <c r="M69" s="67" t="s">
        <v>118</v>
      </c>
      <c r="N69" s="67" t="s">
        <v>1515</v>
      </c>
      <c r="O69" s="67" t="s">
        <v>119</v>
      </c>
      <c r="P69" s="69">
        <v>1051463</v>
      </c>
      <c r="Q69" s="69"/>
      <c r="R69" s="69">
        <v>1051463</v>
      </c>
      <c r="S69" s="69"/>
      <c r="T69" s="69">
        <v>1051463</v>
      </c>
      <c r="U69" s="67">
        <v>5210101581</v>
      </c>
      <c r="V69" s="67" t="s">
        <v>120</v>
      </c>
      <c r="W69" s="67" t="s">
        <v>31</v>
      </c>
      <c r="X69" s="67" t="s">
        <v>123</v>
      </c>
      <c r="Y69" s="67" t="s">
        <v>124</v>
      </c>
      <c r="Z69" s="67" t="s">
        <v>1516</v>
      </c>
      <c r="AA69" s="67" t="s">
        <v>123</v>
      </c>
      <c r="AB69" s="67"/>
      <c r="AC69" s="67" t="e">
        <v>#REF!</v>
      </c>
      <c r="AD69" s="67"/>
      <c r="AE69" s="67" t="s">
        <v>147</v>
      </c>
      <c r="AF69" s="67">
        <v>0</v>
      </c>
      <c r="AG69" s="67" t="s">
        <v>126</v>
      </c>
      <c r="AH69" s="67" t="s">
        <v>507</v>
      </c>
      <c r="AI69" s="67" t="s">
        <v>508</v>
      </c>
      <c r="AJ69" s="67" t="s">
        <v>150</v>
      </c>
      <c r="AK69" s="67" t="s">
        <v>151</v>
      </c>
      <c r="AL69" s="67" t="s">
        <v>131</v>
      </c>
      <c r="AM69" s="67" t="s">
        <v>132</v>
      </c>
      <c r="AN69" s="67"/>
      <c r="AO69" s="67"/>
      <c r="AP69" s="67"/>
      <c r="AQ69" s="70">
        <v>1021220786</v>
      </c>
      <c r="AR69" s="68">
        <v>45633</v>
      </c>
      <c r="AS69" s="67" t="s">
        <v>1517</v>
      </c>
      <c r="AT69" s="67" t="s">
        <v>31</v>
      </c>
      <c r="AU69" s="67"/>
      <c r="AV69" s="67"/>
      <c r="AW69" s="67" t="s">
        <v>1518</v>
      </c>
      <c r="AX69" s="67" t="s">
        <v>1309</v>
      </c>
      <c r="AY69" s="67">
        <v>117399</v>
      </c>
      <c r="AZ69" s="67" t="s">
        <v>157</v>
      </c>
      <c r="BA69" s="67">
        <v>4203</v>
      </c>
      <c r="BB69" s="67" t="s">
        <v>512</v>
      </c>
      <c r="BC69" s="67">
        <v>100060183</v>
      </c>
      <c r="BD69" s="67"/>
      <c r="BE69" s="67"/>
      <c r="BF69" s="67"/>
      <c r="BG69" s="67"/>
      <c r="BH69" s="67"/>
      <c r="BI69" s="67"/>
      <c r="BJ69" s="67"/>
      <c r="BK69" s="67"/>
      <c r="BL69" s="67"/>
      <c r="BM69" s="67"/>
    </row>
    <row r="70" spans="1:65" x14ac:dyDescent="0.3">
      <c r="A70" s="67" t="s">
        <v>1519</v>
      </c>
      <c r="B70" s="67" t="s">
        <v>1520</v>
      </c>
      <c r="C70" s="67" t="s">
        <v>1434</v>
      </c>
      <c r="D70" s="67" t="s">
        <v>1521</v>
      </c>
      <c r="E70" s="67" t="s">
        <v>142</v>
      </c>
      <c r="F70" s="67" t="s">
        <v>143</v>
      </c>
      <c r="G70" s="67">
        <v>7</v>
      </c>
      <c r="H70" s="67" t="s">
        <v>1009</v>
      </c>
      <c r="I70" s="68">
        <v>45652</v>
      </c>
      <c r="J70" s="67">
        <v>56</v>
      </c>
      <c r="K70" s="67" t="s">
        <v>506</v>
      </c>
      <c r="L70" s="67" t="s">
        <v>117</v>
      </c>
      <c r="M70" s="67" t="s">
        <v>118</v>
      </c>
      <c r="N70" s="67" t="s">
        <v>1522</v>
      </c>
      <c r="O70" s="67" t="s">
        <v>119</v>
      </c>
      <c r="P70" s="69">
        <v>1051463</v>
      </c>
      <c r="Q70" s="69"/>
      <c r="R70" s="69">
        <v>1051463</v>
      </c>
      <c r="S70" s="69"/>
      <c r="T70" s="69">
        <v>1051463</v>
      </c>
      <c r="U70" s="67">
        <v>5210101581</v>
      </c>
      <c r="V70" s="67" t="s">
        <v>120</v>
      </c>
      <c r="W70" s="67" t="s">
        <v>31</v>
      </c>
      <c r="X70" s="67" t="s">
        <v>123</v>
      </c>
      <c r="Y70" s="67" t="s">
        <v>124</v>
      </c>
      <c r="Z70" s="67" t="s">
        <v>1523</v>
      </c>
      <c r="AA70" s="67" t="s">
        <v>123</v>
      </c>
      <c r="AB70" s="67"/>
      <c r="AC70" s="67" t="e">
        <v>#REF!</v>
      </c>
      <c r="AD70" s="67"/>
      <c r="AE70" s="67" t="s">
        <v>147</v>
      </c>
      <c r="AF70" s="67">
        <v>0</v>
      </c>
      <c r="AG70" s="67" t="s">
        <v>126</v>
      </c>
      <c r="AH70" s="67" t="s">
        <v>507</v>
      </c>
      <c r="AI70" s="67" t="s">
        <v>508</v>
      </c>
      <c r="AJ70" s="67" t="s">
        <v>150</v>
      </c>
      <c r="AK70" s="67" t="s">
        <v>151</v>
      </c>
      <c r="AL70" s="67" t="s">
        <v>131</v>
      </c>
      <c r="AM70" s="67" t="s">
        <v>132</v>
      </c>
      <c r="AN70" s="67"/>
      <c r="AO70" s="67"/>
      <c r="AP70" s="67"/>
      <c r="AQ70" s="70">
        <v>1021217457</v>
      </c>
      <c r="AR70" s="68">
        <v>45631</v>
      </c>
      <c r="AS70" s="67" t="s">
        <v>1524</v>
      </c>
      <c r="AT70" s="67" t="s">
        <v>31</v>
      </c>
      <c r="AU70" s="67"/>
      <c r="AV70" s="67"/>
      <c r="AW70" s="67" t="s">
        <v>1525</v>
      </c>
      <c r="AX70" s="67" t="s">
        <v>1309</v>
      </c>
      <c r="AY70" s="67">
        <v>117399</v>
      </c>
      <c r="AZ70" s="67" t="s">
        <v>157</v>
      </c>
      <c r="BA70" s="67">
        <v>4203</v>
      </c>
      <c r="BB70" s="67" t="s">
        <v>512</v>
      </c>
      <c r="BC70" s="67">
        <v>100060183</v>
      </c>
      <c r="BD70" s="67"/>
      <c r="BE70" s="67"/>
      <c r="BF70" s="67"/>
      <c r="BG70" s="67"/>
      <c r="BH70" s="67"/>
      <c r="BI70" s="67"/>
      <c r="BJ70" s="67"/>
      <c r="BK70" s="67"/>
      <c r="BL70" s="67"/>
      <c r="BM70" s="67"/>
    </row>
    <row r="71" spans="1:65" x14ac:dyDescent="0.3">
      <c r="A71" s="67" t="s">
        <v>1526</v>
      </c>
      <c r="B71" s="67" t="s">
        <v>1527</v>
      </c>
      <c r="C71" s="67" t="s">
        <v>1528</v>
      </c>
      <c r="D71" s="67" t="s">
        <v>1529</v>
      </c>
      <c r="E71" s="67" t="s">
        <v>142</v>
      </c>
      <c r="F71" s="67" t="s">
        <v>143</v>
      </c>
      <c r="G71" s="67">
        <v>7</v>
      </c>
      <c r="H71" s="67" t="s">
        <v>1009</v>
      </c>
      <c r="I71" s="68">
        <v>45635</v>
      </c>
      <c r="J71" s="67">
        <v>17</v>
      </c>
      <c r="K71" s="67" t="s">
        <v>506</v>
      </c>
      <c r="L71" s="67" t="s">
        <v>117</v>
      </c>
      <c r="M71" s="67" t="s">
        <v>118</v>
      </c>
      <c r="N71" s="67" t="s">
        <v>1530</v>
      </c>
      <c r="O71" s="67" t="s">
        <v>119</v>
      </c>
      <c r="P71" s="69">
        <v>1051461</v>
      </c>
      <c r="Q71" s="69"/>
      <c r="R71" s="69">
        <v>1051461</v>
      </c>
      <c r="S71" s="69"/>
      <c r="T71" s="69">
        <v>1051461</v>
      </c>
      <c r="U71" s="67">
        <v>5210101581</v>
      </c>
      <c r="V71" s="67" t="s">
        <v>120</v>
      </c>
      <c r="W71" s="67" t="s">
        <v>31</v>
      </c>
      <c r="X71" s="67" t="s">
        <v>123</v>
      </c>
      <c r="Y71" s="67" t="s">
        <v>124</v>
      </c>
      <c r="Z71" s="67" t="s">
        <v>1531</v>
      </c>
      <c r="AA71" s="67" t="s">
        <v>123</v>
      </c>
      <c r="AB71" s="67"/>
      <c r="AC71" s="67" t="e">
        <v>#REF!</v>
      </c>
      <c r="AD71" s="67"/>
      <c r="AE71" s="67" t="s">
        <v>147</v>
      </c>
      <c r="AF71" s="67">
        <v>0</v>
      </c>
      <c r="AG71" s="67" t="s">
        <v>126</v>
      </c>
      <c r="AH71" s="67" t="s">
        <v>507</v>
      </c>
      <c r="AI71" s="67" t="s">
        <v>508</v>
      </c>
      <c r="AJ71" s="67" t="s">
        <v>150</v>
      </c>
      <c r="AK71" s="67" t="s">
        <v>151</v>
      </c>
      <c r="AL71" s="67" t="s">
        <v>131</v>
      </c>
      <c r="AM71" s="67" t="s">
        <v>132</v>
      </c>
      <c r="AN71" s="67"/>
      <c r="AO71" s="67"/>
      <c r="AP71" s="67"/>
      <c r="AQ71" s="70">
        <v>1021197514</v>
      </c>
      <c r="AR71" s="68">
        <v>45618</v>
      </c>
      <c r="AS71" s="67" t="s">
        <v>1532</v>
      </c>
      <c r="AT71" s="67" t="s">
        <v>31</v>
      </c>
      <c r="AU71" s="67"/>
      <c r="AV71" s="67"/>
      <c r="AW71" s="67" t="s">
        <v>1533</v>
      </c>
      <c r="AX71" s="67" t="s">
        <v>1309</v>
      </c>
      <c r="AY71" s="67">
        <v>117399</v>
      </c>
      <c r="AZ71" s="67" t="s">
        <v>157</v>
      </c>
      <c r="BA71" s="67">
        <v>4203</v>
      </c>
      <c r="BB71" s="67" t="s">
        <v>512</v>
      </c>
      <c r="BC71" s="67">
        <v>100060183</v>
      </c>
      <c r="BD71" s="67"/>
      <c r="BE71" s="67"/>
      <c r="BF71" s="67"/>
      <c r="BG71" s="67"/>
      <c r="BH71" s="67"/>
      <c r="BI71" s="67"/>
      <c r="BJ71" s="67"/>
      <c r="BK71" s="67"/>
      <c r="BL71" s="67"/>
      <c r="BM71" s="67"/>
    </row>
    <row r="72" spans="1:65" x14ac:dyDescent="0.3">
      <c r="A72" s="67" t="s">
        <v>1534</v>
      </c>
      <c r="B72" s="67" t="s">
        <v>1535</v>
      </c>
      <c r="C72" s="67" t="s">
        <v>1488</v>
      </c>
      <c r="D72" s="67" t="s">
        <v>1489</v>
      </c>
      <c r="E72" s="67" t="s">
        <v>142</v>
      </c>
      <c r="F72" s="67" t="s">
        <v>143</v>
      </c>
      <c r="G72" s="67">
        <v>7</v>
      </c>
      <c r="H72" s="67" t="s">
        <v>1009</v>
      </c>
      <c r="I72" s="68">
        <v>45646</v>
      </c>
      <c r="J72" s="67">
        <v>54</v>
      </c>
      <c r="K72" s="67" t="s">
        <v>506</v>
      </c>
      <c r="L72" s="67" t="s">
        <v>117</v>
      </c>
      <c r="M72" s="67" t="s">
        <v>118</v>
      </c>
      <c r="N72" s="67" t="s">
        <v>1536</v>
      </c>
      <c r="O72" s="67" t="s">
        <v>119</v>
      </c>
      <c r="P72" s="69">
        <v>1051461</v>
      </c>
      <c r="Q72" s="69"/>
      <c r="R72" s="69">
        <v>1051461</v>
      </c>
      <c r="S72" s="69"/>
      <c r="T72" s="69">
        <v>1051461</v>
      </c>
      <c r="U72" s="67">
        <v>5210101581</v>
      </c>
      <c r="V72" s="67" t="s">
        <v>120</v>
      </c>
      <c r="W72" s="67" t="s">
        <v>31</v>
      </c>
      <c r="X72" s="67" t="s">
        <v>123</v>
      </c>
      <c r="Y72" s="67" t="s">
        <v>124</v>
      </c>
      <c r="Z72" s="67" t="s">
        <v>1537</v>
      </c>
      <c r="AA72" s="67" t="s">
        <v>123</v>
      </c>
      <c r="AB72" s="67"/>
      <c r="AC72" s="67" t="e">
        <v>#REF!</v>
      </c>
      <c r="AD72" s="67"/>
      <c r="AE72" s="67" t="s">
        <v>147</v>
      </c>
      <c r="AF72" s="67">
        <v>0</v>
      </c>
      <c r="AG72" s="67" t="s">
        <v>126</v>
      </c>
      <c r="AH72" s="67" t="s">
        <v>507</v>
      </c>
      <c r="AI72" s="67" t="s">
        <v>508</v>
      </c>
      <c r="AJ72" s="67" t="s">
        <v>150</v>
      </c>
      <c r="AK72" s="67" t="s">
        <v>151</v>
      </c>
      <c r="AL72" s="67" t="s">
        <v>131</v>
      </c>
      <c r="AM72" s="67" t="s">
        <v>132</v>
      </c>
      <c r="AN72" s="67"/>
      <c r="AO72" s="67"/>
      <c r="AP72" s="67"/>
      <c r="AQ72" s="70">
        <v>1021196902</v>
      </c>
      <c r="AR72" s="68">
        <v>45618</v>
      </c>
      <c r="AS72" s="67" t="s">
        <v>1538</v>
      </c>
      <c r="AT72" s="67" t="s">
        <v>31</v>
      </c>
      <c r="AU72" s="67"/>
      <c r="AV72" s="67"/>
      <c r="AW72" s="67" t="s">
        <v>1539</v>
      </c>
      <c r="AX72" s="67" t="s">
        <v>1309</v>
      </c>
      <c r="AY72" s="67">
        <v>117399</v>
      </c>
      <c r="AZ72" s="67" t="s">
        <v>157</v>
      </c>
      <c r="BA72" s="67">
        <v>4203</v>
      </c>
      <c r="BB72" s="67" t="s">
        <v>512</v>
      </c>
      <c r="BC72" s="67">
        <v>100060183</v>
      </c>
      <c r="BD72" s="67"/>
      <c r="BE72" s="67"/>
      <c r="BF72" s="67"/>
      <c r="BG72" s="67"/>
      <c r="BH72" s="67"/>
      <c r="BI72" s="67"/>
      <c r="BJ72" s="67"/>
      <c r="BK72" s="67"/>
      <c r="BL72" s="67"/>
      <c r="BM72" s="67"/>
    </row>
    <row r="73" spans="1:65" x14ac:dyDescent="0.3">
      <c r="A73" s="67" t="s">
        <v>1540</v>
      </c>
      <c r="B73" s="67" t="s">
        <v>1541</v>
      </c>
      <c r="C73" s="67" t="s">
        <v>1542</v>
      </c>
      <c r="D73" s="67" t="s">
        <v>1543</v>
      </c>
      <c r="E73" s="67" t="s">
        <v>142</v>
      </c>
      <c r="F73" s="67" t="s">
        <v>143</v>
      </c>
      <c r="G73" s="67">
        <v>7</v>
      </c>
      <c r="H73" s="67" t="s">
        <v>1008</v>
      </c>
      <c r="I73" s="68">
        <v>45597</v>
      </c>
      <c r="J73" s="67">
        <v>37</v>
      </c>
      <c r="K73" s="67" t="s">
        <v>506</v>
      </c>
      <c r="L73" s="67" t="s">
        <v>117</v>
      </c>
      <c r="M73" s="67" t="s">
        <v>118</v>
      </c>
      <c r="N73" s="67" t="s">
        <v>1544</v>
      </c>
      <c r="O73" s="67" t="s">
        <v>119</v>
      </c>
      <c r="P73" s="69">
        <v>1050866</v>
      </c>
      <c r="Q73" s="69"/>
      <c r="R73" s="69">
        <v>1050866</v>
      </c>
      <c r="S73" s="69"/>
      <c r="T73" s="69">
        <v>1050866</v>
      </c>
      <c r="U73" s="67">
        <v>5210101581</v>
      </c>
      <c r="V73" s="67" t="s">
        <v>120</v>
      </c>
      <c r="W73" s="67" t="s">
        <v>31</v>
      </c>
      <c r="X73" s="67" t="s">
        <v>123</v>
      </c>
      <c r="Y73" s="67" t="s">
        <v>124</v>
      </c>
      <c r="Z73" s="67" t="s">
        <v>1545</v>
      </c>
      <c r="AA73" s="67" t="s">
        <v>123</v>
      </c>
      <c r="AB73" s="67"/>
      <c r="AC73" s="67" t="e">
        <v>#REF!</v>
      </c>
      <c r="AD73" s="67"/>
      <c r="AE73" s="67" t="s">
        <v>147</v>
      </c>
      <c r="AF73" s="67">
        <v>0</v>
      </c>
      <c r="AG73" s="67" t="s">
        <v>126</v>
      </c>
      <c r="AH73" s="67" t="s">
        <v>507</v>
      </c>
      <c r="AI73" s="67" t="s">
        <v>508</v>
      </c>
      <c r="AJ73" s="67" t="s">
        <v>150</v>
      </c>
      <c r="AK73" s="67" t="s">
        <v>151</v>
      </c>
      <c r="AL73" s="67" t="s">
        <v>131</v>
      </c>
      <c r="AM73" s="67" t="s">
        <v>132</v>
      </c>
      <c r="AN73" s="67"/>
      <c r="AO73" s="67"/>
      <c r="AP73" s="67"/>
      <c r="AQ73" s="70">
        <v>1021138175</v>
      </c>
      <c r="AR73" s="68">
        <v>45581</v>
      </c>
      <c r="AS73" s="67" t="s">
        <v>1546</v>
      </c>
      <c r="AT73" s="67" t="s">
        <v>31</v>
      </c>
      <c r="AU73" s="67"/>
      <c r="AV73" s="67"/>
      <c r="AW73" s="67" t="s">
        <v>1547</v>
      </c>
      <c r="AX73" s="67" t="s">
        <v>1309</v>
      </c>
      <c r="AY73" s="67">
        <v>117399</v>
      </c>
      <c r="AZ73" s="67" t="s">
        <v>157</v>
      </c>
      <c r="BA73" s="67">
        <v>4203</v>
      </c>
      <c r="BB73" s="67" t="s">
        <v>512</v>
      </c>
      <c r="BC73" s="67">
        <v>100060183</v>
      </c>
      <c r="BD73" s="67"/>
      <c r="BE73" s="67"/>
      <c r="BF73" s="67"/>
      <c r="BG73" s="67"/>
      <c r="BH73" s="67"/>
      <c r="BI73" s="67"/>
      <c r="BJ73" s="67"/>
      <c r="BK73" s="67"/>
      <c r="BL73" s="67"/>
      <c r="BM73" s="67"/>
    </row>
    <row r="74" spans="1:65" x14ac:dyDescent="0.3">
      <c r="A74" s="67" t="s">
        <v>1548</v>
      </c>
      <c r="B74" s="67" t="s">
        <v>1549</v>
      </c>
      <c r="C74" s="67" t="s">
        <v>1550</v>
      </c>
      <c r="D74" s="67" t="s">
        <v>1551</v>
      </c>
      <c r="E74" s="67" t="s">
        <v>142</v>
      </c>
      <c r="F74" s="67" t="s">
        <v>143</v>
      </c>
      <c r="G74" s="67">
        <v>7</v>
      </c>
      <c r="H74" s="67" t="s">
        <v>1007</v>
      </c>
      <c r="I74" s="68">
        <v>45586</v>
      </c>
      <c r="J74" s="67">
        <v>14</v>
      </c>
      <c r="K74" s="67" t="s">
        <v>506</v>
      </c>
      <c r="L74" s="67" t="s">
        <v>117</v>
      </c>
      <c r="M74" s="67" t="s">
        <v>118</v>
      </c>
      <c r="N74" s="67" t="s">
        <v>1552</v>
      </c>
      <c r="O74" s="67" t="s">
        <v>119</v>
      </c>
      <c r="P74" s="69">
        <v>1050862</v>
      </c>
      <c r="Q74" s="69"/>
      <c r="R74" s="69">
        <v>1050862</v>
      </c>
      <c r="S74" s="69"/>
      <c r="T74" s="69">
        <v>1050862</v>
      </c>
      <c r="U74" s="67">
        <v>5210101581</v>
      </c>
      <c r="V74" s="67" t="s">
        <v>120</v>
      </c>
      <c r="W74" s="67" t="s">
        <v>31</v>
      </c>
      <c r="X74" s="67" t="s">
        <v>123</v>
      </c>
      <c r="Y74" s="67" t="s">
        <v>124</v>
      </c>
      <c r="Z74" s="67" t="s">
        <v>1553</v>
      </c>
      <c r="AA74" s="67" t="s">
        <v>123</v>
      </c>
      <c r="AB74" s="67"/>
      <c r="AC74" s="67" t="e">
        <v>#REF!</v>
      </c>
      <c r="AD74" s="67"/>
      <c r="AE74" s="67" t="s">
        <v>147</v>
      </c>
      <c r="AF74" s="67">
        <v>0</v>
      </c>
      <c r="AG74" s="67" t="s">
        <v>126</v>
      </c>
      <c r="AH74" s="67" t="s">
        <v>507</v>
      </c>
      <c r="AI74" s="67" t="s">
        <v>508</v>
      </c>
      <c r="AJ74" s="67" t="s">
        <v>150</v>
      </c>
      <c r="AK74" s="67" t="s">
        <v>151</v>
      </c>
      <c r="AL74" s="67" t="s">
        <v>131</v>
      </c>
      <c r="AM74" s="67" t="s">
        <v>132</v>
      </c>
      <c r="AN74" s="67"/>
      <c r="AO74" s="67"/>
      <c r="AP74" s="67"/>
      <c r="AQ74" s="70">
        <v>1021120262</v>
      </c>
      <c r="AR74" s="68">
        <v>45569</v>
      </c>
      <c r="AS74" s="67" t="s">
        <v>1554</v>
      </c>
      <c r="AT74" s="67" t="s">
        <v>31</v>
      </c>
      <c r="AU74" s="67"/>
      <c r="AV74" s="67"/>
      <c r="AW74" s="67" t="s">
        <v>1555</v>
      </c>
      <c r="AX74" s="67" t="s">
        <v>1309</v>
      </c>
      <c r="AY74" s="67">
        <v>117399</v>
      </c>
      <c r="AZ74" s="67" t="s">
        <v>157</v>
      </c>
      <c r="BA74" s="67">
        <v>4203</v>
      </c>
      <c r="BB74" s="67" t="s">
        <v>512</v>
      </c>
      <c r="BC74" s="67">
        <v>100060183</v>
      </c>
      <c r="BD74" s="67"/>
      <c r="BE74" s="67"/>
      <c r="BF74" s="67"/>
      <c r="BG74" s="67"/>
      <c r="BH74" s="67"/>
      <c r="BI74" s="67"/>
      <c r="BJ74" s="67"/>
      <c r="BK74" s="67"/>
      <c r="BL74" s="67"/>
      <c r="BM74" s="67"/>
    </row>
    <row r="75" spans="1:65" x14ac:dyDescent="0.3">
      <c r="A75" s="67" t="s">
        <v>1556</v>
      </c>
      <c r="B75" s="67" t="s">
        <v>1557</v>
      </c>
      <c r="C75" s="67" t="s">
        <v>1550</v>
      </c>
      <c r="D75" s="67" t="s">
        <v>1551</v>
      </c>
      <c r="E75" s="67" t="s">
        <v>142</v>
      </c>
      <c r="F75" s="67" t="s">
        <v>143</v>
      </c>
      <c r="G75" s="67">
        <v>7</v>
      </c>
      <c r="H75" s="67" t="s">
        <v>1007</v>
      </c>
      <c r="I75" s="68">
        <v>45586</v>
      </c>
      <c r="J75" s="67">
        <v>16</v>
      </c>
      <c r="K75" s="67" t="s">
        <v>506</v>
      </c>
      <c r="L75" s="67" t="s">
        <v>117</v>
      </c>
      <c r="M75" s="67" t="s">
        <v>118</v>
      </c>
      <c r="N75" s="67" t="s">
        <v>1558</v>
      </c>
      <c r="O75" s="67" t="s">
        <v>119</v>
      </c>
      <c r="P75" s="69">
        <v>1050862</v>
      </c>
      <c r="Q75" s="69"/>
      <c r="R75" s="69">
        <v>1050862</v>
      </c>
      <c r="S75" s="69"/>
      <c r="T75" s="69">
        <v>1050862</v>
      </c>
      <c r="U75" s="67">
        <v>5210101581</v>
      </c>
      <c r="V75" s="67" t="s">
        <v>120</v>
      </c>
      <c r="W75" s="67" t="s">
        <v>31</v>
      </c>
      <c r="X75" s="67" t="s">
        <v>123</v>
      </c>
      <c r="Y75" s="67" t="s">
        <v>124</v>
      </c>
      <c r="Z75" s="67" t="s">
        <v>1559</v>
      </c>
      <c r="AA75" s="67" t="s">
        <v>123</v>
      </c>
      <c r="AB75" s="67"/>
      <c r="AC75" s="67" t="e">
        <v>#REF!</v>
      </c>
      <c r="AD75" s="67"/>
      <c r="AE75" s="67" t="s">
        <v>147</v>
      </c>
      <c r="AF75" s="67">
        <v>0</v>
      </c>
      <c r="AG75" s="67" t="s">
        <v>126</v>
      </c>
      <c r="AH75" s="67" t="s">
        <v>507</v>
      </c>
      <c r="AI75" s="67" t="s">
        <v>508</v>
      </c>
      <c r="AJ75" s="67" t="s">
        <v>150</v>
      </c>
      <c r="AK75" s="67" t="s">
        <v>151</v>
      </c>
      <c r="AL75" s="67" t="s">
        <v>131</v>
      </c>
      <c r="AM75" s="67" t="s">
        <v>132</v>
      </c>
      <c r="AN75" s="67"/>
      <c r="AO75" s="67"/>
      <c r="AP75" s="67"/>
      <c r="AQ75" s="70">
        <v>1021117033</v>
      </c>
      <c r="AR75" s="68">
        <v>45566</v>
      </c>
      <c r="AS75" s="67" t="s">
        <v>1560</v>
      </c>
      <c r="AT75" s="67" t="s">
        <v>31</v>
      </c>
      <c r="AU75" s="67"/>
      <c r="AV75" s="67"/>
      <c r="AW75" s="67" t="s">
        <v>1561</v>
      </c>
      <c r="AX75" s="67" t="s">
        <v>1309</v>
      </c>
      <c r="AY75" s="67">
        <v>117399</v>
      </c>
      <c r="AZ75" s="67" t="s">
        <v>157</v>
      </c>
      <c r="BA75" s="67">
        <v>4203</v>
      </c>
      <c r="BB75" s="67" t="s">
        <v>512</v>
      </c>
      <c r="BC75" s="67">
        <v>100060183</v>
      </c>
      <c r="BD75" s="67"/>
      <c r="BE75" s="67"/>
      <c r="BF75" s="67"/>
      <c r="BG75" s="67"/>
      <c r="BH75" s="67"/>
      <c r="BI75" s="67"/>
      <c r="BJ75" s="67"/>
      <c r="BK75" s="67"/>
      <c r="BL75" s="67"/>
      <c r="BM75" s="67"/>
    </row>
    <row r="76" spans="1:65" x14ac:dyDescent="0.3">
      <c r="A76" s="67" t="s">
        <v>1562</v>
      </c>
      <c r="B76" s="67" t="s">
        <v>1563</v>
      </c>
      <c r="C76" s="67" t="s">
        <v>1550</v>
      </c>
      <c r="D76" s="67" t="s">
        <v>1551</v>
      </c>
      <c r="E76" s="67" t="s">
        <v>142</v>
      </c>
      <c r="F76" s="67" t="s">
        <v>143</v>
      </c>
      <c r="G76" s="67">
        <v>7</v>
      </c>
      <c r="H76" s="67" t="s">
        <v>1007</v>
      </c>
      <c r="I76" s="68">
        <v>45586</v>
      </c>
      <c r="J76" s="67">
        <v>15</v>
      </c>
      <c r="K76" s="67" t="s">
        <v>506</v>
      </c>
      <c r="L76" s="67" t="s">
        <v>117</v>
      </c>
      <c r="M76" s="67" t="s">
        <v>118</v>
      </c>
      <c r="N76" s="67" t="s">
        <v>1564</v>
      </c>
      <c r="O76" s="67" t="s">
        <v>119</v>
      </c>
      <c r="P76" s="69">
        <v>900739</v>
      </c>
      <c r="Q76" s="69"/>
      <c r="R76" s="69">
        <v>900739</v>
      </c>
      <c r="S76" s="69"/>
      <c r="T76" s="69">
        <v>900739</v>
      </c>
      <c r="U76" s="67">
        <v>5210101581</v>
      </c>
      <c r="V76" s="67" t="s">
        <v>120</v>
      </c>
      <c r="W76" s="67" t="s">
        <v>31</v>
      </c>
      <c r="X76" s="67" t="s">
        <v>123</v>
      </c>
      <c r="Y76" s="67" t="s">
        <v>124</v>
      </c>
      <c r="Z76" s="67" t="s">
        <v>1565</v>
      </c>
      <c r="AA76" s="67" t="s">
        <v>123</v>
      </c>
      <c r="AB76" s="67"/>
      <c r="AC76" s="67" t="e">
        <v>#REF!</v>
      </c>
      <c r="AD76" s="67"/>
      <c r="AE76" s="67" t="s">
        <v>147</v>
      </c>
      <c r="AF76" s="67">
        <v>0</v>
      </c>
      <c r="AG76" s="67" t="s">
        <v>126</v>
      </c>
      <c r="AH76" s="67" t="s">
        <v>507</v>
      </c>
      <c r="AI76" s="67" t="s">
        <v>508</v>
      </c>
      <c r="AJ76" s="67" t="s">
        <v>150</v>
      </c>
      <c r="AK76" s="67" t="s">
        <v>151</v>
      </c>
      <c r="AL76" s="67" t="s">
        <v>131</v>
      </c>
      <c r="AM76" s="67" t="s">
        <v>132</v>
      </c>
      <c r="AN76" s="67"/>
      <c r="AO76" s="67"/>
      <c r="AP76" s="67"/>
      <c r="AQ76" s="70">
        <v>1021111116</v>
      </c>
      <c r="AR76" s="68">
        <v>45563</v>
      </c>
      <c r="AS76" s="67" t="s">
        <v>1566</v>
      </c>
      <c r="AT76" s="67" t="s">
        <v>31</v>
      </c>
      <c r="AU76" s="67"/>
      <c r="AV76" s="67"/>
      <c r="AW76" s="67" t="s">
        <v>1567</v>
      </c>
      <c r="AX76" s="67" t="s">
        <v>1309</v>
      </c>
      <c r="AY76" s="67">
        <v>117399</v>
      </c>
      <c r="AZ76" s="67" t="s">
        <v>157</v>
      </c>
      <c r="BA76" s="67">
        <v>4203</v>
      </c>
      <c r="BB76" s="67" t="s">
        <v>512</v>
      </c>
      <c r="BC76" s="67">
        <v>100060183</v>
      </c>
      <c r="BD76" s="67"/>
      <c r="BE76" s="67"/>
      <c r="BF76" s="67"/>
      <c r="BG76" s="67"/>
      <c r="BH76" s="67"/>
      <c r="BI76" s="67"/>
      <c r="BJ76" s="67"/>
      <c r="BK76" s="67"/>
      <c r="BL76" s="67"/>
      <c r="BM76" s="67"/>
    </row>
    <row r="77" spans="1:65" x14ac:dyDescent="0.3">
      <c r="A77" s="67" t="s">
        <v>1568</v>
      </c>
      <c r="B77" s="67" t="s">
        <v>1569</v>
      </c>
      <c r="C77" s="67" t="s">
        <v>1528</v>
      </c>
      <c r="D77" s="67" t="s">
        <v>1570</v>
      </c>
      <c r="E77" s="67" t="s">
        <v>142</v>
      </c>
      <c r="F77" s="67" t="s">
        <v>143</v>
      </c>
      <c r="G77" s="67">
        <v>7</v>
      </c>
      <c r="H77" s="67" t="s">
        <v>1009</v>
      </c>
      <c r="I77" s="68">
        <v>45636</v>
      </c>
      <c r="J77" s="67">
        <v>31</v>
      </c>
      <c r="K77" s="67" t="s">
        <v>116</v>
      </c>
      <c r="L77" s="67" t="s">
        <v>117</v>
      </c>
      <c r="M77" s="67" t="s">
        <v>118</v>
      </c>
      <c r="N77" s="67" t="s">
        <v>1571</v>
      </c>
      <c r="O77" s="67" t="s">
        <v>119</v>
      </c>
      <c r="P77" s="69">
        <v>854296.51</v>
      </c>
      <c r="Q77" s="69"/>
      <c r="R77" s="69">
        <v>854296.51</v>
      </c>
      <c r="S77" s="69"/>
      <c r="T77" s="69">
        <v>854296.51</v>
      </c>
      <c r="U77" s="67">
        <v>5210101232</v>
      </c>
      <c r="V77" s="67" t="s">
        <v>120</v>
      </c>
      <c r="W77" s="67" t="s">
        <v>996</v>
      </c>
      <c r="X77" s="67" t="s">
        <v>123</v>
      </c>
      <c r="Y77" s="67" t="s">
        <v>124</v>
      </c>
      <c r="Z77" s="67" t="s">
        <v>1572</v>
      </c>
      <c r="AA77" s="67" t="s">
        <v>123</v>
      </c>
      <c r="AB77" s="67"/>
      <c r="AC77" s="67" t="e">
        <v>#REF!</v>
      </c>
      <c r="AD77" s="67"/>
      <c r="AE77" s="67" t="s">
        <v>125</v>
      </c>
      <c r="AF77" s="67">
        <v>0</v>
      </c>
      <c r="AG77" s="67" t="s">
        <v>126</v>
      </c>
      <c r="AH77" s="67" t="s">
        <v>127</v>
      </c>
      <c r="AI77" s="67" t="s">
        <v>128</v>
      </c>
      <c r="AJ77" s="67" t="s">
        <v>129</v>
      </c>
      <c r="AK77" s="67" t="s">
        <v>130</v>
      </c>
      <c r="AL77" s="67" t="s">
        <v>131</v>
      </c>
      <c r="AM77" s="67" t="s">
        <v>132</v>
      </c>
      <c r="AN77" s="67"/>
      <c r="AO77" s="67"/>
      <c r="AP77" s="67"/>
      <c r="AQ77" s="70" t="s">
        <v>1573</v>
      </c>
      <c r="AR77" s="68">
        <v>45614</v>
      </c>
      <c r="AS77" s="67" t="s">
        <v>1574</v>
      </c>
      <c r="AT77" s="67" t="s">
        <v>24</v>
      </c>
      <c r="AU77" s="67"/>
      <c r="AV77" s="67"/>
      <c r="AW77" s="67" t="s">
        <v>1575</v>
      </c>
      <c r="AX77" s="67" t="s">
        <v>1576</v>
      </c>
      <c r="AY77" s="67">
        <v>117689</v>
      </c>
      <c r="AZ77" s="67" t="s">
        <v>135</v>
      </c>
      <c r="BA77" s="67">
        <v>5509</v>
      </c>
      <c r="BB77" s="67" t="s">
        <v>136</v>
      </c>
      <c r="BC77" s="67">
        <v>100063788</v>
      </c>
      <c r="BD77" s="67"/>
      <c r="BE77" s="67"/>
      <c r="BF77" s="67"/>
      <c r="BG77" s="67"/>
      <c r="BH77" s="67"/>
      <c r="BI77" s="67"/>
      <c r="BJ77" s="67"/>
      <c r="BK77" s="67"/>
      <c r="BL77" s="67"/>
      <c r="BM77" s="67"/>
    </row>
    <row r="78" spans="1:65" x14ac:dyDescent="0.3">
      <c r="A78" s="67" t="s">
        <v>1577</v>
      </c>
      <c r="B78" s="67" t="s">
        <v>1578</v>
      </c>
      <c r="C78" s="67" t="s">
        <v>1579</v>
      </c>
      <c r="D78" s="67" t="s">
        <v>1580</v>
      </c>
      <c r="E78" s="67" t="s">
        <v>142</v>
      </c>
      <c r="F78" s="67" t="s">
        <v>143</v>
      </c>
      <c r="G78" s="67">
        <v>7</v>
      </c>
      <c r="H78" s="67" t="s">
        <v>1008</v>
      </c>
      <c r="I78" s="68">
        <v>45603</v>
      </c>
      <c r="J78" s="67">
        <v>13</v>
      </c>
      <c r="K78" s="67" t="s">
        <v>116</v>
      </c>
      <c r="L78" s="67" t="s">
        <v>117</v>
      </c>
      <c r="M78" s="67" t="s">
        <v>118</v>
      </c>
      <c r="N78" s="67" t="s">
        <v>1581</v>
      </c>
      <c r="O78" s="67" t="s">
        <v>119</v>
      </c>
      <c r="P78" s="69">
        <v>836083.39</v>
      </c>
      <c r="Q78" s="69"/>
      <c r="R78" s="69">
        <v>836083.39</v>
      </c>
      <c r="S78" s="69"/>
      <c r="T78" s="69">
        <v>836083.39</v>
      </c>
      <c r="U78" s="67">
        <v>5210101232</v>
      </c>
      <c r="V78" s="67" t="s">
        <v>120</v>
      </c>
      <c r="W78" s="67" t="s">
        <v>996</v>
      </c>
      <c r="X78" s="67" t="s">
        <v>123</v>
      </c>
      <c r="Y78" s="67" t="s">
        <v>124</v>
      </c>
      <c r="Z78" s="67" t="s">
        <v>1582</v>
      </c>
      <c r="AA78" s="67" t="s">
        <v>123</v>
      </c>
      <c r="AB78" s="67"/>
      <c r="AC78" s="67" t="e">
        <v>#REF!</v>
      </c>
      <c r="AD78" s="67"/>
      <c r="AE78" s="67" t="s">
        <v>125</v>
      </c>
      <c r="AF78" s="67">
        <v>0</v>
      </c>
      <c r="AG78" s="67" t="s">
        <v>126</v>
      </c>
      <c r="AH78" s="67" t="s">
        <v>127</v>
      </c>
      <c r="AI78" s="67" t="s">
        <v>128</v>
      </c>
      <c r="AJ78" s="67" t="s">
        <v>129</v>
      </c>
      <c r="AK78" s="67" t="s">
        <v>130</v>
      </c>
      <c r="AL78" s="67" t="s">
        <v>131</v>
      </c>
      <c r="AM78" s="67" t="s">
        <v>132</v>
      </c>
      <c r="AN78" s="67"/>
      <c r="AO78" s="67"/>
      <c r="AP78" s="67"/>
      <c r="AQ78" s="70" t="s">
        <v>1583</v>
      </c>
      <c r="AR78" s="68">
        <v>45551</v>
      </c>
      <c r="AS78" s="67" t="s">
        <v>1584</v>
      </c>
      <c r="AT78" s="67" t="s">
        <v>24</v>
      </c>
      <c r="AU78" s="67"/>
      <c r="AV78" s="67"/>
      <c r="AW78" s="67" t="s">
        <v>1585</v>
      </c>
      <c r="AX78" s="67" t="s">
        <v>1576</v>
      </c>
      <c r="AY78" s="67">
        <v>117689</v>
      </c>
      <c r="AZ78" s="67" t="s">
        <v>135</v>
      </c>
      <c r="BA78" s="67">
        <v>5509</v>
      </c>
      <c r="BB78" s="67" t="s">
        <v>136</v>
      </c>
      <c r="BC78" s="67">
        <v>100063788</v>
      </c>
      <c r="BD78" s="67"/>
      <c r="BE78" s="67"/>
      <c r="BF78" s="67"/>
      <c r="BG78" s="67"/>
      <c r="BH78" s="67"/>
      <c r="BI78" s="67"/>
      <c r="BJ78" s="67"/>
      <c r="BK78" s="67"/>
      <c r="BL78" s="67"/>
      <c r="BM78" s="67"/>
    </row>
    <row r="79" spans="1:65" x14ac:dyDescent="0.3">
      <c r="A79" s="67" t="s">
        <v>1586</v>
      </c>
      <c r="B79" s="67" t="s">
        <v>1587</v>
      </c>
      <c r="C79" s="67" t="s">
        <v>1425</v>
      </c>
      <c r="D79" s="67" t="s">
        <v>1426</v>
      </c>
      <c r="E79" s="67" t="s">
        <v>142</v>
      </c>
      <c r="F79" s="67" t="s">
        <v>143</v>
      </c>
      <c r="G79" s="67">
        <v>7</v>
      </c>
      <c r="H79" s="67" t="s">
        <v>1008</v>
      </c>
      <c r="I79" s="68">
        <v>45610</v>
      </c>
      <c r="J79" s="67">
        <v>52</v>
      </c>
      <c r="K79" s="67" t="s">
        <v>116</v>
      </c>
      <c r="L79" s="67" t="s">
        <v>117</v>
      </c>
      <c r="M79" s="67" t="s">
        <v>118</v>
      </c>
      <c r="N79" s="67" t="s">
        <v>1588</v>
      </c>
      <c r="O79" s="67" t="s">
        <v>119</v>
      </c>
      <c r="P79" s="69">
        <v>798341.76</v>
      </c>
      <c r="Q79" s="69"/>
      <c r="R79" s="69">
        <v>798341.76</v>
      </c>
      <c r="S79" s="69"/>
      <c r="T79" s="69">
        <v>798341.76</v>
      </c>
      <c r="U79" s="67">
        <v>5210101232</v>
      </c>
      <c r="V79" s="67" t="s">
        <v>120</v>
      </c>
      <c r="W79" s="67" t="s">
        <v>996</v>
      </c>
      <c r="X79" s="67" t="s">
        <v>123</v>
      </c>
      <c r="Y79" s="67" t="s">
        <v>124</v>
      </c>
      <c r="Z79" s="67" t="s">
        <v>1589</v>
      </c>
      <c r="AA79" s="67" t="s">
        <v>123</v>
      </c>
      <c r="AB79" s="67"/>
      <c r="AC79" s="67" t="e">
        <v>#REF!</v>
      </c>
      <c r="AD79" s="67"/>
      <c r="AE79" s="67" t="s">
        <v>125</v>
      </c>
      <c r="AF79" s="67">
        <v>0</v>
      </c>
      <c r="AG79" s="67" t="s">
        <v>126</v>
      </c>
      <c r="AH79" s="67" t="s">
        <v>127</v>
      </c>
      <c r="AI79" s="67" t="s">
        <v>128</v>
      </c>
      <c r="AJ79" s="67" t="s">
        <v>129</v>
      </c>
      <c r="AK79" s="67" t="s">
        <v>130</v>
      </c>
      <c r="AL79" s="67" t="s">
        <v>131</v>
      </c>
      <c r="AM79" s="67" t="s">
        <v>132</v>
      </c>
      <c r="AN79" s="67"/>
      <c r="AO79" s="67"/>
      <c r="AP79" s="67"/>
      <c r="AQ79" s="70" t="s">
        <v>1590</v>
      </c>
      <c r="AR79" s="68">
        <v>45584</v>
      </c>
      <c r="AS79" s="67" t="s">
        <v>1591</v>
      </c>
      <c r="AT79" s="67" t="s">
        <v>24</v>
      </c>
      <c r="AU79" s="67"/>
      <c r="AV79" s="67"/>
      <c r="AW79" s="67" t="s">
        <v>1592</v>
      </c>
      <c r="AX79" s="67" t="s">
        <v>1576</v>
      </c>
      <c r="AY79" s="67">
        <v>117689</v>
      </c>
      <c r="AZ79" s="67" t="s">
        <v>135</v>
      </c>
      <c r="BA79" s="67">
        <v>5509</v>
      </c>
      <c r="BB79" s="67" t="s">
        <v>136</v>
      </c>
      <c r="BC79" s="67">
        <v>100063788</v>
      </c>
      <c r="BD79" s="67"/>
      <c r="BE79" s="67"/>
      <c r="BF79" s="67"/>
      <c r="BG79" s="67"/>
      <c r="BH79" s="67"/>
      <c r="BI79" s="67"/>
      <c r="BJ79" s="67"/>
      <c r="BK79" s="67"/>
      <c r="BL79" s="67"/>
      <c r="BM79" s="67"/>
    </row>
    <row r="80" spans="1:65" x14ac:dyDescent="0.3">
      <c r="A80" s="67" t="s">
        <v>1593</v>
      </c>
      <c r="B80" s="67" t="s">
        <v>1594</v>
      </c>
      <c r="C80" s="67" t="s">
        <v>1579</v>
      </c>
      <c r="D80" s="67" t="s">
        <v>1580</v>
      </c>
      <c r="E80" s="67" t="s">
        <v>142</v>
      </c>
      <c r="F80" s="67" t="s">
        <v>143</v>
      </c>
      <c r="G80" s="67">
        <v>7</v>
      </c>
      <c r="H80" s="67" t="s">
        <v>1008</v>
      </c>
      <c r="I80" s="68">
        <v>45603</v>
      </c>
      <c r="J80" s="67">
        <v>17</v>
      </c>
      <c r="K80" s="67" t="s">
        <v>116</v>
      </c>
      <c r="L80" s="67" t="s">
        <v>117</v>
      </c>
      <c r="M80" s="67" t="s">
        <v>118</v>
      </c>
      <c r="N80" s="67" t="s">
        <v>1595</v>
      </c>
      <c r="O80" s="67" t="s">
        <v>119</v>
      </c>
      <c r="P80" s="69">
        <v>703026.43</v>
      </c>
      <c r="Q80" s="69"/>
      <c r="R80" s="69">
        <v>703026.43</v>
      </c>
      <c r="S80" s="69"/>
      <c r="T80" s="69">
        <v>703026.43</v>
      </c>
      <c r="U80" s="67">
        <v>5210101232</v>
      </c>
      <c r="V80" s="67" t="s">
        <v>120</v>
      </c>
      <c r="W80" s="67" t="s">
        <v>996</v>
      </c>
      <c r="X80" s="67" t="s">
        <v>123</v>
      </c>
      <c r="Y80" s="67" t="s">
        <v>124</v>
      </c>
      <c r="Z80" s="67" t="s">
        <v>1596</v>
      </c>
      <c r="AA80" s="67" t="s">
        <v>123</v>
      </c>
      <c r="AB80" s="67"/>
      <c r="AC80" s="67" t="e">
        <v>#REF!</v>
      </c>
      <c r="AD80" s="67"/>
      <c r="AE80" s="67" t="s">
        <v>125</v>
      </c>
      <c r="AF80" s="67">
        <v>0</v>
      </c>
      <c r="AG80" s="67" t="s">
        <v>126</v>
      </c>
      <c r="AH80" s="67" t="s">
        <v>127</v>
      </c>
      <c r="AI80" s="67" t="s">
        <v>128</v>
      </c>
      <c r="AJ80" s="67" t="s">
        <v>129</v>
      </c>
      <c r="AK80" s="67" t="s">
        <v>130</v>
      </c>
      <c r="AL80" s="67" t="s">
        <v>131</v>
      </c>
      <c r="AM80" s="67" t="s">
        <v>132</v>
      </c>
      <c r="AN80" s="67"/>
      <c r="AO80" s="67"/>
      <c r="AP80" s="67"/>
      <c r="AQ80" s="70" t="s">
        <v>1597</v>
      </c>
      <c r="AR80" s="68">
        <v>45533</v>
      </c>
      <c r="AS80" s="67" t="s">
        <v>1598</v>
      </c>
      <c r="AT80" s="67" t="s">
        <v>24</v>
      </c>
      <c r="AU80" s="67"/>
      <c r="AV80" s="67"/>
      <c r="AW80" s="67" t="s">
        <v>1599</v>
      </c>
      <c r="AX80" s="67" t="s">
        <v>1576</v>
      </c>
      <c r="AY80" s="67">
        <v>117689</v>
      </c>
      <c r="AZ80" s="67" t="s">
        <v>135</v>
      </c>
      <c r="BA80" s="67">
        <v>5509</v>
      </c>
      <c r="BB80" s="67" t="s">
        <v>136</v>
      </c>
      <c r="BC80" s="67">
        <v>100063788</v>
      </c>
      <c r="BD80" s="67"/>
      <c r="BE80" s="67"/>
      <c r="BF80" s="67"/>
      <c r="BG80" s="67"/>
      <c r="BH80" s="67"/>
      <c r="BI80" s="67"/>
      <c r="BJ80" s="67"/>
      <c r="BK80" s="67"/>
      <c r="BL80" s="67"/>
      <c r="BM80" s="67"/>
    </row>
    <row r="81" spans="1:65" x14ac:dyDescent="0.3">
      <c r="A81" s="67" t="s">
        <v>1600</v>
      </c>
      <c r="B81" s="67" t="s">
        <v>1601</v>
      </c>
      <c r="C81" s="67" t="s">
        <v>1528</v>
      </c>
      <c r="D81" s="67" t="s">
        <v>1602</v>
      </c>
      <c r="E81" s="67" t="s">
        <v>142</v>
      </c>
      <c r="F81" s="67" t="s">
        <v>143</v>
      </c>
      <c r="G81" s="67">
        <v>7</v>
      </c>
      <c r="H81" s="67" t="s">
        <v>1009</v>
      </c>
      <c r="I81" s="68">
        <v>45629</v>
      </c>
      <c r="J81" s="67">
        <v>258</v>
      </c>
      <c r="K81" s="67" t="s">
        <v>561</v>
      </c>
      <c r="L81" s="67" t="s">
        <v>117</v>
      </c>
      <c r="M81" s="67" t="s">
        <v>118</v>
      </c>
      <c r="N81" s="67" t="s">
        <v>1603</v>
      </c>
      <c r="O81" s="67" t="s">
        <v>119</v>
      </c>
      <c r="P81" s="69">
        <v>142375.67999999999</v>
      </c>
      <c r="Q81" s="69"/>
      <c r="R81" s="69">
        <v>142375.67999999999</v>
      </c>
      <c r="S81" s="69"/>
      <c r="T81" s="69">
        <v>142375.67999999999</v>
      </c>
      <c r="U81" s="67">
        <v>5210101238</v>
      </c>
      <c r="V81" s="67" t="s">
        <v>120</v>
      </c>
      <c r="W81" s="67" t="s">
        <v>996</v>
      </c>
      <c r="X81" s="67" t="s">
        <v>123</v>
      </c>
      <c r="Y81" s="67" t="s">
        <v>124</v>
      </c>
      <c r="Z81" s="67" t="s">
        <v>1604</v>
      </c>
      <c r="AA81" s="67" t="s">
        <v>123</v>
      </c>
      <c r="AB81" s="67"/>
      <c r="AC81" s="67" t="e">
        <v>#REF!</v>
      </c>
      <c r="AD81" s="67"/>
      <c r="AE81" s="67" t="s">
        <v>562</v>
      </c>
      <c r="AF81" s="67">
        <v>0</v>
      </c>
      <c r="AG81" s="67" t="s">
        <v>126</v>
      </c>
      <c r="AH81" s="67" t="s">
        <v>127</v>
      </c>
      <c r="AI81" s="67" t="s">
        <v>128</v>
      </c>
      <c r="AJ81" s="67" t="s">
        <v>548</v>
      </c>
      <c r="AK81" s="67" t="s">
        <v>549</v>
      </c>
      <c r="AL81" s="67" t="s">
        <v>131</v>
      </c>
      <c r="AM81" s="67" t="s">
        <v>132</v>
      </c>
      <c r="AN81" s="67"/>
      <c r="AO81" s="67"/>
      <c r="AP81" s="67"/>
      <c r="AQ81" s="70" t="s">
        <v>1605</v>
      </c>
      <c r="AR81" s="68">
        <v>45584</v>
      </c>
      <c r="AS81" s="67" t="s">
        <v>1606</v>
      </c>
      <c r="AT81" s="67" t="s">
        <v>24</v>
      </c>
      <c r="AU81" s="67"/>
      <c r="AV81" s="67"/>
      <c r="AW81" s="67" t="s">
        <v>1607</v>
      </c>
      <c r="AX81" s="67" t="s">
        <v>1147</v>
      </c>
      <c r="AY81" s="67">
        <v>119404</v>
      </c>
      <c r="AZ81" s="67" t="s">
        <v>554</v>
      </c>
      <c r="BA81" s="67">
        <v>5512</v>
      </c>
      <c r="BB81" s="67" t="s">
        <v>567</v>
      </c>
      <c r="BC81" s="67">
        <v>100060415</v>
      </c>
      <c r="BD81" s="67"/>
      <c r="BE81" s="67"/>
      <c r="BF81" s="67"/>
      <c r="BG81" s="67"/>
      <c r="BH81" s="67"/>
      <c r="BI81" s="67"/>
      <c r="BJ81" s="67"/>
      <c r="BK81" s="67"/>
      <c r="BL81" s="67"/>
      <c r="BM81" s="67"/>
    </row>
    <row r="82" spans="1:65" x14ac:dyDescent="0.3">
      <c r="A82" s="67" t="s">
        <v>1608</v>
      </c>
      <c r="B82" s="67" t="s">
        <v>1609</v>
      </c>
      <c r="C82" s="67" t="s">
        <v>1542</v>
      </c>
      <c r="D82" s="67" t="s">
        <v>1610</v>
      </c>
      <c r="E82" s="67" t="s">
        <v>142</v>
      </c>
      <c r="F82" s="67" t="s">
        <v>143</v>
      </c>
      <c r="G82" s="67">
        <v>7</v>
      </c>
      <c r="H82" s="67" t="s">
        <v>1008</v>
      </c>
      <c r="I82" s="68">
        <v>45601</v>
      </c>
      <c r="J82" s="67">
        <v>3</v>
      </c>
      <c r="K82" s="67" t="s">
        <v>1312</v>
      </c>
      <c r="L82" s="67" t="s">
        <v>117</v>
      </c>
      <c r="M82" s="67" t="s">
        <v>118</v>
      </c>
      <c r="N82" s="67" t="s">
        <v>1611</v>
      </c>
      <c r="O82" s="67" t="s">
        <v>119</v>
      </c>
      <c r="P82" s="69">
        <v>133000</v>
      </c>
      <c r="Q82" s="69"/>
      <c r="R82" s="69">
        <v>133000</v>
      </c>
      <c r="S82" s="69"/>
      <c r="T82" s="69">
        <v>133000</v>
      </c>
      <c r="U82" s="67">
        <v>5210101320</v>
      </c>
      <c r="V82" s="67" t="s">
        <v>120</v>
      </c>
      <c r="W82" s="67" t="s">
        <v>43</v>
      </c>
      <c r="X82" s="67" t="s">
        <v>123</v>
      </c>
      <c r="Y82" s="67" t="s">
        <v>124</v>
      </c>
      <c r="Z82" s="67" t="s">
        <v>1612</v>
      </c>
      <c r="AA82" s="67" t="s">
        <v>123</v>
      </c>
      <c r="AB82" s="67"/>
      <c r="AC82" s="67" t="e">
        <v>#REF!</v>
      </c>
      <c r="AD82" s="67"/>
      <c r="AE82" s="67" t="s">
        <v>545</v>
      </c>
      <c r="AF82" s="67">
        <v>0</v>
      </c>
      <c r="AG82" s="67" t="s">
        <v>126</v>
      </c>
      <c r="AH82" s="67" t="s">
        <v>546</v>
      </c>
      <c r="AI82" s="67" t="s">
        <v>547</v>
      </c>
      <c r="AJ82" s="67" t="s">
        <v>1315</v>
      </c>
      <c r="AK82" s="67" t="s">
        <v>1316</v>
      </c>
      <c r="AL82" s="67" t="s">
        <v>131</v>
      </c>
      <c r="AM82" s="67" t="s">
        <v>132</v>
      </c>
      <c r="AN82" s="67"/>
      <c r="AO82" s="67"/>
      <c r="AP82" s="67"/>
      <c r="AQ82" s="70">
        <v>5241000312</v>
      </c>
      <c r="AR82" s="68">
        <v>45593</v>
      </c>
      <c r="AS82" s="67" t="s">
        <v>1613</v>
      </c>
      <c r="AT82" s="67" t="s">
        <v>1614</v>
      </c>
      <c r="AU82" s="67"/>
      <c r="AV82" s="67"/>
      <c r="AW82" s="67" t="s">
        <v>1615</v>
      </c>
      <c r="AX82" s="67" t="s">
        <v>1329</v>
      </c>
      <c r="AY82" s="67">
        <v>119410</v>
      </c>
      <c r="AZ82" s="67" t="s">
        <v>1320</v>
      </c>
      <c r="BA82" s="67">
        <v>5503</v>
      </c>
      <c r="BB82" s="67" t="s">
        <v>555</v>
      </c>
      <c r="BC82" s="67">
        <v>100062954</v>
      </c>
      <c r="BD82" s="67"/>
      <c r="BE82" s="67"/>
      <c r="BF82" s="67"/>
      <c r="BG82" s="67"/>
      <c r="BH82" s="67"/>
      <c r="BI82" s="67"/>
      <c r="BJ82" s="67"/>
      <c r="BK82" s="67"/>
      <c r="BL82" s="67"/>
      <c r="BM82" s="67"/>
    </row>
    <row r="83" spans="1:65" x14ac:dyDescent="0.3">
      <c r="A83" s="67" t="s">
        <v>1616</v>
      </c>
      <c r="B83" s="67" t="s">
        <v>1617</v>
      </c>
      <c r="C83" s="67" t="s">
        <v>1618</v>
      </c>
      <c r="D83" s="67" t="s">
        <v>1619</v>
      </c>
      <c r="E83" s="67" t="s">
        <v>142</v>
      </c>
      <c r="F83" s="67" t="s">
        <v>143</v>
      </c>
      <c r="G83" s="67">
        <v>7</v>
      </c>
      <c r="H83" s="67" t="s">
        <v>1009</v>
      </c>
      <c r="I83" s="68">
        <v>45642</v>
      </c>
      <c r="J83" s="67">
        <v>1079</v>
      </c>
      <c r="K83" s="67" t="s">
        <v>561</v>
      </c>
      <c r="L83" s="67" t="s">
        <v>117</v>
      </c>
      <c r="M83" s="67" t="s">
        <v>118</v>
      </c>
      <c r="N83" s="67" t="s">
        <v>1620</v>
      </c>
      <c r="O83" s="67" t="s">
        <v>119</v>
      </c>
      <c r="P83" s="69">
        <v>73358.399999999994</v>
      </c>
      <c r="Q83" s="69"/>
      <c r="R83" s="69">
        <v>73358.399999999994</v>
      </c>
      <c r="S83" s="69"/>
      <c r="T83" s="69">
        <v>73358.399999999994</v>
      </c>
      <c r="U83" s="67">
        <v>5210101238</v>
      </c>
      <c r="V83" s="67" t="s">
        <v>120</v>
      </c>
      <c r="W83" s="67" t="s">
        <v>996</v>
      </c>
      <c r="X83" s="67" t="s">
        <v>123</v>
      </c>
      <c r="Y83" s="67" t="s">
        <v>124</v>
      </c>
      <c r="Z83" s="67" t="s">
        <v>1621</v>
      </c>
      <c r="AA83" s="67" t="s">
        <v>123</v>
      </c>
      <c r="AB83" s="67"/>
      <c r="AC83" s="67" t="e">
        <v>#REF!</v>
      </c>
      <c r="AD83" s="67"/>
      <c r="AE83" s="67" t="s">
        <v>562</v>
      </c>
      <c r="AF83" s="67">
        <v>0</v>
      </c>
      <c r="AG83" s="67" t="s">
        <v>126</v>
      </c>
      <c r="AH83" s="67" t="s">
        <v>127</v>
      </c>
      <c r="AI83" s="67" t="s">
        <v>128</v>
      </c>
      <c r="AJ83" s="67" t="s">
        <v>548</v>
      </c>
      <c r="AK83" s="67" t="s">
        <v>549</v>
      </c>
      <c r="AL83" s="67" t="s">
        <v>131</v>
      </c>
      <c r="AM83" s="67" t="s">
        <v>132</v>
      </c>
      <c r="AN83" s="67"/>
      <c r="AO83" s="67"/>
      <c r="AP83" s="67"/>
      <c r="AQ83" s="70" t="s">
        <v>1622</v>
      </c>
      <c r="AR83" s="68">
        <v>45614</v>
      </c>
      <c r="AS83" s="67" t="s">
        <v>1623</v>
      </c>
      <c r="AT83" s="67" t="s">
        <v>24</v>
      </c>
      <c r="AU83" s="67"/>
      <c r="AV83" s="67"/>
      <c r="AW83" s="67" t="s">
        <v>1624</v>
      </c>
      <c r="AX83" s="67" t="s">
        <v>1147</v>
      </c>
      <c r="AY83" s="67">
        <v>119404</v>
      </c>
      <c r="AZ83" s="67" t="s">
        <v>554</v>
      </c>
      <c r="BA83" s="67">
        <v>5512</v>
      </c>
      <c r="BB83" s="67" t="s">
        <v>567</v>
      </c>
      <c r="BC83" s="67">
        <v>100060415</v>
      </c>
      <c r="BD83" s="67"/>
      <c r="BE83" s="67"/>
      <c r="BF83" s="67"/>
      <c r="BG83" s="67"/>
      <c r="BH83" s="67"/>
      <c r="BI83" s="67"/>
      <c r="BJ83" s="67"/>
      <c r="BK83" s="67"/>
      <c r="BL83" s="67"/>
      <c r="BM83" s="67"/>
    </row>
    <row r="84" spans="1:65" x14ac:dyDescent="0.3">
      <c r="A84" s="67" t="s">
        <v>1625</v>
      </c>
      <c r="B84" s="67" t="s">
        <v>1626</v>
      </c>
      <c r="C84" s="67" t="s">
        <v>1627</v>
      </c>
      <c r="D84" s="67" t="s">
        <v>1628</v>
      </c>
      <c r="E84" s="67" t="s">
        <v>142</v>
      </c>
      <c r="F84" s="67" t="s">
        <v>143</v>
      </c>
      <c r="G84" s="67">
        <v>7</v>
      </c>
      <c r="H84" s="67" t="s">
        <v>1007</v>
      </c>
      <c r="I84" s="68">
        <v>45572</v>
      </c>
      <c r="J84" s="67">
        <v>1583</v>
      </c>
      <c r="K84" s="67" t="s">
        <v>561</v>
      </c>
      <c r="L84" s="67" t="s">
        <v>117</v>
      </c>
      <c r="M84" s="67" t="s">
        <v>118</v>
      </c>
      <c r="N84" s="67" t="s">
        <v>1629</v>
      </c>
      <c r="O84" s="67" t="s">
        <v>119</v>
      </c>
      <c r="P84" s="69">
        <v>73054.850000000006</v>
      </c>
      <c r="Q84" s="69"/>
      <c r="R84" s="69">
        <v>73054.850000000006</v>
      </c>
      <c r="S84" s="69"/>
      <c r="T84" s="69">
        <v>73054.850000000006</v>
      </c>
      <c r="U84" s="67">
        <v>5210101238</v>
      </c>
      <c r="V84" s="67" t="s">
        <v>120</v>
      </c>
      <c r="W84" s="67" t="s">
        <v>996</v>
      </c>
      <c r="X84" s="67" t="s">
        <v>123</v>
      </c>
      <c r="Y84" s="67" t="s">
        <v>124</v>
      </c>
      <c r="Z84" s="67" t="s">
        <v>1630</v>
      </c>
      <c r="AA84" s="67" t="s">
        <v>123</v>
      </c>
      <c r="AB84" s="67"/>
      <c r="AC84" s="67" t="e">
        <v>#REF!</v>
      </c>
      <c r="AD84" s="67"/>
      <c r="AE84" s="67" t="s">
        <v>562</v>
      </c>
      <c r="AF84" s="67">
        <v>0</v>
      </c>
      <c r="AG84" s="67" t="s">
        <v>126</v>
      </c>
      <c r="AH84" s="67" t="s">
        <v>127</v>
      </c>
      <c r="AI84" s="67" t="s">
        <v>128</v>
      </c>
      <c r="AJ84" s="67" t="s">
        <v>548</v>
      </c>
      <c r="AK84" s="67" t="s">
        <v>549</v>
      </c>
      <c r="AL84" s="67" t="s">
        <v>131</v>
      </c>
      <c r="AM84" s="67" t="s">
        <v>132</v>
      </c>
      <c r="AN84" s="67"/>
      <c r="AO84" s="67"/>
      <c r="AP84" s="67"/>
      <c r="AQ84" s="70" t="s">
        <v>1631</v>
      </c>
      <c r="AR84" s="68">
        <v>45551</v>
      </c>
      <c r="AS84" s="67" t="s">
        <v>1632</v>
      </c>
      <c r="AT84" s="67" t="s">
        <v>24</v>
      </c>
      <c r="AU84" s="67"/>
      <c r="AV84" s="67"/>
      <c r="AW84" s="67" t="s">
        <v>1633</v>
      </c>
      <c r="AX84" s="67" t="s">
        <v>1147</v>
      </c>
      <c r="AY84" s="67">
        <v>119404</v>
      </c>
      <c r="AZ84" s="67" t="s">
        <v>554</v>
      </c>
      <c r="BA84" s="67">
        <v>5512</v>
      </c>
      <c r="BB84" s="67" t="s">
        <v>567</v>
      </c>
      <c r="BC84" s="67">
        <v>100060415</v>
      </c>
      <c r="BD84" s="67"/>
      <c r="BE84" s="67"/>
      <c r="BF84" s="67"/>
      <c r="BG84" s="67"/>
      <c r="BH84" s="67"/>
      <c r="BI84" s="67"/>
      <c r="BJ84" s="67"/>
      <c r="BK84" s="67"/>
      <c r="BL84" s="67"/>
      <c r="BM84" s="67"/>
    </row>
    <row r="85" spans="1:65" x14ac:dyDescent="0.3">
      <c r="A85" s="67" t="s">
        <v>1634</v>
      </c>
      <c r="B85" s="67" t="s">
        <v>1635</v>
      </c>
      <c r="C85" s="67" t="s">
        <v>1528</v>
      </c>
      <c r="D85" s="67" t="s">
        <v>1602</v>
      </c>
      <c r="E85" s="67" t="s">
        <v>142</v>
      </c>
      <c r="F85" s="67" t="s">
        <v>143</v>
      </c>
      <c r="G85" s="67">
        <v>7</v>
      </c>
      <c r="H85" s="67" t="s">
        <v>1009</v>
      </c>
      <c r="I85" s="68">
        <v>45629</v>
      </c>
      <c r="J85" s="67">
        <v>259</v>
      </c>
      <c r="K85" s="67" t="s">
        <v>561</v>
      </c>
      <c r="L85" s="67" t="s">
        <v>117</v>
      </c>
      <c r="M85" s="67" t="s">
        <v>118</v>
      </c>
      <c r="N85" s="67" t="s">
        <v>1603</v>
      </c>
      <c r="O85" s="67" t="s">
        <v>119</v>
      </c>
      <c r="P85" s="69"/>
      <c r="Q85" s="69">
        <v>71187.839999999997</v>
      </c>
      <c r="R85" s="69"/>
      <c r="S85" s="69">
        <v>71187.839999999997</v>
      </c>
      <c r="T85" s="69">
        <v>-71187.839999999997</v>
      </c>
      <c r="U85" s="67">
        <v>5210101238</v>
      </c>
      <c r="V85" s="67" t="s">
        <v>120</v>
      </c>
      <c r="W85" s="67" t="s">
        <v>996</v>
      </c>
      <c r="X85" s="67" t="s">
        <v>123</v>
      </c>
      <c r="Y85" s="67" t="s">
        <v>124</v>
      </c>
      <c r="Z85" s="67" t="s">
        <v>1636</v>
      </c>
      <c r="AA85" s="67" t="s">
        <v>123</v>
      </c>
      <c r="AB85" s="67"/>
      <c r="AC85" s="67" t="e">
        <v>#REF!</v>
      </c>
      <c r="AD85" s="67"/>
      <c r="AE85" s="67" t="s">
        <v>562</v>
      </c>
      <c r="AF85" s="67">
        <v>0</v>
      </c>
      <c r="AG85" s="67" t="s">
        <v>126</v>
      </c>
      <c r="AH85" s="67" t="s">
        <v>127</v>
      </c>
      <c r="AI85" s="67" t="s">
        <v>128</v>
      </c>
      <c r="AJ85" s="67" t="s">
        <v>548</v>
      </c>
      <c r="AK85" s="67" t="s">
        <v>549</v>
      </c>
      <c r="AL85" s="67" t="s">
        <v>131</v>
      </c>
      <c r="AM85" s="67" t="s">
        <v>132</v>
      </c>
      <c r="AN85" s="67"/>
      <c r="AO85" s="67"/>
      <c r="AP85" s="67"/>
      <c r="AQ85" s="70" t="s">
        <v>1605</v>
      </c>
      <c r="AR85" s="68">
        <v>45584</v>
      </c>
      <c r="AS85" s="67" t="s">
        <v>1606</v>
      </c>
      <c r="AT85" s="67" t="s">
        <v>24</v>
      </c>
      <c r="AU85" s="67"/>
      <c r="AV85" s="67"/>
      <c r="AW85" s="67" t="s">
        <v>1607</v>
      </c>
      <c r="AX85" s="67" t="s">
        <v>1147</v>
      </c>
      <c r="AY85" s="67">
        <v>119404</v>
      </c>
      <c r="AZ85" s="67" t="s">
        <v>554</v>
      </c>
      <c r="BA85" s="67">
        <v>5512</v>
      </c>
      <c r="BB85" s="67" t="s">
        <v>567</v>
      </c>
      <c r="BC85" s="67">
        <v>100060415</v>
      </c>
      <c r="BD85" s="67"/>
      <c r="BE85" s="67"/>
      <c r="BF85" s="67"/>
      <c r="BG85" s="67"/>
      <c r="BH85" s="67"/>
      <c r="BI85" s="67"/>
      <c r="BJ85" s="67"/>
      <c r="BK85" s="67"/>
      <c r="BL85" s="67"/>
      <c r="BM85" s="67"/>
    </row>
    <row r="86" spans="1:65" x14ac:dyDescent="0.3">
      <c r="A86" s="67" t="s">
        <v>1637</v>
      </c>
      <c r="B86" s="67" t="s">
        <v>1638</v>
      </c>
      <c r="C86" s="67" t="s">
        <v>1627</v>
      </c>
      <c r="D86" s="67" t="s">
        <v>1639</v>
      </c>
      <c r="E86" s="67" t="s">
        <v>142</v>
      </c>
      <c r="F86" s="67" t="s">
        <v>143</v>
      </c>
      <c r="G86" s="67">
        <v>7</v>
      </c>
      <c r="H86" s="67" t="s">
        <v>1007</v>
      </c>
      <c r="I86" s="68">
        <v>45569</v>
      </c>
      <c r="J86" s="67">
        <v>28</v>
      </c>
      <c r="K86" s="67" t="s">
        <v>145</v>
      </c>
      <c r="L86" s="67" t="s">
        <v>117</v>
      </c>
      <c r="M86" s="67" t="s">
        <v>118</v>
      </c>
      <c r="N86" s="67" t="s">
        <v>1640</v>
      </c>
      <c r="O86" s="67" t="s">
        <v>119</v>
      </c>
      <c r="P86" s="69">
        <v>22203</v>
      </c>
      <c r="Q86" s="69"/>
      <c r="R86" s="69">
        <v>22203</v>
      </c>
      <c r="S86" s="69"/>
      <c r="T86" s="69">
        <v>22203</v>
      </c>
      <c r="U86" s="67">
        <v>5210101581</v>
      </c>
      <c r="V86" s="67" t="s">
        <v>120</v>
      </c>
      <c r="W86" s="67" t="s">
        <v>39</v>
      </c>
      <c r="X86" s="67" t="s">
        <v>123</v>
      </c>
      <c r="Y86" s="67" t="s">
        <v>124</v>
      </c>
      <c r="Z86" s="67" t="s">
        <v>1641</v>
      </c>
      <c r="AA86" s="67" t="s">
        <v>123</v>
      </c>
      <c r="AB86" s="67"/>
      <c r="AC86" s="67" t="e">
        <v>#REF!</v>
      </c>
      <c r="AD86" s="67"/>
      <c r="AE86" s="67" t="s">
        <v>147</v>
      </c>
      <c r="AF86" s="67">
        <v>0</v>
      </c>
      <c r="AG86" s="67" t="s">
        <v>126</v>
      </c>
      <c r="AH86" s="67" t="s">
        <v>148</v>
      </c>
      <c r="AI86" s="67" t="s">
        <v>149</v>
      </c>
      <c r="AJ86" s="67" t="s">
        <v>150</v>
      </c>
      <c r="AK86" s="67" t="s">
        <v>151</v>
      </c>
      <c r="AL86" s="67" t="s">
        <v>131</v>
      </c>
      <c r="AM86" s="67" t="s">
        <v>132</v>
      </c>
      <c r="AN86" s="67"/>
      <c r="AO86" s="67"/>
      <c r="AP86" s="67"/>
      <c r="AQ86" s="70" t="s">
        <v>1642</v>
      </c>
      <c r="AR86" s="68">
        <v>45566</v>
      </c>
      <c r="AS86" s="67" t="s">
        <v>1643</v>
      </c>
      <c r="AT86" s="67" t="s">
        <v>39</v>
      </c>
      <c r="AU86" s="67"/>
      <c r="AV86" s="67"/>
      <c r="AW86" s="67" t="s">
        <v>1644</v>
      </c>
      <c r="AX86" s="67" t="s">
        <v>1645</v>
      </c>
      <c r="AY86" s="67">
        <v>117399</v>
      </c>
      <c r="AZ86" s="67" t="s">
        <v>157</v>
      </c>
      <c r="BA86" s="67">
        <v>4100</v>
      </c>
      <c r="BB86" s="67" t="s">
        <v>158</v>
      </c>
      <c r="BC86" s="67">
        <v>100063599</v>
      </c>
      <c r="BD86" s="67"/>
      <c r="BE86" s="67"/>
      <c r="BF86" s="67"/>
      <c r="BG86" s="67"/>
      <c r="BH86" s="67"/>
      <c r="BI86" s="67"/>
      <c r="BJ86" s="67"/>
      <c r="BK86" s="67"/>
      <c r="BL86" s="67"/>
      <c r="BM86" s="67"/>
    </row>
    <row r="87" spans="1:65" x14ac:dyDescent="0.3">
      <c r="A87" s="67" t="s">
        <v>1646</v>
      </c>
      <c r="B87" s="67" t="s">
        <v>1647</v>
      </c>
      <c r="C87" s="67" t="s">
        <v>1542</v>
      </c>
      <c r="D87" s="67" t="s">
        <v>1648</v>
      </c>
      <c r="E87" s="67" t="s">
        <v>142</v>
      </c>
      <c r="F87" s="67" t="s">
        <v>143</v>
      </c>
      <c r="G87" s="67">
        <v>7</v>
      </c>
      <c r="H87" s="67" t="s">
        <v>1008</v>
      </c>
      <c r="I87" s="68">
        <v>45600</v>
      </c>
      <c r="J87" s="67">
        <v>35</v>
      </c>
      <c r="K87" s="67" t="s">
        <v>145</v>
      </c>
      <c r="L87" s="67" t="s">
        <v>117</v>
      </c>
      <c r="M87" s="67" t="s">
        <v>118</v>
      </c>
      <c r="N87" s="67" t="s">
        <v>1649</v>
      </c>
      <c r="O87" s="67" t="s">
        <v>119</v>
      </c>
      <c r="P87" s="69">
        <v>17198</v>
      </c>
      <c r="Q87" s="69"/>
      <c r="R87" s="69">
        <v>17198</v>
      </c>
      <c r="S87" s="69"/>
      <c r="T87" s="69">
        <v>17198</v>
      </c>
      <c r="U87" s="67">
        <v>5210101581</v>
      </c>
      <c r="V87" s="67" t="s">
        <v>120</v>
      </c>
      <c r="W87" s="67" t="s">
        <v>39</v>
      </c>
      <c r="X87" s="67" t="s">
        <v>123</v>
      </c>
      <c r="Y87" s="67" t="s">
        <v>124</v>
      </c>
      <c r="Z87" s="67" t="s">
        <v>1650</v>
      </c>
      <c r="AA87" s="67" t="s">
        <v>123</v>
      </c>
      <c r="AB87" s="67"/>
      <c r="AC87" s="67" t="e">
        <v>#REF!</v>
      </c>
      <c r="AD87" s="67"/>
      <c r="AE87" s="67" t="s">
        <v>147</v>
      </c>
      <c r="AF87" s="67">
        <v>0</v>
      </c>
      <c r="AG87" s="67" t="s">
        <v>126</v>
      </c>
      <c r="AH87" s="67" t="s">
        <v>148</v>
      </c>
      <c r="AI87" s="67" t="s">
        <v>149</v>
      </c>
      <c r="AJ87" s="67" t="s">
        <v>150</v>
      </c>
      <c r="AK87" s="67" t="s">
        <v>151</v>
      </c>
      <c r="AL87" s="67" t="s">
        <v>131</v>
      </c>
      <c r="AM87" s="67" t="s">
        <v>132</v>
      </c>
      <c r="AN87" s="67"/>
      <c r="AO87" s="67"/>
      <c r="AP87" s="67"/>
      <c r="AQ87" s="70" t="s">
        <v>1651</v>
      </c>
      <c r="AR87" s="68">
        <v>45597</v>
      </c>
      <c r="AS87" s="67" t="s">
        <v>1652</v>
      </c>
      <c r="AT87" s="67" t="s">
        <v>39</v>
      </c>
      <c r="AU87" s="67"/>
      <c r="AV87" s="67"/>
      <c r="AW87" s="67" t="s">
        <v>1653</v>
      </c>
      <c r="AX87" s="67" t="s">
        <v>1654</v>
      </c>
      <c r="AY87" s="67">
        <v>117399</v>
      </c>
      <c r="AZ87" s="67" t="s">
        <v>157</v>
      </c>
      <c r="BA87" s="67">
        <v>4100</v>
      </c>
      <c r="BB87" s="67" t="s">
        <v>158</v>
      </c>
      <c r="BC87" s="67">
        <v>100063992</v>
      </c>
      <c r="BD87" s="67"/>
      <c r="BE87" s="67"/>
      <c r="BF87" s="67"/>
      <c r="BG87" s="67"/>
      <c r="BH87" s="67"/>
      <c r="BI87" s="67"/>
      <c r="BJ87" s="67"/>
      <c r="BK87" s="67"/>
      <c r="BL87" s="67"/>
      <c r="BM87" s="67"/>
    </row>
    <row r="88" spans="1:65" x14ac:dyDescent="0.3">
      <c r="A88" s="67" t="s">
        <v>1655</v>
      </c>
      <c r="B88" s="67" t="s">
        <v>1656</v>
      </c>
      <c r="C88" s="67" t="s">
        <v>1528</v>
      </c>
      <c r="D88" s="67" t="s">
        <v>1657</v>
      </c>
      <c r="E88" s="67" t="s">
        <v>142</v>
      </c>
      <c r="F88" s="67" t="s">
        <v>143</v>
      </c>
      <c r="G88" s="67">
        <v>7</v>
      </c>
      <c r="H88" s="67" t="s">
        <v>1009</v>
      </c>
      <c r="I88" s="68">
        <v>45630</v>
      </c>
      <c r="J88" s="67">
        <v>8</v>
      </c>
      <c r="K88" s="67" t="s">
        <v>145</v>
      </c>
      <c r="L88" s="67" t="s">
        <v>117</v>
      </c>
      <c r="M88" s="67" t="s">
        <v>118</v>
      </c>
      <c r="N88" s="67" t="s">
        <v>1658</v>
      </c>
      <c r="O88" s="67" t="s">
        <v>119</v>
      </c>
      <c r="P88" s="69">
        <v>6830</v>
      </c>
      <c r="Q88" s="69"/>
      <c r="R88" s="69">
        <v>6830</v>
      </c>
      <c r="S88" s="69"/>
      <c r="T88" s="69">
        <v>6830</v>
      </c>
      <c r="U88" s="67">
        <v>5210101581</v>
      </c>
      <c r="V88" s="67" t="s">
        <v>120</v>
      </c>
      <c r="W88" s="67" t="s">
        <v>39</v>
      </c>
      <c r="X88" s="67" t="s">
        <v>123</v>
      </c>
      <c r="Y88" s="67" t="s">
        <v>124</v>
      </c>
      <c r="Z88" s="67" t="s">
        <v>1659</v>
      </c>
      <c r="AA88" s="67" t="s">
        <v>123</v>
      </c>
      <c r="AB88" s="67"/>
      <c r="AC88" s="67" t="e">
        <v>#REF!</v>
      </c>
      <c r="AD88" s="67"/>
      <c r="AE88" s="67" t="s">
        <v>147</v>
      </c>
      <c r="AF88" s="67">
        <v>0</v>
      </c>
      <c r="AG88" s="67" t="s">
        <v>126</v>
      </c>
      <c r="AH88" s="67" t="s">
        <v>148</v>
      </c>
      <c r="AI88" s="67" t="s">
        <v>149</v>
      </c>
      <c r="AJ88" s="67" t="s">
        <v>150</v>
      </c>
      <c r="AK88" s="67" t="s">
        <v>151</v>
      </c>
      <c r="AL88" s="67" t="s">
        <v>131</v>
      </c>
      <c r="AM88" s="67" t="s">
        <v>132</v>
      </c>
      <c r="AN88" s="67"/>
      <c r="AO88" s="67"/>
      <c r="AP88" s="67"/>
      <c r="AQ88" s="70" t="s">
        <v>1660</v>
      </c>
      <c r="AR88" s="68">
        <v>45628</v>
      </c>
      <c r="AS88" s="67" t="s">
        <v>1661</v>
      </c>
      <c r="AT88" s="67" t="s">
        <v>39</v>
      </c>
      <c r="AU88" s="67"/>
      <c r="AV88" s="67"/>
      <c r="AW88" s="67" t="s">
        <v>1662</v>
      </c>
      <c r="AX88" s="67" t="s">
        <v>1663</v>
      </c>
      <c r="AY88" s="67">
        <v>117399</v>
      </c>
      <c r="AZ88" s="67" t="s">
        <v>157</v>
      </c>
      <c r="BA88" s="67">
        <v>4100</v>
      </c>
      <c r="BB88" s="67" t="s">
        <v>158</v>
      </c>
      <c r="BC88" s="67">
        <v>100064460</v>
      </c>
      <c r="BD88" s="67"/>
      <c r="BE88" s="67"/>
      <c r="BF88" s="67"/>
      <c r="BG88" s="67"/>
      <c r="BH88" s="67"/>
      <c r="BI88" s="67"/>
      <c r="BJ88" s="67"/>
      <c r="BK88" s="67"/>
      <c r="BL88" s="67"/>
      <c r="BM88" s="67"/>
    </row>
    <row r="89" spans="1:65" x14ac:dyDescent="0.3">
      <c r="A89" s="67" t="s">
        <v>1664</v>
      </c>
      <c r="B89" s="67" t="s">
        <v>1665</v>
      </c>
      <c r="C89" s="67" t="s">
        <v>1666</v>
      </c>
      <c r="D89" s="67" t="s">
        <v>1667</v>
      </c>
      <c r="E89" s="67" t="s">
        <v>172</v>
      </c>
      <c r="F89" s="67" t="s">
        <v>173</v>
      </c>
      <c r="G89" s="67">
        <v>7</v>
      </c>
      <c r="H89" s="67" t="s">
        <v>1007</v>
      </c>
      <c r="I89" s="68">
        <v>45587</v>
      </c>
      <c r="J89" s="67">
        <v>8</v>
      </c>
      <c r="K89" s="67" t="s">
        <v>145</v>
      </c>
      <c r="L89" s="67" t="s">
        <v>117</v>
      </c>
      <c r="M89" s="67" t="s">
        <v>118</v>
      </c>
      <c r="N89" s="67" t="s">
        <v>677</v>
      </c>
      <c r="O89" s="67" t="s">
        <v>119</v>
      </c>
      <c r="P89" s="69">
        <v>6717</v>
      </c>
      <c r="Q89" s="69"/>
      <c r="R89" s="69">
        <v>6717</v>
      </c>
      <c r="S89" s="69"/>
      <c r="T89" s="69">
        <v>6717</v>
      </c>
      <c r="U89" s="67">
        <v>5210101581</v>
      </c>
      <c r="V89" s="67" t="s">
        <v>120</v>
      </c>
      <c r="W89" s="67" t="s">
        <v>29</v>
      </c>
      <c r="X89" s="67" t="s">
        <v>123</v>
      </c>
      <c r="Y89" s="67" t="s">
        <v>124</v>
      </c>
      <c r="Z89" s="67" t="s">
        <v>1668</v>
      </c>
      <c r="AA89" s="67" t="s">
        <v>123</v>
      </c>
      <c r="AB89" s="67"/>
      <c r="AC89" s="67" t="e">
        <v>#REF!</v>
      </c>
      <c r="AD89" s="67"/>
      <c r="AE89" s="67" t="s">
        <v>147</v>
      </c>
      <c r="AF89" s="67">
        <v>0</v>
      </c>
      <c r="AG89" s="67" t="s">
        <v>126</v>
      </c>
      <c r="AH89" s="67" t="s">
        <v>148</v>
      </c>
      <c r="AI89" s="67" t="s">
        <v>149</v>
      </c>
      <c r="AJ89" s="67" t="s">
        <v>150</v>
      </c>
      <c r="AK89" s="67" t="s">
        <v>151</v>
      </c>
      <c r="AL89" s="67" t="s">
        <v>131</v>
      </c>
      <c r="AM89" s="67" t="s">
        <v>132</v>
      </c>
      <c r="AN89" s="67"/>
      <c r="AO89" s="67"/>
      <c r="AP89" s="67"/>
      <c r="AQ89" s="70"/>
      <c r="AR89" s="67"/>
      <c r="AS89" s="67"/>
      <c r="AT89" s="67" t="s">
        <v>1085</v>
      </c>
      <c r="AU89" s="67"/>
      <c r="AV89" s="67"/>
      <c r="AW89" s="67"/>
      <c r="AX89" s="67"/>
      <c r="AY89" s="67" t="s">
        <v>1209</v>
      </c>
      <c r="AZ89" s="67"/>
      <c r="BA89" s="67" t="s">
        <v>679</v>
      </c>
      <c r="BB89" s="67"/>
      <c r="BC89" s="67">
        <v>325930191934</v>
      </c>
      <c r="BD89" s="67" t="s">
        <v>677</v>
      </c>
      <c r="BE89" s="67"/>
      <c r="BF89" s="67"/>
      <c r="BG89" s="67"/>
      <c r="BH89" s="67"/>
      <c r="BI89" s="67"/>
      <c r="BJ89" s="67"/>
      <c r="BK89" s="67"/>
      <c r="BL89" s="67"/>
      <c r="BM89" s="67">
        <v>4100</v>
      </c>
    </row>
    <row r="90" spans="1:65" x14ac:dyDescent="0.3">
      <c r="A90" s="67" t="s">
        <v>1669</v>
      </c>
      <c r="B90" s="67" t="s">
        <v>1670</v>
      </c>
      <c r="C90" s="67" t="s">
        <v>1671</v>
      </c>
      <c r="D90" s="67" t="s">
        <v>1672</v>
      </c>
      <c r="E90" s="67" t="s">
        <v>172</v>
      </c>
      <c r="F90" s="67" t="s">
        <v>173</v>
      </c>
      <c r="G90" s="67">
        <v>7</v>
      </c>
      <c r="H90" s="67" t="s">
        <v>1009</v>
      </c>
      <c r="I90" s="68">
        <v>45646</v>
      </c>
      <c r="J90" s="67">
        <v>3</v>
      </c>
      <c r="K90" s="67" t="s">
        <v>145</v>
      </c>
      <c r="L90" s="67" t="s">
        <v>117</v>
      </c>
      <c r="M90" s="67" t="s">
        <v>118</v>
      </c>
      <c r="N90" s="67" t="s">
        <v>677</v>
      </c>
      <c r="O90" s="67" t="s">
        <v>119</v>
      </c>
      <c r="P90" s="69">
        <v>5496</v>
      </c>
      <c r="Q90" s="69"/>
      <c r="R90" s="69">
        <v>5496</v>
      </c>
      <c r="S90" s="69"/>
      <c r="T90" s="69">
        <v>5496</v>
      </c>
      <c r="U90" s="67">
        <v>5210101581</v>
      </c>
      <c r="V90" s="67" t="s">
        <v>120</v>
      </c>
      <c r="W90" s="67" t="s">
        <v>29</v>
      </c>
      <c r="X90" s="67" t="s">
        <v>123</v>
      </c>
      <c r="Y90" s="67" t="s">
        <v>124</v>
      </c>
      <c r="Z90" s="67" t="s">
        <v>1673</v>
      </c>
      <c r="AA90" s="67" t="s">
        <v>123</v>
      </c>
      <c r="AB90" s="67"/>
      <c r="AC90" s="67" t="e">
        <v>#REF!</v>
      </c>
      <c r="AD90" s="67"/>
      <c r="AE90" s="67" t="s">
        <v>147</v>
      </c>
      <c r="AF90" s="67">
        <v>0</v>
      </c>
      <c r="AG90" s="67" t="s">
        <v>126</v>
      </c>
      <c r="AH90" s="67" t="s">
        <v>148</v>
      </c>
      <c r="AI90" s="67" t="s">
        <v>149</v>
      </c>
      <c r="AJ90" s="67" t="s">
        <v>150</v>
      </c>
      <c r="AK90" s="67" t="s">
        <v>151</v>
      </c>
      <c r="AL90" s="67" t="s">
        <v>131</v>
      </c>
      <c r="AM90" s="67" t="s">
        <v>132</v>
      </c>
      <c r="AN90" s="67"/>
      <c r="AO90" s="67"/>
      <c r="AP90" s="67"/>
      <c r="AQ90" s="70"/>
      <c r="AR90" s="67"/>
      <c r="AS90" s="67"/>
      <c r="AT90" s="67" t="s">
        <v>439</v>
      </c>
      <c r="AU90" s="67"/>
      <c r="AV90" s="67"/>
      <c r="AW90" s="67"/>
      <c r="AX90" s="67"/>
      <c r="AY90" s="67" t="s">
        <v>1209</v>
      </c>
      <c r="AZ90" s="67"/>
      <c r="BA90" s="67" t="s">
        <v>679</v>
      </c>
      <c r="BB90" s="67"/>
      <c r="BC90" s="67">
        <v>325999358756</v>
      </c>
      <c r="BD90" s="67" t="s">
        <v>677</v>
      </c>
      <c r="BE90" s="67"/>
      <c r="BF90" s="67"/>
      <c r="BG90" s="67"/>
      <c r="BH90" s="67"/>
      <c r="BI90" s="67"/>
      <c r="BJ90" s="67"/>
      <c r="BK90" s="67"/>
      <c r="BL90" s="67"/>
      <c r="BM90" s="67">
        <v>4100</v>
      </c>
    </row>
    <row r="91" spans="1:65" x14ac:dyDescent="0.3">
      <c r="A91" s="67" t="s">
        <v>1674</v>
      </c>
      <c r="B91" s="67" t="s">
        <v>1675</v>
      </c>
      <c r="C91" s="67" t="s">
        <v>1676</v>
      </c>
      <c r="D91" s="67" t="s">
        <v>1677</v>
      </c>
      <c r="E91" s="67" t="s">
        <v>172</v>
      </c>
      <c r="F91" s="67" t="s">
        <v>173</v>
      </c>
      <c r="G91" s="67">
        <v>7</v>
      </c>
      <c r="H91" s="67" t="s">
        <v>1008</v>
      </c>
      <c r="I91" s="68">
        <v>45623</v>
      </c>
      <c r="J91" s="67">
        <v>15</v>
      </c>
      <c r="K91" s="67" t="s">
        <v>145</v>
      </c>
      <c r="L91" s="67" t="s">
        <v>117</v>
      </c>
      <c r="M91" s="67" t="s">
        <v>118</v>
      </c>
      <c r="N91" s="67" t="s">
        <v>677</v>
      </c>
      <c r="O91" s="67" t="s">
        <v>119</v>
      </c>
      <c r="P91" s="69">
        <v>5188</v>
      </c>
      <c r="Q91" s="69"/>
      <c r="R91" s="69">
        <v>5188</v>
      </c>
      <c r="S91" s="69"/>
      <c r="T91" s="69">
        <v>5188</v>
      </c>
      <c r="U91" s="67">
        <v>5210101581</v>
      </c>
      <c r="V91" s="67" t="s">
        <v>120</v>
      </c>
      <c r="W91" s="67" t="s">
        <v>29</v>
      </c>
      <c r="X91" s="67" t="s">
        <v>123</v>
      </c>
      <c r="Y91" s="67" t="s">
        <v>124</v>
      </c>
      <c r="Z91" s="67" t="s">
        <v>1678</v>
      </c>
      <c r="AA91" s="67" t="s">
        <v>123</v>
      </c>
      <c r="AB91" s="67"/>
      <c r="AC91" s="67" t="e">
        <v>#REF!</v>
      </c>
      <c r="AD91" s="67"/>
      <c r="AE91" s="67" t="s">
        <v>147</v>
      </c>
      <c r="AF91" s="67">
        <v>0</v>
      </c>
      <c r="AG91" s="67" t="s">
        <v>126</v>
      </c>
      <c r="AH91" s="67" t="s">
        <v>148</v>
      </c>
      <c r="AI91" s="67" t="s">
        <v>149</v>
      </c>
      <c r="AJ91" s="67" t="s">
        <v>150</v>
      </c>
      <c r="AK91" s="67" t="s">
        <v>151</v>
      </c>
      <c r="AL91" s="67" t="s">
        <v>131</v>
      </c>
      <c r="AM91" s="67" t="s">
        <v>132</v>
      </c>
      <c r="AN91" s="67"/>
      <c r="AO91" s="67"/>
      <c r="AP91" s="67"/>
      <c r="AQ91" s="70"/>
      <c r="AR91" s="67"/>
      <c r="AS91" s="67"/>
      <c r="AT91" s="67" t="s">
        <v>439</v>
      </c>
      <c r="AU91" s="67"/>
      <c r="AV91" s="67"/>
      <c r="AW91" s="67"/>
      <c r="AX91" s="67"/>
      <c r="AY91" s="67" t="s">
        <v>1209</v>
      </c>
      <c r="AZ91" s="67"/>
      <c r="BA91" s="67" t="s">
        <v>679</v>
      </c>
      <c r="BB91" s="67"/>
      <c r="BC91" s="67">
        <v>325727840601</v>
      </c>
      <c r="BD91" s="67" t="s">
        <v>677</v>
      </c>
      <c r="BE91" s="67"/>
      <c r="BF91" s="67"/>
      <c r="BG91" s="67"/>
      <c r="BH91" s="67"/>
      <c r="BI91" s="67"/>
      <c r="BJ91" s="67"/>
      <c r="BK91" s="67"/>
      <c r="BL91" s="67"/>
      <c r="BM91" s="67">
        <v>4100</v>
      </c>
    </row>
    <row r="92" spans="1:65" x14ac:dyDescent="0.3">
      <c r="A92" s="67" t="s">
        <v>1679</v>
      </c>
      <c r="B92" s="67" t="s">
        <v>1680</v>
      </c>
      <c r="C92" s="67" t="s">
        <v>1681</v>
      </c>
      <c r="D92" s="67" t="s">
        <v>1682</v>
      </c>
      <c r="E92" s="67" t="s">
        <v>142</v>
      </c>
      <c r="F92" s="67" t="s">
        <v>143</v>
      </c>
      <c r="G92" s="67">
        <v>7</v>
      </c>
      <c r="H92" s="67" t="s">
        <v>1010</v>
      </c>
      <c r="I92" s="68">
        <v>45659</v>
      </c>
      <c r="J92" s="67">
        <v>51</v>
      </c>
      <c r="K92" s="67" t="s">
        <v>145</v>
      </c>
      <c r="L92" s="67" t="s">
        <v>117</v>
      </c>
      <c r="M92" s="67" t="s">
        <v>118</v>
      </c>
      <c r="N92" s="67" t="s">
        <v>1683</v>
      </c>
      <c r="O92" s="67" t="s">
        <v>119</v>
      </c>
      <c r="P92" s="69">
        <v>3050</v>
      </c>
      <c r="Q92" s="69"/>
      <c r="R92" s="69">
        <v>3050</v>
      </c>
      <c r="S92" s="69"/>
      <c r="T92" s="69">
        <v>3050</v>
      </c>
      <c r="U92" s="67">
        <v>5210101581</v>
      </c>
      <c r="V92" s="67" t="s">
        <v>120</v>
      </c>
      <c r="W92" s="67" t="s">
        <v>39</v>
      </c>
      <c r="X92" s="67" t="s">
        <v>123</v>
      </c>
      <c r="Y92" s="67" t="s">
        <v>124</v>
      </c>
      <c r="Z92" s="67" t="s">
        <v>1684</v>
      </c>
      <c r="AA92" s="67" t="s">
        <v>123</v>
      </c>
      <c r="AB92" s="67"/>
      <c r="AC92" s="67" t="e">
        <v>#REF!</v>
      </c>
      <c r="AD92" s="67"/>
      <c r="AE92" s="67" t="s">
        <v>147</v>
      </c>
      <c r="AF92" s="67">
        <v>0</v>
      </c>
      <c r="AG92" s="67" t="s">
        <v>126</v>
      </c>
      <c r="AH92" s="67" t="s">
        <v>148</v>
      </c>
      <c r="AI92" s="67" t="s">
        <v>149</v>
      </c>
      <c r="AJ92" s="67" t="s">
        <v>150</v>
      </c>
      <c r="AK92" s="67" t="s">
        <v>151</v>
      </c>
      <c r="AL92" s="67" t="s">
        <v>131</v>
      </c>
      <c r="AM92" s="67" t="s">
        <v>132</v>
      </c>
      <c r="AN92" s="67"/>
      <c r="AO92" s="67"/>
      <c r="AP92" s="67"/>
      <c r="AQ92" s="70" t="s">
        <v>1685</v>
      </c>
      <c r="AR92" s="68">
        <v>45659</v>
      </c>
      <c r="AS92" s="67" t="s">
        <v>1686</v>
      </c>
      <c r="AT92" s="67" t="s">
        <v>39</v>
      </c>
      <c r="AU92" s="67"/>
      <c r="AV92" s="67"/>
      <c r="AW92" s="67" t="s">
        <v>1687</v>
      </c>
      <c r="AX92" s="67" t="s">
        <v>1688</v>
      </c>
      <c r="AY92" s="67">
        <v>117399</v>
      </c>
      <c r="AZ92" s="67" t="s">
        <v>157</v>
      </c>
      <c r="BA92" s="67">
        <v>4100</v>
      </c>
      <c r="BB92" s="67" t="s">
        <v>158</v>
      </c>
      <c r="BC92" s="67">
        <v>100064843</v>
      </c>
      <c r="BD92" s="67"/>
      <c r="BE92" s="67"/>
      <c r="BF92" s="67"/>
      <c r="BG92" s="67"/>
      <c r="BH92" s="67"/>
      <c r="BI92" s="67"/>
      <c r="BJ92" s="67"/>
      <c r="BK92" s="67"/>
      <c r="BL92" s="67"/>
      <c r="BM92" s="67"/>
    </row>
    <row r="93" spans="1:65" x14ac:dyDescent="0.3">
      <c r="A93" s="67" t="s">
        <v>1689</v>
      </c>
      <c r="B93" s="67" t="s">
        <v>1690</v>
      </c>
      <c r="C93" s="67" t="s">
        <v>1681</v>
      </c>
      <c r="D93" s="67" t="s">
        <v>1691</v>
      </c>
      <c r="E93" s="67" t="s">
        <v>142</v>
      </c>
      <c r="F93" s="67" t="s">
        <v>143</v>
      </c>
      <c r="G93" s="67">
        <v>7</v>
      </c>
      <c r="H93" s="67" t="s">
        <v>1010</v>
      </c>
      <c r="I93" s="68">
        <v>45660</v>
      </c>
      <c r="J93" s="67">
        <v>11</v>
      </c>
      <c r="K93" s="67" t="s">
        <v>116</v>
      </c>
      <c r="L93" s="67" t="s">
        <v>117</v>
      </c>
      <c r="M93" s="67" t="s">
        <v>118</v>
      </c>
      <c r="N93" s="67" t="s">
        <v>1692</v>
      </c>
      <c r="O93" s="67" t="s">
        <v>119</v>
      </c>
      <c r="P93" s="69">
        <v>3771026.49</v>
      </c>
      <c r="Q93" s="69"/>
      <c r="R93" s="69">
        <v>3771026.49</v>
      </c>
      <c r="S93" s="69"/>
      <c r="T93" s="69">
        <v>3771026.49</v>
      </c>
      <c r="U93" s="67">
        <v>5210101232</v>
      </c>
      <c r="V93" s="67" t="s">
        <v>120</v>
      </c>
      <c r="W93" s="67" t="s">
        <v>996</v>
      </c>
      <c r="X93" s="67" t="s">
        <v>123</v>
      </c>
      <c r="Y93" s="67" t="s">
        <v>124</v>
      </c>
      <c r="Z93" s="67" t="s">
        <v>1693</v>
      </c>
      <c r="AA93" s="67" t="s">
        <v>123</v>
      </c>
      <c r="AB93" s="67"/>
      <c r="AC93" s="67" t="e">
        <v>#REF!</v>
      </c>
      <c r="AD93" s="67"/>
      <c r="AE93" s="67" t="s">
        <v>125</v>
      </c>
      <c r="AF93" s="67">
        <v>0</v>
      </c>
      <c r="AG93" s="67" t="s">
        <v>126</v>
      </c>
      <c r="AH93" s="67" t="s">
        <v>127</v>
      </c>
      <c r="AI93" s="67" t="s">
        <v>128</v>
      </c>
      <c r="AJ93" s="67" t="s">
        <v>129</v>
      </c>
      <c r="AK93" s="67" t="s">
        <v>130</v>
      </c>
      <c r="AL93" s="67" t="s">
        <v>131</v>
      </c>
      <c r="AM93" s="67" t="s">
        <v>132</v>
      </c>
      <c r="AN93" s="67"/>
      <c r="AO93" s="67"/>
      <c r="AP93" s="67"/>
      <c r="AQ93" s="70" t="s">
        <v>1694</v>
      </c>
      <c r="AR93" s="68">
        <v>45614</v>
      </c>
      <c r="AS93" s="67" t="s">
        <v>1695</v>
      </c>
      <c r="AT93" s="67" t="s">
        <v>24</v>
      </c>
      <c r="AU93" s="67"/>
      <c r="AV93" s="67"/>
      <c r="AW93" s="67" t="s">
        <v>1696</v>
      </c>
      <c r="AX93" s="67" t="s">
        <v>1095</v>
      </c>
      <c r="AY93" s="67">
        <v>117689</v>
      </c>
      <c r="AZ93" s="67" t="s">
        <v>135</v>
      </c>
      <c r="BA93" s="67">
        <v>5509</v>
      </c>
      <c r="BB93" s="67" t="s">
        <v>136</v>
      </c>
      <c r="BC93" s="67">
        <v>100060705</v>
      </c>
      <c r="BD93" s="67"/>
      <c r="BE93" s="67"/>
      <c r="BF93" s="67"/>
      <c r="BG93" s="67"/>
      <c r="BH93" s="67"/>
      <c r="BI93" s="67"/>
      <c r="BJ93" s="67"/>
      <c r="BK93" s="67"/>
      <c r="BL93" s="67"/>
      <c r="BM93" s="67"/>
    </row>
    <row r="94" spans="1:65" x14ac:dyDescent="0.3">
      <c r="A94" s="67" t="s">
        <v>1697</v>
      </c>
      <c r="B94" s="67" t="s">
        <v>1698</v>
      </c>
      <c r="C94" s="67" t="s">
        <v>1699</v>
      </c>
      <c r="D94" s="67" t="s">
        <v>1700</v>
      </c>
      <c r="E94" s="67" t="s">
        <v>142</v>
      </c>
      <c r="F94" s="67" t="s">
        <v>143</v>
      </c>
      <c r="G94" s="67">
        <v>7</v>
      </c>
      <c r="H94" s="67" t="s">
        <v>1010</v>
      </c>
      <c r="I94" s="68">
        <v>45664</v>
      </c>
      <c r="J94" s="67">
        <v>8</v>
      </c>
      <c r="K94" s="67" t="s">
        <v>116</v>
      </c>
      <c r="L94" s="67" t="s">
        <v>117</v>
      </c>
      <c r="M94" s="67" t="s">
        <v>118</v>
      </c>
      <c r="N94" s="67" t="s">
        <v>1701</v>
      </c>
      <c r="O94" s="67" t="s">
        <v>119</v>
      </c>
      <c r="P94" s="69">
        <v>785024.64</v>
      </c>
      <c r="Q94" s="69"/>
      <c r="R94" s="69">
        <v>785024.64</v>
      </c>
      <c r="S94" s="69"/>
      <c r="T94" s="69">
        <v>785024.64</v>
      </c>
      <c r="U94" s="67">
        <v>5210101232</v>
      </c>
      <c r="V94" s="67" t="s">
        <v>120</v>
      </c>
      <c r="W94" s="67" t="s">
        <v>996</v>
      </c>
      <c r="X94" s="67" t="s">
        <v>123</v>
      </c>
      <c r="Y94" s="67" t="s">
        <v>124</v>
      </c>
      <c r="Z94" s="67" t="s">
        <v>1702</v>
      </c>
      <c r="AA94" s="67" t="s">
        <v>123</v>
      </c>
      <c r="AB94" s="67"/>
      <c r="AC94" s="67" t="e">
        <v>#REF!</v>
      </c>
      <c r="AD94" s="67"/>
      <c r="AE94" s="67" t="s">
        <v>125</v>
      </c>
      <c r="AF94" s="67">
        <v>0</v>
      </c>
      <c r="AG94" s="67" t="s">
        <v>126</v>
      </c>
      <c r="AH94" s="67" t="s">
        <v>127</v>
      </c>
      <c r="AI94" s="67" t="s">
        <v>128</v>
      </c>
      <c r="AJ94" s="67" t="s">
        <v>129</v>
      </c>
      <c r="AK94" s="67" t="s">
        <v>130</v>
      </c>
      <c r="AL94" s="67" t="s">
        <v>131</v>
      </c>
      <c r="AM94" s="67" t="s">
        <v>132</v>
      </c>
      <c r="AN94" s="67"/>
      <c r="AO94" s="67"/>
      <c r="AP94" s="67"/>
      <c r="AQ94" s="70" t="s">
        <v>1703</v>
      </c>
      <c r="AR94" s="68">
        <v>45644</v>
      </c>
      <c r="AS94" s="67" t="s">
        <v>1704</v>
      </c>
      <c r="AT94" s="67" t="s">
        <v>24</v>
      </c>
      <c r="AU94" s="67"/>
      <c r="AV94" s="67"/>
      <c r="AW94" s="67" t="s">
        <v>1705</v>
      </c>
      <c r="AX94" s="67" t="s">
        <v>1576</v>
      </c>
      <c r="AY94" s="67">
        <v>117689</v>
      </c>
      <c r="AZ94" s="67" t="s">
        <v>135</v>
      </c>
      <c r="BA94" s="67">
        <v>5509</v>
      </c>
      <c r="BB94" s="67" t="s">
        <v>136</v>
      </c>
      <c r="BC94" s="67">
        <v>100063788</v>
      </c>
      <c r="BD94" s="67"/>
      <c r="BE94" s="67"/>
      <c r="BF94" s="67"/>
      <c r="BG94" s="67"/>
      <c r="BH94" s="67"/>
      <c r="BI94" s="67"/>
      <c r="BJ94" s="67"/>
      <c r="BK94" s="67"/>
      <c r="BL94" s="67"/>
      <c r="BM94" s="67"/>
    </row>
    <row r="95" spans="1:65" x14ac:dyDescent="0.3">
      <c r="A95" s="67" t="s">
        <v>1706</v>
      </c>
      <c r="B95" s="67" t="s">
        <v>1707</v>
      </c>
      <c r="C95" s="67" t="s">
        <v>1708</v>
      </c>
      <c r="D95" s="67" t="s">
        <v>1709</v>
      </c>
      <c r="E95" s="67" t="s">
        <v>142</v>
      </c>
      <c r="F95" s="67" t="s">
        <v>143</v>
      </c>
      <c r="G95" s="67">
        <v>7</v>
      </c>
      <c r="H95" s="67" t="s">
        <v>1010</v>
      </c>
      <c r="I95" s="68">
        <v>45665</v>
      </c>
      <c r="J95" s="67">
        <v>28</v>
      </c>
      <c r="K95" s="67" t="s">
        <v>1312</v>
      </c>
      <c r="L95" s="67" t="s">
        <v>117</v>
      </c>
      <c r="M95" s="67" t="s">
        <v>118</v>
      </c>
      <c r="N95" s="67" t="s">
        <v>1710</v>
      </c>
      <c r="O95" s="67" t="s">
        <v>119</v>
      </c>
      <c r="P95" s="69">
        <v>266000</v>
      </c>
      <c r="Q95" s="69"/>
      <c r="R95" s="69">
        <v>266000</v>
      </c>
      <c r="S95" s="69"/>
      <c r="T95" s="69">
        <v>266000</v>
      </c>
      <c r="U95" s="67">
        <v>5210101320</v>
      </c>
      <c r="V95" s="67" t="s">
        <v>120</v>
      </c>
      <c r="W95" s="67" t="s">
        <v>43</v>
      </c>
      <c r="X95" s="67" t="s">
        <v>123</v>
      </c>
      <c r="Y95" s="67" t="s">
        <v>124</v>
      </c>
      <c r="Z95" s="67" t="s">
        <v>1711</v>
      </c>
      <c r="AA95" s="67" t="s">
        <v>123</v>
      </c>
      <c r="AB95" s="67"/>
      <c r="AC95" s="67" t="e">
        <v>#REF!</v>
      </c>
      <c r="AD95" s="67"/>
      <c r="AE95" s="67" t="s">
        <v>545</v>
      </c>
      <c r="AF95" s="67">
        <v>0</v>
      </c>
      <c r="AG95" s="67" t="s">
        <v>126</v>
      </c>
      <c r="AH95" s="67" t="s">
        <v>546</v>
      </c>
      <c r="AI95" s="67" t="s">
        <v>547</v>
      </c>
      <c r="AJ95" s="67" t="s">
        <v>1315</v>
      </c>
      <c r="AK95" s="67" t="s">
        <v>1316</v>
      </c>
      <c r="AL95" s="67" t="s">
        <v>131</v>
      </c>
      <c r="AM95" s="67" t="s">
        <v>132</v>
      </c>
      <c r="AN95" s="67"/>
      <c r="AO95" s="67"/>
      <c r="AP95" s="67"/>
      <c r="AQ95" s="70">
        <v>5241000382</v>
      </c>
      <c r="AR95" s="68">
        <v>45636</v>
      </c>
      <c r="AS95" s="67" t="s">
        <v>1712</v>
      </c>
      <c r="AT95" s="67" t="s">
        <v>1614</v>
      </c>
      <c r="AU95" s="67"/>
      <c r="AV95" s="67"/>
      <c r="AW95" s="67" t="s">
        <v>1713</v>
      </c>
      <c r="AX95" s="67" t="s">
        <v>1714</v>
      </c>
      <c r="AY95" s="67">
        <v>119410</v>
      </c>
      <c r="AZ95" s="67" t="s">
        <v>1320</v>
      </c>
      <c r="BA95" s="67">
        <v>5503</v>
      </c>
      <c r="BB95" s="67" t="s">
        <v>555</v>
      </c>
      <c r="BC95" s="67">
        <v>100062103</v>
      </c>
      <c r="BD95" s="67"/>
      <c r="BE95" s="67"/>
      <c r="BF95" s="67"/>
      <c r="BG95" s="67"/>
      <c r="BH95" s="67"/>
      <c r="BI95" s="67"/>
      <c r="BJ95" s="67"/>
      <c r="BK95" s="67"/>
      <c r="BL95" s="67"/>
      <c r="BM95" s="67"/>
    </row>
    <row r="96" spans="1:65" x14ac:dyDescent="0.3">
      <c r="A96" s="67" t="s">
        <v>1715</v>
      </c>
      <c r="B96" s="67" t="s">
        <v>1716</v>
      </c>
      <c r="C96" s="67" t="s">
        <v>1717</v>
      </c>
      <c r="D96" s="67" t="s">
        <v>1718</v>
      </c>
      <c r="E96" s="67" t="s">
        <v>142</v>
      </c>
      <c r="F96" s="67" t="s">
        <v>143</v>
      </c>
      <c r="G96" s="67">
        <v>7</v>
      </c>
      <c r="H96" s="67" t="s">
        <v>1010</v>
      </c>
      <c r="I96" s="68">
        <v>45670</v>
      </c>
      <c r="J96" s="67">
        <v>634</v>
      </c>
      <c r="K96" s="67" t="s">
        <v>561</v>
      </c>
      <c r="L96" s="67" t="s">
        <v>117</v>
      </c>
      <c r="M96" s="67" t="s">
        <v>118</v>
      </c>
      <c r="N96" s="67" t="s">
        <v>1719</v>
      </c>
      <c r="O96" s="67" t="s">
        <v>119</v>
      </c>
      <c r="P96" s="69">
        <v>71579.520000000004</v>
      </c>
      <c r="Q96" s="69"/>
      <c r="R96" s="69">
        <v>71579.520000000004</v>
      </c>
      <c r="S96" s="69"/>
      <c r="T96" s="69">
        <v>71579.520000000004</v>
      </c>
      <c r="U96" s="67">
        <v>5210101238</v>
      </c>
      <c r="V96" s="67" t="s">
        <v>120</v>
      </c>
      <c r="W96" s="67" t="s">
        <v>996</v>
      </c>
      <c r="X96" s="67" t="s">
        <v>123</v>
      </c>
      <c r="Y96" s="67" t="s">
        <v>124</v>
      </c>
      <c r="Z96" s="67" t="s">
        <v>1720</v>
      </c>
      <c r="AA96" s="67" t="s">
        <v>123</v>
      </c>
      <c r="AB96" s="67"/>
      <c r="AC96" s="67" t="e">
        <v>#REF!</v>
      </c>
      <c r="AD96" s="67"/>
      <c r="AE96" s="67" t="s">
        <v>562</v>
      </c>
      <c r="AF96" s="67">
        <v>0</v>
      </c>
      <c r="AG96" s="67" t="s">
        <v>126</v>
      </c>
      <c r="AH96" s="67" t="s">
        <v>127</v>
      </c>
      <c r="AI96" s="67" t="s">
        <v>128</v>
      </c>
      <c r="AJ96" s="67" t="s">
        <v>548</v>
      </c>
      <c r="AK96" s="67" t="s">
        <v>549</v>
      </c>
      <c r="AL96" s="67" t="s">
        <v>131</v>
      </c>
      <c r="AM96" s="67" t="s">
        <v>132</v>
      </c>
      <c r="AN96" s="67"/>
      <c r="AO96" s="67"/>
      <c r="AP96" s="67"/>
      <c r="AQ96" s="70" t="s">
        <v>1721</v>
      </c>
      <c r="AR96" s="68">
        <v>45644</v>
      </c>
      <c r="AS96" s="67" t="s">
        <v>1722</v>
      </c>
      <c r="AT96" s="67" t="s">
        <v>24</v>
      </c>
      <c r="AU96" s="67"/>
      <c r="AV96" s="67"/>
      <c r="AW96" s="67" t="s">
        <v>1723</v>
      </c>
      <c r="AX96" s="67" t="s">
        <v>1147</v>
      </c>
      <c r="AY96" s="67">
        <v>119404</v>
      </c>
      <c r="AZ96" s="67" t="s">
        <v>554</v>
      </c>
      <c r="BA96" s="67">
        <v>5512</v>
      </c>
      <c r="BB96" s="67" t="s">
        <v>567</v>
      </c>
      <c r="BC96" s="67">
        <v>100060415</v>
      </c>
      <c r="BD96" s="67"/>
      <c r="BE96" s="67"/>
      <c r="BF96" s="67"/>
      <c r="BG96" s="67"/>
      <c r="BH96" s="67"/>
      <c r="BI96" s="67"/>
      <c r="BJ96" s="67"/>
      <c r="BK96" s="67"/>
      <c r="BL96" s="67"/>
      <c r="BM96" s="67"/>
    </row>
    <row r="97" spans="1:65" x14ac:dyDescent="0.3">
      <c r="A97" s="67" t="s">
        <v>1724</v>
      </c>
      <c r="B97" s="67" t="s">
        <v>1725</v>
      </c>
      <c r="C97" s="67" t="s">
        <v>1726</v>
      </c>
      <c r="D97" s="67" t="s">
        <v>1727</v>
      </c>
      <c r="E97" s="67" t="s">
        <v>142</v>
      </c>
      <c r="F97" s="67" t="s">
        <v>143</v>
      </c>
      <c r="G97" s="67">
        <v>7</v>
      </c>
      <c r="H97" s="67" t="s">
        <v>1010</v>
      </c>
      <c r="I97" s="68">
        <v>45673</v>
      </c>
      <c r="J97" s="67">
        <v>29</v>
      </c>
      <c r="K97" s="67" t="s">
        <v>145</v>
      </c>
      <c r="L97" s="67" t="s">
        <v>117</v>
      </c>
      <c r="M97" s="67" t="s">
        <v>118</v>
      </c>
      <c r="N97" s="67" t="s">
        <v>1728</v>
      </c>
      <c r="O97" s="67" t="s">
        <v>119</v>
      </c>
      <c r="P97" s="69">
        <v>4696118</v>
      </c>
      <c r="Q97" s="69"/>
      <c r="R97" s="69">
        <v>4696118</v>
      </c>
      <c r="S97" s="69"/>
      <c r="T97" s="69">
        <v>4696118</v>
      </c>
      <c r="U97" s="67">
        <v>5210101581</v>
      </c>
      <c r="V97" s="67" t="s">
        <v>120</v>
      </c>
      <c r="W97" s="67" t="s">
        <v>29</v>
      </c>
      <c r="X97" s="67" t="s">
        <v>123</v>
      </c>
      <c r="Y97" s="67" t="s">
        <v>124</v>
      </c>
      <c r="Z97" s="67" t="s">
        <v>1729</v>
      </c>
      <c r="AA97" s="67" t="s">
        <v>123</v>
      </c>
      <c r="AB97" s="67"/>
      <c r="AC97" s="67" t="e">
        <v>#REF!</v>
      </c>
      <c r="AD97" s="67"/>
      <c r="AE97" s="67" t="s">
        <v>147</v>
      </c>
      <c r="AF97" s="67">
        <v>0</v>
      </c>
      <c r="AG97" s="67" t="s">
        <v>126</v>
      </c>
      <c r="AH97" s="67" t="s">
        <v>148</v>
      </c>
      <c r="AI97" s="67" t="s">
        <v>149</v>
      </c>
      <c r="AJ97" s="67" t="s">
        <v>150</v>
      </c>
      <c r="AK97" s="67" t="s">
        <v>151</v>
      </c>
      <c r="AL97" s="67" t="s">
        <v>131</v>
      </c>
      <c r="AM97" s="67" t="s">
        <v>132</v>
      </c>
      <c r="AN97" s="67"/>
      <c r="AO97" s="67"/>
      <c r="AP97" s="67"/>
      <c r="AQ97" s="70">
        <v>325811258590</v>
      </c>
      <c r="AR97" s="68">
        <v>45658</v>
      </c>
      <c r="AS97" s="67" t="s">
        <v>1730</v>
      </c>
      <c r="AT97" s="67" t="s">
        <v>29</v>
      </c>
      <c r="AU97" s="67"/>
      <c r="AV97" s="67"/>
      <c r="AW97" s="67" t="s">
        <v>1731</v>
      </c>
      <c r="AX97" s="67" t="s">
        <v>1732</v>
      </c>
      <c r="AY97" s="67">
        <v>117399</v>
      </c>
      <c r="AZ97" s="67" t="s">
        <v>157</v>
      </c>
      <c r="BA97" s="67">
        <v>4100</v>
      </c>
      <c r="BB97" s="67" t="s">
        <v>158</v>
      </c>
      <c r="BC97" s="67">
        <v>100060266</v>
      </c>
      <c r="BD97" s="67"/>
      <c r="BE97" s="67"/>
      <c r="BF97" s="67"/>
      <c r="BG97" s="67"/>
      <c r="BH97" s="67"/>
      <c r="BI97" s="67"/>
      <c r="BJ97" s="67"/>
      <c r="BK97" s="67"/>
      <c r="BL97" s="67"/>
      <c r="BM97" s="67"/>
    </row>
    <row r="98" spans="1:65" x14ac:dyDescent="0.3">
      <c r="A98" s="67" t="s">
        <v>1733</v>
      </c>
      <c r="B98" s="67" t="s">
        <v>1734</v>
      </c>
      <c r="C98" s="67" t="s">
        <v>1735</v>
      </c>
      <c r="D98" s="67" t="s">
        <v>1736</v>
      </c>
      <c r="E98" s="67" t="s">
        <v>142</v>
      </c>
      <c r="F98" s="67" t="s">
        <v>143</v>
      </c>
      <c r="G98" s="67">
        <v>7</v>
      </c>
      <c r="H98" s="67" t="s">
        <v>1010</v>
      </c>
      <c r="I98" s="68">
        <v>45672</v>
      </c>
      <c r="J98" s="67">
        <v>70</v>
      </c>
      <c r="K98" s="67" t="s">
        <v>145</v>
      </c>
      <c r="L98" s="67" t="s">
        <v>117</v>
      </c>
      <c r="M98" s="67" t="s">
        <v>118</v>
      </c>
      <c r="N98" s="67" t="s">
        <v>1737</v>
      </c>
      <c r="O98" s="67" t="s">
        <v>119</v>
      </c>
      <c r="P98" s="69">
        <v>320900</v>
      </c>
      <c r="Q98" s="69"/>
      <c r="R98" s="69">
        <v>320900</v>
      </c>
      <c r="S98" s="69"/>
      <c r="T98" s="69">
        <v>320900</v>
      </c>
      <c r="U98" s="67">
        <v>5210101581</v>
      </c>
      <c r="V98" s="67" t="s">
        <v>120</v>
      </c>
      <c r="W98" s="67" t="s">
        <v>35</v>
      </c>
      <c r="X98" s="67" t="s">
        <v>123</v>
      </c>
      <c r="Y98" s="67" t="s">
        <v>124</v>
      </c>
      <c r="Z98" s="67" t="s">
        <v>1738</v>
      </c>
      <c r="AA98" s="67" t="s">
        <v>123</v>
      </c>
      <c r="AB98" s="67"/>
      <c r="AC98" s="67" t="e">
        <v>#REF!</v>
      </c>
      <c r="AD98" s="67"/>
      <c r="AE98" s="67" t="s">
        <v>147</v>
      </c>
      <c r="AF98" s="67">
        <v>0</v>
      </c>
      <c r="AG98" s="67" t="s">
        <v>126</v>
      </c>
      <c r="AH98" s="67" t="s">
        <v>148</v>
      </c>
      <c r="AI98" s="67" t="s">
        <v>149</v>
      </c>
      <c r="AJ98" s="67" t="s">
        <v>150</v>
      </c>
      <c r="AK98" s="67" t="s">
        <v>151</v>
      </c>
      <c r="AL98" s="67" t="s">
        <v>131</v>
      </c>
      <c r="AM98" s="67" t="s">
        <v>132</v>
      </c>
      <c r="AN98" s="67"/>
      <c r="AO98" s="67"/>
      <c r="AP98" s="67"/>
      <c r="AQ98" s="70" t="s">
        <v>1739</v>
      </c>
      <c r="AR98" s="68">
        <v>45672</v>
      </c>
      <c r="AS98" s="67" t="s">
        <v>1740</v>
      </c>
      <c r="AT98" s="67" t="s">
        <v>35</v>
      </c>
      <c r="AU98" s="67"/>
      <c r="AV98" s="67"/>
      <c r="AW98" s="67" t="s">
        <v>1741</v>
      </c>
      <c r="AX98" s="67" t="s">
        <v>588</v>
      </c>
      <c r="AY98" s="67">
        <v>117399</v>
      </c>
      <c r="AZ98" s="67" t="s">
        <v>157</v>
      </c>
      <c r="BA98" s="67">
        <v>4100</v>
      </c>
      <c r="BB98" s="67" t="s">
        <v>158</v>
      </c>
      <c r="BC98" s="67">
        <v>100064947</v>
      </c>
      <c r="BD98" s="67"/>
      <c r="BE98" s="67"/>
      <c r="BF98" s="67"/>
      <c r="BG98" s="67"/>
      <c r="BH98" s="67"/>
      <c r="BI98" s="67"/>
      <c r="BJ98" s="67"/>
      <c r="BK98" s="67"/>
      <c r="BL98" s="67"/>
      <c r="BM98" s="67"/>
    </row>
    <row r="99" spans="1:65" x14ac:dyDescent="0.3">
      <c r="A99" s="67" t="s">
        <v>1742</v>
      </c>
      <c r="B99" s="67" t="s">
        <v>1743</v>
      </c>
      <c r="C99" s="67" t="s">
        <v>1735</v>
      </c>
      <c r="D99" s="67" t="s">
        <v>1736</v>
      </c>
      <c r="E99" s="67" t="s">
        <v>142</v>
      </c>
      <c r="F99" s="67" t="s">
        <v>143</v>
      </c>
      <c r="G99" s="67">
        <v>7</v>
      </c>
      <c r="H99" s="67" t="s">
        <v>1010</v>
      </c>
      <c r="I99" s="68">
        <v>45672</v>
      </c>
      <c r="J99" s="67">
        <v>31</v>
      </c>
      <c r="K99" s="67" t="s">
        <v>116</v>
      </c>
      <c r="L99" s="67" t="s">
        <v>117</v>
      </c>
      <c r="M99" s="67" t="s">
        <v>118</v>
      </c>
      <c r="N99" s="67" t="s">
        <v>1744</v>
      </c>
      <c r="O99" s="67" t="s">
        <v>119</v>
      </c>
      <c r="P99" s="69">
        <v>3582109.44</v>
      </c>
      <c r="Q99" s="69"/>
      <c r="R99" s="69">
        <v>3582109.44</v>
      </c>
      <c r="S99" s="69"/>
      <c r="T99" s="69">
        <v>3582109.44</v>
      </c>
      <c r="U99" s="67">
        <v>5210101232</v>
      </c>
      <c r="V99" s="67" t="s">
        <v>120</v>
      </c>
      <c r="W99" s="67" t="s">
        <v>996</v>
      </c>
      <c r="X99" s="67" t="s">
        <v>123</v>
      </c>
      <c r="Y99" s="67" t="s">
        <v>124</v>
      </c>
      <c r="Z99" s="67" t="s">
        <v>1745</v>
      </c>
      <c r="AA99" s="67" t="s">
        <v>123</v>
      </c>
      <c r="AB99" s="67"/>
      <c r="AC99" s="67" t="e">
        <v>#REF!</v>
      </c>
      <c r="AD99" s="67"/>
      <c r="AE99" s="67" t="s">
        <v>125</v>
      </c>
      <c r="AF99" s="67">
        <v>0</v>
      </c>
      <c r="AG99" s="67" t="s">
        <v>126</v>
      </c>
      <c r="AH99" s="67" t="s">
        <v>127</v>
      </c>
      <c r="AI99" s="67" t="s">
        <v>128</v>
      </c>
      <c r="AJ99" s="67" t="s">
        <v>129</v>
      </c>
      <c r="AK99" s="67" t="s">
        <v>130</v>
      </c>
      <c r="AL99" s="67" t="s">
        <v>131</v>
      </c>
      <c r="AM99" s="67" t="s">
        <v>132</v>
      </c>
      <c r="AN99" s="67"/>
      <c r="AO99" s="67"/>
      <c r="AP99" s="67"/>
      <c r="AQ99" s="70" t="s">
        <v>1746</v>
      </c>
      <c r="AR99" s="68">
        <v>45644</v>
      </c>
      <c r="AS99" s="67" t="s">
        <v>1747</v>
      </c>
      <c r="AT99" s="67" t="s">
        <v>24</v>
      </c>
      <c r="AU99" s="67"/>
      <c r="AV99" s="67"/>
      <c r="AW99" s="67" t="s">
        <v>1748</v>
      </c>
      <c r="AX99" s="67" t="s">
        <v>1095</v>
      </c>
      <c r="AY99" s="67">
        <v>117689</v>
      </c>
      <c r="AZ99" s="67" t="s">
        <v>135</v>
      </c>
      <c r="BA99" s="67">
        <v>5509</v>
      </c>
      <c r="BB99" s="67" t="s">
        <v>136</v>
      </c>
      <c r="BC99" s="67">
        <v>100060705</v>
      </c>
      <c r="BD99" s="67"/>
      <c r="BE99" s="67"/>
      <c r="BF99" s="67"/>
      <c r="BG99" s="67"/>
      <c r="BH99" s="67"/>
      <c r="BI99" s="67"/>
      <c r="BJ99" s="67"/>
      <c r="BK99" s="67"/>
      <c r="BL99" s="67"/>
      <c r="BM99" s="67"/>
    </row>
    <row r="100" spans="1:65" x14ac:dyDescent="0.3">
      <c r="A100" s="67" t="s">
        <v>1749</v>
      </c>
      <c r="B100" s="67" t="s">
        <v>1750</v>
      </c>
      <c r="C100" s="67" t="s">
        <v>1751</v>
      </c>
      <c r="D100" s="67" t="s">
        <v>1752</v>
      </c>
      <c r="E100" s="67" t="s">
        <v>142</v>
      </c>
      <c r="F100" s="67" t="s">
        <v>143</v>
      </c>
      <c r="G100" s="67">
        <v>7</v>
      </c>
      <c r="H100" s="67" t="s">
        <v>1010</v>
      </c>
      <c r="I100" s="68">
        <v>45678</v>
      </c>
      <c r="J100" s="67">
        <v>59</v>
      </c>
      <c r="K100" s="67" t="s">
        <v>145</v>
      </c>
      <c r="L100" s="67" t="s">
        <v>117</v>
      </c>
      <c r="M100" s="67" t="s">
        <v>118</v>
      </c>
      <c r="N100" s="67" t="s">
        <v>1753</v>
      </c>
      <c r="O100" s="67" t="s">
        <v>119</v>
      </c>
      <c r="P100" s="69">
        <v>9926400</v>
      </c>
      <c r="Q100" s="69"/>
      <c r="R100" s="69">
        <v>9926400</v>
      </c>
      <c r="S100" s="69"/>
      <c r="T100" s="69">
        <v>9926400</v>
      </c>
      <c r="U100" s="67">
        <v>5210101581</v>
      </c>
      <c r="V100" s="67" t="s">
        <v>120</v>
      </c>
      <c r="W100" s="67" t="s">
        <v>154</v>
      </c>
      <c r="X100" s="67" t="s">
        <v>123</v>
      </c>
      <c r="Y100" s="67" t="s">
        <v>124</v>
      </c>
      <c r="Z100" s="67" t="s">
        <v>1754</v>
      </c>
      <c r="AA100" s="67" t="s">
        <v>123</v>
      </c>
      <c r="AB100" s="67"/>
      <c r="AC100" s="67" t="e">
        <v>#REF!</v>
      </c>
      <c r="AD100" s="67"/>
      <c r="AE100" s="67" t="s">
        <v>147</v>
      </c>
      <c r="AF100" s="67">
        <v>0</v>
      </c>
      <c r="AG100" s="67" t="s">
        <v>126</v>
      </c>
      <c r="AH100" s="67" t="s">
        <v>148</v>
      </c>
      <c r="AI100" s="67" t="s">
        <v>149</v>
      </c>
      <c r="AJ100" s="67" t="s">
        <v>150</v>
      </c>
      <c r="AK100" s="67" t="s">
        <v>151</v>
      </c>
      <c r="AL100" s="67" t="s">
        <v>131</v>
      </c>
      <c r="AM100" s="67" t="s">
        <v>132</v>
      </c>
      <c r="AN100" s="67"/>
      <c r="AO100" s="67"/>
      <c r="AP100" s="67"/>
      <c r="AQ100" s="70" t="s">
        <v>1755</v>
      </c>
      <c r="AR100" s="68">
        <v>45662</v>
      </c>
      <c r="AS100" s="67" t="s">
        <v>1756</v>
      </c>
      <c r="AT100" s="67" t="s">
        <v>154</v>
      </c>
      <c r="AU100" s="67"/>
      <c r="AV100" s="67"/>
      <c r="AW100" s="67" t="s">
        <v>1757</v>
      </c>
      <c r="AX100" s="67" t="s">
        <v>1039</v>
      </c>
      <c r="AY100" s="67">
        <v>117399</v>
      </c>
      <c r="AZ100" s="67" t="s">
        <v>157</v>
      </c>
      <c r="BA100" s="67">
        <v>4100</v>
      </c>
      <c r="BB100" s="67" t="s">
        <v>158</v>
      </c>
      <c r="BC100" s="67">
        <v>100061150</v>
      </c>
      <c r="BD100" s="67"/>
      <c r="BE100" s="67"/>
      <c r="BF100" s="67"/>
      <c r="BG100" s="67"/>
      <c r="BH100" s="67"/>
      <c r="BI100" s="67"/>
      <c r="BJ100" s="67"/>
      <c r="BK100" s="67"/>
      <c r="BL100" s="67"/>
      <c r="BM100" s="67"/>
    </row>
    <row r="101" spans="1:65" x14ac:dyDescent="0.3">
      <c r="A101" s="67" t="s">
        <v>1758</v>
      </c>
      <c r="B101" s="67" t="s">
        <v>1759</v>
      </c>
      <c r="C101" s="67" t="s">
        <v>1760</v>
      </c>
      <c r="D101" s="67" t="s">
        <v>1761</v>
      </c>
      <c r="E101" s="67" t="s">
        <v>142</v>
      </c>
      <c r="F101" s="67" t="s">
        <v>143</v>
      </c>
      <c r="G101" s="67">
        <v>7</v>
      </c>
      <c r="H101" s="67" t="s">
        <v>1011</v>
      </c>
      <c r="I101" s="68">
        <v>45691</v>
      </c>
      <c r="J101" s="67">
        <v>94</v>
      </c>
      <c r="K101" s="67" t="s">
        <v>116</v>
      </c>
      <c r="L101" s="67" t="s">
        <v>117</v>
      </c>
      <c r="M101" s="67" t="s">
        <v>118</v>
      </c>
      <c r="N101" s="67" t="s">
        <v>1762</v>
      </c>
      <c r="O101" s="67" t="s">
        <v>119</v>
      </c>
      <c r="P101" s="69">
        <v>3739052.35</v>
      </c>
      <c r="Q101" s="69"/>
      <c r="R101" s="69">
        <v>3739052.35</v>
      </c>
      <c r="S101" s="69"/>
      <c r="T101" s="69">
        <v>3739052.35</v>
      </c>
      <c r="U101" s="67">
        <v>5210101232</v>
      </c>
      <c r="V101" s="67" t="s">
        <v>120</v>
      </c>
      <c r="W101" s="67" t="s">
        <v>996</v>
      </c>
      <c r="X101" s="67" t="s">
        <v>123</v>
      </c>
      <c r="Y101" s="67" t="s">
        <v>124</v>
      </c>
      <c r="Z101" s="67" t="s">
        <v>1763</v>
      </c>
      <c r="AA101" s="67" t="s">
        <v>123</v>
      </c>
      <c r="AB101" s="67"/>
      <c r="AC101" s="67" t="e">
        <v>#REF!</v>
      </c>
      <c r="AD101" s="67"/>
      <c r="AE101" s="67" t="s">
        <v>125</v>
      </c>
      <c r="AF101" s="67">
        <v>0</v>
      </c>
      <c r="AG101" s="67" t="s">
        <v>126</v>
      </c>
      <c r="AH101" s="67" t="s">
        <v>127</v>
      </c>
      <c r="AI101" s="67" t="s">
        <v>128</v>
      </c>
      <c r="AJ101" s="67" t="s">
        <v>129</v>
      </c>
      <c r="AK101" s="67" t="s">
        <v>130</v>
      </c>
      <c r="AL101" s="67" t="s">
        <v>131</v>
      </c>
      <c r="AM101" s="67" t="s">
        <v>132</v>
      </c>
      <c r="AN101" s="67"/>
      <c r="AO101" s="67"/>
      <c r="AP101" s="67"/>
      <c r="AQ101" s="70" t="s">
        <v>1764</v>
      </c>
      <c r="AR101" s="68">
        <v>45673</v>
      </c>
      <c r="AS101" s="67" t="s">
        <v>1765</v>
      </c>
      <c r="AT101" s="67" t="s">
        <v>24</v>
      </c>
      <c r="AU101" s="67"/>
      <c r="AV101" s="67"/>
      <c r="AW101" s="67" t="s">
        <v>1766</v>
      </c>
      <c r="AX101" s="67" t="s">
        <v>1095</v>
      </c>
      <c r="AY101" s="67">
        <v>117689</v>
      </c>
      <c r="AZ101" s="67" t="s">
        <v>135</v>
      </c>
      <c r="BA101" s="67">
        <v>5509</v>
      </c>
      <c r="BB101" s="67" t="s">
        <v>136</v>
      </c>
      <c r="BC101" s="67">
        <v>100060705</v>
      </c>
      <c r="BD101" s="67"/>
      <c r="BE101" s="67"/>
      <c r="BF101" s="67"/>
      <c r="BG101" s="67"/>
      <c r="BH101" s="67"/>
      <c r="BI101" s="67"/>
      <c r="BJ101" s="67"/>
      <c r="BK101" s="67"/>
      <c r="BL101" s="67"/>
      <c r="BM101" s="67"/>
    </row>
    <row r="102" spans="1:65" x14ac:dyDescent="0.3">
      <c r="A102" s="67" t="s">
        <v>1767</v>
      </c>
      <c r="B102" s="67" t="s">
        <v>1768</v>
      </c>
      <c r="C102" s="67" t="s">
        <v>1760</v>
      </c>
      <c r="D102" s="67" t="s">
        <v>1761</v>
      </c>
      <c r="E102" s="67" t="s">
        <v>142</v>
      </c>
      <c r="F102" s="67" t="s">
        <v>143</v>
      </c>
      <c r="G102" s="67">
        <v>7</v>
      </c>
      <c r="H102" s="67" t="s">
        <v>1011</v>
      </c>
      <c r="I102" s="68">
        <v>45691</v>
      </c>
      <c r="J102" s="67">
        <v>194</v>
      </c>
      <c r="K102" s="67" t="s">
        <v>145</v>
      </c>
      <c r="L102" s="67" t="s">
        <v>117</v>
      </c>
      <c r="M102" s="67" t="s">
        <v>118</v>
      </c>
      <c r="N102" s="67" t="s">
        <v>1769</v>
      </c>
      <c r="O102" s="67" t="s">
        <v>119</v>
      </c>
      <c r="P102" s="69">
        <v>4413</v>
      </c>
      <c r="Q102" s="69"/>
      <c r="R102" s="69">
        <v>4413</v>
      </c>
      <c r="S102" s="69"/>
      <c r="T102" s="69">
        <v>4413</v>
      </c>
      <c r="U102" s="67">
        <v>5210101581</v>
      </c>
      <c r="V102" s="67" t="s">
        <v>120</v>
      </c>
      <c r="W102" s="67" t="s">
        <v>39</v>
      </c>
      <c r="X102" s="67" t="s">
        <v>123</v>
      </c>
      <c r="Y102" s="67" t="s">
        <v>124</v>
      </c>
      <c r="Z102" s="67" t="s">
        <v>1770</v>
      </c>
      <c r="AA102" s="67" t="s">
        <v>123</v>
      </c>
      <c r="AB102" s="67"/>
      <c r="AC102" s="67" t="e">
        <v>#REF!</v>
      </c>
      <c r="AD102" s="67"/>
      <c r="AE102" s="67" t="s">
        <v>147</v>
      </c>
      <c r="AF102" s="67">
        <v>0</v>
      </c>
      <c r="AG102" s="67" t="s">
        <v>126</v>
      </c>
      <c r="AH102" s="67" t="s">
        <v>148</v>
      </c>
      <c r="AI102" s="67" t="s">
        <v>149</v>
      </c>
      <c r="AJ102" s="67" t="s">
        <v>150</v>
      </c>
      <c r="AK102" s="67" t="s">
        <v>151</v>
      </c>
      <c r="AL102" s="67" t="s">
        <v>131</v>
      </c>
      <c r="AM102" s="67" t="s">
        <v>132</v>
      </c>
      <c r="AN102" s="67"/>
      <c r="AO102" s="67"/>
      <c r="AP102" s="67"/>
      <c r="AQ102" s="70" t="s">
        <v>1771</v>
      </c>
      <c r="AR102" s="68">
        <v>45689</v>
      </c>
      <c r="AS102" s="67" t="s">
        <v>1772</v>
      </c>
      <c r="AT102" s="67" t="s">
        <v>39</v>
      </c>
      <c r="AU102" s="67"/>
      <c r="AV102" s="67"/>
      <c r="AW102" s="67" t="s">
        <v>1773</v>
      </c>
      <c r="AX102" s="67" t="s">
        <v>1774</v>
      </c>
      <c r="AY102" s="67">
        <v>117399</v>
      </c>
      <c r="AZ102" s="67" t="s">
        <v>157</v>
      </c>
      <c r="BA102" s="67">
        <v>4100</v>
      </c>
      <c r="BB102" s="67" t="s">
        <v>158</v>
      </c>
      <c r="BC102" s="67">
        <v>100065187</v>
      </c>
      <c r="BD102" s="67"/>
      <c r="BE102" s="67"/>
      <c r="BF102" s="67"/>
      <c r="BG102" s="67"/>
      <c r="BH102" s="67"/>
      <c r="BI102" s="67"/>
      <c r="BJ102" s="67"/>
      <c r="BK102" s="67"/>
      <c r="BL102" s="67"/>
      <c r="BM102" s="67"/>
    </row>
    <row r="103" spans="1:65" x14ac:dyDescent="0.3">
      <c r="A103" s="67" t="s">
        <v>1775</v>
      </c>
      <c r="B103" s="67" t="s">
        <v>1776</v>
      </c>
      <c r="C103" s="67" t="s">
        <v>1760</v>
      </c>
      <c r="D103" s="67" t="s">
        <v>1761</v>
      </c>
      <c r="E103" s="67" t="s">
        <v>142</v>
      </c>
      <c r="F103" s="67" t="s">
        <v>143</v>
      </c>
      <c r="G103" s="67">
        <v>7</v>
      </c>
      <c r="H103" s="67" t="s">
        <v>1011</v>
      </c>
      <c r="I103" s="68">
        <v>45691</v>
      </c>
      <c r="J103" s="67">
        <v>95</v>
      </c>
      <c r="K103" s="67" t="s">
        <v>116</v>
      </c>
      <c r="L103" s="67" t="s">
        <v>117</v>
      </c>
      <c r="M103" s="67" t="s">
        <v>118</v>
      </c>
      <c r="N103" s="67" t="s">
        <v>1777</v>
      </c>
      <c r="O103" s="67" t="s">
        <v>119</v>
      </c>
      <c r="P103" s="69">
        <v>864516.1</v>
      </c>
      <c r="Q103" s="69"/>
      <c r="R103" s="69">
        <v>864516.1</v>
      </c>
      <c r="S103" s="69"/>
      <c r="T103" s="69">
        <v>864516.1</v>
      </c>
      <c r="U103" s="67">
        <v>5210101232</v>
      </c>
      <c r="V103" s="67" t="s">
        <v>120</v>
      </c>
      <c r="W103" s="67" t="s">
        <v>996</v>
      </c>
      <c r="X103" s="67" t="s">
        <v>123</v>
      </c>
      <c r="Y103" s="67" t="s">
        <v>124</v>
      </c>
      <c r="Z103" s="67" t="s">
        <v>1778</v>
      </c>
      <c r="AA103" s="67" t="s">
        <v>123</v>
      </c>
      <c r="AB103" s="67"/>
      <c r="AC103" s="67" t="e">
        <v>#REF!</v>
      </c>
      <c r="AD103" s="67"/>
      <c r="AE103" s="67" t="s">
        <v>125</v>
      </c>
      <c r="AF103" s="67">
        <v>0</v>
      </c>
      <c r="AG103" s="67" t="s">
        <v>126</v>
      </c>
      <c r="AH103" s="67" t="s">
        <v>127</v>
      </c>
      <c r="AI103" s="67" t="s">
        <v>128</v>
      </c>
      <c r="AJ103" s="67" t="s">
        <v>129</v>
      </c>
      <c r="AK103" s="67" t="s">
        <v>130</v>
      </c>
      <c r="AL103" s="67" t="s">
        <v>131</v>
      </c>
      <c r="AM103" s="67" t="s">
        <v>132</v>
      </c>
      <c r="AN103" s="67"/>
      <c r="AO103" s="67"/>
      <c r="AP103" s="67"/>
      <c r="AQ103" s="70" t="s">
        <v>1779</v>
      </c>
      <c r="AR103" s="68">
        <v>45673</v>
      </c>
      <c r="AS103" s="67" t="s">
        <v>1780</v>
      </c>
      <c r="AT103" s="67" t="s">
        <v>24</v>
      </c>
      <c r="AU103" s="67"/>
      <c r="AV103" s="67"/>
      <c r="AW103" s="67" t="s">
        <v>1781</v>
      </c>
      <c r="AX103" s="67" t="s">
        <v>1576</v>
      </c>
      <c r="AY103" s="67">
        <v>117689</v>
      </c>
      <c r="AZ103" s="67" t="s">
        <v>135</v>
      </c>
      <c r="BA103" s="67">
        <v>5509</v>
      </c>
      <c r="BB103" s="67" t="s">
        <v>136</v>
      </c>
      <c r="BC103" s="67">
        <v>100063788</v>
      </c>
      <c r="BD103" s="67"/>
      <c r="BE103" s="67"/>
      <c r="BF103" s="67"/>
      <c r="BG103" s="67"/>
      <c r="BH103" s="67"/>
      <c r="BI103" s="67"/>
      <c r="BJ103" s="67"/>
      <c r="BK103" s="67"/>
      <c r="BL103" s="67"/>
      <c r="BM103" s="67"/>
    </row>
    <row r="104" spans="1:65" x14ac:dyDescent="0.3">
      <c r="A104" s="67" t="s">
        <v>1782</v>
      </c>
      <c r="B104" s="67" t="s">
        <v>1783</v>
      </c>
      <c r="C104" s="67" t="s">
        <v>1760</v>
      </c>
      <c r="D104" s="67" t="s">
        <v>1761</v>
      </c>
      <c r="E104" s="67" t="s">
        <v>142</v>
      </c>
      <c r="F104" s="67" t="s">
        <v>143</v>
      </c>
      <c r="G104" s="67">
        <v>7</v>
      </c>
      <c r="H104" s="67" t="s">
        <v>1011</v>
      </c>
      <c r="I104" s="68">
        <v>45691</v>
      </c>
      <c r="J104" s="67">
        <v>1785</v>
      </c>
      <c r="K104" s="67" t="s">
        <v>561</v>
      </c>
      <c r="L104" s="67" t="s">
        <v>117</v>
      </c>
      <c r="M104" s="67" t="s">
        <v>118</v>
      </c>
      <c r="N104" s="67" t="s">
        <v>1784</v>
      </c>
      <c r="O104" s="67" t="s">
        <v>119</v>
      </c>
      <c r="P104" s="69">
        <v>888827.86</v>
      </c>
      <c r="Q104" s="69"/>
      <c r="R104" s="69">
        <v>888827.86</v>
      </c>
      <c r="S104" s="69"/>
      <c r="T104" s="69">
        <v>888827.86</v>
      </c>
      <c r="U104" s="67">
        <v>5210101238</v>
      </c>
      <c r="V104" s="67" t="s">
        <v>120</v>
      </c>
      <c r="W104" s="67" t="s">
        <v>996</v>
      </c>
      <c r="X104" s="67" t="s">
        <v>123</v>
      </c>
      <c r="Y104" s="67" t="s">
        <v>124</v>
      </c>
      <c r="Z104" s="67" t="s">
        <v>1785</v>
      </c>
      <c r="AA104" s="67" t="s">
        <v>123</v>
      </c>
      <c r="AB104" s="67"/>
      <c r="AC104" s="67" t="e">
        <v>#REF!</v>
      </c>
      <c r="AD104" s="67"/>
      <c r="AE104" s="67" t="s">
        <v>562</v>
      </c>
      <c r="AF104" s="67">
        <v>0</v>
      </c>
      <c r="AG104" s="67" t="s">
        <v>126</v>
      </c>
      <c r="AH104" s="67" t="s">
        <v>127</v>
      </c>
      <c r="AI104" s="67" t="s">
        <v>128</v>
      </c>
      <c r="AJ104" s="67" t="s">
        <v>548</v>
      </c>
      <c r="AK104" s="67" t="s">
        <v>549</v>
      </c>
      <c r="AL104" s="67" t="s">
        <v>131</v>
      </c>
      <c r="AM104" s="67" t="s">
        <v>132</v>
      </c>
      <c r="AN104" s="67"/>
      <c r="AO104" s="67"/>
      <c r="AP104" s="67"/>
      <c r="AQ104" s="70" t="s">
        <v>1786</v>
      </c>
      <c r="AR104" s="68">
        <v>45629</v>
      </c>
      <c r="AS104" s="67" t="s">
        <v>1787</v>
      </c>
      <c r="AT104" s="67" t="s">
        <v>24</v>
      </c>
      <c r="AU104" s="67"/>
      <c r="AV104" s="67"/>
      <c r="AW104" s="67" t="s">
        <v>1788</v>
      </c>
      <c r="AX104" s="67" t="s">
        <v>644</v>
      </c>
      <c r="AY104" s="67">
        <v>119404</v>
      </c>
      <c r="AZ104" s="67" t="s">
        <v>554</v>
      </c>
      <c r="BA104" s="67">
        <v>5512</v>
      </c>
      <c r="BB104" s="67" t="s">
        <v>567</v>
      </c>
      <c r="BC104" s="67">
        <v>100064823</v>
      </c>
      <c r="BD104" s="67"/>
      <c r="BE104" s="67"/>
      <c r="BF104" s="67"/>
      <c r="BG104" s="67"/>
      <c r="BH104" s="67"/>
      <c r="BI104" s="67"/>
      <c r="BJ104" s="67"/>
      <c r="BK104" s="67"/>
      <c r="BL104" s="67"/>
      <c r="BM104" s="67"/>
    </row>
    <row r="105" spans="1:65" x14ac:dyDescent="0.3">
      <c r="A105" s="67" t="s">
        <v>1789</v>
      </c>
      <c r="B105" s="67" t="s">
        <v>1790</v>
      </c>
      <c r="C105" s="67" t="s">
        <v>1760</v>
      </c>
      <c r="D105" s="67" t="s">
        <v>1761</v>
      </c>
      <c r="E105" s="67" t="s">
        <v>142</v>
      </c>
      <c r="F105" s="67" t="s">
        <v>143</v>
      </c>
      <c r="G105" s="67">
        <v>7</v>
      </c>
      <c r="H105" s="67" t="s">
        <v>1011</v>
      </c>
      <c r="I105" s="68">
        <v>45691</v>
      </c>
      <c r="J105" s="67">
        <v>1786</v>
      </c>
      <c r="K105" s="67" t="s">
        <v>561</v>
      </c>
      <c r="L105" s="67" t="s">
        <v>117</v>
      </c>
      <c r="M105" s="67" t="s">
        <v>118</v>
      </c>
      <c r="N105" s="67" t="s">
        <v>1791</v>
      </c>
      <c r="O105" s="67" t="s">
        <v>119</v>
      </c>
      <c r="P105" s="69">
        <v>72144.19</v>
      </c>
      <c r="Q105" s="69"/>
      <c r="R105" s="69">
        <v>72144.19</v>
      </c>
      <c r="S105" s="69"/>
      <c r="T105" s="69">
        <v>72144.19</v>
      </c>
      <c r="U105" s="67">
        <v>5210101238</v>
      </c>
      <c r="V105" s="67" t="s">
        <v>120</v>
      </c>
      <c r="W105" s="67" t="s">
        <v>996</v>
      </c>
      <c r="X105" s="67" t="s">
        <v>123</v>
      </c>
      <c r="Y105" s="67" t="s">
        <v>124</v>
      </c>
      <c r="Z105" s="67" t="s">
        <v>1792</v>
      </c>
      <c r="AA105" s="67" t="s">
        <v>123</v>
      </c>
      <c r="AB105" s="67"/>
      <c r="AC105" s="67" t="e">
        <v>#REF!</v>
      </c>
      <c r="AD105" s="67"/>
      <c r="AE105" s="67" t="s">
        <v>562</v>
      </c>
      <c r="AF105" s="67">
        <v>0</v>
      </c>
      <c r="AG105" s="67" t="s">
        <v>126</v>
      </c>
      <c r="AH105" s="67" t="s">
        <v>127</v>
      </c>
      <c r="AI105" s="67" t="s">
        <v>128</v>
      </c>
      <c r="AJ105" s="67" t="s">
        <v>548</v>
      </c>
      <c r="AK105" s="67" t="s">
        <v>549</v>
      </c>
      <c r="AL105" s="67" t="s">
        <v>131</v>
      </c>
      <c r="AM105" s="67" t="s">
        <v>132</v>
      </c>
      <c r="AN105" s="67"/>
      <c r="AO105" s="67"/>
      <c r="AP105" s="67"/>
      <c r="AQ105" s="70" t="s">
        <v>1793</v>
      </c>
      <c r="AR105" s="68">
        <v>45673</v>
      </c>
      <c r="AS105" s="67" t="s">
        <v>1794</v>
      </c>
      <c r="AT105" s="67" t="s">
        <v>24</v>
      </c>
      <c r="AU105" s="67"/>
      <c r="AV105" s="67"/>
      <c r="AW105" s="67" t="s">
        <v>1795</v>
      </c>
      <c r="AX105" s="67" t="s">
        <v>1147</v>
      </c>
      <c r="AY105" s="67">
        <v>119404</v>
      </c>
      <c r="AZ105" s="67" t="s">
        <v>554</v>
      </c>
      <c r="BA105" s="67">
        <v>5512</v>
      </c>
      <c r="BB105" s="67" t="s">
        <v>567</v>
      </c>
      <c r="BC105" s="67">
        <v>100060415</v>
      </c>
      <c r="BD105" s="67"/>
      <c r="BE105" s="67"/>
      <c r="BF105" s="67"/>
      <c r="BG105" s="67"/>
      <c r="BH105" s="67"/>
      <c r="BI105" s="67"/>
      <c r="BJ105" s="67"/>
      <c r="BK105" s="67"/>
      <c r="BL105" s="67"/>
      <c r="BM105" s="67"/>
    </row>
    <row r="106" spans="1:65" x14ac:dyDescent="0.3">
      <c r="A106" s="67" t="s">
        <v>1796</v>
      </c>
      <c r="B106" s="67" t="s">
        <v>1797</v>
      </c>
      <c r="C106" s="67" t="s">
        <v>1798</v>
      </c>
      <c r="D106" s="67" t="s">
        <v>1799</v>
      </c>
      <c r="E106" s="67" t="s">
        <v>142</v>
      </c>
      <c r="F106" s="67" t="s">
        <v>143</v>
      </c>
      <c r="G106" s="67">
        <v>7</v>
      </c>
      <c r="H106" s="67" t="s">
        <v>1011</v>
      </c>
      <c r="I106" s="68">
        <v>45707</v>
      </c>
      <c r="J106" s="67">
        <v>46</v>
      </c>
      <c r="K106" s="67" t="s">
        <v>145</v>
      </c>
      <c r="L106" s="67" t="s">
        <v>117</v>
      </c>
      <c r="M106" s="67" t="s">
        <v>118</v>
      </c>
      <c r="N106" s="67" t="s">
        <v>1800</v>
      </c>
      <c r="O106" s="67" t="s">
        <v>119</v>
      </c>
      <c r="P106" s="69">
        <v>7100</v>
      </c>
      <c r="Q106" s="69"/>
      <c r="R106" s="69">
        <v>7100</v>
      </c>
      <c r="S106" s="69"/>
      <c r="T106" s="69">
        <v>7100</v>
      </c>
      <c r="U106" s="67">
        <v>5210101581</v>
      </c>
      <c r="V106" s="67" t="s">
        <v>120</v>
      </c>
      <c r="W106" s="67" t="s">
        <v>35</v>
      </c>
      <c r="X106" s="67" t="s">
        <v>123</v>
      </c>
      <c r="Y106" s="67" t="s">
        <v>124</v>
      </c>
      <c r="Z106" s="67" t="s">
        <v>1801</v>
      </c>
      <c r="AA106" s="67" t="s">
        <v>123</v>
      </c>
      <c r="AB106" s="67"/>
      <c r="AC106" s="67" t="e">
        <v>#REF!</v>
      </c>
      <c r="AD106" s="67"/>
      <c r="AE106" s="67" t="s">
        <v>147</v>
      </c>
      <c r="AF106" s="67">
        <v>0</v>
      </c>
      <c r="AG106" s="67" t="s">
        <v>126</v>
      </c>
      <c r="AH106" s="67" t="s">
        <v>148</v>
      </c>
      <c r="AI106" s="67" t="s">
        <v>149</v>
      </c>
      <c r="AJ106" s="67" t="s">
        <v>150</v>
      </c>
      <c r="AK106" s="67" t="s">
        <v>151</v>
      </c>
      <c r="AL106" s="67" t="s">
        <v>131</v>
      </c>
      <c r="AM106" s="67" t="s">
        <v>132</v>
      </c>
      <c r="AN106" s="67"/>
      <c r="AO106" s="67"/>
      <c r="AP106" s="67"/>
      <c r="AQ106" s="70" t="s">
        <v>1802</v>
      </c>
      <c r="AR106" s="68">
        <v>45702</v>
      </c>
      <c r="AS106" s="67" t="s">
        <v>1803</v>
      </c>
      <c r="AT106" s="67" t="s">
        <v>35</v>
      </c>
      <c r="AU106" s="67"/>
      <c r="AV106" s="67"/>
      <c r="AW106" s="67" t="s">
        <v>1804</v>
      </c>
      <c r="AX106" s="67" t="s">
        <v>588</v>
      </c>
      <c r="AY106" s="67">
        <v>117399</v>
      </c>
      <c r="AZ106" s="67" t="s">
        <v>157</v>
      </c>
      <c r="BA106" s="67">
        <v>4100</v>
      </c>
      <c r="BB106" s="67" t="s">
        <v>158</v>
      </c>
      <c r="BC106" s="67">
        <v>100065435</v>
      </c>
      <c r="BD106" s="67"/>
      <c r="BE106" s="67"/>
      <c r="BF106" s="67"/>
      <c r="BG106" s="67"/>
      <c r="BH106" s="67"/>
      <c r="BI106" s="67"/>
      <c r="BJ106" s="67"/>
      <c r="BK106" s="67"/>
      <c r="BL106" s="67"/>
      <c r="BM106" s="67"/>
    </row>
    <row r="107" spans="1:65" x14ac:dyDescent="0.3">
      <c r="A107" s="67" t="s">
        <v>1805</v>
      </c>
      <c r="B107" s="67" t="s">
        <v>1806</v>
      </c>
      <c r="C107" s="67" t="s">
        <v>1798</v>
      </c>
      <c r="D107" s="67" t="s">
        <v>1807</v>
      </c>
      <c r="E107" s="67" t="s">
        <v>142</v>
      </c>
      <c r="F107" s="67" t="s">
        <v>143</v>
      </c>
      <c r="G107" s="67">
        <v>7</v>
      </c>
      <c r="H107" s="67" t="s">
        <v>1011</v>
      </c>
      <c r="I107" s="68">
        <v>45706</v>
      </c>
      <c r="J107" s="67">
        <v>69</v>
      </c>
      <c r="K107" s="67" t="s">
        <v>145</v>
      </c>
      <c r="L107" s="67" t="s">
        <v>117</v>
      </c>
      <c r="M107" s="67" t="s">
        <v>118</v>
      </c>
      <c r="N107" s="67" t="s">
        <v>1808</v>
      </c>
      <c r="O107" s="67" t="s">
        <v>119</v>
      </c>
      <c r="P107" s="69">
        <v>9900000.0500000007</v>
      </c>
      <c r="Q107" s="69"/>
      <c r="R107" s="69">
        <v>9900000.0500000007</v>
      </c>
      <c r="S107" s="69"/>
      <c r="T107" s="69">
        <v>9900000.0500000007</v>
      </c>
      <c r="U107" s="67">
        <v>5210101581</v>
      </c>
      <c r="V107" s="67" t="s">
        <v>120</v>
      </c>
      <c r="W107" s="67" t="s">
        <v>154</v>
      </c>
      <c r="X107" s="67" t="s">
        <v>123</v>
      </c>
      <c r="Y107" s="67" t="s">
        <v>124</v>
      </c>
      <c r="Z107" s="67" t="s">
        <v>1809</v>
      </c>
      <c r="AA107" s="67" t="s">
        <v>123</v>
      </c>
      <c r="AB107" s="67"/>
      <c r="AC107" s="67" t="e">
        <v>#REF!</v>
      </c>
      <c r="AD107" s="67"/>
      <c r="AE107" s="67" t="s">
        <v>147</v>
      </c>
      <c r="AF107" s="67">
        <v>0</v>
      </c>
      <c r="AG107" s="67" t="s">
        <v>126</v>
      </c>
      <c r="AH107" s="67" t="s">
        <v>148</v>
      </c>
      <c r="AI107" s="67" t="s">
        <v>149</v>
      </c>
      <c r="AJ107" s="67" t="s">
        <v>150</v>
      </c>
      <c r="AK107" s="67" t="s">
        <v>151</v>
      </c>
      <c r="AL107" s="67" t="s">
        <v>131</v>
      </c>
      <c r="AM107" s="67" t="s">
        <v>132</v>
      </c>
      <c r="AN107" s="67"/>
      <c r="AO107" s="67"/>
      <c r="AP107" s="67"/>
      <c r="AQ107" s="70" t="s">
        <v>1810</v>
      </c>
      <c r="AR107" s="68">
        <v>45691</v>
      </c>
      <c r="AS107" s="67" t="s">
        <v>1811</v>
      </c>
      <c r="AT107" s="67" t="s">
        <v>154</v>
      </c>
      <c r="AU107" s="67"/>
      <c r="AV107" s="67"/>
      <c r="AW107" s="67" t="s">
        <v>1812</v>
      </c>
      <c r="AX107" s="67" t="s">
        <v>1039</v>
      </c>
      <c r="AY107" s="67">
        <v>117399</v>
      </c>
      <c r="AZ107" s="67" t="s">
        <v>157</v>
      </c>
      <c r="BA107" s="67">
        <v>4100</v>
      </c>
      <c r="BB107" s="67" t="s">
        <v>158</v>
      </c>
      <c r="BC107" s="67">
        <v>100061150</v>
      </c>
      <c r="BD107" s="67"/>
      <c r="BE107" s="67"/>
      <c r="BF107" s="67"/>
      <c r="BG107" s="67"/>
      <c r="BH107" s="67"/>
      <c r="BI107" s="67"/>
      <c r="BJ107" s="67"/>
      <c r="BK107" s="67"/>
      <c r="BL107" s="67"/>
      <c r="BM107" s="67"/>
    </row>
    <row r="108" spans="1:65" x14ac:dyDescent="0.3">
      <c r="A108" s="67" t="s">
        <v>1813</v>
      </c>
      <c r="B108" s="67" t="s">
        <v>1814</v>
      </c>
      <c r="C108" s="67" t="s">
        <v>1815</v>
      </c>
      <c r="D108" s="67" t="s">
        <v>1816</v>
      </c>
      <c r="E108" s="67" t="s">
        <v>142</v>
      </c>
      <c r="F108" s="67" t="s">
        <v>143</v>
      </c>
      <c r="G108" s="67">
        <v>7</v>
      </c>
      <c r="H108" s="67" t="s">
        <v>1011</v>
      </c>
      <c r="I108" s="68">
        <v>45700</v>
      </c>
      <c r="J108" s="67">
        <v>37</v>
      </c>
      <c r="K108" s="67" t="s">
        <v>145</v>
      </c>
      <c r="L108" s="67" t="s">
        <v>117</v>
      </c>
      <c r="M108" s="67" t="s">
        <v>118</v>
      </c>
      <c r="N108" s="67" t="s">
        <v>1817</v>
      </c>
      <c r="O108" s="67" t="s">
        <v>119</v>
      </c>
      <c r="P108" s="69">
        <v>4700562</v>
      </c>
      <c r="Q108" s="69"/>
      <c r="R108" s="69">
        <v>4700562</v>
      </c>
      <c r="S108" s="69"/>
      <c r="T108" s="69">
        <v>4700562</v>
      </c>
      <c r="U108" s="67">
        <v>5210101581</v>
      </c>
      <c r="V108" s="67" t="s">
        <v>120</v>
      </c>
      <c r="W108" s="67" t="s">
        <v>29</v>
      </c>
      <c r="X108" s="67" t="s">
        <v>123</v>
      </c>
      <c r="Y108" s="67" t="s">
        <v>124</v>
      </c>
      <c r="Z108" s="67" t="s">
        <v>1818</v>
      </c>
      <c r="AA108" s="67" t="s">
        <v>123</v>
      </c>
      <c r="AB108" s="67"/>
      <c r="AC108" s="67" t="e">
        <v>#REF!</v>
      </c>
      <c r="AD108" s="67"/>
      <c r="AE108" s="67" t="s">
        <v>147</v>
      </c>
      <c r="AF108" s="67">
        <v>0</v>
      </c>
      <c r="AG108" s="67" t="s">
        <v>126</v>
      </c>
      <c r="AH108" s="67" t="s">
        <v>148</v>
      </c>
      <c r="AI108" s="67" t="s">
        <v>149</v>
      </c>
      <c r="AJ108" s="67" t="s">
        <v>150</v>
      </c>
      <c r="AK108" s="67" t="s">
        <v>151</v>
      </c>
      <c r="AL108" s="67" t="s">
        <v>131</v>
      </c>
      <c r="AM108" s="67" t="s">
        <v>132</v>
      </c>
      <c r="AN108" s="67"/>
      <c r="AO108" s="67"/>
      <c r="AP108" s="67"/>
      <c r="AQ108" s="70">
        <v>325956413816</v>
      </c>
      <c r="AR108" s="68">
        <v>45689</v>
      </c>
      <c r="AS108" s="67" t="s">
        <v>1819</v>
      </c>
      <c r="AT108" s="67" t="s">
        <v>29</v>
      </c>
      <c r="AU108" s="67"/>
      <c r="AV108" s="67"/>
      <c r="AW108" s="67" t="s">
        <v>1820</v>
      </c>
      <c r="AX108" s="67" t="s">
        <v>313</v>
      </c>
      <c r="AY108" s="67">
        <v>117399</v>
      </c>
      <c r="AZ108" s="67" t="s">
        <v>157</v>
      </c>
      <c r="BA108" s="67">
        <v>4100</v>
      </c>
      <c r="BB108" s="67" t="s">
        <v>158</v>
      </c>
      <c r="BC108" s="67">
        <v>100064557</v>
      </c>
      <c r="BD108" s="67"/>
      <c r="BE108" s="67"/>
      <c r="BF108" s="67"/>
      <c r="BG108" s="67"/>
      <c r="BH108" s="67"/>
      <c r="BI108" s="67"/>
      <c r="BJ108" s="67"/>
      <c r="BK108" s="67"/>
      <c r="BL108" s="67"/>
      <c r="BM108" s="67"/>
    </row>
    <row r="109" spans="1:65" x14ac:dyDescent="0.3">
      <c r="A109" s="67" t="s">
        <v>1821</v>
      </c>
      <c r="B109" s="67" t="s">
        <v>1822</v>
      </c>
      <c r="C109" s="67" t="s">
        <v>1823</v>
      </c>
      <c r="D109" s="67" t="s">
        <v>1824</v>
      </c>
      <c r="E109" s="67" t="s">
        <v>172</v>
      </c>
      <c r="F109" s="67" t="s">
        <v>173</v>
      </c>
      <c r="G109" s="67">
        <v>7</v>
      </c>
      <c r="H109" s="67" t="s">
        <v>1010</v>
      </c>
      <c r="I109" s="68">
        <v>45681</v>
      </c>
      <c r="J109" s="67">
        <v>12</v>
      </c>
      <c r="K109" s="67" t="s">
        <v>145</v>
      </c>
      <c r="L109" s="67" t="s">
        <v>117</v>
      </c>
      <c r="M109" s="67" t="s">
        <v>118</v>
      </c>
      <c r="N109" s="67" t="s">
        <v>677</v>
      </c>
      <c r="O109" s="67" t="s">
        <v>119</v>
      </c>
      <c r="P109" s="69">
        <v>4915</v>
      </c>
      <c r="Q109" s="69"/>
      <c r="R109" s="69">
        <v>4915</v>
      </c>
      <c r="S109" s="69"/>
      <c r="T109" s="69">
        <v>4915</v>
      </c>
      <c r="U109" s="67">
        <v>5210101581</v>
      </c>
      <c r="V109" s="67" t="s">
        <v>120</v>
      </c>
      <c r="W109" s="67" t="s">
        <v>29</v>
      </c>
      <c r="X109" s="67" t="s">
        <v>123</v>
      </c>
      <c r="Y109" s="67" t="s">
        <v>124</v>
      </c>
      <c r="Z109" s="67" t="s">
        <v>1825</v>
      </c>
      <c r="AA109" s="67" t="s">
        <v>123</v>
      </c>
      <c r="AB109" s="67"/>
      <c r="AC109" s="67" t="e">
        <v>#REF!</v>
      </c>
      <c r="AD109" s="67"/>
      <c r="AE109" s="67" t="s">
        <v>147</v>
      </c>
      <c r="AF109" s="67">
        <v>0</v>
      </c>
      <c r="AG109" s="67" t="s">
        <v>126</v>
      </c>
      <c r="AH109" s="67" t="s">
        <v>148</v>
      </c>
      <c r="AI109" s="67" t="s">
        <v>149</v>
      </c>
      <c r="AJ109" s="67" t="s">
        <v>150</v>
      </c>
      <c r="AK109" s="67" t="s">
        <v>151</v>
      </c>
      <c r="AL109" s="67" t="s">
        <v>131</v>
      </c>
      <c r="AM109" s="67" t="s">
        <v>132</v>
      </c>
      <c r="AN109" s="67"/>
      <c r="AO109" s="67"/>
      <c r="AP109" s="67"/>
      <c r="AQ109" s="70"/>
      <c r="AR109" s="67"/>
      <c r="AS109" s="67"/>
      <c r="AT109" s="67" t="s">
        <v>439</v>
      </c>
      <c r="AU109" s="67"/>
      <c r="AV109" s="67"/>
      <c r="AW109" s="67"/>
      <c r="AX109" s="67"/>
      <c r="AY109" s="67" t="s">
        <v>1209</v>
      </c>
      <c r="AZ109" s="67"/>
      <c r="BA109" s="67" t="s">
        <v>679</v>
      </c>
      <c r="BB109" s="67"/>
      <c r="BC109" s="67">
        <v>325490823156</v>
      </c>
      <c r="BD109" s="67" t="s">
        <v>677</v>
      </c>
      <c r="BE109" s="67"/>
      <c r="BF109" s="67"/>
      <c r="BG109" s="67"/>
      <c r="BH109" s="67"/>
      <c r="BI109" s="67"/>
      <c r="BJ109" s="67"/>
      <c r="BK109" s="67"/>
      <c r="BL109" s="67"/>
      <c r="BM109" s="67">
        <v>4100</v>
      </c>
    </row>
    <row r="110" spans="1:65" x14ac:dyDescent="0.3">
      <c r="A110" s="67" t="s">
        <v>1826</v>
      </c>
      <c r="B110" s="67" t="s">
        <v>1827</v>
      </c>
      <c r="C110" s="67" t="s">
        <v>1828</v>
      </c>
      <c r="D110" s="67" t="s">
        <v>1829</v>
      </c>
      <c r="E110" s="67" t="s">
        <v>172</v>
      </c>
      <c r="F110" s="67" t="s">
        <v>173</v>
      </c>
      <c r="G110" s="67">
        <v>7</v>
      </c>
      <c r="H110" s="67" t="s">
        <v>1011</v>
      </c>
      <c r="I110" s="68">
        <v>45716</v>
      </c>
      <c r="J110" s="67">
        <v>2</v>
      </c>
      <c r="K110" s="67" t="s">
        <v>1830</v>
      </c>
      <c r="L110" s="67" t="s">
        <v>117</v>
      </c>
      <c r="M110" s="67" t="s">
        <v>118</v>
      </c>
      <c r="N110" s="67" t="s">
        <v>1831</v>
      </c>
      <c r="O110" s="67" t="s">
        <v>1363</v>
      </c>
      <c r="P110" s="69">
        <v>164989.04</v>
      </c>
      <c r="Q110" s="69"/>
      <c r="R110" s="69">
        <v>14293551.880000001</v>
      </c>
      <c r="S110" s="69"/>
      <c r="T110" s="69">
        <v>14293551.880000001</v>
      </c>
      <c r="U110" s="67">
        <v>5210101238</v>
      </c>
      <c r="V110" s="67" t="s">
        <v>1054</v>
      </c>
      <c r="W110" s="67" t="s">
        <v>1832</v>
      </c>
      <c r="X110" s="67" t="s">
        <v>123</v>
      </c>
      <c r="Y110" s="67" t="s">
        <v>124</v>
      </c>
      <c r="Z110" s="67" t="s">
        <v>1833</v>
      </c>
      <c r="AA110" s="67" t="s">
        <v>123</v>
      </c>
      <c r="AB110" s="67"/>
      <c r="AC110" s="67" t="e">
        <v>#REF!</v>
      </c>
      <c r="AD110" s="67"/>
      <c r="AE110" s="67" t="s">
        <v>562</v>
      </c>
      <c r="AF110" s="67">
        <v>0</v>
      </c>
      <c r="AG110" s="67" t="s">
        <v>126</v>
      </c>
      <c r="AH110" s="67">
        <v>0</v>
      </c>
      <c r="AI110" s="67" t="s">
        <v>1365</v>
      </c>
      <c r="AJ110" s="67" t="s">
        <v>1834</v>
      </c>
      <c r="AK110" s="67" t="s">
        <v>1835</v>
      </c>
      <c r="AL110" s="67" t="s">
        <v>131</v>
      </c>
      <c r="AM110" s="67" t="s">
        <v>132</v>
      </c>
      <c r="AN110" s="67"/>
      <c r="AO110" s="67"/>
      <c r="AP110" s="67"/>
      <c r="AQ110" s="70"/>
      <c r="AR110" s="67"/>
      <c r="AS110" s="67"/>
      <c r="AT110" s="67" t="s">
        <v>1831</v>
      </c>
      <c r="AU110" s="67"/>
      <c r="AV110" s="67"/>
      <c r="AW110" s="67"/>
      <c r="AX110" s="67"/>
      <c r="AY110" s="67"/>
      <c r="AZ110" s="67"/>
      <c r="BA110" s="67"/>
      <c r="BB110" s="67"/>
      <c r="BC110" s="67" t="s">
        <v>1836</v>
      </c>
      <c r="BD110" s="67" t="s">
        <v>1831</v>
      </c>
      <c r="BE110" s="67"/>
      <c r="BF110" s="67"/>
      <c r="BG110" s="67"/>
      <c r="BH110" s="67"/>
      <c r="BI110" s="67"/>
      <c r="BJ110" s="67"/>
      <c r="BK110" s="67"/>
      <c r="BL110" s="67"/>
      <c r="BM110" s="67"/>
    </row>
    <row r="111" spans="1:65" x14ac:dyDescent="0.3">
      <c r="A111" s="67" t="s">
        <v>1837</v>
      </c>
      <c r="B111" s="67" t="s">
        <v>1838</v>
      </c>
      <c r="C111" s="67" t="s">
        <v>1828</v>
      </c>
      <c r="D111" s="67" t="s">
        <v>1829</v>
      </c>
      <c r="E111" s="67" t="s">
        <v>172</v>
      </c>
      <c r="F111" s="67" t="s">
        <v>173</v>
      </c>
      <c r="G111" s="67">
        <v>7</v>
      </c>
      <c r="H111" s="67" t="s">
        <v>1011</v>
      </c>
      <c r="I111" s="68">
        <v>45716</v>
      </c>
      <c r="J111" s="67">
        <v>3</v>
      </c>
      <c r="K111" s="67" t="s">
        <v>1839</v>
      </c>
      <c r="L111" s="67" t="s">
        <v>117</v>
      </c>
      <c r="M111" s="67" t="s">
        <v>118</v>
      </c>
      <c r="N111" s="67" t="s">
        <v>1831</v>
      </c>
      <c r="O111" s="67" t="s">
        <v>1363</v>
      </c>
      <c r="P111" s="69">
        <v>88840.25</v>
      </c>
      <c r="Q111" s="69"/>
      <c r="R111" s="69">
        <v>7696527.7400000002</v>
      </c>
      <c r="S111" s="69"/>
      <c r="T111" s="69">
        <v>7696527.7400000002</v>
      </c>
      <c r="U111" s="67">
        <v>5210101238</v>
      </c>
      <c r="V111" s="67" t="s">
        <v>1054</v>
      </c>
      <c r="W111" s="67" t="s">
        <v>1832</v>
      </c>
      <c r="X111" s="67" t="s">
        <v>123</v>
      </c>
      <c r="Y111" s="67" t="s">
        <v>124</v>
      </c>
      <c r="Z111" s="67" t="s">
        <v>1840</v>
      </c>
      <c r="AA111" s="67" t="s">
        <v>123</v>
      </c>
      <c r="AB111" s="67"/>
      <c r="AC111" s="67" t="e">
        <v>#REF!</v>
      </c>
      <c r="AD111" s="67"/>
      <c r="AE111" s="67" t="s">
        <v>562</v>
      </c>
      <c r="AF111" s="67">
        <v>0</v>
      </c>
      <c r="AG111" s="67" t="s">
        <v>126</v>
      </c>
      <c r="AH111" s="67" t="s">
        <v>127</v>
      </c>
      <c r="AI111" s="67" t="s">
        <v>128</v>
      </c>
      <c r="AJ111" s="67" t="s">
        <v>1841</v>
      </c>
      <c r="AK111" s="67" t="s">
        <v>1842</v>
      </c>
      <c r="AL111" s="67" t="s">
        <v>131</v>
      </c>
      <c r="AM111" s="67" t="s">
        <v>132</v>
      </c>
      <c r="AN111" s="67"/>
      <c r="AO111" s="67"/>
      <c r="AP111" s="67"/>
      <c r="AQ111" s="70"/>
      <c r="AR111" s="67"/>
      <c r="AS111" s="67"/>
      <c r="AT111" s="67" t="s">
        <v>1831</v>
      </c>
      <c r="AU111" s="67"/>
      <c r="AV111" s="67"/>
      <c r="AW111" s="67"/>
      <c r="AX111" s="67"/>
      <c r="AY111" s="67"/>
      <c r="AZ111" s="67"/>
      <c r="BA111" s="67"/>
      <c r="BB111" s="67"/>
      <c r="BC111" s="67" t="s">
        <v>1843</v>
      </c>
      <c r="BD111" s="67" t="s">
        <v>1831</v>
      </c>
      <c r="BE111" s="67"/>
      <c r="BF111" s="67"/>
      <c r="BG111" s="67"/>
      <c r="BH111" s="67"/>
      <c r="BI111" s="67"/>
      <c r="BJ111" s="67"/>
      <c r="BK111" s="67"/>
      <c r="BL111" s="67"/>
      <c r="BM111" s="67"/>
    </row>
    <row r="112" spans="1:65" x14ac:dyDescent="0.3">
      <c r="A112" s="67" t="s">
        <v>1844</v>
      </c>
      <c r="B112" s="67" t="s">
        <v>1845</v>
      </c>
      <c r="C112" s="67" t="s">
        <v>1828</v>
      </c>
      <c r="D112" s="67" t="s">
        <v>1829</v>
      </c>
      <c r="E112" s="67" t="s">
        <v>172</v>
      </c>
      <c r="F112" s="67" t="s">
        <v>173</v>
      </c>
      <c r="G112" s="67">
        <v>7</v>
      </c>
      <c r="H112" s="67" t="s">
        <v>1011</v>
      </c>
      <c r="I112" s="68">
        <v>45716</v>
      </c>
      <c r="J112" s="67">
        <v>4</v>
      </c>
      <c r="K112" s="67" t="s">
        <v>1846</v>
      </c>
      <c r="L112" s="67" t="s">
        <v>117</v>
      </c>
      <c r="M112" s="67" t="s">
        <v>118</v>
      </c>
      <c r="N112" s="67" t="s">
        <v>1831</v>
      </c>
      <c r="O112" s="67" t="s">
        <v>1363</v>
      </c>
      <c r="P112" s="69">
        <v>9518.6</v>
      </c>
      <c r="Q112" s="69"/>
      <c r="R112" s="69">
        <v>824628.13</v>
      </c>
      <c r="S112" s="69"/>
      <c r="T112" s="69">
        <v>824628.13</v>
      </c>
      <c r="U112" s="67">
        <v>5210101238</v>
      </c>
      <c r="V112" s="67" t="s">
        <v>1054</v>
      </c>
      <c r="W112" s="67" t="s">
        <v>1832</v>
      </c>
      <c r="X112" s="67" t="s">
        <v>123</v>
      </c>
      <c r="Y112" s="67" t="s">
        <v>124</v>
      </c>
      <c r="Z112" s="67" t="s">
        <v>1847</v>
      </c>
      <c r="AA112" s="67" t="s">
        <v>123</v>
      </c>
      <c r="AB112" s="67"/>
      <c r="AC112" s="67" t="e">
        <v>#REF!</v>
      </c>
      <c r="AD112" s="67"/>
      <c r="AE112" s="67" t="s">
        <v>562</v>
      </c>
      <c r="AF112" s="67">
        <v>0</v>
      </c>
      <c r="AG112" s="67" t="s">
        <v>126</v>
      </c>
      <c r="AH112" s="67" t="s">
        <v>127</v>
      </c>
      <c r="AI112" s="67" t="s">
        <v>128</v>
      </c>
      <c r="AJ112" s="67" t="s">
        <v>1848</v>
      </c>
      <c r="AK112" s="67" t="s">
        <v>1849</v>
      </c>
      <c r="AL112" s="67" t="s">
        <v>131</v>
      </c>
      <c r="AM112" s="67" t="s">
        <v>132</v>
      </c>
      <c r="AN112" s="67"/>
      <c r="AO112" s="67"/>
      <c r="AP112" s="67"/>
      <c r="AQ112" s="70"/>
      <c r="AR112" s="67"/>
      <c r="AS112" s="67"/>
      <c r="AT112" s="67" t="s">
        <v>1831</v>
      </c>
      <c r="AU112" s="67"/>
      <c r="AV112" s="67"/>
      <c r="AW112" s="67"/>
      <c r="AX112" s="67"/>
      <c r="AY112" s="67"/>
      <c r="AZ112" s="67"/>
      <c r="BA112" s="67"/>
      <c r="BB112" s="67"/>
      <c r="BC112" s="67" t="s">
        <v>1850</v>
      </c>
      <c r="BD112" s="67" t="s">
        <v>1831</v>
      </c>
      <c r="BE112" s="67"/>
      <c r="BF112" s="67"/>
      <c r="BG112" s="67"/>
      <c r="BH112" s="67"/>
      <c r="BI112" s="67"/>
      <c r="BJ112" s="67"/>
      <c r="BK112" s="67"/>
      <c r="BL112" s="67"/>
      <c r="BM112" s="67"/>
    </row>
    <row r="113" spans="1:65" x14ac:dyDescent="0.3">
      <c r="A113" s="67" t="s">
        <v>1851</v>
      </c>
      <c r="B113" s="67" t="s">
        <v>1852</v>
      </c>
      <c r="C113" s="67" t="s">
        <v>1828</v>
      </c>
      <c r="D113" s="67" t="s">
        <v>1829</v>
      </c>
      <c r="E113" s="67" t="s">
        <v>172</v>
      </c>
      <c r="F113" s="67" t="s">
        <v>173</v>
      </c>
      <c r="G113" s="67">
        <v>7</v>
      </c>
      <c r="H113" s="67" t="s">
        <v>1011</v>
      </c>
      <c r="I113" s="68">
        <v>45716</v>
      </c>
      <c r="J113" s="67">
        <v>5</v>
      </c>
      <c r="K113" s="67" t="s">
        <v>1853</v>
      </c>
      <c r="L113" s="67" t="s">
        <v>117</v>
      </c>
      <c r="M113" s="67" t="s">
        <v>118</v>
      </c>
      <c r="N113" s="67" t="s">
        <v>1831</v>
      </c>
      <c r="O113" s="67" t="s">
        <v>1363</v>
      </c>
      <c r="P113" s="69">
        <v>3172.87</v>
      </c>
      <c r="Q113" s="69"/>
      <c r="R113" s="69">
        <v>274876.33</v>
      </c>
      <c r="S113" s="69"/>
      <c r="T113" s="69">
        <v>274876.33</v>
      </c>
      <c r="U113" s="67">
        <v>5210101238</v>
      </c>
      <c r="V113" s="67" t="s">
        <v>1054</v>
      </c>
      <c r="W113" s="67" t="s">
        <v>1832</v>
      </c>
      <c r="X113" s="67" t="s">
        <v>123</v>
      </c>
      <c r="Y113" s="67" t="s">
        <v>124</v>
      </c>
      <c r="Z113" s="67" t="s">
        <v>1854</v>
      </c>
      <c r="AA113" s="67" t="s">
        <v>123</v>
      </c>
      <c r="AB113" s="67"/>
      <c r="AC113" s="67" t="e">
        <v>#REF!</v>
      </c>
      <c r="AD113" s="67"/>
      <c r="AE113" s="67" t="s">
        <v>562</v>
      </c>
      <c r="AF113" s="67">
        <v>0</v>
      </c>
      <c r="AG113" s="67" t="s">
        <v>126</v>
      </c>
      <c r="AH113" s="67" t="s">
        <v>127</v>
      </c>
      <c r="AI113" s="67" t="s">
        <v>128</v>
      </c>
      <c r="AJ113" s="67" t="s">
        <v>1855</v>
      </c>
      <c r="AK113" s="67" t="s">
        <v>1856</v>
      </c>
      <c r="AL113" s="67" t="s">
        <v>131</v>
      </c>
      <c r="AM113" s="67" t="s">
        <v>132</v>
      </c>
      <c r="AN113" s="67"/>
      <c r="AO113" s="67"/>
      <c r="AP113" s="67"/>
      <c r="AQ113" s="70"/>
      <c r="AR113" s="67"/>
      <c r="AS113" s="67"/>
      <c r="AT113" s="67" t="s">
        <v>1831</v>
      </c>
      <c r="AU113" s="67"/>
      <c r="AV113" s="67"/>
      <c r="AW113" s="67"/>
      <c r="AX113" s="67"/>
      <c r="AY113" s="67"/>
      <c r="AZ113" s="67"/>
      <c r="BA113" s="67"/>
      <c r="BB113" s="67"/>
      <c r="BC113" s="67" t="s">
        <v>1857</v>
      </c>
      <c r="BD113" s="67" t="s">
        <v>1831</v>
      </c>
      <c r="BE113" s="67"/>
      <c r="BF113" s="67"/>
      <c r="BG113" s="67"/>
      <c r="BH113" s="67"/>
      <c r="BI113" s="67"/>
      <c r="BJ113" s="67"/>
      <c r="BK113" s="67"/>
      <c r="BL113" s="67"/>
      <c r="BM113" s="67"/>
    </row>
    <row r="114" spans="1:65" x14ac:dyDescent="0.3">
      <c r="A114" s="67" t="s">
        <v>1858</v>
      </c>
      <c r="B114" s="67" t="s">
        <v>1859</v>
      </c>
      <c r="C114" s="67" t="s">
        <v>1828</v>
      </c>
      <c r="D114" s="67" t="s">
        <v>1829</v>
      </c>
      <c r="E114" s="67" t="s">
        <v>172</v>
      </c>
      <c r="F114" s="67" t="s">
        <v>173</v>
      </c>
      <c r="G114" s="67">
        <v>7</v>
      </c>
      <c r="H114" s="67" t="s">
        <v>1011</v>
      </c>
      <c r="I114" s="68">
        <v>45716</v>
      </c>
      <c r="J114" s="67">
        <v>6</v>
      </c>
      <c r="K114" s="67" t="s">
        <v>1860</v>
      </c>
      <c r="L114" s="67" t="s">
        <v>117</v>
      </c>
      <c r="M114" s="67" t="s">
        <v>118</v>
      </c>
      <c r="N114" s="67" t="s">
        <v>1831</v>
      </c>
      <c r="O114" s="67" t="s">
        <v>1363</v>
      </c>
      <c r="P114" s="69">
        <v>28555.79</v>
      </c>
      <c r="Q114" s="69"/>
      <c r="R114" s="69">
        <v>2473883.5099999998</v>
      </c>
      <c r="S114" s="69"/>
      <c r="T114" s="69">
        <v>2473883.5099999998</v>
      </c>
      <c r="U114" s="67">
        <v>5210101238</v>
      </c>
      <c r="V114" s="67" t="s">
        <v>1054</v>
      </c>
      <c r="W114" s="67" t="s">
        <v>1832</v>
      </c>
      <c r="X114" s="67" t="s">
        <v>123</v>
      </c>
      <c r="Y114" s="67" t="s">
        <v>124</v>
      </c>
      <c r="Z114" s="67" t="s">
        <v>1861</v>
      </c>
      <c r="AA114" s="67" t="s">
        <v>123</v>
      </c>
      <c r="AB114" s="67"/>
      <c r="AC114" s="67" t="e">
        <v>#REF!</v>
      </c>
      <c r="AD114" s="67"/>
      <c r="AE114" s="67" t="s">
        <v>562</v>
      </c>
      <c r="AF114" s="67">
        <v>0</v>
      </c>
      <c r="AG114" s="67" t="s">
        <v>126</v>
      </c>
      <c r="AH114" s="67" t="s">
        <v>127</v>
      </c>
      <c r="AI114" s="67" t="s">
        <v>128</v>
      </c>
      <c r="AJ114" s="67" t="s">
        <v>1862</v>
      </c>
      <c r="AK114" s="67" t="s">
        <v>1863</v>
      </c>
      <c r="AL114" s="67" t="s">
        <v>131</v>
      </c>
      <c r="AM114" s="67" t="s">
        <v>132</v>
      </c>
      <c r="AN114" s="67"/>
      <c r="AO114" s="67"/>
      <c r="AP114" s="67"/>
      <c r="AQ114" s="70"/>
      <c r="AR114" s="67"/>
      <c r="AS114" s="67"/>
      <c r="AT114" s="67" t="s">
        <v>1831</v>
      </c>
      <c r="AU114" s="67"/>
      <c r="AV114" s="67"/>
      <c r="AW114" s="67"/>
      <c r="AX114" s="67"/>
      <c r="AY114" s="67"/>
      <c r="AZ114" s="67"/>
      <c r="BA114" s="67"/>
      <c r="BB114" s="67"/>
      <c r="BC114" s="67" t="s">
        <v>1864</v>
      </c>
      <c r="BD114" s="67" t="s">
        <v>1831</v>
      </c>
      <c r="BE114" s="67"/>
      <c r="BF114" s="67"/>
      <c r="BG114" s="67"/>
      <c r="BH114" s="67"/>
      <c r="BI114" s="67"/>
      <c r="BJ114" s="67"/>
      <c r="BK114" s="67"/>
      <c r="BL114" s="67"/>
      <c r="BM114" s="67"/>
    </row>
    <row r="115" spans="1:65" x14ac:dyDescent="0.3">
      <c r="A115" s="67" t="s">
        <v>1865</v>
      </c>
      <c r="B115" s="67" t="s">
        <v>1866</v>
      </c>
      <c r="C115" s="67" t="s">
        <v>1828</v>
      </c>
      <c r="D115" s="67" t="s">
        <v>1829</v>
      </c>
      <c r="E115" s="67" t="s">
        <v>172</v>
      </c>
      <c r="F115" s="67" t="s">
        <v>173</v>
      </c>
      <c r="G115" s="67">
        <v>7</v>
      </c>
      <c r="H115" s="67" t="s">
        <v>1011</v>
      </c>
      <c r="I115" s="68">
        <v>45716</v>
      </c>
      <c r="J115" s="67">
        <v>1</v>
      </c>
      <c r="K115" s="67" t="s">
        <v>1867</v>
      </c>
      <c r="L115" s="67" t="s">
        <v>117</v>
      </c>
      <c r="M115" s="67" t="s">
        <v>118</v>
      </c>
      <c r="N115" s="67" t="s">
        <v>1868</v>
      </c>
      <c r="O115" s="67" t="s">
        <v>1363</v>
      </c>
      <c r="P115" s="69"/>
      <c r="Q115" s="69">
        <v>295076.55</v>
      </c>
      <c r="R115" s="69"/>
      <c r="S115" s="69">
        <v>25563467.59</v>
      </c>
      <c r="T115" s="69">
        <v>-25563467.59</v>
      </c>
      <c r="U115" s="67">
        <v>5210101238</v>
      </c>
      <c r="V115" s="67" t="s">
        <v>1054</v>
      </c>
      <c r="W115" s="67" t="s">
        <v>1868</v>
      </c>
      <c r="X115" s="67" t="s">
        <v>123</v>
      </c>
      <c r="Y115" s="67" t="s">
        <v>124</v>
      </c>
      <c r="Z115" s="67" t="s">
        <v>1869</v>
      </c>
      <c r="AA115" s="67" t="s">
        <v>123</v>
      </c>
      <c r="AB115" s="67"/>
      <c r="AC115" s="67" t="e">
        <v>#REF!</v>
      </c>
      <c r="AD115" s="67"/>
      <c r="AE115" s="67" t="s">
        <v>562</v>
      </c>
      <c r="AF115" s="67">
        <v>0</v>
      </c>
      <c r="AG115" s="67" t="s">
        <v>126</v>
      </c>
      <c r="AH115" s="67" t="s">
        <v>127</v>
      </c>
      <c r="AI115" s="67" t="s">
        <v>128</v>
      </c>
      <c r="AJ115" s="67" t="s">
        <v>1870</v>
      </c>
      <c r="AK115" s="67" t="s">
        <v>1871</v>
      </c>
      <c r="AL115" s="67" t="s">
        <v>131</v>
      </c>
      <c r="AM115" s="67" t="s">
        <v>132</v>
      </c>
      <c r="AN115" s="67"/>
      <c r="AO115" s="67"/>
      <c r="AP115" s="67"/>
      <c r="AQ115" s="70"/>
      <c r="AR115" s="67"/>
      <c r="AS115" s="67"/>
      <c r="AT115" s="67" t="s">
        <v>1868</v>
      </c>
      <c r="AU115" s="67"/>
      <c r="AV115" s="67"/>
      <c r="AW115" s="67"/>
      <c r="AX115" s="67"/>
      <c r="AY115" s="67"/>
      <c r="AZ115" s="67"/>
      <c r="BA115" s="67"/>
      <c r="BB115" s="67"/>
      <c r="BC115" s="67" t="s">
        <v>1872</v>
      </c>
      <c r="BD115" s="67">
        <v>25</v>
      </c>
      <c r="BE115" s="67"/>
      <c r="BF115" s="67"/>
      <c r="BG115" s="67"/>
      <c r="BH115" s="67"/>
      <c r="BI115" s="67"/>
      <c r="BJ115" s="67"/>
      <c r="BK115" s="67"/>
      <c r="BL115" s="67"/>
      <c r="BM115" s="67"/>
    </row>
    <row r="116" spans="1:65" x14ac:dyDescent="0.3">
      <c r="A116" s="67" t="s">
        <v>1873</v>
      </c>
      <c r="B116" s="67" t="s">
        <v>1874</v>
      </c>
      <c r="C116" s="67" t="s">
        <v>1875</v>
      </c>
      <c r="D116" s="67" t="s">
        <v>1876</v>
      </c>
      <c r="E116" s="67" t="s">
        <v>172</v>
      </c>
      <c r="F116" s="67" t="s">
        <v>173</v>
      </c>
      <c r="G116" s="67">
        <v>7</v>
      </c>
      <c r="H116" s="67" t="s">
        <v>1011</v>
      </c>
      <c r="I116" s="68">
        <v>45715</v>
      </c>
      <c r="J116" s="67">
        <v>13</v>
      </c>
      <c r="K116" s="67" t="s">
        <v>145</v>
      </c>
      <c r="L116" s="67" t="s">
        <v>117</v>
      </c>
      <c r="M116" s="67" t="s">
        <v>118</v>
      </c>
      <c r="N116" s="67" t="s">
        <v>677</v>
      </c>
      <c r="O116" s="67" t="s">
        <v>119</v>
      </c>
      <c r="P116" s="69">
        <v>4701</v>
      </c>
      <c r="Q116" s="69"/>
      <c r="R116" s="69">
        <v>4701</v>
      </c>
      <c r="S116" s="69"/>
      <c r="T116" s="69">
        <v>4701</v>
      </c>
      <c r="U116" s="67">
        <v>5210101581</v>
      </c>
      <c r="V116" s="67" t="s">
        <v>120</v>
      </c>
      <c r="W116" s="67" t="s">
        <v>29</v>
      </c>
      <c r="X116" s="67" t="s">
        <v>123</v>
      </c>
      <c r="Y116" s="67" t="s">
        <v>124</v>
      </c>
      <c r="Z116" s="67" t="s">
        <v>1877</v>
      </c>
      <c r="AA116" s="67" t="s">
        <v>123</v>
      </c>
      <c r="AB116" s="67"/>
      <c r="AC116" s="67" t="e">
        <v>#REF!</v>
      </c>
      <c r="AD116" s="67"/>
      <c r="AE116" s="67" t="s">
        <v>147</v>
      </c>
      <c r="AF116" s="67">
        <v>0</v>
      </c>
      <c r="AG116" s="67" t="s">
        <v>126</v>
      </c>
      <c r="AH116" s="67" t="s">
        <v>148</v>
      </c>
      <c r="AI116" s="67" t="s">
        <v>149</v>
      </c>
      <c r="AJ116" s="67" t="s">
        <v>150</v>
      </c>
      <c r="AK116" s="67" t="s">
        <v>151</v>
      </c>
      <c r="AL116" s="67" t="s">
        <v>131</v>
      </c>
      <c r="AM116" s="67" t="s">
        <v>132</v>
      </c>
      <c r="AN116" s="67"/>
      <c r="AO116" s="67"/>
      <c r="AP116" s="67"/>
      <c r="AQ116" s="70"/>
      <c r="AR116" s="67"/>
      <c r="AS116" s="67"/>
      <c r="AT116" s="67" t="s">
        <v>439</v>
      </c>
      <c r="AU116" s="67"/>
      <c r="AV116" s="67"/>
      <c r="AW116" s="67"/>
      <c r="AX116" s="67"/>
      <c r="AY116" s="67" t="s">
        <v>1209</v>
      </c>
      <c r="AZ116" s="67"/>
      <c r="BA116" s="67" t="s">
        <v>679</v>
      </c>
      <c r="BB116" s="67"/>
      <c r="BC116" s="67">
        <v>325811258590</v>
      </c>
      <c r="BD116" s="67" t="s">
        <v>677</v>
      </c>
      <c r="BE116" s="67"/>
      <c r="BF116" s="67"/>
      <c r="BG116" s="67"/>
      <c r="BH116" s="67"/>
      <c r="BI116" s="67"/>
      <c r="BJ116" s="67"/>
      <c r="BK116" s="67"/>
      <c r="BL116" s="67"/>
      <c r="BM116" s="67">
        <v>4100</v>
      </c>
    </row>
    <row r="117" spans="1:65" x14ac:dyDescent="0.3">
      <c r="A117" s="67" t="s">
        <v>1878</v>
      </c>
      <c r="B117" s="67" t="s">
        <v>1879</v>
      </c>
      <c r="C117" s="67" t="s">
        <v>1880</v>
      </c>
      <c r="D117" s="67" t="s">
        <v>1881</v>
      </c>
      <c r="E117" s="67" t="s">
        <v>172</v>
      </c>
      <c r="F117" s="67" t="s">
        <v>190</v>
      </c>
      <c r="G117" s="67">
        <v>7</v>
      </c>
      <c r="H117" s="67" t="s">
        <v>1011</v>
      </c>
      <c r="I117" s="68">
        <v>45719</v>
      </c>
      <c r="J117" s="67">
        <v>22</v>
      </c>
      <c r="K117" s="67" t="s">
        <v>116</v>
      </c>
      <c r="L117" s="67" t="s">
        <v>117</v>
      </c>
      <c r="M117" s="67" t="s">
        <v>118</v>
      </c>
      <c r="N117" s="67" t="s">
        <v>1882</v>
      </c>
      <c r="O117" s="67" t="s">
        <v>119</v>
      </c>
      <c r="P117" s="69"/>
      <c r="Q117" s="69">
        <v>3715626.62</v>
      </c>
      <c r="R117" s="69"/>
      <c r="S117" s="69">
        <v>3715626.62</v>
      </c>
      <c r="T117" s="69">
        <v>-3715626.62</v>
      </c>
      <c r="U117" s="67">
        <v>5210101232</v>
      </c>
      <c r="V117" s="67" t="s">
        <v>1054</v>
      </c>
      <c r="W117" s="67" t="s">
        <v>996</v>
      </c>
      <c r="X117" s="67" t="s">
        <v>123</v>
      </c>
      <c r="Y117" s="67" t="s">
        <v>124</v>
      </c>
      <c r="Z117" s="67" t="s">
        <v>1883</v>
      </c>
      <c r="AA117" s="67" t="s">
        <v>123</v>
      </c>
      <c r="AB117" s="67"/>
      <c r="AC117" s="67" t="e">
        <v>#REF!</v>
      </c>
      <c r="AD117" s="67"/>
      <c r="AE117" s="67" t="s">
        <v>125</v>
      </c>
      <c r="AF117" s="67">
        <v>0</v>
      </c>
      <c r="AG117" s="67" t="s">
        <v>126</v>
      </c>
      <c r="AH117" s="67" t="s">
        <v>127</v>
      </c>
      <c r="AI117" s="67" t="s">
        <v>128</v>
      </c>
      <c r="AJ117" s="67" t="s">
        <v>129</v>
      </c>
      <c r="AK117" s="67" t="s">
        <v>130</v>
      </c>
      <c r="AL117" s="67" t="s">
        <v>131</v>
      </c>
      <c r="AM117" s="67" t="s">
        <v>132</v>
      </c>
      <c r="AN117" s="67"/>
      <c r="AO117" s="67"/>
      <c r="AP117" s="67"/>
      <c r="AQ117" s="70" t="s">
        <v>1112</v>
      </c>
      <c r="AR117" s="67"/>
      <c r="AS117" s="67"/>
      <c r="AT117" s="67" t="s">
        <v>1884</v>
      </c>
      <c r="AU117" s="67"/>
      <c r="AV117" s="67"/>
      <c r="AW117" s="67"/>
      <c r="AX117" s="67"/>
      <c r="AY117" s="67">
        <v>117689</v>
      </c>
      <c r="AZ117" s="67" t="s">
        <v>135</v>
      </c>
      <c r="BA117" s="67">
        <v>5509</v>
      </c>
      <c r="BB117" s="67" t="s">
        <v>136</v>
      </c>
      <c r="BC117" s="67">
        <v>100060705</v>
      </c>
      <c r="BD117" s="67" t="s">
        <v>1885</v>
      </c>
      <c r="BE117" s="67"/>
      <c r="BF117" s="67"/>
      <c r="BG117" s="67"/>
      <c r="BH117" s="67"/>
      <c r="BI117" s="67"/>
      <c r="BJ117" s="67"/>
      <c r="BK117" s="67"/>
      <c r="BL117" s="67"/>
      <c r="BM117" s="67"/>
    </row>
    <row r="118" spans="1:65" x14ac:dyDescent="0.3">
      <c r="A118" s="67" t="s">
        <v>1886</v>
      </c>
      <c r="B118" s="67" t="s">
        <v>1887</v>
      </c>
      <c r="C118" s="67" t="s">
        <v>1880</v>
      </c>
      <c r="D118" s="67" t="s">
        <v>1881</v>
      </c>
      <c r="E118" s="67" t="s">
        <v>172</v>
      </c>
      <c r="F118" s="67" t="s">
        <v>190</v>
      </c>
      <c r="G118" s="67">
        <v>7</v>
      </c>
      <c r="H118" s="67" t="s">
        <v>1011</v>
      </c>
      <c r="I118" s="68">
        <v>45719</v>
      </c>
      <c r="J118" s="67">
        <v>23</v>
      </c>
      <c r="K118" s="67" t="s">
        <v>561</v>
      </c>
      <c r="L118" s="67" t="s">
        <v>117</v>
      </c>
      <c r="M118" s="67" t="s">
        <v>118</v>
      </c>
      <c r="N118" s="67" t="s">
        <v>1888</v>
      </c>
      <c r="O118" s="67" t="s">
        <v>119</v>
      </c>
      <c r="P118" s="69"/>
      <c r="Q118" s="69">
        <v>77523.259999999995</v>
      </c>
      <c r="R118" s="69"/>
      <c r="S118" s="69">
        <v>77523.259999999995</v>
      </c>
      <c r="T118" s="69">
        <v>-77523.259999999995</v>
      </c>
      <c r="U118" s="67">
        <v>5210101238</v>
      </c>
      <c r="V118" s="67" t="s">
        <v>120</v>
      </c>
      <c r="W118" s="67" t="s">
        <v>996</v>
      </c>
      <c r="X118" s="67" t="s">
        <v>123</v>
      </c>
      <c r="Y118" s="67" t="s">
        <v>124</v>
      </c>
      <c r="Z118" s="67" t="s">
        <v>1889</v>
      </c>
      <c r="AA118" s="67" t="s">
        <v>123</v>
      </c>
      <c r="AB118" s="67"/>
      <c r="AC118" s="67" t="e">
        <v>#REF!</v>
      </c>
      <c r="AD118" s="67"/>
      <c r="AE118" s="67" t="s">
        <v>562</v>
      </c>
      <c r="AF118" s="67">
        <v>0</v>
      </c>
      <c r="AG118" s="67" t="s">
        <v>126</v>
      </c>
      <c r="AH118" s="67" t="s">
        <v>127</v>
      </c>
      <c r="AI118" s="67" t="s">
        <v>128</v>
      </c>
      <c r="AJ118" s="67" t="s">
        <v>548</v>
      </c>
      <c r="AK118" s="67" t="s">
        <v>549</v>
      </c>
      <c r="AL118" s="67" t="s">
        <v>131</v>
      </c>
      <c r="AM118" s="67" t="s">
        <v>132</v>
      </c>
      <c r="AN118" s="67"/>
      <c r="AO118" s="67"/>
      <c r="AP118" s="67"/>
      <c r="AQ118" s="70" t="s">
        <v>1161</v>
      </c>
      <c r="AR118" s="67"/>
      <c r="AS118" s="67"/>
      <c r="AT118" s="67" t="s">
        <v>1884</v>
      </c>
      <c r="AU118" s="67"/>
      <c r="AV118" s="67"/>
      <c r="AW118" s="67"/>
      <c r="AX118" s="67"/>
      <c r="AY118" s="67">
        <v>119404</v>
      </c>
      <c r="AZ118" s="67" t="s">
        <v>554</v>
      </c>
      <c r="BA118" s="67">
        <v>5512</v>
      </c>
      <c r="BB118" s="67" t="s">
        <v>567</v>
      </c>
      <c r="BC118" s="67">
        <v>100060415</v>
      </c>
      <c r="BD118" s="67" t="s">
        <v>1890</v>
      </c>
      <c r="BE118" s="67"/>
      <c r="BF118" s="67"/>
      <c r="BG118" s="67"/>
      <c r="BH118" s="67"/>
      <c r="BI118" s="67"/>
      <c r="BJ118" s="67"/>
      <c r="BK118" s="67"/>
      <c r="BL118" s="67"/>
      <c r="BM118" s="67"/>
    </row>
    <row r="119" spans="1:65" x14ac:dyDescent="0.3">
      <c r="A119" s="67" t="s">
        <v>1891</v>
      </c>
      <c r="B119" s="67" t="s">
        <v>1892</v>
      </c>
      <c r="C119" s="67" t="s">
        <v>1893</v>
      </c>
      <c r="D119" s="67" t="s">
        <v>1894</v>
      </c>
      <c r="E119" s="67" t="s">
        <v>172</v>
      </c>
      <c r="F119" s="67" t="s">
        <v>190</v>
      </c>
      <c r="G119" s="67">
        <v>7</v>
      </c>
      <c r="H119" s="67" t="s">
        <v>1011</v>
      </c>
      <c r="I119" s="68">
        <v>45719</v>
      </c>
      <c r="J119" s="67">
        <v>168</v>
      </c>
      <c r="K119" s="67" t="s">
        <v>192</v>
      </c>
      <c r="L119" s="67" t="s">
        <v>117</v>
      </c>
      <c r="M119" s="67" t="s">
        <v>118</v>
      </c>
      <c r="N119" s="67" t="s">
        <v>1083</v>
      </c>
      <c r="O119" s="67" t="s">
        <v>119</v>
      </c>
      <c r="P119" s="69"/>
      <c r="Q119" s="69">
        <v>4665313</v>
      </c>
      <c r="R119" s="69"/>
      <c r="S119" s="69">
        <v>4665313</v>
      </c>
      <c r="T119" s="69">
        <v>-4665313</v>
      </c>
      <c r="U119" s="67">
        <v>5210101581</v>
      </c>
      <c r="V119" s="67" t="s">
        <v>1054</v>
      </c>
      <c r="W119" s="67" t="s">
        <v>29</v>
      </c>
      <c r="X119" s="67" t="s">
        <v>123</v>
      </c>
      <c r="Y119" s="67" t="s">
        <v>124</v>
      </c>
      <c r="Z119" s="67" t="s">
        <v>1895</v>
      </c>
      <c r="AA119" s="67" t="s">
        <v>123</v>
      </c>
      <c r="AB119" s="67"/>
      <c r="AC119" s="67" t="e">
        <v>#REF!</v>
      </c>
      <c r="AD119" s="67"/>
      <c r="AE119" s="67" t="s">
        <v>147</v>
      </c>
      <c r="AF119" s="67">
        <v>0</v>
      </c>
      <c r="AG119" s="67" t="s">
        <v>126</v>
      </c>
      <c r="AH119" s="67" t="s">
        <v>127</v>
      </c>
      <c r="AI119" s="67" t="s">
        <v>128</v>
      </c>
      <c r="AJ119" s="67" t="s">
        <v>150</v>
      </c>
      <c r="AK119" s="67" t="s">
        <v>151</v>
      </c>
      <c r="AL119" s="67" t="s">
        <v>131</v>
      </c>
      <c r="AM119" s="67" t="s">
        <v>132</v>
      </c>
      <c r="AN119" s="67"/>
      <c r="AO119" s="67"/>
      <c r="AP119" s="67"/>
      <c r="AQ119" s="70" t="s">
        <v>1896</v>
      </c>
      <c r="AR119" s="67"/>
      <c r="AS119" s="67"/>
      <c r="AT119" s="67" t="s">
        <v>1085</v>
      </c>
      <c r="AU119" s="67"/>
      <c r="AV119" s="67"/>
      <c r="AW119" s="67"/>
      <c r="AX119" s="67"/>
      <c r="AY119" s="67" t="s">
        <v>679</v>
      </c>
      <c r="AZ119" s="67" t="s">
        <v>157</v>
      </c>
      <c r="BA119" s="67">
        <v>4100</v>
      </c>
      <c r="BB119" s="67" t="s">
        <v>158</v>
      </c>
      <c r="BC119" s="67">
        <v>100060266</v>
      </c>
      <c r="BD119" s="67" t="s">
        <v>1083</v>
      </c>
      <c r="BE119" s="67"/>
      <c r="BF119" s="67"/>
      <c r="BG119" s="67"/>
      <c r="BH119" s="67"/>
      <c r="BI119" s="67"/>
      <c r="BJ119" s="67"/>
      <c r="BK119" s="67"/>
      <c r="BL119" s="67"/>
      <c r="BM119" s="67" t="s">
        <v>1897</v>
      </c>
    </row>
    <row r="120" spans="1:65" x14ac:dyDescent="0.3">
      <c r="A120" s="67" t="s">
        <v>1898</v>
      </c>
      <c r="B120" s="67" t="s">
        <v>1899</v>
      </c>
      <c r="C120" s="67" t="s">
        <v>1893</v>
      </c>
      <c r="D120" s="67" t="s">
        <v>1894</v>
      </c>
      <c r="E120" s="67" t="s">
        <v>172</v>
      </c>
      <c r="F120" s="67" t="s">
        <v>190</v>
      </c>
      <c r="G120" s="67">
        <v>7</v>
      </c>
      <c r="H120" s="67" t="s">
        <v>1011</v>
      </c>
      <c r="I120" s="68">
        <v>45719</v>
      </c>
      <c r="J120" s="67">
        <v>170</v>
      </c>
      <c r="K120" s="67" t="s">
        <v>192</v>
      </c>
      <c r="L120" s="67" t="s">
        <v>117</v>
      </c>
      <c r="M120" s="67" t="s">
        <v>118</v>
      </c>
      <c r="N120" s="67" t="s">
        <v>1083</v>
      </c>
      <c r="O120" s="67" t="s">
        <v>119</v>
      </c>
      <c r="P120" s="69">
        <v>4500000</v>
      </c>
      <c r="Q120" s="69"/>
      <c r="R120" s="69">
        <v>4500000</v>
      </c>
      <c r="S120" s="69"/>
      <c r="T120" s="69">
        <v>4500000</v>
      </c>
      <c r="U120" s="67">
        <v>5210101581</v>
      </c>
      <c r="V120" s="67" t="s">
        <v>1054</v>
      </c>
      <c r="W120" s="67" t="s">
        <v>29</v>
      </c>
      <c r="X120" s="67" t="s">
        <v>123</v>
      </c>
      <c r="Y120" s="67" t="s">
        <v>124</v>
      </c>
      <c r="Z120" s="67" t="s">
        <v>1900</v>
      </c>
      <c r="AA120" s="67" t="s">
        <v>123</v>
      </c>
      <c r="AB120" s="67"/>
      <c r="AC120" s="67" t="e">
        <v>#REF!</v>
      </c>
      <c r="AD120" s="67"/>
      <c r="AE120" s="67" t="s">
        <v>147</v>
      </c>
      <c r="AF120" s="67">
        <v>0</v>
      </c>
      <c r="AG120" s="67" t="s">
        <v>126</v>
      </c>
      <c r="AH120" s="67" t="s">
        <v>127</v>
      </c>
      <c r="AI120" s="67" t="s">
        <v>128</v>
      </c>
      <c r="AJ120" s="67" t="s">
        <v>150</v>
      </c>
      <c r="AK120" s="67" t="s">
        <v>151</v>
      </c>
      <c r="AL120" s="67" t="s">
        <v>131</v>
      </c>
      <c r="AM120" s="67" t="s">
        <v>132</v>
      </c>
      <c r="AN120" s="67"/>
      <c r="AO120" s="67"/>
      <c r="AP120" s="67"/>
      <c r="AQ120" s="70" t="s">
        <v>1896</v>
      </c>
      <c r="AR120" s="67"/>
      <c r="AS120" s="67"/>
      <c r="AT120" s="67" t="s">
        <v>1085</v>
      </c>
      <c r="AU120" s="67"/>
      <c r="AV120" s="67"/>
      <c r="AW120" s="67"/>
      <c r="AX120" s="67"/>
      <c r="AY120" s="67" t="s">
        <v>679</v>
      </c>
      <c r="AZ120" s="67" t="s">
        <v>157</v>
      </c>
      <c r="BA120" s="67">
        <v>4100</v>
      </c>
      <c r="BB120" s="67" t="s">
        <v>158</v>
      </c>
      <c r="BC120" s="67">
        <v>100060266</v>
      </c>
      <c r="BD120" s="67" t="s">
        <v>1083</v>
      </c>
      <c r="BE120" s="67"/>
      <c r="BF120" s="67"/>
      <c r="BG120" s="67"/>
      <c r="BH120" s="67"/>
      <c r="BI120" s="67"/>
      <c r="BJ120" s="67"/>
      <c r="BK120" s="67"/>
      <c r="BL120" s="67"/>
      <c r="BM120" s="67" t="s">
        <v>1897</v>
      </c>
    </row>
    <row r="121" spans="1:65" x14ac:dyDescent="0.3">
      <c r="A121" s="67" t="s">
        <v>1901</v>
      </c>
      <c r="B121" s="67" t="s">
        <v>1902</v>
      </c>
      <c r="C121" s="67" t="s">
        <v>1893</v>
      </c>
      <c r="D121" s="67" t="s">
        <v>1894</v>
      </c>
      <c r="E121" s="67" t="s">
        <v>172</v>
      </c>
      <c r="F121" s="67" t="s">
        <v>190</v>
      </c>
      <c r="G121" s="67">
        <v>7</v>
      </c>
      <c r="H121" s="67" t="s">
        <v>1011</v>
      </c>
      <c r="I121" s="68">
        <v>45719</v>
      </c>
      <c r="J121" s="67">
        <v>169</v>
      </c>
      <c r="K121" s="67" t="s">
        <v>192</v>
      </c>
      <c r="L121" s="67" t="s">
        <v>117</v>
      </c>
      <c r="M121" s="67" t="s">
        <v>118</v>
      </c>
      <c r="N121" s="67" t="s">
        <v>1053</v>
      </c>
      <c r="O121" s="67" t="s">
        <v>119</v>
      </c>
      <c r="P121" s="69"/>
      <c r="Q121" s="69">
        <v>10401440</v>
      </c>
      <c r="R121" s="69"/>
      <c r="S121" s="69">
        <v>10401440</v>
      </c>
      <c r="T121" s="69">
        <v>-10401440</v>
      </c>
      <c r="U121" s="67">
        <v>5210101581</v>
      </c>
      <c r="V121" s="67" t="s">
        <v>1054</v>
      </c>
      <c r="W121" s="67" t="s">
        <v>154</v>
      </c>
      <c r="X121" s="67" t="s">
        <v>123</v>
      </c>
      <c r="Y121" s="67" t="s">
        <v>124</v>
      </c>
      <c r="Z121" s="67" t="s">
        <v>1903</v>
      </c>
      <c r="AA121" s="67" t="s">
        <v>123</v>
      </c>
      <c r="AB121" s="67"/>
      <c r="AC121" s="67" t="e">
        <v>#REF!</v>
      </c>
      <c r="AD121" s="67"/>
      <c r="AE121" s="67" t="s">
        <v>147</v>
      </c>
      <c r="AF121" s="67">
        <v>0</v>
      </c>
      <c r="AG121" s="67" t="s">
        <v>126</v>
      </c>
      <c r="AH121" s="67" t="s">
        <v>127</v>
      </c>
      <c r="AI121" s="67" t="s">
        <v>128</v>
      </c>
      <c r="AJ121" s="67" t="s">
        <v>150</v>
      </c>
      <c r="AK121" s="67" t="s">
        <v>151</v>
      </c>
      <c r="AL121" s="67" t="s">
        <v>131</v>
      </c>
      <c r="AM121" s="67" t="s">
        <v>132</v>
      </c>
      <c r="AN121" s="67"/>
      <c r="AO121" s="67"/>
      <c r="AP121" s="67"/>
      <c r="AQ121" s="70" t="s">
        <v>1063</v>
      </c>
      <c r="AR121" s="67"/>
      <c r="AS121" s="67"/>
      <c r="AT121" s="67" t="s">
        <v>1056</v>
      </c>
      <c r="AU121" s="67"/>
      <c r="AV121" s="67"/>
      <c r="AW121" s="67"/>
      <c r="AX121" s="67"/>
      <c r="AY121" s="67" t="s">
        <v>679</v>
      </c>
      <c r="AZ121" s="67" t="s">
        <v>157</v>
      </c>
      <c r="BA121" s="67">
        <v>4100</v>
      </c>
      <c r="BB121" s="67" t="s">
        <v>158</v>
      </c>
      <c r="BC121" s="67">
        <v>100061150</v>
      </c>
      <c r="BD121" s="67" t="s">
        <v>1057</v>
      </c>
      <c r="BE121" s="67"/>
      <c r="BF121" s="67"/>
      <c r="BG121" s="67"/>
      <c r="BH121" s="67"/>
      <c r="BI121" s="67"/>
      <c r="BJ121" s="67"/>
      <c r="BK121" s="67"/>
      <c r="BL121" s="67"/>
      <c r="BM121" s="67" t="s">
        <v>1897</v>
      </c>
    </row>
    <row r="122" spans="1:65" x14ac:dyDescent="0.3">
      <c r="A122" s="67" t="s">
        <v>1904</v>
      </c>
      <c r="B122" s="67" t="s">
        <v>1905</v>
      </c>
      <c r="C122" s="67" t="s">
        <v>1893</v>
      </c>
      <c r="D122" s="67" t="s">
        <v>1894</v>
      </c>
      <c r="E122" s="67" t="s">
        <v>172</v>
      </c>
      <c r="F122" s="67" t="s">
        <v>190</v>
      </c>
      <c r="G122" s="67">
        <v>7</v>
      </c>
      <c r="H122" s="67" t="s">
        <v>1011</v>
      </c>
      <c r="I122" s="68">
        <v>45719</v>
      </c>
      <c r="J122" s="67">
        <v>171</v>
      </c>
      <c r="K122" s="67" t="s">
        <v>192</v>
      </c>
      <c r="L122" s="67" t="s">
        <v>117</v>
      </c>
      <c r="M122" s="67" t="s">
        <v>118</v>
      </c>
      <c r="N122" s="67" t="s">
        <v>1053</v>
      </c>
      <c r="O122" s="67" t="s">
        <v>119</v>
      </c>
      <c r="P122" s="69">
        <v>10602240</v>
      </c>
      <c r="Q122" s="69"/>
      <c r="R122" s="69">
        <v>10602240</v>
      </c>
      <c r="S122" s="69"/>
      <c r="T122" s="69">
        <v>10602240</v>
      </c>
      <c r="U122" s="67">
        <v>5210101581</v>
      </c>
      <c r="V122" s="67" t="s">
        <v>1054</v>
      </c>
      <c r="W122" s="67" t="s">
        <v>154</v>
      </c>
      <c r="X122" s="67" t="s">
        <v>123</v>
      </c>
      <c r="Y122" s="67" t="s">
        <v>124</v>
      </c>
      <c r="Z122" s="67" t="s">
        <v>1906</v>
      </c>
      <c r="AA122" s="67" t="s">
        <v>123</v>
      </c>
      <c r="AB122" s="67"/>
      <c r="AC122" s="67" t="e">
        <v>#REF!</v>
      </c>
      <c r="AD122" s="67"/>
      <c r="AE122" s="67" t="s">
        <v>147</v>
      </c>
      <c r="AF122" s="67">
        <v>0</v>
      </c>
      <c r="AG122" s="67" t="s">
        <v>126</v>
      </c>
      <c r="AH122" s="67" t="s">
        <v>127</v>
      </c>
      <c r="AI122" s="67" t="s">
        <v>128</v>
      </c>
      <c r="AJ122" s="67" t="s">
        <v>150</v>
      </c>
      <c r="AK122" s="67" t="s">
        <v>151</v>
      </c>
      <c r="AL122" s="67" t="s">
        <v>131</v>
      </c>
      <c r="AM122" s="67" t="s">
        <v>132</v>
      </c>
      <c r="AN122" s="67"/>
      <c r="AO122" s="67"/>
      <c r="AP122" s="67"/>
      <c r="AQ122" s="70" t="s">
        <v>1063</v>
      </c>
      <c r="AR122" s="67"/>
      <c r="AS122" s="67"/>
      <c r="AT122" s="67" t="s">
        <v>1056</v>
      </c>
      <c r="AU122" s="67"/>
      <c r="AV122" s="67"/>
      <c r="AW122" s="67"/>
      <c r="AX122" s="67"/>
      <c r="AY122" s="67" t="s">
        <v>679</v>
      </c>
      <c r="AZ122" s="67" t="s">
        <v>157</v>
      </c>
      <c r="BA122" s="67">
        <v>4100</v>
      </c>
      <c r="BB122" s="67" t="s">
        <v>158</v>
      </c>
      <c r="BC122" s="67">
        <v>100061150</v>
      </c>
      <c r="BD122" s="67" t="s">
        <v>1057</v>
      </c>
      <c r="BE122" s="67"/>
      <c r="BF122" s="67"/>
      <c r="BG122" s="67"/>
      <c r="BH122" s="67"/>
      <c r="BI122" s="67"/>
      <c r="BJ122" s="67"/>
      <c r="BK122" s="67"/>
      <c r="BL122" s="67"/>
      <c r="BM122" s="67" t="s">
        <v>1897</v>
      </c>
    </row>
    <row r="123" spans="1:65" x14ac:dyDescent="0.3">
      <c r="A123" s="67" t="s">
        <v>1907</v>
      </c>
      <c r="B123" s="67" t="s">
        <v>1908</v>
      </c>
      <c r="C123" s="67" t="s">
        <v>1909</v>
      </c>
      <c r="D123" s="67" t="s">
        <v>1910</v>
      </c>
      <c r="E123" s="67" t="s">
        <v>172</v>
      </c>
      <c r="F123" s="67" t="s">
        <v>190</v>
      </c>
      <c r="G123" s="67">
        <v>7</v>
      </c>
      <c r="H123" s="67" t="s">
        <v>1011</v>
      </c>
      <c r="I123" s="68">
        <v>45719</v>
      </c>
      <c r="J123" s="67">
        <v>8</v>
      </c>
      <c r="K123" s="67" t="s">
        <v>145</v>
      </c>
      <c r="L123" s="67" t="s">
        <v>117</v>
      </c>
      <c r="M123" s="67" t="s">
        <v>118</v>
      </c>
      <c r="N123" s="67" t="s">
        <v>677</v>
      </c>
      <c r="O123" s="67" t="s">
        <v>119</v>
      </c>
      <c r="P123" s="69"/>
      <c r="Q123" s="69">
        <v>4332</v>
      </c>
      <c r="R123" s="69"/>
      <c r="S123" s="69">
        <v>4332</v>
      </c>
      <c r="T123" s="69">
        <v>-4332</v>
      </c>
      <c r="U123" s="67">
        <v>5210101581</v>
      </c>
      <c r="V123" s="67" t="s">
        <v>1054</v>
      </c>
      <c r="W123" s="67" t="s">
        <v>29</v>
      </c>
      <c r="X123" s="67" t="s">
        <v>123</v>
      </c>
      <c r="Y123" s="67" t="s">
        <v>124</v>
      </c>
      <c r="Z123" s="67" t="s">
        <v>1911</v>
      </c>
      <c r="AA123" s="67" t="s">
        <v>123</v>
      </c>
      <c r="AB123" s="67"/>
      <c r="AC123" s="67" t="e">
        <v>#REF!</v>
      </c>
      <c r="AD123" s="67"/>
      <c r="AE123" s="67" t="s">
        <v>147</v>
      </c>
      <c r="AF123" s="67">
        <v>0</v>
      </c>
      <c r="AG123" s="67" t="s">
        <v>126</v>
      </c>
      <c r="AH123" s="67" t="s">
        <v>148</v>
      </c>
      <c r="AI123" s="67" t="s">
        <v>149</v>
      </c>
      <c r="AJ123" s="67" t="s">
        <v>150</v>
      </c>
      <c r="AK123" s="67" t="s">
        <v>151</v>
      </c>
      <c r="AL123" s="67" t="s">
        <v>131</v>
      </c>
      <c r="AM123" s="67" t="s">
        <v>132</v>
      </c>
      <c r="AN123" s="67"/>
      <c r="AO123" s="67"/>
      <c r="AP123" s="67"/>
      <c r="AQ123" s="70" t="s">
        <v>1209</v>
      </c>
      <c r="AR123" s="67"/>
      <c r="AS123" s="67"/>
      <c r="AT123" s="67" t="s">
        <v>1085</v>
      </c>
      <c r="AU123" s="67"/>
      <c r="AV123" s="67"/>
      <c r="AW123" s="67"/>
      <c r="AX123" s="67"/>
      <c r="AY123" s="67">
        <v>325088368073</v>
      </c>
      <c r="AZ123" s="67"/>
      <c r="BA123" s="67" t="s">
        <v>679</v>
      </c>
      <c r="BB123" s="67"/>
      <c r="BC123" s="67" t="s">
        <v>1210</v>
      </c>
      <c r="BD123" s="67" t="s">
        <v>677</v>
      </c>
      <c r="BE123" s="67"/>
      <c r="BF123" s="67"/>
      <c r="BG123" s="67"/>
      <c r="BH123" s="67"/>
      <c r="BI123" s="67"/>
      <c r="BJ123" s="67"/>
      <c r="BK123" s="67"/>
      <c r="BL123" s="67"/>
      <c r="BM123" s="67">
        <v>4100</v>
      </c>
    </row>
    <row r="124" spans="1:65" x14ac:dyDescent="0.3">
      <c r="A124" s="67" t="s">
        <v>1912</v>
      </c>
      <c r="B124" s="67" t="s">
        <v>1913</v>
      </c>
      <c r="C124" s="67" t="s">
        <v>1914</v>
      </c>
      <c r="D124" s="67" t="s">
        <v>1915</v>
      </c>
      <c r="E124" s="67" t="s">
        <v>142</v>
      </c>
      <c r="F124" s="67" t="s">
        <v>143</v>
      </c>
      <c r="G124" s="67">
        <v>7</v>
      </c>
      <c r="H124" s="67" t="s">
        <v>1012</v>
      </c>
      <c r="I124" s="68">
        <v>45719</v>
      </c>
      <c r="J124" s="67">
        <v>228</v>
      </c>
      <c r="K124" s="67" t="s">
        <v>145</v>
      </c>
      <c r="L124" s="67" t="s">
        <v>117</v>
      </c>
      <c r="M124" s="67" t="s">
        <v>118</v>
      </c>
      <c r="N124" s="67" t="s">
        <v>1916</v>
      </c>
      <c r="O124" s="67" t="s">
        <v>119</v>
      </c>
      <c r="P124" s="69">
        <v>1489</v>
      </c>
      <c r="Q124" s="69"/>
      <c r="R124" s="69">
        <v>1489</v>
      </c>
      <c r="S124" s="69"/>
      <c r="T124" s="69">
        <v>1489</v>
      </c>
      <c r="U124" s="67">
        <v>5210101581</v>
      </c>
      <c r="V124" s="67" t="s">
        <v>120</v>
      </c>
      <c r="W124" s="67" t="s">
        <v>39</v>
      </c>
      <c r="X124" s="67" t="s">
        <v>123</v>
      </c>
      <c r="Y124" s="67" t="s">
        <v>124</v>
      </c>
      <c r="Z124" s="67" t="s">
        <v>1917</v>
      </c>
      <c r="AA124" s="67" t="s">
        <v>123</v>
      </c>
      <c r="AB124" s="67"/>
      <c r="AC124" s="67" t="e">
        <v>#REF!</v>
      </c>
      <c r="AD124" s="67"/>
      <c r="AE124" s="67" t="s">
        <v>147</v>
      </c>
      <c r="AF124" s="67">
        <v>0</v>
      </c>
      <c r="AG124" s="67" t="s">
        <v>126</v>
      </c>
      <c r="AH124" s="67" t="s">
        <v>148</v>
      </c>
      <c r="AI124" s="67" t="s">
        <v>149</v>
      </c>
      <c r="AJ124" s="67" t="s">
        <v>150</v>
      </c>
      <c r="AK124" s="67" t="s">
        <v>151</v>
      </c>
      <c r="AL124" s="67" t="s">
        <v>131</v>
      </c>
      <c r="AM124" s="67" t="s">
        <v>132</v>
      </c>
      <c r="AN124" s="67"/>
      <c r="AO124" s="67"/>
      <c r="AP124" s="67"/>
      <c r="AQ124" s="70" t="s">
        <v>1918</v>
      </c>
      <c r="AR124" s="68">
        <v>45718</v>
      </c>
      <c r="AS124" s="67" t="s">
        <v>1919</v>
      </c>
      <c r="AT124" s="67" t="s">
        <v>39</v>
      </c>
      <c r="AU124" s="67"/>
      <c r="AV124" s="67"/>
      <c r="AW124" s="67" t="s">
        <v>1920</v>
      </c>
      <c r="AX124" s="67" t="s">
        <v>1921</v>
      </c>
      <c r="AY124" s="67">
        <v>117399</v>
      </c>
      <c r="AZ124" s="67" t="s">
        <v>157</v>
      </c>
      <c r="BA124" s="67">
        <v>4100</v>
      </c>
      <c r="BB124" s="67" t="s">
        <v>158</v>
      </c>
      <c r="BC124" s="67">
        <v>100065604</v>
      </c>
      <c r="BD124" s="67"/>
      <c r="BE124" s="67"/>
      <c r="BF124" s="67"/>
      <c r="BG124" s="67"/>
      <c r="BH124" s="67"/>
      <c r="BI124" s="67"/>
      <c r="BJ124" s="67"/>
      <c r="BK124" s="67"/>
      <c r="BL124" s="67"/>
      <c r="BM124" s="67"/>
    </row>
    <row r="125" spans="1:65" x14ac:dyDescent="0.3">
      <c r="A125" s="67" t="s">
        <v>1922</v>
      </c>
      <c r="B125" s="67" t="s">
        <v>1923</v>
      </c>
      <c r="C125" s="67" t="s">
        <v>1924</v>
      </c>
      <c r="D125" s="67" t="s">
        <v>1925</v>
      </c>
      <c r="E125" s="67" t="s">
        <v>142</v>
      </c>
      <c r="F125" s="67" t="s">
        <v>143</v>
      </c>
      <c r="G125" s="67">
        <v>7</v>
      </c>
      <c r="H125" s="67" t="s">
        <v>1012</v>
      </c>
      <c r="I125" s="68">
        <v>45726</v>
      </c>
      <c r="J125" s="67">
        <v>467</v>
      </c>
      <c r="K125" s="67" t="s">
        <v>561</v>
      </c>
      <c r="L125" s="67" t="s">
        <v>117</v>
      </c>
      <c r="M125" s="67" t="s">
        <v>118</v>
      </c>
      <c r="N125" s="67" t="s">
        <v>1926</v>
      </c>
      <c r="O125" s="67" t="s">
        <v>119</v>
      </c>
      <c r="P125" s="69">
        <v>73864.320000000007</v>
      </c>
      <c r="Q125" s="69"/>
      <c r="R125" s="69">
        <v>73864.320000000007</v>
      </c>
      <c r="S125" s="69"/>
      <c r="T125" s="69">
        <v>73864.320000000007</v>
      </c>
      <c r="U125" s="67">
        <v>5210101238</v>
      </c>
      <c r="V125" s="67" t="s">
        <v>120</v>
      </c>
      <c r="W125" s="67" t="s">
        <v>996</v>
      </c>
      <c r="X125" s="67" t="s">
        <v>123</v>
      </c>
      <c r="Y125" s="67" t="s">
        <v>124</v>
      </c>
      <c r="Z125" s="67" t="s">
        <v>1927</v>
      </c>
      <c r="AA125" s="67" t="s">
        <v>123</v>
      </c>
      <c r="AB125" s="67"/>
      <c r="AC125" s="67" t="e">
        <v>#REF!</v>
      </c>
      <c r="AD125" s="67"/>
      <c r="AE125" s="67" t="s">
        <v>562</v>
      </c>
      <c r="AF125" s="67">
        <v>0</v>
      </c>
      <c r="AG125" s="67" t="s">
        <v>126</v>
      </c>
      <c r="AH125" s="67" t="s">
        <v>127</v>
      </c>
      <c r="AI125" s="67" t="s">
        <v>128</v>
      </c>
      <c r="AJ125" s="67" t="s">
        <v>548</v>
      </c>
      <c r="AK125" s="67" t="s">
        <v>549</v>
      </c>
      <c r="AL125" s="67" t="s">
        <v>131</v>
      </c>
      <c r="AM125" s="67" t="s">
        <v>132</v>
      </c>
      <c r="AN125" s="67"/>
      <c r="AO125" s="67"/>
      <c r="AP125" s="67"/>
      <c r="AQ125" s="70" t="s">
        <v>1928</v>
      </c>
      <c r="AR125" s="68">
        <v>45706</v>
      </c>
      <c r="AS125" s="67" t="s">
        <v>1929</v>
      </c>
      <c r="AT125" s="67" t="s">
        <v>24</v>
      </c>
      <c r="AU125" s="67"/>
      <c r="AV125" s="67"/>
      <c r="AW125" s="67" t="s">
        <v>1930</v>
      </c>
      <c r="AX125" s="67" t="s">
        <v>644</v>
      </c>
      <c r="AY125" s="67">
        <v>119404</v>
      </c>
      <c r="AZ125" s="67" t="s">
        <v>554</v>
      </c>
      <c r="BA125" s="67">
        <v>5512</v>
      </c>
      <c r="BB125" s="67" t="s">
        <v>567</v>
      </c>
      <c r="BC125" s="67">
        <v>100064823</v>
      </c>
      <c r="BD125" s="67"/>
      <c r="BE125" s="67"/>
      <c r="BF125" s="67"/>
      <c r="BG125" s="67"/>
      <c r="BH125" s="67"/>
      <c r="BI125" s="67"/>
      <c r="BJ125" s="67"/>
      <c r="BK125" s="67"/>
      <c r="BL125" s="67"/>
      <c r="BM125" s="67"/>
    </row>
    <row r="126" spans="1:65" x14ac:dyDescent="0.3">
      <c r="A126" s="67" t="s">
        <v>1931</v>
      </c>
      <c r="B126" s="67" t="s">
        <v>1932</v>
      </c>
      <c r="C126" s="67" t="s">
        <v>1933</v>
      </c>
      <c r="D126" s="67" t="s">
        <v>1934</v>
      </c>
      <c r="E126" s="67" t="s">
        <v>142</v>
      </c>
      <c r="F126" s="67" t="s">
        <v>143</v>
      </c>
      <c r="G126" s="67">
        <v>7</v>
      </c>
      <c r="H126" s="67" t="s">
        <v>1012</v>
      </c>
      <c r="I126" s="68">
        <v>45727</v>
      </c>
      <c r="J126" s="67">
        <v>16</v>
      </c>
      <c r="K126" s="67" t="s">
        <v>116</v>
      </c>
      <c r="L126" s="67" t="s">
        <v>117</v>
      </c>
      <c r="M126" s="67" t="s">
        <v>118</v>
      </c>
      <c r="N126" s="67" t="s">
        <v>1935</v>
      </c>
      <c r="O126" s="67" t="s">
        <v>119</v>
      </c>
      <c r="P126" s="69">
        <v>3810488.26</v>
      </c>
      <c r="Q126" s="69"/>
      <c r="R126" s="69">
        <v>3810488.26</v>
      </c>
      <c r="S126" s="69"/>
      <c r="T126" s="69">
        <v>3810488.26</v>
      </c>
      <c r="U126" s="67">
        <v>5210101232</v>
      </c>
      <c r="V126" s="67" t="s">
        <v>120</v>
      </c>
      <c r="W126" s="67" t="s">
        <v>996</v>
      </c>
      <c r="X126" s="67" t="s">
        <v>123</v>
      </c>
      <c r="Y126" s="67" t="s">
        <v>124</v>
      </c>
      <c r="Z126" s="67" t="s">
        <v>1936</v>
      </c>
      <c r="AA126" s="67" t="s">
        <v>123</v>
      </c>
      <c r="AB126" s="67"/>
      <c r="AC126" s="67" t="e">
        <v>#REF!</v>
      </c>
      <c r="AD126" s="67"/>
      <c r="AE126" s="67" t="s">
        <v>125</v>
      </c>
      <c r="AF126" s="67">
        <v>0</v>
      </c>
      <c r="AG126" s="67" t="s">
        <v>126</v>
      </c>
      <c r="AH126" s="67" t="s">
        <v>127</v>
      </c>
      <c r="AI126" s="67" t="s">
        <v>128</v>
      </c>
      <c r="AJ126" s="67" t="s">
        <v>129</v>
      </c>
      <c r="AK126" s="67" t="s">
        <v>130</v>
      </c>
      <c r="AL126" s="67" t="s">
        <v>131</v>
      </c>
      <c r="AM126" s="67" t="s">
        <v>132</v>
      </c>
      <c r="AN126" s="67"/>
      <c r="AO126" s="67"/>
      <c r="AP126" s="67"/>
      <c r="AQ126" s="70" t="s">
        <v>1937</v>
      </c>
      <c r="AR126" s="68">
        <v>45705</v>
      </c>
      <c r="AS126" s="67" t="s">
        <v>1938</v>
      </c>
      <c r="AT126" s="67" t="s">
        <v>24</v>
      </c>
      <c r="AU126" s="67"/>
      <c r="AV126" s="67"/>
      <c r="AW126" s="67" t="s">
        <v>1939</v>
      </c>
      <c r="AX126" s="67" t="s">
        <v>289</v>
      </c>
      <c r="AY126" s="67">
        <v>117689</v>
      </c>
      <c r="AZ126" s="67" t="s">
        <v>135</v>
      </c>
      <c r="BA126" s="67">
        <v>5509</v>
      </c>
      <c r="BB126" s="67" t="s">
        <v>136</v>
      </c>
      <c r="BC126" s="67">
        <v>100065125</v>
      </c>
      <c r="BD126" s="67"/>
      <c r="BE126" s="67"/>
      <c r="BF126" s="67"/>
      <c r="BG126" s="67"/>
      <c r="BH126" s="67"/>
      <c r="BI126" s="67"/>
      <c r="BJ126" s="67"/>
      <c r="BK126" s="67"/>
      <c r="BL126" s="67"/>
      <c r="BM126" s="67"/>
    </row>
    <row r="127" spans="1:65" x14ac:dyDescent="0.3">
      <c r="A127" s="67" t="s">
        <v>1940</v>
      </c>
      <c r="B127" s="67" t="s">
        <v>1941</v>
      </c>
      <c r="C127" s="67" t="s">
        <v>1933</v>
      </c>
      <c r="D127" s="67" t="s">
        <v>1934</v>
      </c>
      <c r="E127" s="67" t="s">
        <v>142</v>
      </c>
      <c r="F127" s="67" t="s">
        <v>143</v>
      </c>
      <c r="G127" s="67">
        <v>7</v>
      </c>
      <c r="H127" s="67" t="s">
        <v>1012</v>
      </c>
      <c r="I127" s="68">
        <v>45727</v>
      </c>
      <c r="J127" s="67">
        <v>17</v>
      </c>
      <c r="K127" s="67" t="s">
        <v>116</v>
      </c>
      <c r="L127" s="67" t="s">
        <v>117</v>
      </c>
      <c r="M127" s="67" t="s">
        <v>118</v>
      </c>
      <c r="N127" s="67" t="s">
        <v>1942</v>
      </c>
      <c r="O127" s="67" t="s">
        <v>119</v>
      </c>
      <c r="P127" s="69">
        <v>810888.58</v>
      </c>
      <c r="Q127" s="69"/>
      <c r="R127" s="69">
        <v>810888.58</v>
      </c>
      <c r="S127" s="69"/>
      <c r="T127" s="69">
        <v>810888.58</v>
      </c>
      <c r="U127" s="67">
        <v>5210101232</v>
      </c>
      <c r="V127" s="67" t="s">
        <v>120</v>
      </c>
      <c r="W127" s="67" t="s">
        <v>996</v>
      </c>
      <c r="X127" s="67" t="s">
        <v>123</v>
      </c>
      <c r="Y127" s="67" t="s">
        <v>124</v>
      </c>
      <c r="Z127" s="67" t="s">
        <v>1943</v>
      </c>
      <c r="AA127" s="67" t="s">
        <v>123</v>
      </c>
      <c r="AB127" s="67"/>
      <c r="AC127" s="67" t="e">
        <v>#REF!</v>
      </c>
      <c r="AD127" s="67"/>
      <c r="AE127" s="67" t="s">
        <v>125</v>
      </c>
      <c r="AF127" s="67">
        <v>0</v>
      </c>
      <c r="AG127" s="67" t="s">
        <v>126</v>
      </c>
      <c r="AH127" s="67" t="s">
        <v>127</v>
      </c>
      <c r="AI127" s="67" t="s">
        <v>128</v>
      </c>
      <c r="AJ127" s="67" t="s">
        <v>129</v>
      </c>
      <c r="AK127" s="67" t="s">
        <v>130</v>
      </c>
      <c r="AL127" s="67" t="s">
        <v>131</v>
      </c>
      <c r="AM127" s="67" t="s">
        <v>132</v>
      </c>
      <c r="AN127" s="67"/>
      <c r="AO127" s="67"/>
      <c r="AP127" s="67"/>
      <c r="AQ127" s="70" t="s">
        <v>1944</v>
      </c>
      <c r="AR127" s="68">
        <v>45705</v>
      </c>
      <c r="AS127" s="67" t="s">
        <v>1945</v>
      </c>
      <c r="AT127" s="67" t="s">
        <v>24</v>
      </c>
      <c r="AU127" s="67"/>
      <c r="AV127" s="67"/>
      <c r="AW127" s="67" t="s">
        <v>1946</v>
      </c>
      <c r="AX127" s="67" t="s">
        <v>289</v>
      </c>
      <c r="AY127" s="67">
        <v>117689</v>
      </c>
      <c r="AZ127" s="67" t="s">
        <v>135</v>
      </c>
      <c r="BA127" s="67">
        <v>5509</v>
      </c>
      <c r="BB127" s="67" t="s">
        <v>136</v>
      </c>
      <c r="BC127" s="67">
        <v>100065125</v>
      </c>
      <c r="BD127" s="67"/>
      <c r="BE127" s="67"/>
      <c r="BF127" s="67"/>
      <c r="BG127" s="67"/>
      <c r="BH127" s="67"/>
      <c r="BI127" s="67"/>
      <c r="BJ127" s="67"/>
      <c r="BK127" s="67"/>
      <c r="BL127" s="67"/>
      <c r="BM127" s="67"/>
    </row>
    <row r="128" spans="1:65" x14ac:dyDescent="0.3">
      <c r="A128" s="67" t="s">
        <v>1947</v>
      </c>
      <c r="B128" s="67" t="s">
        <v>1948</v>
      </c>
      <c r="C128" s="67" t="s">
        <v>1949</v>
      </c>
      <c r="D128" s="67" t="s">
        <v>1950</v>
      </c>
      <c r="E128" s="67" t="s">
        <v>142</v>
      </c>
      <c r="F128" s="67" t="s">
        <v>143</v>
      </c>
      <c r="G128" s="67">
        <v>7</v>
      </c>
      <c r="H128" s="67" t="s">
        <v>1012</v>
      </c>
      <c r="I128" s="68">
        <v>45730</v>
      </c>
      <c r="J128" s="67">
        <v>1</v>
      </c>
      <c r="K128" s="67" t="s">
        <v>1312</v>
      </c>
      <c r="L128" s="67" t="s">
        <v>117</v>
      </c>
      <c r="M128" s="67" t="s">
        <v>118</v>
      </c>
      <c r="N128" s="67" t="s">
        <v>1951</v>
      </c>
      <c r="O128" s="67" t="s">
        <v>119</v>
      </c>
      <c r="P128" s="69">
        <v>133000</v>
      </c>
      <c r="Q128" s="69"/>
      <c r="R128" s="69">
        <v>133000</v>
      </c>
      <c r="S128" s="69"/>
      <c r="T128" s="69">
        <v>133000</v>
      </c>
      <c r="U128" s="67">
        <v>5210101320</v>
      </c>
      <c r="V128" s="67" t="s">
        <v>120</v>
      </c>
      <c r="W128" s="67" t="s">
        <v>43</v>
      </c>
      <c r="X128" s="67" t="s">
        <v>123</v>
      </c>
      <c r="Y128" s="67" t="s">
        <v>124</v>
      </c>
      <c r="Z128" s="67" t="s">
        <v>1952</v>
      </c>
      <c r="AA128" s="67" t="s">
        <v>123</v>
      </c>
      <c r="AB128" s="67"/>
      <c r="AC128" s="67" t="e">
        <v>#REF!</v>
      </c>
      <c r="AD128" s="67"/>
      <c r="AE128" s="67" t="s">
        <v>545</v>
      </c>
      <c r="AF128" s="67">
        <v>0</v>
      </c>
      <c r="AG128" s="67" t="s">
        <v>126</v>
      </c>
      <c r="AH128" s="67" t="s">
        <v>546</v>
      </c>
      <c r="AI128" s="67" t="s">
        <v>547</v>
      </c>
      <c r="AJ128" s="67" t="s">
        <v>1315</v>
      </c>
      <c r="AK128" s="67" t="s">
        <v>1316</v>
      </c>
      <c r="AL128" s="67" t="s">
        <v>131</v>
      </c>
      <c r="AM128" s="67" t="s">
        <v>132</v>
      </c>
      <c r="AN128" s="67"/>
      <c r="AO128" s="67"/>
      <c r="AP128" s="67"/>
      <c r="AQ128" s="70">
        <v>5241000491</v>
      </c>
      <c r="AR128" s="68">
        <v>45708</v>
      </c>
      <c r="AS128" s="67" t="s">
        <v>1953</v>
      </c>
      <c r="AT128" s="67" t="s">
        <v>1614</v>
      </c>
      <c r="AU128" s="67"/>
      <c r="AV128" s="67"/>
      <c r="AW128" s="67" t="s">
        <v>1954</v>
      </c>
      <c r="AX128" s="67" t="s">
        <v>1955</v>
      </c>
      <c r="AY128" s="67">
        <v>119410</v>
      </c>
      <c r="AZ128" s="67" t="s">
        <v>1320</v>
      </c>
      <c r="BA128" s="67">
        <v>5503</v>
      </c>
      <c r="BB128" s="67" t="s">
        <v>555</v>
      </c>
      <c r="BC128" s="67">
        <v>100064547</v>
      </c>
      <c r="BD128" s="67"/>
      <c r="BE128" s="67"/>
      <c r="BF128" s="67"/>
      <c r="BG128" s="67"/>
      <c r="BH128" s="67"/>
      <c r="BI128" s="67"/>
      <c r="BJ128" s="67"/>
      <c r="BK128" s="67"/>
      <c r="BL128" s="67"/>
      <c r="BM128" s="67"/>
    </row>
    <row r="129" spans="1:65" x14ac:dyDescent="0.3">
      <c r="A129" s="67" t="s">
        <v>1956</v>
      </c>
      <c r="B129" s="67" t="s">
        <v>1957</v>
      </c>
      <c r="C129" s="67" t="s">
        <v>1949</v>
      </c>
      <c r="D129" s="67" t="s">
        <v>1950</v>
      </c>
      <c r="E129" s="67" t="s">
        <v>142</v>
      </c>
      <c r="F129" s="67" t="s">
        <v>143</v>
      </c>
      <c r="G129" s="67">
        <v>7</v>
      </c>
      <c r="H129" s="67" t="s">
        <v>1012</v>
      </c>
      <c r="I129" s="68">
        <v>45730</v>
      </c>
      <c r="J129" s="67">
        <v>2</v>
      </c>
      <c r="K129" s="67" t="s">
        <v>1312</v>
      </c>
      <c r="L129" s="67" t="s">
        <v>117</v>
      </c>
      <c r="M129" s="67" t="s">
        <v>118</v>
      </c>
      <c r="N129" s="67" t="s">
        <v>1958</v>
      </c>
      <c r="O129" s="67" t="s">
        <v>119</v>
      </c>
      <c r="P129" s="69">
        <v>133000</v>
      </c>
      <c r="Q129" s="69"/>
      <c r="R129" s="69">
        <v>133000</v>
      </c>
      <c r="S129" s="69"/>
      <c r="T129" s="69">
        <v>133000</v>
      </c>
      <c r="U129" s="67">
        <v>5210101320</v>
      </c>
      <c r="V129" s="67" t="s">
        <v>120</v>
      </c>
      <c r="W129" s="67" t="s">
        <v>43</v>
      </c>
      <c r="X129" s="67" t="s">
        <v>123</v>
      </c>
      <c r="Y129" s="67" t="s">
        <v>124</v>
      </c>
      <c r="Z129" s="67" t="s">
        <v>1959</v>
      </c>
      <c r="AA129" s="67" t="s">
        <v>123</v>
      </c>
      <c r="AB129" s="67"/>
      <c r="AC129" s="67" t="e">
        <v>#REF!</v>
      </c>
      <c r="AD129" s="67"/>
      <c r="AE129" s="67" t="s">
        <v>545</v>
      </c>
      <c r="AF129" s="67">
        <v>0</v>
      </c>
      <c r="AG129" s="67" t="s">
        <v>126</v>
      </c>
      <c r="AH129" s="67" t="s">
        <v>546</v>
      </c>
      <c r="AI129" s="67" t="s">
        <v>547</v>
      </c>
      <c r="AJ129" s="67" t="s">
        <v>1315</v>
      </c>
      <c r="AK129" s="67" t="s">
        <v>1316</v>
      </c>
      <c r="AL129" s="67" t="s">
        <v>131</v>
      </c>
      <c r="AM129" s="67" t="s">
        <v>132</v>
      </c>
      <c r="AN129" s="67"/>
      <c r="AO129" s="67"/>
      <c r="AP129" s="67"/>
      <c r="AQ129" s="70">
        <v>5241000447</v>
      </c>
      <c r="AR129" s="68">
        <v>45683</v>
      </c>
      <c r="AS129" s="67" t="s">
        <v>1960</v>
      </c>
      <c r="AT129" s="67" t="s">
        <v>1614</v>
      </c>
      <c r="AU129" s="67"/>
      <c r="AV129" s="67"/>
      <c r="AW129" s="67" t="s">
        <v>1961</v>
      </c>
      <c r="AX129" s="67" t="s">
        <v>1955</v>
      </c>
      <c r="AY129" s="67">
        <v>119410</v>
      </c>
      <c r="AZ129" s="67" t="s">
        <v>1320</v>
      </c>
      <c r="BA129" s="67">
        <v>5503</v>
      </c>
      <c r="BB129" s="67" t="s">
        <v>555</v>
      </c>
      <c r="BC129" s="67">
        <v>100064547</v>
      </c>
      <c r="BD129" s="67"/>
      <c r="BE129" s="67"/>
      <c r="BF129" s="67"/>
      <c r="BG129" s="67"/>
      <c r="BH129" s="67"/>
      <c r="BI129" s="67"/>
      <c r="BJ129" s="67"/>
      <c r="BK129" s="67"/>
      <c r="BL129" s="67"/>
      <c r="BM129" s="67"/>
    </row>
    <row r="130" spans="1:65" x14ac:dyDescent="0.3">
      <c r="A130" s="67" t="s">
        <v>1962</v>
      </c>
      <c r="B130" s="67" t="s">
        <v>1963</v>
      </c>
      <c r="C130" s="67" t="s">
        <v>1949</v>
      </c>
      <c r="D130" s="67" t="s">
        <v>1950</v>
      </c>
      <c r="E130" s="67" t="s">
        <v>142</v>
      </c>
      <c r="F130" s="67" t="s">
        <v>143</v>
      </c>
      <c r="G130" s="67">
        <v>7</v>
      </c>
      <c r="H130" s="67" t="s">
        <v>1012</v>
      </c>
      <c r="I130" s="68">
        <v>45730</v>
      </c>
      <c r="J130" s="67">
        <v>33</v>
      </c>
      <c r="K130" s="67" t="s">
        <v>145</v>
      </c>
      <c r="L130" s="67" t="s">
        <v>117</v>
      </c>
      <c r="M130" s="67" t="s">
        <v>118</v>
      </c>
      <c r="N130" s="67" t="s">
        <v>1964</v>
      </c>
      <c r="O130" s="67" t="s">
        <v>119</v>
      </c>
      <c r="P130" s="69">
        <v>4651968</v>
      </c>
      <c r="Q130" s="69"/>
      <c r="R130" s="69">
        <v>4651968</v>
      </c>
      <c r="S130" s="69"/>
      <c r="T130" s="69">
        <v>4651968</v>
      </c>
      <c r="U130" s="67">
        <v>5210101581</v>
      </c>
      <c r="V130" s="67" t="s">
        <v>120</v>
      </c>
      <c r="W130" s="67" t="s">
        <v>29</v>
      </c>
      <c r="X130" s="67" t="s">
        <v>123</v>
      </c>
      <c r="Y130" s="67" t="s">
        <v>124</v>
      </c>
      <c r="Z130" s="67" t="s">
        <v>1965</v>
      </c>
      <c r="AA130" s="67" t="s">
        <v>123</v>
      </c>
      <c r="AB130" s="67"/>
      <c r="AC130" s="67" t="e">
        <v>#REF!</v>
      </c>
      <c r="AD130" s="67"/>
      <c r="AE130" s="67" t="s">
        <v>147</v>
      </c>
      <c r="AF130" s="67">
        <v>0</v>
      </c>
      <c r="AG130" s="67" t="s">
        <v>126</v>
      </c>
      <c r="AH130" s="67" t="s">
        <v>148</v>
      </c>
      <c r="AI130" s="67" t="s">
        <v>149</v>
      </c>
      <c r="AJ130" s="67" t="s">
        <v>150</v>
      </c>
      <c r="AK130" s="67" t="s">
        <v>151</v>
      </c>
      <c r="AL130" s="67" t="s">
        <v>131</v>
      </c>
      <c r="AM130" s="67" t="s">
        <v>132</v>
      </c>
      <c r="AN130" s="67"/>
      <c r="AO130" s="67"/>
      <c r="AP130" s="67"/>
      <c r="AQ130" s="70">
        <v>325231351585</v>
      </c>
      <c r="AR130" s="68">
        <v>45717</v>
      </c>
      <c r="AS130" s="67" t="s">
        <v>1966</v>
      </c>
      <c r="AT130" s="67" t="s">
        <v>29</v>
      </c>
      <c r="AU130" s="67"/>
      <c r="AV130" s="67"/>
      <c r="AW130" s="67" t="s">
        <v>1967</v>
      </c>
      <c r="AX130" s="67" t="s">
        <v>313</v>
      </c>
      <c r="AY130" s="67">
        <v>117399</v>
      </c>
      <c r="AZ130" s="67" t="s">
        <v>157</v>
      </c>
      <c r="BA130" s="67">
        <v>4100</v>
      </c>
      <c r="BB130" s="67" t="s">
        <v>158</v>
      </c>
      <c r="BC130" s="67">
        <v>100064557</v>
      </c>
      <c r="BD130" s="67"/>
      <c r="BE130" s="67"/>
      <c r="BF130" s="67"/>
      <c r="BG130" s="67"/>
      <c r="BH130" s="67"/>
      <c r="BI130" s="67"/>
      <c r="BJ130" s="67"/>
      <c r="BK130" s="67"/>
      <c r="BL130" s="67"/>
      <c r="BM130" s="67"/>
    </row>
    <row r="131" spans="1:65" x14ac:dyDescent="0.3">
      <c r="A131" s="67" t="s">
        <v>1968</v>
      </c>
      <c r="B131" s="67" t="s">
        <v>1969</v>
      </c>
      <c r="C131" s="67" t="s">
        <v>1970</v>
      </c>
      <c r="D131" s="67" t="s">
        <v>1971</v>
      </c>
      <c r="E131" s="67" t="s">
        <v>142</v>
      </c>
      <c r="F131" s="67" t="s">
        <v>143</v>
      </c>
      <c r="G131" s="67">
        <v>7</v>
      </c>
      <c r="H131" s="67" t="s">
        <v>1012</v>
      </c>
      <c r="I131" s="68">
        <v>45735</v>
      </c>
      <c r="J131" s="67">
        <v>45</v>
      </c>
      <c r="K131" s="67" t="s">
        <v>145</v>
      </c>
      <c r="L131" s="67" t="s">
        <v>117</v>
      </c>
      <c r="M131" s="67" t="s">
        <v>118</v>
      </c>
      <c r="N131" s="67" t="s">
        <v>1972</v>
      </c>
      <c r="O131" s="67" t="s">
        <v>119</v>
      </c>
      <c r="P131" s="69">
        <v>9768000</v>
      </c>
      <c r="Q131" s="69"/>
      <c r="R131" s="69">
        <v>9768000</v>
      </c>
      <c r="S131" s="69"/>
      <c r="T131" s="69">
        <v>9768000</v>
      </c>
      <c r="U131" s="67">
        <v>5210101581</v>
      </c>
      <c r="V131" s="67" t="s">
        <v>120</v>
      </c>
      <c r="W131" s="67" t="s">
        <v>154</v>
      </c>
      <c r="X131" s="67" t="s">
        <v>123</v>
      </c>
      <c r="Y131" s="67" t="s">
        <v>124</v>
      </c>
      <c r="Z131" s="67" t="s">
        <v>1973</v>
      </c>
      <c r="AA131" s="67" t="s">
        <v>123</v>
      </c>
      <c r="AB131" s="67"/>
      <c r="AC131" s="67" t="e">
        <v>#REF!</v>
      </c>
      <c r="AD131" s="67"/>
      <c r="AE131" s="67" t="s">
        <v>147</v>
      </c>
      <c r="AF131" s="67">
        <v>0</v>
      </c>
      <c r="AG131" s="67" t="s">
        <v>126</v>
      </c>
      <c r="AH131" s="67" t="s">
        <v>148</v>
      </c>
      <c r="AI131" s="67" t="s">
        <v>149</v>
      </c>
      <c r="AJ131" s="67" t="s">
        <v>150</v>
      </c>
      <c r="AK131" s="67" t="s">
        <v>151</v>
      </c>
      <c r="AL131" s="67" t="s">
        <v>131</v>
      </c>
      <c r="AM131" s="67" t="s">
        <v>132</v>
      </c>
      <c r="AN131" s="67"/>
      <c r="AO131" s="67"/>
      <c r="AP131" s="67"/>
      <c r="AQ131" s="70" t="s">
        <v>1974</v>
      </c>
      <c r="AR131" s="68">
        <v>45719</v>
      </c>
      <c r="AS131" s="67" t="s">
        <v>1975</v>
      </c>
      <c r="AT131" s="67" t="s">
        <v>154</v>
      </c>
      <c r="AU131" s="67"/>
      <c r="AV131" s="67"/>
      <c r="AW131" s="67" t="s">
        <v>1976</v>
      </c>
      <c r="AX131" s="67" t="s">
        <v>1039</v>
      </c>
      <c r="AY131" s="67">
        <v>117399</v>
      </c>
      <c r="AZ131" s="67" t="s">
        <v>157</v>
      </c>
      <c r="BA131" s="67">
        <v>4100</v>
      </c>
      <c r="BB131" s="67" t="s">
        <v>158</v>
      </c>
      <c r="BC131" s="67">
        <v>100061150</v>
      </c>
      <c r="BD131" s="67"/>
      <c r="BE131" s="67"/>
      <c r="BF131" s="67"/>
      <c r="BG131" s="67"/>
      <c r="BH131" s="67"/>
      <c r="BI131" s="67"/>
      <c r="BJ131" s="67"/>
      <c r="BK131" s="67"/>
      <c r="BL131" s="67"/>
      <c r="BM131" s="67"/>
    </row>
    <row r="132" spans="1:65" x14ac:dyDescent="0.3">
      <c r="A132" s="67" t="s">
        <v>1977</v>
      </c>
      <c r="B132" s="67" t="s">
        <v>1978</v>
      </c>
      <c r="C132" s="67" t="s">
        <v>1979</v>
      </c>
      <c r="D132" s="67" t="s">
        <v>1980</v>
      </c>
      <c r="E132" s="67" t="s">
        <v>172</v>
      </c>
      <c r="F132" s="67" t="s">
        <v>173</v>
      </c>
      <c r="G132" s="67">
        <v>7</v>
      </c>
      <c r="H132" s="67" t="s">
        <v>1012</v>
      </c>
      <c r="I132" s="68">
        <v>45744</v>
      </c>
      <c r="J132" s="67">
        <v>2</v>
      </c>
      <c r="K132" s="67" t="s">
        <v>1830</v>
      </c>
      <c r="L132" s="67" t="s">
        <v>117</v>
      </c>
      <c r="M132" s="67" t="s">
        <v>118</v>
      </c>
      <c r="N132" s="67" t="s">
        <v>1832</v>
      </c>
      <c r="O132" s="67" t="s">
        <v>1363</v>
      </c>
      <c r="P132" s="69">
        <v>134553.06</v>
      </c>
      <c r="Q132" s="69"/>
      <c r="R132" s="69">
        <v>11755671.08</v>
      </c>
      <c r="S132" s="69"/>
      <c r="T132" s="69">
        <v>11755671.08</v>
      </c>
      <c r="U132" s="67">
        <v>5210101238</v>
      </c>
      <c r="V132" s="67" t="s">
        <v>1054</v>
      </c>
      <c r="W132" s="67" t="s">
        <v>1832</v>
      </c>
      <c r="X132" s="67" t="s">
        <v>123</v>
      </c>
      <c r="Y132" s="67" t="s">
        <v>124</v>
      </c>
      <c r="Z132" s="67" t="s">
        <v>1981</v>
      </c>
      <c r="AA132" s="67" t="s">
        <v>123</v>
      </c>
      <c r="AB132" s="67"/>
      <c r="AC132" s="67" t="e">
        <v>#REF!</v>
      </c>
      <c r="AD132" s="67"/>
      <c r="AE132" s="67" t="s">
        <v>562</v>
      </c>
      <c r="AF132" s="67">
        <v>0</v>
      </c>
      <c r="AG132" s="67" t="s">
        <v>126</v>
      </c>
      <c r="AH132" s="67">
        <v>0</v>
      </c>
      <c r="AI132" s="67" t="s">
        <v>1365</v>
      </c>
      <c r="AJ132" s="67" t="s">
        <v>1834</v>
      </c>
      <c r="AK132" s="67" t="s">
        <v>1835</v>
      </c>
      <c r="AL132" s="67" t="s">
        <v>131</v>
      </c>
      <c r="AM132" s="67" t="s">
        <v>132</v>
      </c>
      <c r="AN132" s="67"/>
      <c r="AO132" s="67"/>
      <c r="AP132" s="67"/>
      <c r="AQ132" s="70"/>
      <c r="AR132" s="67"/>
      <c r="AS132" s="67"/>
      <c r="AT132" s="67" t="s">
        <v>1832</v>
      </c>
      <c r="AU132" s="67"/>
      <c r="AV132" s="67"/>
      <c r="AW132" s="67"/>
      <c r="AX132" s="67"/>
      <c r="AY132" s="67"/>
      <c r="AZ132" s="67"/>
      <c r="BA132" s="67"/>
      <c r="BB132" s="67"/>
      <c r="BC132" s="67" t="s">
        <v>1836</v>
      </c>
      <c r="BD132" s="67" t="s">
        <v>1832</v>
      </c>
      <c r="BE132" s="67"/>
      <c r="BF132" s="67"/>
      <c r="BG132" s="67"/>
      <c r="BH132" s="67"/>
      <c r="BI132" s="67"/>
      <c r="BJ132" s="67"/>
      <c r="BK132" s="67"/>
      <c r="BL132" s="67"/>
      <c r="BM132" s="67"/>
    </row>
    <row r="133" spans="1:65" x14ac:dyDescent="0.3">
      <c r="A133" s="67" t="s">
        <v>1982</v>
      </c>
      <c r="B133" s="67" t="s">
        <v>1983</v>
      </c>
      <c r="C133" s="67" t="s">
        <v>1979</v>
      </c>
      <c r="D133" s="67" t="s">
        <v>1980</v>
      </c>
      <c r="E133" s="67" t="s">
        <v>172</v>
      </c>
      <c r="F133" s="67" t="s">
        <v>173</v>
      </c>
      <c r="G133" s="67">
        <v>7</v>
      </c>
      <c r="H133" s="67" t="s">
        <v>1012</v>
      </c>
      <c r="I133" s="68">
        <v>45744</v>
      </c>
      <c r="J133" s="67">
        <v>3</v>
      </c>
      <c r="K133" s="67" t="s">
        <v>1839</v>
      </c>
      <c r="L133" s="67" t="s">
        <v>117</v>
      </c>
      <c r="M133" s="67" t="s">
        <v>118</v>
      </c>
      <c r="N133" s="67" t="s">
        <v>1832</v>
      </c>
      <c r="O133" s="67" t="s">
        <v>1363</v>
      </c>
      <c r="P133" s="69">
        <v>72451.649999999994</v>
      </c>
      <c r="Q133" s="69"/>
      <c r="R133" s="69">
        <v>6329976.9299999997</v>
      </c>
      <c r="S133" s="69"/>
      <c r="T133" s="69">
        <v>6329976.9299999997</v>
      </c>
      <c r="U133" s="67">
        <v>5210101238</v>
      </c>
      <c r="V133" s="67" t="s">
        <v>1054</v>
      </c>
      <c r="W133" s="67" t="s">
        <v>1832</v>
      </c>
      <c r="X133" s="67" t="s">
        <v>123</v>
      </c>
      <c r="Y133" s="67" t="s">
        <v>124</v>
      </c>
      <c r="Z133" s="67" t="s">
        <v>1984</v>
      </c>
      <c r="AA133" s="67" t="s">
        <v>123</v>
      </c>
      <c r="AB133" s="67"/>
      <c r="AC133" s="67" t="e">
        <v>#REF!</v>
      </c>
      <c r="AD133" s="67"/>
      <c r="AE133" s="67" t="s">
        <v>562</v>
      </c>
      <c r="AF133" s="67">
        <v>0</v>
      </c>
      <c r="AG133" s="67" t="s">
        <v>126</v>
      </c>
      <c r="AH133" s="67" t="s">
        <v>127</v>
      </c>
      <c r="AI133" s="67" t="s">
        <v>128</v>
      </c>
      <c r="AJ133" s="67" t="s">
        <v>1841</v>
      </c>
      <c r="AK133" s="67" t="s">
        <v>1842</v>
      </c>
      <c r="AL133" s="67" t="s">
        <v>131</v>
      </c>
      <c r="AM133" s="67" t="s">
        <v>132</v>
      </c>
      <c r="AN133" s="67"/>
      <c r="AO133" s="67"/>
      <c r="AP133" s="67"/>
      <c r="AQ133" s="70"/>
      <c r="AR133" s="67"/>
      <c r="AS133" s="67"/>
      <c r="AT133" s="67" t="s">
        <v>1832</v>
      </c>
      <c r="AU133" s="67"/>
      <c r="AV133" s="67"/>
      <c r="AW133" s="67"/>
      <c r="AX133" s="67"/>
      <c r="AY133" s="67"/>
      <c r="AZ133" s="67"/>
      <c r="BA133" s="67"/>
      <c r="BB133" s="67"/>
      <c r="BC133" s="67" t="s">
        <v>1843</v>
      </c>
      <c r="BD133" s="67" t="s">
        <v>1832</v>
      </c>
      <c r="BE133" s="67"/>
      <c r="BF133" s="67"/>
      <c r="BG133" s="67"/>
      <c r="BH133" s="67"/>
      <c r="BI133" s="67"/>
      <c r="BJ133" s="67"/>
      <c r="BK133" s="67"/>
      <c r="BL133" s="67"/>
      <c r="BM133" s="67"/>
    </row>
    <row r="134" spans="1:65" x14ac:dyDescent="0.3">
      <c r="A134" s="67" t="s">
        <v>1985</v>
      </c>
      <c r="B134" s="67" t="s">
        <v>1986</v>
      </c>
      <c r="C134" s="67" t="s">
        <v>1979</v>
      </c>
      <c r="D134" s="67" t="s">
        <v>1980</v>
      </c>
      <c r="E134" s="67" t="s">
        <v>172</v>
      </c>
      <c r="F134" s="67" t="s">
        <v>173</v>
      </c>
      <c r="G134" s="67">
        <v>7</v>
      </c>
      <c r="H134" s="67" t="s">
        <v>1012</v>
      </c>
      <c r="I134" s="68">
        <v>45744</v>
      </c>
      <c r="J134" s="67">
        <v>4</v>
      </c>
      <c r="K134" s="67" t="s">
        <v>1846</v>
      </c>
      <c r="L134" s="67" t="s">
        <v>117</v>
      </c>
      <c r="M134" s="67" t="s">
        <v>118</v>
      </c>
      <c r="N134" s="67" t="s">
        <v>1832</v>
      </c>
      <c r="O134" s="67" t="s">
        <v>1363</v>
      </c>
      <c r="P134" s="69">
        <v>7762.68</v>
      </c>
      <c r="Q134" s="69"/>
      <c r="R134" s="69">
        <v>678212.1</v>
      </c>
      <c r="S134" s="69"/>
      <c r="T134" s="69">
        <v>678212.1</v>
      </c>
      <c r="U134" s="67">
        <v>5210101238</v>
      </c>
      <c r="V134" s="67" t="s">
        <v>1054</v>
      </c>
      <c r="W134" s="67" t="s">
        <v>1832</v>
      </c>
      <c r="X134" s="67" t="s">
        <v>123</v>
      </c>
      <c r="Y134" s="67" t="s">
        <v>124</v>
      </c>
      <c r="Z134" s="67" t="s">
        <v>1987</v>
      </c>
      <c r="AA134" s="67" t="s">
        <v>123</v>
      </c>
      <c r="AB134" s="67"/>
      <c r="AC134" s="67" t="e">
        <v>#REF!</v>
      </c>
      <c r="AD134" s="67"/>
      <c r="AE134" s="67" t="s">
        <v>562</v>
      </c>
      <c r="AF134" s="67">
        <v>0</v>
      </c>
      <c r="AG134" s="67" t="s">
        <v>126</v>
      </c>
      <c r="AH134" s="67" t="s">
        <v>127</v>
      </c>
      <c r="AI134" s="67" t="s">
        <v>128</v>
      </c>
      <c r="AJ134" s="67" t="s">
        <v>1848</v>
      </c>
      <c r="AK134" s="67" t="s">
        <v>1849</v>
      </c>
      <c r="AL134" s="67" t="s">
        <v>131</v>
      </c>
      <c r="AM134" s="67" t="s">
        <v>132</v>
      </c>
      <c r="AN134" s="67"/>
      <c r="AO134" s="67"/>
      <c r="AP134" s="67"/>
      <c r="AQ134" s="70"/>
      <c r="AR134" s="67"/>
      <c r="AS134" s="67"/>
      <c r="AT134" s="67" t="s">
        <v>1832</v>
      </c>
      <c r="AU134" s="67"/>
      <c r="AV134" s="67"/>
      <c r="AW134" s="67"/>
      <c r="AX134" s="67"/>
      <c r="AY134" s="67"/>
      <c r="AZ134" s="67"/>
      <c r="BA134" s="67"/>
      <c r="BB134" s="67"/>
      <c r="BC134" s="67" t="s">
        <v>1850</v>
      </c>
      <c r="BD134" s="67" t="s">
        <v>1832</v>
      </c>
      <c r="BE134" s="67"/>
      <c r="BF134" s="67"/>
      <c r="BG134" s="67"/>
      <c r="BH134" s="67"/>
      <c r="BI134" s="67"/>
      <c r="BJ134" s="67"/>
      <c r="BK134" s="67"/>
      <c r="BL134" s="67"/>
      <c r="BM134" s="67"/>
    </row>
    <row r="135" spans="1:65" x14ac:dyDescent="0.3">
      <c r="A135" s="67" t="s">
        <v>1988</v>
      </c>
      <c r="B135" s="67" t="s">
        <v>1989</v>
      </c>
      <c r="C135" s="67" t="s">
        <v>1979</v>
      </c>
      <c r="D135" s="67" t="s">
        <v>1980</v>
      </c>
      <c r="E135" s="67" t="s">
        <v>172</v>
      </c>
      <c r="F135" s="67" t="s">
        <v>173</v>
      </c>
      <c r="G135" s="67">
        <v>7</v>
      </c>
      <c r="H135" s="67" t="s">
        <v>1012</v>
      </c>
      <c r="I135" s="68">
        <v>45744</v>
      </c>
      <c r="J135" s="67">
        <v>5</v>
      </c>
      <c r="K135" s="67" t="s">
        <v>1853</v>
      </c>
      <c r="L135" s="67" t="s">
        <v>117</v>
      </c>
      <c r="M135" s="67" t="s">
        <v>118</v>
      </c>
      <c r="N135" s="67" t="s">
        <v>1832</v>
      </c>
      <c r="O135" s="67" t="s">
        <v>1363</v>
      </c>
      <c r="P135" s="69">
        <v>2587.5500000000002</v>
      </c>
      <c r="Q135" s="69"/>
      <c r="R135" s="69">
        <v>226069.82</v>
      </c>
      <c r="S135" s="69"/>
      <c r="T135" s="69">
        <v>226069.82</v>
      </c>
      <c r="U135" s="67">
        <v>5210101238</v>
      </c>
      <c r="V135" s="67" t="s">
        <v>1054</v>
      </c>
      <c r="W135" s="67" t="s">
        <v>1832</v>
      </c>
      <c r="X135" s="67" t="s">
        <v>123</v>
      </c>
      <c r="Y135" s="67" t="s">
        <v>124</v>
      </c>
      <c r="Z135" s="67" t="s">
        <v>1990</v>
      </c>
      <c r="AA135" s="67" t="s">
        <v>123</v>
      </c>
      <c r="AB135" s="67"/>
      <c r="AC135" s="67" t="e">
        <v>#REF!</v>
      </c>
      <c r="AD135" s="67"/>
      <c r="AE135" s="67" t="s">
        <v>562</v>
      </c>
      <c r="AF135" s="67">
        <v>0</v>
      </c>
      <c r="AG135" s="67" t="s">
        <v>126</v>
      </c>
      <c r="AH135" s="67" t="s">
        <v>127</v>
      </c>
      <c r="AI135" s="67" t="s">
        <v>128</v>
      </c>
      <c r="AJ135" s="67" t="s">
        <v>1855</v>
      </c>
      <c r="AK135" s="67" t="s">
        <v>1856</v>
      </c>
      <c r="AL135" s="67" t="s">
        <v>131</v>
      </c>
      <c r="AM135" s="67" t="s">
        <v>132</v>
      </c>
      <c r="AN135" s="67"/>
      <c r="AO135" s="67"/>
      <c r="AP135" s="67"/>
      <c r="AQ135" s="70"/>
      <c r="AR135" s="67"/>
      <c r="AS135" s="67"/>
      <c r="AT135" s="67" t="s">
        <v>1832</v>
      </c>
      <c r="AU135" s="67"/>
      <c r="AV135" s="67"/>
      <c r="AW135" s="67"/>
      <c r="AX135" s="67"/>
      <c r="AY135" s="67"/>
      <c r="AZ135" s="67"/>
      <c r="BA135" s="67"/>
      <c r="BB135" s="67"/>
      <c r="BC135" s="67" t="s">
        <v>1857</v>
      </c>
      <c r="BD135" s="67" t="s">
        <v>1832</v>
      </c>
      <c r="BE135" s="67"/>
      <c r="BF135" s="67"/>
      <c r="BG135" s="67"/>
      <c r="BH135" s="67"/>
      <c r="BI135" s="67"/>
      <c r="BJ135" s="67"/>
      <c r="BK135" s="67"/>
      <c r="BL135" s="67"/>
      <c r="BM135" s="67"/>
    </row>
    <row r="136" spans="1:65" x14ac:dyDescent="0.3">
      <c r="A136" s="67" t="s">
        <v>1991</v>
      </c>
      <c r="B136" s="67" t="s">
        <v>1992</v>
      </c>
      <c r="C136" s="67" t="s">
        <v>1979</v>
      </c>
      <c r="D136" s="67" t="s">
        <v>1980</v>
      </c>
      <c r="E136" s="67" t="s">
        <v>172</v>
      </c>
      <c r="F136" s="67" t="s">
        <v>173</v>
      </c>
      <c r="G136" s="67">
        <v>7</v>
      </c>
      <c r="H136" s="67" t="s">
        <v>1012</v>
      </c>
      <c r="I136" s="68">
        <v>45744</v>
      </c>
      <c r="J136" s="67">
        <v>1</v>
      </c>
      <c r="K136" s="67" t="s">
        <v>1867</v>
      </c>
      <c r="L136" s="67" t="s">
        <v>117</v>
      </c>
      <c r="M136" s="67" t="s">
        <v>118</v>
      </c>
      <c r="N136" s="67" t="s">
        <v>1993</v>
      </c>
      <c r="O136" s="67" t="s">
        <v>1363</v>
      </c>
      <c r="P136" s="69"/>
      <c r="Q136" s="69">
        <v>217354.94</v>
      </c>
      <c r="R136" s="69"/>
      <c r="S136" s="69">
        <v>18989929.93</v>
      </c>
      <c r="T136" s="69">
        <v>-18989929.93</v>
      </c>
      <c r="U136" s="67">
        <v>5210101238</v>
      </c>
      <c r="V136" s="67" t="s">
        <v>1054</v>
      </c>
      <c r="W136" s="67" t="s">
        <v>1993</v>
      </c>
      <c r="X136" s="67" t="s">
        <v>123</v>
      </c>
      <c r="Y136" s="67" t="s">
        <v>124</v>
      </c>
      <c r="Z136" s="67" t="s">
        <v>1994</v>
      </c>
      <c r="AA136" s="67" t="s">
        <v>123</v>
      </c>
      <c r="AB136" s="67"/>
      <c r="AC136" s="67" t="e">
        <v>#REF!</v>
      </c>
      <c r="AD136" s="67"/>
      <c r="AE136" s="67" t="s">
        <v>562</v>
      </c>
      <c r="AF136" s="67">
        <v>0</v>
      </c>
      <c r="AG136" s="67" t="s">
        <v>126</v>
      </c>
      <c r="AH136" s="67" t="s">
        <v>127</v>
      </c>
      <c r="AI136" s="67" t="s">
        <v>128</v>
      </c>
      <c r="AJ136" s="67" t="s">
        <v>1870</v>
      </c>
      <c r="AK136" s="67" t="s">
        <v>1871</v>
      </c>
      <c r="AL136" s="67" t="s">
        <v>131</v>
      </c>
      <c r="AM136" s="67" t="s">
        <v>132</v>
      </c>
      <c r="AN136" s="67"/>
      <c r="AO136" s="67"/>
      <c r="AP136" s="67"/>
      <c r="AQ136" s="70"/>
      <c r="AR136" s="67"/>
      <c r="AS136" s="67"/>
      <c r="AT136" s="67" t="s">
        <v>1993</v>
      </c>
      <c r="AU136" s="67"/>
      <c r="AV136" s="67"/>
      <c r="AW136" s="67"/>
      <c r="AX136" s="67"/>
      <c r="AY136" s="67"/>
      <c r="AZ136" s="67"/>
      <c r="BA136" s="67"/>
      <c r="BB136" s="67"/>
      <c r="BC136" s="67" t="s">
        <v>1872</v>
      </c>
      <c r="BD136" s="67">
        <v>25</v>
      </c>
      <c r="BE136" s="67"/>
      <c r="BF136" s="67"/>
      <c r="BG136" s="67"/>
      <c r="BH136" s="67"/>
      <c r="BI136" s="67"/>
      <c r="BJ136" s="67"/>
      <c r="BK136" s="67"/>
      <c r="BL136" s="67"/>
      <c r="BM136" s="67"/>
    </row>
    <row r="137" spans="1:65" x14ac:dyDescent="0.3">
      <c r="A137" s="67" t="s">
        <v>1995</v>
      </c>
      <c r="B137" s="67" t="s">
        <v>1996</v>
      </c>
      <c r="C137" s="67" t="s">
        <v>1997</v>
      </c>
      <c r="D137" s="67" t="s">
        <v>1998</v>
      </c>
      <c r="E137" s="67" t="s">
        <v>172</v>
      </c>
      <c r="F137" s="67" t="s">
        <v>173</v>
      </c>
      <c r="G137" s="67">
        <v>7</v>
      </c>
      <c r="H137" s="67" t="s">
        <v>1012</v>
      </c>
      <c r="I137" s="68">
        <v>45740</v>
      </c>
      <c r="J137" s="67">
        <v>14</v>
      </c>
      <c r="K137" s="67" t="s">
        <v>145</v>
      </c>
      <c r="L137" s="67" t="s">
        <v>117</v>
      </c>
      <c r="M137" s="67" t="s">
        <v>118</v>
      </c>
      <c r="N137" s="67" t="s">
        <v>1999</v>
      </c>
      <c r="O137" s="67" t="s">
        <v>119</v>
      </c>
      <c r="P137" s="69">
        <v>4705</v>
      </c>
      <c r="Q137" s="69"/>
      <c r="R137" s="69">
        <v>4705</v>
      </c>
      <c r="S137" s="69"/>
      <c r="T137" s="69">
        <v>4705</v>
      </c>
      <c r="U137" s="67">
        <v>5210101581</v>
      </c>
      <c r="V137" s="67" t="s">
        <v>120</v>
      </c>
      <c r="W137" s="67" t="s">
        <v>29</v>
      </c>
      <c r="X137" s="67" t="s">
        <v>123</v>
      </c>
      <c r="Y137" s="67" t="s">
        <v>124</v>
      </c>
      <c r="Z137" s="67" t="s">
        <v>2000</v>
      </c>
      <c r="AA137" s="67" t="s">
        <v>123</v>
      </c>
      <c r="AB137" s="67"/>
      <c r="AC137" s="67" t="e">
        <v>#REF!</v>
      </c>
      <c r="AD137" s="67"/>
      <c r="AE137" s="67" t="s">
        <v>147</v>
      </c>
      <c r="AF137" s="67">
        <v>0</v>
      </c>
      <c r="AG137" s="67" t="s">
        <v>126</v>
      </c>
      <c r="AH137" s="67" t="s">
        <v>148</v>
      </c>
      <c r="AI137" s="67" t="s">
        <v>149</v>
      </c>
      <c r="AJ137" s="67" t="s">
        <v>150</v>
      </c>
      <c r="AK137" s="67" t="s">
        <v>151</v>
      </c>
      <c r="AL137" s="67" t="s">
        <v>131</v>
      </c>
      <c r="AM137" s="67" t="s">
        <v>132</v>
      </c>
      <c r="AN137" s="67"/>
      <c r="AO137" s="67"/>
      <c r="AP137" s="67"/>
      <c r="AQ137" s="70"/>
      <c r="AR137" s="67"/>
      <c r="AS137" s="67"/>
      <c r="AT137" s="67" t="s">
        <v>439</v>
      </c>
      <c r="AU137" s="67"/>
      <c r="AV137" s="67"/>
      <c r="AW137" s="67"/>
      <c r="AX137" s="67"/>
      <c r="AY137" s="67" t="s">
        <v>678</v>
      </c>
      <c r="AZ137" s="67"/>
      <c r="BA137" s="67" t="s">
        <v>679</v>
      </c>
      <c r="BB137" s="67"/>
      <c r="BC137" s="67">
        <v>325956413816</v>
      </c>
      <c r="BD137" s="67" t="s">
        <v>721</v>
      </c>
      <c r="BE137" s="67"/>
      <c r="BF137" s="67"/>
      <c r="BG137" s="67"/>
      <c r="BH137" s="67"/>
      <c r="BI137" s="67"/>
      <c r="BJ137" s="67"/>
      <c r="BK137" s="67"/>
      <c r="BL137" s="67"/>
      <c r="BM137" s="67">
        <v>4100</v>
      </c>
    </row>
    <row r="138" spans="1:65" x14ac:dyDescent="0.3">
      <c r="A138" s="67" t="s">
        <v>2001</v>
      </c>
      <c r="B138" s="67" t="s">
        <v>2002</v>
      </c>
      <c r="C138" s="67" t="s">
        <v>2003</v>
      </c>
      <c r="D138" s="67" t="s">
        <v>2004</v>
      </c>
      <c r="E138" s="67" t="s">
        <v>172</v>
      </c>
      <c r="F138" s="67" t="s">
        <v>190</v>
      </c>
      <c r="G138" s="67">
        <v>7</v>
      </c>
      <c r="H138" s="67" t="s">
        <v>1000</v>
      </c>
      <c r="I138" s="72">
        <v>45754</v>
      </c>
      <c r="J138" s="67">
        <v>6</v>
      </c>
      <c r="K138" s="67" t="s">
        <v>116</v>
      </c>
      <c r="L138" s="67" t="s">
        <v>117</v>
      </c>
      <c r="M138" s="67" t="s">
        <v>118</v>
      </c>
      <c r="N138" s="67" t="s">
        <v>289</v>
      </c>
      <c r="O138" s="67" t="s">
        <v>119</v>
      </c>
      <c r="P138" s="73">
        <v>6831393.2800000003</v>
      </c>
      <c r="Q138" s="73"/>
      <c r="R138" s="73">
        <v>6831393.2800000003</v>
      </c>
      <c r="S138" s="73"/>
      <c r="T138" s="73">
        <v>6831393.2800000003</v>
      </c>
      <c r="U138" s="67">
        <v>5210101232</v>
      </c>
      <c r="V138" s="67" t="s">
        <v>120</v>
      </c>
      <c r="W138" s="67" t="s">
        <v>996</v>
      </c>
      <c r="X138" s="67" t="s">
        <v>123</v>
      </c>
      <c r="Y138" s="67" t="s">
        <v>124</v>
      </c>
      <c r="Z138" s="67" t="s">
        <v>2005</v>
      </c>
      <c r="AA138" s="67" t="s">
        <v>123</v>
      </c>
      <c r="AB138" s="67"/>
      <c r="AC138" s="67" t="e">
        <v>#REF!</v>
      </c>
      <c r="AD138" s="67"/>
      <c r="AE138" s="67" t="s">
        <v>125</v>
      </c>
      <c r="AF138" s="67">
        <v>0</v>
      </c>
      <c r="AG138" s="67" t="s">
        <v>126</v>
      </c>
      <c r="AH138" s="67" t="s">
        <v>127</v>
      </c>
      <c r="AI138" s="67" t="s">
        <v>128</v>
      </c>
      <c r="AJ138" s="67" t="s">
        <v>129</v>
      </c>
      <c r="AK138" s="67" t="s">
        <v>130</v>
      </c>
      <c r="AL138" s="67" t="s">
        <v>131</v>
      </c>
      <c r="AM138" s="67" t="s">
        <v>132</v>
      </c>
      <c r="AN138" s="67"/>
      <c r="AO138" s="67"/>
      <c r="AP138" s="67"/>
      <c r="AQ138" s="70"/>
      <c r="AR138" s="67"/>
      <c r="AS138" s="67"/>
      <c r="AT138" s="67" t="s">
        <v>442</v>
      </c>
      <c r="AU138" s="67"/>
      <c r="AV138" s="67"/>
      <c r="AW138" s="67"/>
      <c r="AX138" s="67"/>
      <c r="AY138" s="67">
        <v>117689</v>
      </c>
      <c r="AZ138" s="67" t="s">
        <v>135</v>
      </c>
      <c r="BA138" s="67">
        <v>5509</v>
      </c>
      <c r="BB138" s="67" t="s">
        <v>136</v>
      </c>
      <c r="BC138" s="67">
        <v>100065125</v>
      </c>
      <c r="BD138" s="67" t="s">
        <v>289</v>
      </c>
      <c r="BE138" s="67"/>
      <c r="BF138" s="67"/>
      <c r="BG138" s="67"/>
      <c r="BH138" s="67"/>
      <c r="BI138" s="67"/>
      <c r="BJ138" s="67"/>
      <c r="BK138" s="67"/>
      <c r="BL138" s="67"/>
      <c r="BM138" s="67"/>
    </row>
    <row r="139" spans="1:65" x14ac:dyDescent="0.3">
      <c r="A139" s="67" t="s">
        <v>2006</v>
      </c>
      <c r="B139" s="67" t="s">
        <v>2007</v>
      </c>
      <c r="C139" s="67" t="s">
        <v>2003</v>
      </c>
      <c r="D139" s="67" t="s">
        <v>2004</v>
      </c>
      <c r="E139" s="67" t="s">
        <v>172</v>
      </c>
      <c r="F139" s="67" t="s">
        <v>190</v>
      </c>
      <c r="G139" s="67">
        <v>7</v>
      </c>
      <c r="H139" s="67" t="s">
        <v>1000</v>
      </c>
      <c r="I139" s="72">
        <v>45754</v>
      </c>
      <c r="J139" s="67">
        <v>221</v>
      </c>
      <c r="K139" s="67" t="s">
        <v>192</v>
      </c>
      <c r="L139" s="67" t="s">
        <v>117</v>
      </c>
      <c r="M139" s="67" t="s">
        <v>118</v>
      </c>
      <c r="N139" s="67" t="s">
        <v>915</v>
      </c>
      <c r="O139" s="67" t="s">
        <v>119</v>
      </c>
      <c r="P139" s="73">
        <v>5000000</v>
      </c>
      <c r="Q139" s="73"/>
      <c r="R139" s="73">
        <v>5000000</v>
      </c>
      <c r="S139" s="73"/>
      <c r="T139" s="73">
        <v>5000000</v>
      </c>
      <c r="U139" s="67">
        <v>5210101581</v>
      </c>
      <c r="V139" s="67" t="s">
        <v>120</v>
      </c>
      <c r="W139" s="67" t="s">
        <v>29</v>
      </c>
      <c r="X139" s="67" t="s">
        <v>123</v>
      </c>
      <c r="Y139" s="67" t="s">
        <v>124</v>
      </c>
      <c r="Z139" s="67" t="s">
        <v>2008</v>
      </c>
      <c r="AA139" s="67" t="s">
        <v>123</v>
      </c>
      <c r="AB139" s="67"/>
      <c r="AC139" s="67" t="e">
        <v>#REF!</v>
      </c>
      <c r="AD139" s="67"/>
      <c r="AE139" s="67" t="s">
        <v>147</v>
      </c>
      <c r="AF139" s="67">
        <v>0</v>
      </c>
      <c r="AG139" s="67" t="s">
        <v>126</v>
      </c>
      <c r="AH139" s="67" t="s">
        <v>127</v>
      </c>
      <c r="AI139" s="67" t="s">
        <v>128</v>
      </c>
      <c r="AJ139" s="67" t="s">
        <v>150</v>
      </c>
      <c r="AK139" s="67" t="s">
        <v>151</v>
      </c>
      <c r="AL139" s="67" t="s">
        <v>131</v>
      </c>
      <c r="AM139" s="67" t="s">
        <v>132</v>
      </c>
      <c r="AN139" s="67"/>
      <c r="AO139" s="67"/>
      <c r="AP139" s="67"/>
      <c r="AQ139" s="70"/>
      <c r="AR139" s="67"/>
      <c r="AS139" s="67"/>
      <c r="AT139" s="67" t="s">
        <v>439</v>
      </c>
      <c r="AU139" s="67"/>
      <c r="AV139" s="67"/>
      <c r="AW139" s="67"/>
      <c r="AX139" s="67"/>
      <c r="AY139" s="67">
        <v>117399</v>
      </c>
      <c r="AZ139" s="67" t="s">
        <v>157</v>
      </c>
      <c r="BA139" s="67">
        <v>4100</v>
      </c>
      <c r="BB139" s="67" t="s">
        <v>158</v>
      </c>
      <c r="BC139" s="67">
        <v>100064557</v>
      </c>
      <c r="BD139" s="67" t="s">
        <v>915</v>
      </c>
      <c r="BE139" s="67"/>
      <c r="BF139" s="67"/>
      <c r="BG139" s="67"/>
      <c r="BH139" s="67"/>
      <c r="BI139" s="67"/>
      <c r="BJ139" s="67"/>
      <c r="BK139" s="67"/>
      <c r="BL139" s="67"/>
      <c r="BM139" s="67"/>
    </row>
    <row r="140" spans="1:65" x14ac:dyDescent="0.3">
      <c r="A140" s="67" t="s">
        <v>2009</v>
      </c>
      <c r="B140" s="67" t="s">
        <v>2010</v>
      </c>
      <c r="C140" s="67" t="s">
        <v>2003</v>
      </c>
      <c r="D140" s="67" t="s">
        <v>2004</v>
      </c>
      <c r="E140" s="67" t="s">
        <v>172</v>
      </c>
      <c r="F140" s="67" t="s">
        <v>190</v>
      </c>
      <c r="G140" s="67">
        <v>7</v>
      </c>
      <c r="H140" s="67" t="s">
        <v>1000</v>
      </c>
      <c r="I140" s="72">
        <v>45754</v>
      </c>
      <c r="J140" s="67">
        <v>222</v>
      </c>
      <c r="K140" s="67" t="s">
        <v>192</v>
      </c>
      <c r="L140" s="67" t="s">
        <v>117</v>
      </c>
      <c r="M140" s="67" t="s">
        <v>118</v>
      </c>
      <c r="N140" s="67" t="s">
        <v>191</v>
      </c>
      <c r="O140" s="67" t="s">
        <v>119</v>
      </c>
      <c r="P140" s="73">
        <v>11416020</v>
      </c>
      <c r="Q140" s="73"/>
      <c r="R140" s="73">
        <v>11416020</v>
      </c>
      <c r="S140" s="73"/>
      <c r="T140" s="73">
        <v>11416020</v>
      </c>
      <c r="U140" s="67">
        <v>5210101581</v>
      </c>
      <c r="V140" s="67" t="s">
        <v>120</v>
      </c>
      <c r="W140" s="67" t="s">
        <v>154</v>
      </c>
      <c r="X140" s="67" t="s">
        <v>123</v>
      </c>
      <c r="Y140" s="67" t="s">
        <v>124</v>
      </c>
      <c r="Z140" s="67" t="s">
        <v>2011</v>
      </c>
      <c r="AA140" s="67" t="s">
        <v>123</v>
      </c>
      <c r="AB140" s="67"/>
      <c r="AC140" s="67" t="e">
        <v>#REF!</v>
      </c>
      <c r="AD140" s="67"/>
      <c r="AE140" s="67" t="s">
        <v>147</v>
      </c>
      <c r="AF140" s="67">
        <v>0</v>
      </c>
      <c r="AG140" s="67" t="s">
        <v>126</v>
      </c>
      <c r="AH140" s="67" t="s">
        <v>127</v>
      </c>
      <c r="AI140" s="67" t="s">
        <v>128</v>
      </c>
      <c r="AJ140" s="67" t="s">
        <v>150</v>
      </c>
      <c r="AK140" s="67" t="s">
        <v>151</v>
      </c>
      <c r="AL140" s="67" t="s">
        <v>131</v>
      </c>
      <c r="AM140" s="67" t="s">
        <v>132</v>
      </c>
      <c r="AN140" s="67"/>
      <c r="AO140" s="67"/>
      <c r="AP140" s="67"/>
      <c r="AQ140" s="70"/>
      <c r="AR140" s="67"/>
      <c r="AS140" s="67"/>
      <c r="AT140" s="67" t="s">
        <v>154</v>
      </c>
      <c r="AU140" s="67"/>
      <c r="AV140" s="67"/>
      <c r="AW140" s="67"/>
      <c r="AX140" s="67"/>
      <c r="AY140" s="67">
        <v>117399</v>
      </c>
      <c r="AZ140" s="67" t="s">
        <v>157</v>
      </c>
      <c r="BA140" s="67">
        <v>4100</v>
      </c>
      <c r="BB140" s="67" t="s">
        <v>158</v>
      </c>
      <c r="BC140" s="67">
        <v>100065551</v>
      </c>
      <c r="BD140" s="67" t="s">
        <v>191</v>
      </c>
      <c r="BE140" s="67"/>
      <c r="BF140" s="67"/>
      <c r="BG140" s="67"/>
      <c r="BH140" s="67"/>
      <c r="BI140" s="67"/>
      <c r="BJ140" s="67"/>
      <c r="BK140" s="67"/>
      <c r="BL140" s="67"/>
      <c r="BM140" s="67"/>
    </row>
    <row r="141" spans="1:65" x14ac:dyDescent="0.3">
      <c r="A141" s="67" t="s">
        <v>2012</v>
      </c>
      <c r="B141" s="67" t="s">
        <v>2013</v>
      </c>
      <c r="C141" s="67" t="s">
        <v>2014</v>
      </c>
      <c r="D141" s="67" t="s">
        <v>2015</v>
      </c>
      <c r="E141" s="67" t="s">
        <v>172</v>
      </c>
      <c r="F141" s="67" t="s">
        <v>190</v>
      </c>
      <c r="G141" s="67">
        <v>7</v>
      </c>
      <c r="H141" s="67" t="s">
        <v>1000</v>
      </c>
      <c r="I141" s="72">
        <v>45754</v>
      </c>
      <c r="J141" s="67">
        <v>7</v>
      </c>
      <c r="K141" s="67" t="s">
        <v>116</v>
      </c>
      <c r="L141" s="67" t="s">
        <v>117</v>
      </c>
      <c r="M141" s="67" t="s">
        <v>118</v>
      </c>
      <c r="N141" s="67" t="s">
        <v>289</v>
      </c>
      <c r="O141" s="67" t="s">
        <v>119</v>
      </c>
      <c r="P141" s="73">
        <v>768606.71999999997</v>
      </c>
      <c r="Q141" s="73"/>
      <c r="R141" s="73">
        <v>768606.71999999997</v>
      </c>
      <c r="S141" s="73"/>
      <c r="T141" s="73">
        <v>768606.71999999997</v>
      </c>
      <c r="U141" s="67">
        <v>5210101232</v>
      </c>
      <c r="V141" s="67" t="s">
        <v>120</v>
      </c>
      <c r="W141" s="67" t="s">
        <v>996</v>
      </c>
      <c r="X141" s="67" t="s">
        <v>123</v>
      </c>
      <c r="Y141" s="67" t="s">
        <v>124</v>
      </c>
      <c r="Z141" s="67" t="s">
        <v>2016</v>
      </c>
      <c r="AA141" s="67" t="s">
        <v>123</v>
      </c>
      <c r="AB141" s="67"/>
      <c r="AC141" s="67" t="e">
        <v>#REF!</v>
      </c>
      <c r="AD141" s="67"/>
      <c r="AE141" s="67" t="s">
        <v>125</v>
      </c>
      <c r="AF141" s="67">
        <v>0</v>
      </c>
      <c r="AG141" s="67" t="s">
        <v>126</v>
      </c>
      <c r="AH141" s="67" t="s">
        <v>127</v>
      </c>
      <c r="AI141" s="67" t="s">
        <v>128</v>
      </c>
      <c r="AJ141" s="67" t="s">
        <v>129</v>
      </c>
      <c r="AK141" s="67" t="s">
        <v>130</v>
      </c>
      <c r="AL141" s="67" t="s">
        <v>131</v>
      </c>
      <c r="AM141" s="67" t="s">
        <v>132</v>
      </c>
      <c r="AN141" s="67"/>
      <c r="AO141" s="67"/>
      <c r="AP141" s="67"/>
      <c r="AQ141" s="70" t="s">
        <v>2017</v>
      </c>
      <c r="AR141" s="67"/>
      <c r="AS141" s="67"/>
      <c r="AT141" s="67" t="s">
        <v>442</v>
      </c>
      <c r="AU141" s="67"/>
      <c r="AV141" s="67"/>
      <c r="AW141" s="67"/>
      <c r="AX141" s="67"/>
      <c r="AY141" s="67"/>
      <c r="AZ141" s="67"/>
      <c r="BA141" s="67"/>
      <c r="BB141" s="67"/>
      <c r="BC141" s="67">
        <v>100065125</v>
      </c>
      <c r="BD141" s="67" t="s">
        <v>289</v>
      </c>
      <c r="BE141" s="67"/>
      <c r="BF141" s="67"/>
      <c r="BG141" s="67"/>
      <c r="BH141" s="67"/>
      <c r="BI141" s="67"/>
      <c r="BJ141" s="67"/>
      <c r="BK141" s="67"/>
      <c r="BL141" s="67"/>
      <c r="BM141" s="67"/>
    </row>
    <row r="142" spans="1:65" x14ac:dyDescent="0.3">
      <c r="A142" s="67" t="s">
        <v>2018</v>
      </c>
      <c r="B142" s="67" t="s">
        <v>2019</v>
      </c>
      <c r="C142" s="67" t="s">
        <v>2014</v>
      </c>
      <c r="D142" s="67" t="s">
        <v>2015</v>
      </c>
      <c r="E142" s="67" t="s">
        <v>172</v>
      </c>
      <c r="F142" s="67" t="s">
        <v>190</v>
      </c>
      <c r="G142" s="67">
        <v>7</v>
      </c>
      <c r="H142" s="67" t="s">
        <v>1000</v>
      </c>
      <c r="I142" s="72">
        <v>45754</v>
      </c>
      <c r="J142" s="67">
        <v>8</v>
      </c>
      <c r="K142" s="67" t="s">
        <v>116</v>
      </c>
      <c r="L142" s="67" t="s">
        <v>117</v>
      </c>
      <c r="M142" s="67" t="s">
        <v>118</v>
      </c>
      <c r="N142" s="67" t="s">
        <v>289</v>
      </c>
      <c r="O142" s="67" t="s">
        <v>119</v>
      </c>
      <c r="P142" s="73">
        <v>3352989.69</v>
      </c>
      <c r="Q142" s="73"/>
      <c r="R142" s="73">
        <v>3352989.69</v>
      </c>
      <c r="S142" s="73"/>
      <c r="T142" s="73">
        <v>3352989.69</v>
      </c>
      <c r="U142" s="67">
        <v>5210101232</v>
      </c>
      <c r="V142" s="67" t="s">
        <v>120</v>
      </c>
      <c r="W142" s="67" t="s">
        <v>996</v>
      </c>
      <c r="X142" s="67" t="s">
        <v>123</v>
      </c>
      <c r="Y142" s="67" t="s">
        <v>124</v>
      </c>
      <c r="Z142" s="67" t="s">
        <v>2020</v>
      </c>
      <c r="AA142" s="67" t="s">
        <v>123</v>
      </c>
      <c r="AB142" s="67"/>
      <c r="AC142" s="67" t="e">
        <v>#REF!</v>
      </c>
      <c r="AD142" s="67"/>
      <c r="AE142" s="67" t="s">
        <v>125</v>
      </c>
      <c r="AF142" s="67">
        <v>0</v>
      </c>
      <c r="AG142" s="67" t="s">
        <v>126</v>
      </c>
      <c r="AH142" s="67" t="s">
        <v>127</v>
      </c>
      <c r="AI142" s="67" t="s">
        <v>128</v>
      </c>
      <c r="AJ142" s="67" t="s">
        <v>129</v>
      </c>
      <c r="AK142" s="67" t="s">
        <v>130</v>
      </c>
      <c r="AL142" s="67" t="s">
        <v>131</v>
      </c>
      <c r="AM142" s="67" t="s">
        <v>132</v>
      </c>
      <c r="AN142" s="67"/>
      <c r="AO142" s="67"/>
      <c r="AP142" s="67"/>
      <c r="AQ142" s="70" t="s">
        <v>2021</v>
      </c>
      <c r="AR142" s="67"/>
      <c r="AS142" s="67"/>
      <c r="AT142" s="67" t="s">
        <v>442</v>
      </c>
      <c r="AU142" s="67"/>
      <c r="AV142" s="67"/>
      <c r="AW142" s="67"/>
      <c r="AX142" s="67"/>
      <c r="AY142" s="67"/>
      <c r="AZ142" s="67"/>
      <c r="BA142" s="67"/>
      <c r="BB142" s="67"/>
      <c r="BC142" s="67">
        <v>100065125</v>
      </c>
      <c r="BD142" s="67" t="s">
        <v>289</v>
      </c>
      <c r="BE142" s="67"/>
      <c r="BF142" s="67"/>
      <c r="BG142" s="67"/>
      <c r="BH142" s="67"/>
      <c r="BI142" s="67"/>
      <c r="BJ142" s="67"/>
      <c r="BK142" s="67"/>
      <c r="BL142" s="67"/>
      <c r="BM142" s="67"/>
    </row>
    <row r="143" spans="1:65" x14ac:dyDescent="0.3">
      <c r="A143" s="67" t="s">
        <v>2022</v>
      </c>
      <c r="B143" s="67" t="s">
        <v>2023</v>
      </c>
      <c r="C143" s="67" t="s">
        <v>2014</v>
      </c>
      <c r="D143" s="67" t="s">
        <v>2015</v>
      </c>
      <c r="E143" s="67" t="s">
        <v>172</v>
      </c>
      <c r="F143" s="67" t="s">
        <v>190</v>
      </c>
      <c r="G143" s="67">
        <v>7</v>
      </c>
      <c r="H143" s="67" t="s">
        <v>1000</v>
      </c>
      <c r="I143" s="72">
        <v>45754</v>
      </c>
      <c r="J143" s="67">
        <v>9</v>
      </c>
      <c r="K143" s="67" t="s">
        <v>561</v>
      </c>
      <c r="L143" s="67" t="s">
        <v>117</v>
      </c>
      <c r="M143" s="67" t="s">
        <v>118</v>
      </c>
      <c r="N143" s="67" t="s">
        <v>644</v>
      </c>
      <c r="O143" s="67" t="s">
        <v>119</v>
      </c>
      <c r="P143" s="73">
        <v>67355.899999999994</v>
      </c>
      <c r="Q143" s="73"/>
      <c r="R143" s="73">
        <v>67355.899999999994</v>
      </c>
      <c r="S143" s="73"/>
      <c r="T143" s="73">
        <v>67355.899999999994</v>
      </c>
      <c r="U143" s="67">
        <v>5210101238</v>
      </c>
      <c r="V143" s="67" t="s">
        <v>120</v>
      </c>
      <c r="W143" s="67" t="s">
        <v>996</v>
      </c>
      <c r="X143" s="67" t="s">
        <v>123</v>
      </c>
      <c r="Y143" s="67" t="s">
        <v>124</v>
      </c>
      <c r="Z143" s="67" t="s">
        <v>2024</v>
      </c>
      <c r="AA143" s="67" t="s">
        <v>123</v>
      </c>
      <c r="AB143" s="67"/>
      <c r="AC143" s="67" t="e">
        <v>#REF!</v>
      </c>
      <c r="AD143" s="67"/>
      <c r="AE143" s="67" t="s">
        <v>562</v>
      </c>
      <c r="AF143" s="67">
        <v>0</v>
      </c>
      <c r="AG143" s="67" t="s">
        <v>126</v>
      </c>
      <c r="AH143" s="67" t="s">
        <v>127</v>
      </c>
      <c r="AI143" s="67" t="s">
        <v>128</v>
      </c>
      <c r="AJ143" s="67" t="s">
        <v>548</v>
      </c>
      <c r="AK143" s="67" t="s">
        <v>549</v>
      </c>
      <c r="AL143" s="67" t="s">
        <v>131</v>
      </c>
      <c r="AM143" s="67" t="s">
        <v>132</v>
      </c>
      <c r="AN143" s="67"/>
      <c r="AO143" s="67"/>
      <c r="AP143" s="67"/>
      <c r="AQ143" s="70" t="s">
        <v>2025</v>
      </c>
      <c r="AR143" s="67"/>
      <c r="AS143" s="67"/>
      <c r="AT143" s="67" t="s">
        <v>442</v>
      </c>
      <c r="AU143" s="67"/>
      <c r="AV143" s="67"/>
      <c r="AW143" s="67"/>
      <c r="AX143" s="67"/>
      <c r="AY143" s="67"/>
      <c r="AZ143" s="67"/>
      <c r="BA143" s="67"/>
      <c r="BB143" s="67"/>
      <c r="BC143" s="67">
        <v>100064823</v>
      </c>
      <c r="BD143" s="67" t="s">
        <v>644</v>
      </c>
      <c r="BE143" s="67"/>
      <c r="BF143" s="67"/>
      <c r="BG143" s="67"/>
      <c r="BH143" s="67"/>
      <c r="BI143" s="67"/>
      <c r="BJ143" s="67"/>
      <c r="BK143" s="67"/>
      <c r="BL143" s="67"/>
      <c r="BM143" s="67"/>
    </row>
    <row r="144" spans="1:65" x14ac:dyDescent="0.3">
      <c r="A144" s="67" t="s">
        <v>2026</v>
      </c>
      <c r="B144" s="67" t="s">
        <v>2027</v>
      </c>
      <c r="C144" s="67" t="s">
        <v>2014</v>
      </c>
      <c r="D144" s="67" t="s">
        <v>2015</v>
      </c>
      <c r="E144" s="67" t="s">
        <v>172</v>
      </c>
      <c r="F144" s="67" t="s">
        <v>190</v>
      </c>
      <c r="G144" s="67">
        <v>7</v>
      </c>
      <c r="H144" s="67" t="s">
        <v>1000</v>
      </c>
      <c r="I144" s="72">
        <v>45754</v>
      </c>
      <c r="J144" s="67">
        <v>64</v>
      </c>
      <c r="K144" s="67" t="s">
        <v>2028</v>
      </c>
      <c r="L144" s="67" t="s">
        <v>117</v>
      </c>
      <c r="M144" s="67" t="s">
        <v>118</v>
      </c>
      <c r="N144" s="67" t="s">
        <v>1319</v>
      </c>
      <c r="O144" s="67" t="s">
        <v>119</v>
      </c>
      <c r="P144" s="73">
        <v>133000</v>
      </c>
      <c r="Q144" s="73"/>
      <c r="R144" s="73">
        <v>133000</v>
      </c>
      <c r="S144" s="73"/>
      <c r="T144" s="73">
        <v>133000</v>
      </c>
      <c r="U144" s="67">
        <v>5210101320</v>
      </c>
      <c r="V144" s="67" t="s">
        <v>120</v>
      </c>
      <c r="W144" s="67" t="s">
        <v>43</v>
      </c>
      <c r="X144" s="67" t="s">
        <v>123</v>
      </c>
      <c r="Y144" s="67" t="s">
        <v>124</v>
      </c>
      <c r="Z144" s="67" t="s">
        <v>2029</v>
      </c>
      <c r="AA144" s="67" t="s">
        <v>123</v>
      </c>
      <c r="AB144" s="67"/>
      <c r="AC144" s="67" t="e">
        <v>#REF!</v>
      </c>
      <c r="AD144" s="67"/>
      <c r="AE144" s="67" t="s">
        <v>545</v>
      </c>
      <c r="AF144" s="67">
        <v>0</v>
      </c>
      <c r="AG144" s="67" t="s">
        <v>126</v>
      </c>
      <c r="AH144" s="67" t="s">
        <v>127</v>
      </c>
      <c r="AI144" s="67" t="s">
        <v>128</v>
      </c>
      <c r="AJ144" s="67" t="s">
        <v>1315</v>
      </c>
      <c r="AK144" s="67" t="s">
        <v>1316</v>
      </c>
      <c r="AL144" s="67" t="s">
        <v>131</v>
      </c>
      <c r="AM144" s="67" t="s">
        <v>132</v>
      </c>
      <c r="AN144" s="67"/>
      <c r="AO144" s="67"/>
      <c r="AP144" s="67"/>
      <c r="AQ144" s="70">
        <v>5241000563</v>
      </c>
      <c r="AR144" s="67"/>
      <c r="AS144" s="67"/>
      <c r="AT144" s="67" t="s">
        <v>1614</v>
      </c>
      <c r="AU144" s="67"/>
      <c r="AV144" s="67"/>
      <c r="AW144" s="67"/>
      <c r="AX144" s="67"/>
      <c r="AY144" s="67"/>
      <c r="AZ144" s="67"/>
      <c r="BA144" s="67"/>
      <c r="BB144" s="67"/>
      <c r="BC144" s="67">
        <v>100062103</v>
      </c>
      <c r="BD144" s="67" t="s">
        <v>2030</v>
      </c>
      <c r="BE144" s="67"/>
      <c r="BF144" s="67"/>
      <c r="BG144" s="67"/>
      <c r="BH144" s="67"/>
      <c r="BI144" s="67"/>
      <c r="BJ144" s="67"/>
      <c r="BK144" s="67"/>
      <c r="BL144" s="67"/>
      <c r="BM144" s="67"/>
    </row>
    <row r="145" spans="1:65" x14ac:dyDescent="0.3">
      <c r="A145" s="67" t="s">
        <v>2031</v>
      </c>
      <c r="B145" s="67" t="s">
        <v>2032</v>
      </c>
      <c r="C145" s="67" t="s">
        <v>2033</v>
      </c>
      <c r="D145" s="67" t="s">
        <v>2034</v>
      </c>
      <c r="E145" s="67" t="s">
        <v>172</v>
      </c>
      <c r="F145" s="67" t="s">
        <v>190</v>
      </c>
      <c r="G145" s="67">
        <v>7</v>
      </c>
      <c r="H145" s="67" t="s">
        <v>1000</v>
      </c>
      <c r="I145" s="72">
        <v>45775</v>
      </c>
      <c r="J145" s="67">
        <v>87</v>
      </c>
      <c r="K145" s="67" t="s">
        <v>192</v>
      </c>
      <c r="L145" s="67" t="s">
        <v>117</v>
      </c>
      <c r="M145" s="67" t="s">
        <v>118</v>
      </c>
      <c r="N145" s="67" t="s">
        <v>915</v>
      </c>
      <c r="O145" s="67" t="s">
        <v>119</v>
      </c>
      <c r="P145" s="69">
        <v>36542</v>
      </c>
      <c r="Q145" s="69"/>
      <c r="R145" s="69">
        <v>36542</v>
      </c>
      <c r="S145" s="69"/>
      <c r="T145" s="69">
        <v>36542</v>
      </c>
      <c r="U145" s="67">
        <v>5210101581</v>
      </c>
      <c r="V145" s="67" t="s">
        <v>120</v>
      </c>
      <c r="W145" s="67" t="s">
        <v>29</v>
      </c>
      <c r="X145" s="67" t="s">
        <v>123</v>
      </c>
      <c r="Y145" s="67" t="s">
        <v>124</v>
      </c>
      <c r="Z145" s="67" t="s">
        <v>2035</v>
      </c>
      <c r="AA145" s="67" t="s">
        <v>123</v>
      </c>
      <c r="AB145" s="67"/>
      <c r="AC145" s="67" t="e">
        <v>#REF!</v>
      </c>
      <c r="AD145" s="67"/>
      <c r="AE145" s="67" t="s">
        <v>147</v>
      </c>
      <c r="AF145" s="67">
        <v>0</v>
      </c>
      <c r="AG145" s="67" t="s">
        <v>126</v>
      </c>
      <c r="AH145" s="67" t="s">
        <v>127</v>
      </c>
      <c r="AI145" s="67" t="s">
        <v>128</v>
      </c>
      <c r="AJ145" s="67" t="s">
        <v>150</v>
      </c>
      <c r="AK145" s="67" t="s">
        <v>151</v>
      </c>
      <c r="AL145" s="67" t="s">
        <v>131</v>
      </c>
      <c r="AM145" s="67" t="s">
        <v>132</v>
      </c>
      <c r="AN145" s="67"/>
      <c r="AO145" s="67"/>
      <c r="AP145" s="67"/>
      <c r="AQ145" s="70"/>
      <c r="AR145" s="67"/>
      <c r="AS145" s="67"/>
      <c r="AT145" s="67" t="s">
        <v>439</v>
      </c>
      <c r="AU145" s="67"/>
      <c r="AV145" s="67"/>
      <c r="AW145" s="67"/>
      <c r="AX145" s="67"/>
      <c r="AY145" s="67"/>
      <c r="AZ145" s="67"/>
      <c r="BA145" s="67"/>
      <c r="BB145" s="67"/>
      <c r="BC145" s="67">
        <v>100064557</v>
      </c>
      <c r="BD145" s="67" t="s">
        <v>915</v>
      </c>
      <c r="BE145" s="67"/>
      <c r="BF145" s="67"/>
      <c r="BG145" s="67"/>
      <c r="BH145" s="67"/>
      <c r="BI145" s="67"/>
      <c r="BJ145" s="67"/>
      <c r="BK145" s="67"/>
      <c r="BL145" s="67"/>
      <c r="BM145" s="67"/>
    </row>
    <row r="146" spans="1:65" x14ac:dyDescent="0.3">
      <c r="A146" s="67" t="s">
        <v>2036</v>
      </c>
      <c r="B146" s="67" t="s">
        <v>2037</v>
      </c>
      <c r="C146" s="67" t="s">
        <v>2033</v>
      </c>
      <c r="D146" s="67" t="s">
        <v>2034</v>
      </c>
      <c r="E146" s="67" t="s">
        <v>172</v>
      </c>
      <c r="F146" s="67" t="s">
        <v>190</v>
      </c>
      <c r="G146" s="67">
        <v>7</v>
      </c>
      <c r="H146" s="67" t="s">
        <v>1000</v>
      </c>
      <c r="I146" s="72">
        <v>45775</v>
      </c>
      <c r="J146" s="67">
        <v>88</v>
      </c>
      <c r="K146" s="67" t="s">
        <v>192</v>
      </c>
      <c r="L146" s="67" t="s">
        <v>117</v>
      </c>
      <c r="M146" s="67" t="s">
        <v>118</v>
      </c>
      <c r="N146" s="67" t="s">
        <v>191</v>
      </c>
      <c r="O146" s="67" t="s">
        <v>119</v>
      </c>
      <c r="P146" s="69"/>
      <c r="Q146" s="69">
        <v>232980</v>
      </c>
      <c r="R146" s="69"/>
      <c r="S146" s="69">
        <v>232980</v>
      </c>
      <c r="T146" s="69">
        <v>-232980</v>
      </c>
      <c r="U146" s="67">
        <v>5210101581</v>
      </c>
      <c r="V146" s="67" t="s">
        <v>120</v>
      </c>
      <c r="W146" s="67" t="s">
        <v>154</v>
      </c>
      <c r="X146" s="67" t="s">
        <v>123</v>
      </c>
      <c r="Y146" s="67" t="s">
        <v>124</v>
      </c>
      <c r="Z146" s="67" t="s">
        <v>2038</v>
      </c>
      <c r="AA146" s="67" t="s">
        <v>123</v>
      </c>
      <c r="AB146" s="67"/>
      <c r="AC146" s="67" t="e">
        <v>#REF!</v>
      </c>
      <c r="AD146" s="67"/>
      <c r="AE146" s="67" t="s">
        <v>147</v>
      </c>
      <c r="AF146" s="67">
        <v>0</v>
      </c>
      <c r="AG146" s="67" t="s">
        <v>126</v>
      </c>
      <c r="AH146" s="67" t="s">
        <v>127</v>
      </c>
      <c r="AI146" s="67" t="s">
        <v>128</v>
      </c>
      <c r="AJ146" s="67" t="s">
        <v>150</v>
      </c>
      <c r="AK146" s="67" t="s">
        <v>151</v>
      </c>
      <c r="AL146" s="67" t="s">
        <v>131</v>
      </c>
      <c r="AM146" s="67" t="s">
        <v>132</v>
      </c>
      <c r="AN146" s="67"/>
      <c r="AO146" s="67"/>
      <c r="AP146" s="67"/>
      <c r="AQ146" s="70"/>
      <c r="AR146" s="67"/>
      <c r="AS146" s="67"/>
      <c r="AT146" s="67" t="s">
        <v>154</v>
      </c>
      <c r="AU146" s="67"/>
      <c r="AV146" s="67"/>
      <c r="AW146" s="67"/>
      <c r="AX146" s="67"/>
      <c r="AY146" s="67"/>
      <c r="AZ146" s="67"/>
      <c r="BA146" s="67"/>
      <c r="BB146" s="67"/>
      <c r="BC146" s="67">
        <v>100065551</v>
      </c>
      <c r="BD146" s="67" t="s">
        <v>191</v>
      </c>
      <c r="BE146" s="67"/>
      <c r="BF146" s="67"/>
      <c r="BG146" s="67"/>
      <c r="BH146" s="67"/>
      <c r="BI146" s="67"/>
      <c r="BJ146" s="67"/>
      <c r="BK146" s="67"/>
      <c r="BL146" s="67"/>
      <c r="BM146" s="67"/>
    </row>
    <row r="147" spans="1:65" x14ac:dyDescent="0.3">
      <c r="A147" s="67" t="s">
        <v>2039</v>
      </c>
      <c r="B147" s="67" t="s">
        <v>2040</v>
      </c>
      <c r="C147" s="67" t="s">
        <v>2041</v>
      </c>
      <c r="D147" s="67" t="s">
        <v>2042</v>
      </c>
      <c r="E147" s="67" t="s">
        <v>172</v>
      </c>
      <c r="F147" s="67" t="s">
        <v>190</v>
      </c>
      <c r="G147" s="67">
        <v>7</v>
      </c>
      <c r="H147" s="67" t="s">
        <v>1000</v>
      </c>
      <c r="I147" s="72">
        <v>45775</v>
      </c>
      <c r="J147" s="67">
        <v>11</v>
      </c>
      <c r="K147" s="67" t="s">
        <v>145</v>
      </c>
      <c r="L147" s="67" t="s">
        <v>117</v>
      </c>
      <c r="M147" s="67" t="s">
        <v>118</v>
      </c>
      <c r="N147" s="67" t="s">
        <v>677</v>
      </c>
      <c r="O147" s="67" t="s">
        <v>119</v>
      </c>
      <c r="P147" s="69">
        <v>4657</v>
      </c>
      <c r="Q147" s="69"/>
      <c r="R147" s="69">
        <v>4657</v>
      </c>
      <c r="S147" s="69"/>
      <c r="T147" s="69">
        <v>4657</v>
      </c>
      <c r="U147" s="67">
        <v>5210101581</v>
      </c>
      <c r="V147" s="67" t="s">
        <v>120</v>
      </c>
      <c r="W147" s="67" t="s">
        <v>29</v>
      </c>
      <c r="X147" s="67" t="s">
        <v>123</v>
      </c>
      <c r="Y147" s="67" t="s">
        <v>124</v>
      </c>
      <c r="Z147" s="67" t="s">
        <v>2043</v>
      </c>
      <c r="AA147" s="67" t="s">
        <v>123</v>
      </c>
      <c r="AB147" s="67"/>
      <c r="AC147" s="67" t="e">
        <v>#REF!</v>
      </c>
      <c r="AD147" s="67"/>
      <c r="AE147" s="67" t="s">
        <v>147</v>
      </c>
      <c r="AF147" s="67">
        <v>0</v>
      </c>
      <c r="AG147" s="67" t="s">
        <v>126</v>
      </c>
      <c r="AH147" s="67" t="s">
        <v>148</v>
      </c>
      <c r="AI147" s="67" t="s">
        <v>149</v>
      </c>
      <c r="AJ147" s="67" t="s">
        <v>150</v>
      </c>
      <c r="AK147" s="67" t="s">
        <v>151</v>
      </c>
      <c r="AL147" s="67" t="s">
        <v>131</v>
      </c>
      <c r="AM147" s="67" t="s">
        <v>132</v>
      </c>
      <c r="AN147" s="67"/>
      <c r="AO147" s="67"/>
      <c r="AP147" s="67"/>
      <c r="AQ147" s="70"/>
      <c r="AR147" s="67"/>
      <c r="AS147" s="67"/>
      <c r="AT147" s="67" t="s">
        <v>439</v>
      </c>
      <c r="AU147" s="67"/>
      <c r="AV147" s="67"/>
      <c r="AW147" s="67"/>
      <c r="AX147" s="67"/>
      <c r="AY147" s="67" t="s">
        <v>678</v>
      </c>
      <c r="AZ147" s="67"/>
      <c r="BA147" s="67" t="s">
        <v>679</v>
      </c>
      <c r="BB147" s="67"/>
      <c r="BC147" s="67">
        <v>325231351585</v>
      </c>
      <c r="BD147" s="67" t="s">
        <v>677</v>
      </c>
      <c r="BE147" s="67"/>
      <c r="BF147" s="67"/>
      <c r="BG147" s="67"/>
      <c r="BH147" s="67"/>
      <c r="BI147" s="67"/>
      <c r="BJ147" s="67"/>
      <c r="BK147" s="67"/>
      <c r="BL147" s="67"/>
      <c r="BM147" s="67">
        <v>4100</v>
      </c>
    </row>
  </sheetData>
  <autoFilter ref="A7:BM147" xr:uid="{6E20C951-BFA0-4892-9EE7-9631EDF8B07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4C5AA-12F4-4EC5-B660-9BDC2D700E10}">
  <dimension ref="A1:CI32"/>
  <sheetViews>
    <sheetView showGridLines="0" zoomScale="64" zoomScaleNormal="70" workbookViewId="0">
      <selection activeCell="A12" sqref="A12"/>
    </sheetView>
  </sheetViews>
  <sheetFormatPr defaultColWidth="8.796875" defaultRowHeight="14.4" x14ac:dyDescent="0.3"/>
  <cols>
    <col min="1" max="1" width="62" style="2" customWidth="1"/>
    <col min="2" max="2" width="15.5" style="2" bestFit="1" customWidth="1"/>
    <col min="3" max="11" width="14.5" style="2" bestFit="1" customWidth="1"/>
    <col min="12" max="12" width="13.3984375" style="2" bestFit="1" customWidth="1"/>
    <col min="13" max="13" width="14.5" style="2" bestFit="1" customWidth="1"/>
    <col min="14" max="14" width="13.5" style="2" bestFit="1" customWidth="1"/>
    <col min="15" max="15" width="15.59765625" style="2" bestFit="1" customWidth="1"/>
    <col min="16" max="16" width="12.8984375" style="2" bestFit="1" customWidth="1"/>
    <col min="17" max="17" width="63.59765625" bestFit="1" customWidth="1"/>
    <col min="18" max="18" width="12.59765625" style="2" hidden="1" customWidth="1"/>
    <col min="19" max="19" width="10.19921875" style="2" hidden="1" customWidth="1"/>
    <col min="21" max="79" width="15.3984375" style="2" bestFit="1" customWidth="1"/>
    <col min="80" max="80" width="10.8984375" style="2" bestFit="1" customWidth="1"/>
    <col min="81" max="16384" width="8.796875" style="2"/>
  </cols>
  <sheetData>
    <row r="1" spans="1:87" x14ac:dyDescent="0.3">
      <c r="A1" s="1" t="str">
        <f>[1]Memo!A1</f>
        <v>Deloitte Haskins &amp; Sells</v>
      </c>
      <c r="Q1" s="2"/>
    </row>
    <row r="2" spans="1:87" x14ac:dyDescent="0.3">
      <c r="A2" s="1" t="str">
        <f>[1]Memo!A2</f>
        <v>GE India Industrial Private Limited- GEITC</v>
      </c>
      <c r="Q2" s="2"/>
    </row>
    <row r="3" spans="1:87" x14ac:dyDescent="0.3">
      <c r="A3" s="1" t="str">
        <f>[1]Memo!A3</f>
        <v>Audit for the year ended March 31, 2026</v>
      </c>
      <c r="Q3" s="2"/>
    </row>
    <row r="4" spans="1:87" x14ac:dyDescent="0.3">
      <c r="Q4" s="2"/>
    </row>
    <row r="5" spans="1:87" x14ac:dyDescent="0.3">
      <c r="A5" s="3" t="s">
        <v>0</v>
      </c>
      <c r="Q5" s="2"/>
    </row>
    <row r="6" spans="1:87" x14ac:dyDescent="0.3">
      <c r="A6" s="4" t="s">
        <v>1</v>
      </c>
      <c r="Q6" s="2"/>
    </row>
    <row r="7" spans="1:87" x14ac:dyDescent="0.3">
      <c r="A7" s="4" t="s">
        <v>2</v>
      </c>
      <c r="Q7" s="2"/>
    </row>
    <row r="8" spans="1:87" x14ac:dyDescent="0.3">
      <c r="A8" s="4" t="s">
        <v>3</v>
      </c>
      <c r="G8" s="5"/>
      <c r="H8" s="5"/>
      <c r="N8" s="5"/>
      <c r="Q8" s="2"/>
    </row>
    <row r="9" spans="1:87" x14ac:dyDescent="0.3">
      <c r="A9" s="4"/>
      <c r="Q9" s="2"/>
    </row>
    <row r="10" spans="1:87" x14ac:dyDescent="0.3">
      <c r="E10" s="5"/>
      <c r="Q10" s="2"/>
    </row>
    <row r="11" spans="1:87" ht="16.100000000000001" x14ac:dyDescent="0.3">
      <c r="A11" s="6" t="s">
        <v>4</v>
      </c>
      <c r="D11" s="7"/>
      <c r="E11" s="7"/>
      <c r="F11" s="7"/>
      <c r="G11" s="7"/>
      <c r="H11" s="7"/>
      <c r="I11" s="7"/>
      <c r="J11" s="7"/>
      <c r="K11" s="7"/>
      <c r="L11" s="7"/>
      <c r="M11" s="7"/>
      <c r="N11" s="7"/>
      <c r="O11" s="8"/>
      <c r="Q11" s="2"/>
    </row>
    <row r="12" spans="1:87" x14ac:dyDescent="0.3">
      <c r="A12" s="9" t="s">
        <v>5</v>
      </c>
      <c r="B12" s="9" t="s">
        <v>6</v>
      </c>
      <c r="C12" s="9" t="s">
        <v>7</v>
      </c>
      <c r="D12" s="9" t="s">
        <v>8</v>
      </c>
      <c r="E12" s="9" t="s">
        <v>9</v>
      </c>
      <c r="F12" s="9" t="s">
        <v>10</v>
      </c>
      <c r="G12" s="9" t="s">
        <v>11</v>
      </c>
      <c r="H12" s="9" t="s">
        <v>12</v>
      </c>
      <c r="I12" s="9" t="s">
        <v>13</v>
      </c>
      <c r="J12" s="9" t="s">
        <v>14</v>
      </c>
      <c r="K12" s="9" t="s">
        <v>15</v>
      </c>
      <c r="L12" s="9" t="s">
        <v>16</v>
      </c>
      <c r="M12" s="9" t="s">
        <v>17</v>
      </c>
      <c r="N12" s="9" t="s">
        <v>18</v>
      </c>
      <c r="O12" s="9" t="s">
        <v>19</v>
      </c>
      <c r="P12" s="10" t="s">
        <v>20</v>
      </c>
      <c r="Q12" s="11" t="s">
        <v>21</v>
      </c>
      <c r="R12" s="10" t="s">
        <v>22</v>
      </c>
      <c r="S12" s="9" t="s">
        <v>23</v>
      </c>
      <c r="U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row>
    <row r="13" spans="1:87" x14ac:dyDescent="0.3">
      <c r="A13" s="12" t="s">
        <v>24</v>
      </c>
      <c r="B13" s="13">
        <v>19722730.990000002</v>
      </c>
      <c r="C13" s="13">
        <v>13447340.01</v>
      </c>
      <c r="D13" s="13">
        <v>4469803.1900000004</v>
      </c>
      <c r="E13" s="13">
        <v>12147000.779999999</v>
      </c>
      <c r="F13" s="13">
        <v>11103715.340000002</v>
      </c>
      <c r="G13" s="13">
        <v>4343143.68</v>
      </c>
      <c r="H13" s="13">
        <v>-470580.92999999976</v>
      </c>
      <c r="I13" s="13">
        <v>18107351.02</v>
      </c>
      <c r="J13" s="13">
        <v>4397587.2</v>
      </c>
      <c r="K13" s="13">
        <v>4307908.8000000007</v>
      </c>
      <c r="L13" s="13">
        <v>-3805553.0999999996</v>
      </c>
      <c r="M13" s="13">
        <v>22484983.810000002</v>
      </c>
      <c r="N13" s="13">
        <v>-2575702.87</v>
      </c>
      <c r="O13" s="14">
        <f t="shared" ref="O13:O24" si="0">SUM(B13:N13)</f>
        <v>107679727.92</v>
      </c>
      <c r="P13" s="15">
        <f>O13/$O$25</f>
        <v>0.38041833550149345</v>
      </c>
      <c r="Q13" s="16" t="s">
        <v>25</v>
      </c>
      <c r="R13" s="17">
        <v>55681971.079999991</v>
      </c>
      <c r="S13" s="18">
        <f>(O13-R13)/R13</f>
        <v>0.93383470145647762</v>
      </c>
      <c r="T13" s="19" t="s">
        <v>26</v>
      </c>
      <c r="U13"/>
      <c r="V13" s="1"/>
    </row>
    <row r="14" spans="1:87" x14ac:dyDescent="0.3">
      <c r="A14" s="20" t="s">
        <v>27</v>
      </c>
      <c r="B14" s="21">
        <v>10175000</v>
      </c>
      <c r="C14" s="21">
        <f>0</f>
        <v>0</v>
      </c>
      <c r="D14" s="21">
        <v>11183040</v>
      </c>
      <c r="E14" s="21">
        <v>19404000</v>
      </c>
      <c r="F14" s="21">
        <v>9163000</v>
      </c>
      <c r="G14" s="21">
        <v>9163000</v>
      </c>
      <c r="H14" s="21">
        <v>-2020040</v>
      </c>
      <c r="I14" s="21">
        <v>9163000</v>
      </c>
      <c r="J14" s="21">
        <v>-6037945</v>
      </c>
      <c r="K14" s="21">
        <v>18326000</v>
      </c>
      <c r="L14" s="21">
        <v>9163000</v>
      </c>
      <c r="M14" s="21">
        <v>9755900</v>
      </c>
      <c r="N14" s="21">
        <v>9540300</v>
      </c>
      <c r="O14" s="14">
        <f t="shared" si="0"/>
        <v>106978255</v>
      </c>
      <c r="P14" s="22">
        <f t="shared" ref="P14:P21" si="1">O14/$O$25</f>
        <v>0.37794012381039382</v>
      </c>
      <c r="Q14" s="16" t="s">
        <v>28</v>
      </c>
      <c r="R14" s="23">
        <v>120162240.05</v>
      </c>
      <c r="S14" s="24">
        <f>(O14-R14)/R14</f>
        <v>-0.10971820302712472</v>
      </c>
      <c r="U14"/>
      <c r="V14" s="25"/>
    </row>
    <row r="15" spans="1:87" x14ac:dyDescent="0.3">
      <c r="A15" s="20" t="s">
        <v>29</v>
      </c>
      <c r="B15" s="21">
        <v>5004116</v>
      </c>
      <c r="C15" s="21">
        <v>5036542</v>
      </c>
      <c r="D15" s="21">
        <v>3801838</v>
      </c>
      <c r="E15" s="21">
        <v>5760383</v>
      </c>
      <c r="F15" s="21">
        <v>5900555</v>
      </c>
      <c r="G15" s="21">
        <v>6051408</v>
      </c>
      <c r="H15" s="21">
        <v>890072</v>
      </c>
      <c r="I15" s="21">
        <v>5900594</v>
      </c>
      <c r="J15" s="21">
        <v>6032408</v>
      </c>
      <c r="K15" s="21">
        <v>5279511</v>
      </c>
      <c r="L15" s="21">
        <v>5028809</v>
      </c>
      <c r="M15" s="21">
        <v>3285438</v>
      </c>
      <c r="N15" s="21">
        <v>4115095</v>
      </c>
      <c r="O15" s="14">
        <f t="shared" si="0"/>
        <v>62086769</v>
      </c>
      <c r="P15" s="22">
        <f t="shared" si="1"/>
        <v>0.21934440006380101</v>
      </c>
      <c r="Q15" s="16" t="s">
        <v>30</v>
      </c>
      <c r="R15" s="23">
        <v>61588462</v>
      </c>
      <c r="S15" s="24">
        <f>(O15-R15)/R15</f>
        <v>8.0909148210260556E-3</v>
      </c>
      <c r="U15"/>
    </row>
    <row r="16" spans="1:87" ht="26.6" x14ac:dyDescent="0.3">
      <c r="A16" s="20" t="s">
        <v>31</v>
      </c>
      <c r="B16" s="21">
        <f>0</f>
        <v>0</v>
      </c>
      <c r="C16" s="21">
        <f>0</f>
        <v>0</v>
      </c>
      <c r="D16" s="21">
        <f>0</f>
        <v>0</v>
      </c>
      <c r="E16" s="21">
        <f>0</f>
        <v>0</v>
      </c>
      <c r="F16" s="21">
        <f>0</f>
        <v>0</v>
      </c>
      <c r="G16" s="21">
        <f>0</f>
        <v>0</v>
      </c>
      <c r="H16" s="21">
        <f>0</f>
        <v>0</v>
      </c>
      <c r="I16" s="21">
        <f>0</f>
        <v>0</v>
      </c>
      <c r="J16" s="21">
        <f>0</f>
        <v>0</v>
      </c>
      <c r="K16" s="21">
        <v>2103012</v>
      </c>
      <c r="L16" s="21">
        <f>0</f>
        <v>0</v>
      </c>
      <c r="M16" s="21">
        <f>0</f>
        <v>0</v>
      </c>
      <c r="N16" s="21">
        <v>1051500</v>
      </c>
      <c r="O16" s="14">
        <f t="shared" si="0"/>
        <v>3154512</v>
      </c>
      <c r="P16" s="22">
        <f t="shared" si="1"/>
        <v>1.1144476565273691E-2</v>
      </c>
      <c r="Q16" s="16" t="s">
        <v>32</v>
      </c>
      <c r="R16" s="23">
        <v>15468353</v>
      </c>
      <c r="S16" s="24">
        <f>(O16-R16)/R16</f>
        <v>-0.79606671763955739</v>
      </c>
      <c r="T16" s="19" t="s">
        <v>33</v>
      </c>
      <c r="U16"/>
    </row>
    <row r="17" spans="1:21" ht="26.6" x14ac:dyDescent="0.3">
      <c r="A17" s="20" t="s">
        <v>34</v>
      </c>
      <c r="B17" s="21">
        <f>0</f>
        <v>0</v>
      </c>
      <c r="C17" s="21">
        <f>0</f>
        <v>0</v>
      </c>
      <c r="D17" s="21">
        <f>0</f>
        <v>0</v>
      </c>
      <c r="E17" s="21">
        <f>0</f>
        <v>0</v>
      </c>
      <c r="F17" s="21">
        <f>0</f>
        <v>0</v>
      </c>
      <c r="G17" s="21">
        <f>0</f>
        <v>0</v>
      </c>
      <c r="H17" s="21">
        <f>0</f>
        <v>0</v>
      </c>
      <c r="I17" s="21">
        <f>0</f>
        <v>0</v>
      </c>
      <c r="J17" s="21">
        <f>0</f>
        <v>0</v>
      </c>
      <c r="K17" s="21">
        <v>2548222</v>
      </c>
      <c r="L17" s="21">
        <f>0</f>
        <v>0</v>
      </c>
      <c r="M17" s="21">
        <f>0</f>
        <v>0</v>
      </c>
      <c r="N17" s="21">
        <f>0</f>
        <v>0</v>
      </c>
      <c r="O17" s="14">
        <f t="shared" si="0"/>
        <v>2548222</v>
      </c>
      <c r="P17" s="22">
        <f t="shared" si="1"/>
        <v>9.0025336286927594E-3</v>
      </c>
      <c r="Q17" s="16" t="s">
        <v>32</v>
      </c>
      <c r="R17" s="23">
        <v>0</v>
      </c>
      <c r="S17" s="24"/>
      <c r="T17" s="19" t="s">
        <v>33</v>
      </c>
      <c r="U17"/>
    </row>
    <row r="18" spans="1:21" x14ac:dyDescent="0.3">
      <c r="A18" s="20" t="s">
        <v>35</v>
      </c>
      <c r="B18" s="26">
        <f>0</f>
        <v>0</v>
      </c>
      <c r="C18" s="26">
        <f>0</f>
        <v>0</v>
      </c>
      <c r="D18" s="26">
        <f>0</f>
        <v>0</v>
      </c>
      <c r="E18" s="26">
        <f>0</f>
        <v>0</v>
      </c>
      <c r="F18" s="26">
        <f>0</f>
        <v>0</v>
      </c>
      <c r="G18" s="26">
        <f>0</f>
        <v>0</v>
      </c>
      <c r="H18" s="26">
        <f>0</f>
        <v>0</v>
      </c>
      <c r="I18" s="26">
        <f>0</f>
        <v>0</v>
      </c>
      <c r="J18" s="26">
        <f>0</f>
        <v>0</v>
      </c>
      <c r="K18" s="26">
        <v>2100</v>
      </c>
      <c r="L18" s="26">
        <v>525000</v>
      </c>
      <c r="M18" s="26">
        <f>0</f>
        <v>0</v>
      </c>
      <c r="N18" s="26">
        <f>0</f>
        <v>0</v>
      </c>
      <c r="O18" s="14">
        <f t="shared" si="0"/>
        <v>527100</v>
      </c>
      <c r="P18" s="22">
        <f t="shared" si="1"/>
        <v>1.8621750678253126E-3</v>
      </c>
      <c r="Q18" s="16" t="s">
        <v>36</v>
      </c>
      <c r="R18" s="23">
        <v>328000</v>
      </c>
      <c r="S18" s="27"/>
      <c r="U18"/>
    </row>
    <row r="19" spans="1:21" x14ac:dyDescent="0.3">
      <c r="A19" s="20" t="s">
        <v>37</v>
      </c>
      <c r="B19" s="26">
        <v>9630.26</v>
      </c>
      <c r="C19" s="26">
        <f>0</f>
        <v>0</v>
      </c>
      <c r="D19" s="26">
        <f>0</f>
        <v>0</v>
      </c>
      <c r="E19" s="26">
        <f>0</f>
        <v>0</v>
      </c>
      <c r="F19" s="26">
        <f>0</f>
        <v>0</v>
      </c>
      <c r="G19" s="26">
        <f>0</f>
        <v>0</v>
      </c>
      <c r="H19" s="26">
        <f>0</f>
        <v>0</v>
      </c>
      <c r="I19" s="26">
        <f>0</f>
        <v>0</v>
      </c>
      <c r="J19" s="26">
        <v>10505.26</v>
      </c>
      <c r="K19" s="26">
        <f>0</f>
        <v>0</v>
      </c>
      <c r="L19" s="26">
        <f>0</f>
        <v>0</v>
      </c>
      <c r="M19" s="26">
        <f>0</f>
        <v>0</v>
      </c>
      <c r="N19" s="26">
        <f>0</f>
        <v>0</v>
      </c>
      <c r="O19" s="14">
        <f t="shared" si="0"/>
        <v>20135.52</v>
      </c>
      <c r="P19" s="22">
        <f t="shared" si="1"/>
        <v>7.1136147451523313E-5</v>
      </c>
      <c r="Q19" s="16" t="s">
        <v>38</v>
      </c>
      <c r="R19" s="23">
        <v>0</v>
      </c>
      <c r="S19" s="28"/>
      <c r="U19"/>
    </row>
    <row r="20" spans="1:21" x14ac:dyDescent="0.3">
      <c r="A20" s="20" t="s">
        <v>39</v>
      </c>
      <c r="B20" s="26">
        <f>0</f>
        <v>0</v>
      </c>
      <c r="C20" s="26">
        <v>3438</v>
      </c>
      <c r="D20" s="26">
        <v>528</v>
      </c>
      <c r="E20" s="26">
        <v>3969</v>
      </c>
      <c r="F20" s="26">
        <v>369</v>
      </c>
      <c r="G20" s="26">
        <v>3289</v>
      </c>
      <c r="H20" s="26">
        <v>1513</v>
      </c>
      <c r="I20" s="26">
        <v>40</v>
      </c>
      <c r="J20" s="26">
        <v>3739</v>
      </c>
      <c r="K20" s="26">
        <v>1803</v>
      </c>
      <c r="L20" s="26">
        <v>5888</v>
      </c>
      <c r="M20" s="26">
        <v>7363</v>
      </c>
      <c r="N20" s="26">
        <v>20561</v>
      </c>
      <c r="O20" s="14">
        <f t="shared" si="0"/>
        <v>52500</v>
      </c>
      <c r="P20" s="22">
        <f t="shared" si="1"/>
        <v>1.8547560436507098E-4</v>
      </c>
      <c r="Q20" s="16" t="s">
        <v>40</v>
      </c>
      <c r="R20" s="23">
        <v>114027</v>
      </c>
      <c r="S20" s="28"/>
      <c r="U20"/>
    </row>
    <row r="21" spans="1:21" x14ac:dyDescent="0.3">
      <c r="A21" s="20" t="s">
        <v>41</v>
      </c>
      <c r="B21" s="26">
        <v>4325</v>
      </c>
      <c r="C21" s="26">
        <f>0</f>
        <v>0</v>
      </c>
      <c r="D21" s="26">
        <f>0</f>
        <v>0</v>
      </c>
      <c r="E21" s="26">
        <f>0</f>
        <v>0</v>
      </c>
      <c r="F21" s="26">
        <f>0</f>
        <v>0</v>
      </c>
      <c r="G21" s="26">
        <f>0</f>
        <v>0</v>
      </c>
      <c r="H21" s="26">
        <f>0</f>
        <v>0</v>
      </c>
      <c r="I21" s="26">
        <f>0</f>
        <v>0</v>
      </c>
      <c r="J21" s="26">
        <v>4547</v>
      </c>
      <c r="K21" s="26">
        <f>0</f>
        <v>0</v>
      </c>
      <c r="L21" s="26">
        <f>0</f>
        <v>0</v>
      </c>
      <c r="M21" s="26">
        <f>0</f>
        <v>0</v>
      </c>
      <c r="N21" s="26">
        <f>0</f>
        <v>0</v>
      </c>
      <c r="O21" s="14">
        <f t="shared" si="0"/>
        <v>8872</v>
      </c>
      <c r="P21" s="22">
        <f t="shared" si="1"/>
        <v>3.1343610703369705E-5</v>
      </c>
      <c r="Q21" s="16" t="s">
        <v>42</v>
      </c>
      <c r="R21" s="23">
        <v>0</v>
      </c>
      <c r="S21" s="28"/>
      <c r="U21"/>
    </row>
    <row r="22" spans="1:21" ht="26.6" x14ac:dyDescent="0.3">
      <c r="A22" s="20" t="s">
        <v>43</v>
      </c>
      <c r="B22" s="26">
        <f>0</f>
        <v>0</v>
      </c>
      <c r="C22" s="26">
        <f>0</f>
        <v>0</v>
      </c>
      <c r="D22" s="26">
        <f>0</f>
        <v>0</v>
      </c>
      <c r="E22" s="26">
        <f>0</f>
        <v>0</v>
      </c>
      <c r="F22" s="26">
        <f>0</f>
        <v>0</v>
      </c>
      <c r="G22" s="26">
        <f>0</f>
        <v>0</v>
      </c>
      <c r="H22" s="26">
        <f>0</f>
        <v>0</v>
      </c>
      <c r="I22" s="26">
        <f>0</f>
        <v>0</v>
      </c>
      <c r="J22" s="26">
        <f>0</f>
        <v>0</v>
      </c>
      <c r="K22" s="26">
        <f>0</f>
        <v>0</v>
      </c>
      <c r="L22" s="26">
        <f>0</f>
        <v>0</v>
      </c>
      <c r="M22" s="26">
        <f>0</f>
        <v>0</v>
      </c>
      <c r="N22" s="26">
        <f>0</f>
        <v>0</v>
      </c>
      <c r="O22" s="14">
        <f t="shared" si="0"/>
        <v>0</v>
      </c>
      <c r="P22" s="29"/>
      <c r="Q22" s="16" t="s">
        <v>44</v>
      </c>
      <c r="R22" s="23">
        <v>1084000</v>
      </c>
      <c r="S22" s="28"/>
      <c r="U22"/>
    </row>
    <row r="23" spans="1:21" x14ac:dyDescent="0.3">
      <c r="A23" s="20" t="s">
        <v>45</v>
      </c>
      <c r="B23" s="26">
        <f>0</f>
        <v>0</v>
      </c>
      <c r="C23" s="26">
        <f>0</f>
        <v>0</v>
      </c>
      <c r="D23" s="26">
        <f>0</f>
        <v>0</v>
      </c>
      <c r="E23" s="26">
        <f>0</f>
        <v>0</v>
      </c>
      <c r="F23" s="26">
        <f>0</f>
        <v>0</v>
      </c>
      <c r="G23" s="26">
        <f>0</f>
        <v>0</v>
      </c>
      <c r="H23" s="26">
        <f>0</f>
        <v>0</v>
      </c>
      <c r="I23" s="26">
        <f>0</f>
        <v>0</v>
      </c>
      <c r="J23" s="26">
        <f>0</f>
        <v>0</v>
      </c>
      <c r="K23" s="26">
        <f>0</f>
        <v>0</v>
      </c>
      <c r="L23" s="26">
        <f>0</f>
        <v>0</v>
      </c>
      <c r="M23" s="26">
        <f>0</f>
        <v>0</v>
      </c>
      <c r="N23" s="26">
        <f>0</f>
        <v>0</v>
      </c>
      <c r="O23" s="14">
        <f t="shared" si="0"/>
        <v>0</v>
      </c>
      <c r="P23" s="29"/>
      <c r="Q23" s="16" t="s">
        <v>46</v>
      </c>
      <c r="R23" s="23">
        <v>6600</v>
      </c>
      <c r="S23" s="28"/>
      <c r="U23"/>
    </row>
    <row r="24" spans="1:21" x14ac:dyDescent="0.3">
      <c r="A24" s="20" t="s">
        <v>47</v>
      </c>
      <c r="B24" s="26">
        <f>0</f>
        <v>0</v>
      </c>
      <c r="C24" s="26">
        <f>0</f>
        <v>0</v>
      </c>
      <c r="D24" s="26">
        <f>0</f>
        <v>0</v>
      </c>
      <c r="E24" s="26">
        <f>0</f>
        <v>0</v>
      </c>
      <c r="F24" s="26">
        <f>0</f>
        <v>0</v>
      </c>
      <c r="G24" s="26">
        <f>0</f>
        <v>0</v>
      </c>
      <c r="H24" s="26">
        <f>0</f>
        <v>0</v>
      </c>
      <c r="I24" s="26">
        <f>0</f>
        <v>0</v>
      </c>
      <c r="J24" s="26">
        <f>0</f>
        <v>0</v>
      </c>
      <c r="K24" s="26">
        <f>0</f>
        <v>0</v>
      </c>
      <c r="L24" s="26">
        <f>0</f>
        <v>0</v>
      </c>
      <c r="M24" s="26">
        <f>0</f>
        <v>0</v>
      </c>
      <c r="N24" s="26">
        <f>0</f>
        <v>0</v>
      </c>
      <c r="O24" s="14">
        <f t="shared" si="0"/>
        <v>0</v>
      </c>
      <c r="P24" s="29"/>
      <c r="Q24" s="16" t="s">
        <v>48</v>
      </c>
      <c r="R24" s="23">
        <v>-22891.87</v>
      </c>
      <c r="S24" s="28"/>
      <c r="U24"/>
    </row>
    <row r="25" spans="1:21" x14ac:dyDescent="0.3">
      <c r="A25" s="30" t="s">
        <v>19</v>
      </c>
      <c r="B25" s="31">
        <f>SUM(B13:B24)</f>
        <v>34915802.25</v>
      </c>
      <c r="C25" s="31">
        <f t="shared" ref="C25:O25" si="2">SUM(C13:C24)</f>
        <v>18487320.009999998</v>
      </c>
      <c r="D25" s="31">
        <f t="shared" si="2"/>
        <v>19455209.190000001</v>
      </c>
      <c r="E25" s="31">
        <f t="shared" si="2"/>
        <v>37315352.780000001</v>
      </c>
      <c r="F25" s="31">
        <f t="shared" si="2"/>
        <v>26167639.340000004</v>
      </c>
      <c r="G25" s="31">
        <f t="shared" si="2"/>
        <v>19560840.68</v>
      </c>
      <c r="H25" s="31">
        <f t="shared" si="2"/>
        <v>-1599035.9299999997</v>
      </c>
      <c r="I25" s="31">
        <f t="shared" si="2"/>
        <v>33170985.02</v>
      </c>
      <c r="J25" s="31">
        <f t="shared" si="2"/>
        <v>4410841.46</v>
      </c>
      <c r="K25" s="31">
        <f t="shared" si="2"/>
        <v>32568556.800000001</v>
      </c>
      <c r="L25" s="31">
        <f t="shared" si="2"/>
        <v>10917143.9</v>
      </c>
      <c r="M25" s="31">
        <f t="shared" si="2"/>
        <v>35533684.810000002</v>
      </c>
      <c r="N25" s="31">
        <f t="shared" si="2"/>
        <v>12151753.129999999</v>
      </c>
      <c r="O25" s="31">
        <f t="shared" si="2"/>
        <v>283056093.44</v>
      </c>
      <c r="P25" s="32">
        <f t="shared" ref="P25" si="3">SUM(P13:P21)</f>
        <v>1</v>
      </c>
      <c r="R25"/>
      <c r="S25"/>
      <c r="U25"/>
    </row>
    <row r="26" spans="1:21" x14ac:dyDescent="0.3">
      <c r="A26"/>
      <c r="B26"/>
      <c r="C26"/>
    </row>
    <row r="28" spans="1:21" x14ac:dyDescent="0.3">
      <c r="A28"/>
    </row>
    <row r="29" spans="1:21" x14ac:dyDescent="0.3">
      <c r="A29"/>
    </row>
    <row r="30" spans="1:21" x14ac:dyDescent="0.3">
      <c r="A30"/>
    </row>
    <row r="31" spans="1:21" x14ac:dyDescent="0.3">
      <c r="A31"/>
    </row>
    <row r="32" spans="1:21" x14ac:dyDescent="0.3">
      <c r="A32"/>
    </row>
  </sheetData>
  <conditionalFormatting sqref="A13:A24">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2ACC-ADC9-4F63-B43E-13B461732A95}">
  <dimension ref="A1:BL147"/>
  <sheetViews>
    <sheetView showGridLines="0" zoomScale="67" zoomScaleNormal="80" workbookViewId="0">
      <selection activeCell="A3" sqref="A1:A3"/>
    </sheetView>
  </sheetViews>
  <sheetFormatPr defaultColWidth="8.796875" defaultRowHeight="13.3" x14ac:dyDescent="0.3"/>
  <cols>
    <col min="1" max="1" width="11.3984375" style="2" bestFit="1" customWidth="1"/>
    <col min="2" max="2" width="91.69921875" style="2" bestFit="1" customWidth="1"/>
    <col min="3" max="3" width="87.09765625" style="2" bestFit="1" customWidth="1"/>
    <col min="4" max="4" width="11.296875" style="2" bestFit="1" customWidth="1"/>
    <col min="5" max="5" width="15.69921875" style="2" bestFit="1" customWidth="1"/>
    <col min="6" max="6" width="16.59765625" style="2" bestFit="1" customWidth="1"/>
    <col min="7" max="7" width="13.296875" style="2" bestFit="1" customWidth="1"/>
    <col min="8" max="8" width="16" style="2" bestFit="1" customWidth="1"/>
    <col min="9" max="9" width="12.3984375" style="2" bestFit="1" customWidth="1"/>
    <col min="10" max="10" width="55.3984375" style="2" customWidth="1"/>
    <col min="11" max="11" width="74.59765625" style="2" customWidth="1"/>
    <col min="12" max="12" width="17.5" style="2" customWidth="1"/>
    <col min="13" max="13" width="7.3984375" style="2" customWidth="1"/>
    <col min="14" max="14" width="15.69921875" style="2" customWidth="1"/>
    <col min="15" max="15" width="11.8984375" style="2" customWidth="1"/>
    <col min="16" max="16" width="11.69921875" style="2" customWidth="1"/>
    <col min="17" max="17" width="14.8984375" style="2" customWidth="1"/>
    <col min="18" max="18" width="14.69921875" style="2" customWidth="1"/>
    <col min="19" max="19" width="16" style="2" bestFit="1" customWidth="1"/>
    <col min="20" max="20" width="11.3984375" style="2" customWidth="1"/>
    <col min="21" max="21" width="10.8984375" style="2" customWidth="1"/>
    <col min="22" max="22" width="16.296875" style="2" customWidth="1"/>
    <col min="23" max="23" width="25.3984375" style="2" customWidth="1"/>
    <col min="24" max="24" width="16.296875" style="2" customWidth="1"/>
    <col min="25" max="25" width="22.8984375" style="2" customWidth="1"/>
    <col min="26" max="26" width="34.796875" style="2" customWidth="1"/>
    <col min="27" max="27" width="8.09765625" style="2" customWidth="1"/>
    <col min="28" max="28" width="20.3984375" style="2" customWidth="1"/>
    <col min="29" max="29" width="10.3984375" style="2" customWidth="1"/>
    <col min="30" max="30" width="29.3984375" style="2" customWidth="1"/>
    <col min="31" max="31" width="12.69921875" style="2" customWidth="1"/>
    <col min="32" max="32" width="17.8984375" style="2" customWidth="1"/>
    <col min="33" max="33" width="5.296875" style="2" customWidth="1"/>
    <col min="34" max="34" width="37.8984375" style="2" customWidth="1"/>
    <col min="35" max="37" width="12.3984375" style="2" customWidth="1"/>
    <col min="38" max="38" width="23.296875" style="2" customWidth="1"/>
    <col min="39" max="39" width="13.19921875" style="2" customWidth="1"/>
    <col min="40" max="40" width="19.09765625" style="2" customWidth="1"/>
    <col min="41" max="42" width="62.19921875" style="2" customWidth="1"/>
    <col min="43" max="43" width="7.5" style="2" bestFit="1" customWidth="1"/>
    <col min="44" max="44" width="113.8984375" style="2" customWidth="1"/>
    <col min="45" max="45" width="181.296875" style="2" bestFit="1" customWidth="1"/>
    <col min="46" max="46" width="16.59765625" style="2" bestFit="1" customWidth="1"/>
    <col min="47" max="47" width="21.19921875" style="2" bestFit="1" customWidth="1"/>
    <col min="48" max="48" width="17.8984375" style="2" bestFit="1" customWidth="1"/>
    <col min="49" max="49" width="18.19921875" style="2" bestFit="1" customWidth="1"/>
    <col min="50" max="50" width="40.69921875" style="2" bestFit="1" customWidth="1"/>
    <col min="51" max="51" width="210.09765625" style="2" bestFit="1" customWidth="1"/>
    <col min="52" max="52" width="9.3984375" style="2" bestFit="1" customWidth="1"/>
    <col min="53" max="53" width="14" style="2" bestFit="1" customWidth="1"/>
    <col min="54" max="54" width="13" style="2" bestFit="1" customWidth="1"/>
    <col min="55" max="55" width="16.69921875" style="2" bestFit="1" customWidth="1"/>
    <col min="56" max="56" width="18.59765625" style="2" bestFit="1" customWidth="1"/>
    <col min="57" max="57" width="22.296875" style="2" bestFit="1" customWidth="1"/>
    <col min="58" max="58" width="16.3984375" style="2" bestFit="1" customWidth="1"/>
    <col min="59" max="59" width="13.69921875" style="2" bestFit="1" customWidth="1"/>
    <col min="60" max="60" width="8.8984375" style="2" bestFit="1" customWidth="1"/>
    <col min="61" max="61" width="255.69921875" style="2" bestFit="1" customWidth="1"/>
    <col min="62" max="62" width="18.09765625" style="2" bestFit="1" customWidth="1"/>
    <col min="63" max="63" width="15.296875" style="2" bestFit="1" customWidth="1"/>
    <col min="64" max="64" width="10.3984375" style="2" bestFit="1" customWidth="1"/>
    <col min="65" max="16384" width="8.796875" style="2"/>
  </cols>
  <sheetData>
    <row r="1" spans="1:64" x14ac:dyDescent="0.3">
      <c r="A1" s="1"/>
    </row>
    <row r="2" spans="1:64" x14ac:dyDescent="0.3">
      <c r="A2" s="1"/>
    </row>
    <row r="3" spans="1:64" x14ac:dyDescent="0.3">
      <c r="A3" s="1"/>
    </row>
    <row r="5" spans="1:64" x14ac:dyDescent="0.3">
      <c r="A5" s="1" t="s">
        <v>49</v>
      </c>
    </row>
    <row r="6" spans="1:64" x14ac:dyDescent="0.3">
      <c r="T6" s="33"/>
    </row>
    <row r="7" spans="1:64" ht="14.4" x14ac:dyDescent="0.3">
      <c r="A7" s="9" t="s">
        <v>50</v>
      </c>
      <c r="B7" s="9" t="s">
        <v>51</v>
      </c>
      <c r="C7" s="9" t="s">
        <v>52</v>
      </c>
      <c r="D7" s="9" t="s">
        <v>53</v>
      </c>
      <c r="E7" s="9" t="s">
        <v>54</v>
      </c>
      <c r="F7" s="9" t="s">
        <v>55</v>
      </c>
      <c r="G7" s="9" t="s">
        <v>56</v>
      </c>
      <c r="H7" s="9" t="s">
        <v>57</v>
      </c>
      <c r="I7" s="9" t="s">
        <v>58</v>
      </c>
      <c r="J7" s="9" t="s">
        <v>59</v>
      </c>
      <c r="K7" s="9" t="s">
        <v>60</v>
      </c>
      <c r="L7" s="9" t="s">
        <v>61</v>
      </c>
      <c r="M7" s="9" t="s">
        <v>62</v>
      </c>
      <c r="N7" s="9" t="s">
        <v>63</v>
      </c>
      <c r="O7" s="9" t="s">
        <v>64</v>
      </c>
      <c r="P7" s="9" t="s">
        <v>65</v>
      </c>
      <c r="Q7" s="9" t="s">
        <v>66</v>
      </c>
      <c r="R7" s="9" t="s">
        <v>67</v>
      </c>
      <c r="S7" s="9" t="s">
        <v>68</v>
      </c>
      <c r="T7" s="9" t="s">
        <v>69</v>
      </c>
      <c r="U7" s="9" t="s">
        <v>70</v>
      </c>
      <c r="V7" s="9" t="s">
        <v>71</v>
      </c>
      <c r="W7" s="9" t="s">
        <v>72</v>
      </c>
      <c r="X7" s="9" t="s">
        <v>73</v>
      </c>
      <c r="Y7" s="9" t="s">
        <v>74</v>
      </c>
      <c r="Z7" s="9" t="s">
        <v>75</v>
      </c>
      <c r="AA7" s="9" t="s">
        <v>76</v>
      </c>
      <c r="AB7" s="9" t="s">
        <v>77</v>
      </c>
      <c r="AC7" s="9" t="s">
        <v>78</v>
      </c>
      <c r="AD7" s="9" t="s">
        <v>79</v>
      </c>
      <c r="AE7" s="9" t="s">
        <v>80</v>
      </c>
      <c r="AF7" s="9" t="s">
        <v>81</v>
      </c>
      <c r="AG7" s="9" t="s">
        <v>82</v>
      </c>
      <c r="AH7" s="9" t="s">
        <v>83</v>
      </c>
      <c r="AI7" s="9" t="s">
        <v>84</v>
      </c>
      <c r="AJ7" s="9" t="s">
        <v>85</v>
      </c>
      <c r="AK7" s="9" t="s">
        <v>86</v>
      </c>
      <c r="AL7" s="9" t="s">
        <v>87</v>
      </c>
      <c r="AM7" s="9" t="s">
        <v>88</v>
      </c>
      <c r="AN7" s="9" t="s">
        <v>89</v>
      </c>
      <c r="AO7" s="9" t="s">
        <v>90</v>
      </c>
      <c r="AP7" s="9" t="s">
        <v>91</v>
      </c>
      <c r="AQ7" s="9" t="s">
        <v>92</v>
      </c>
      <c r="AR7" s="9" t="s">
        <v>93</v>
      </c>
      <c r="AS7" s="9" t="s">
        <v>94</v>
      </c>
      <c r="AT7" s="9" t="s">
        <v>95</v>
      </c>
      <c r="AU7" s="9" t="s">
        <v>77</v>
      </c>
      <c r="AV7" s="9" t="s">
        <v>96</v>
      </c>
      <c r="AW7" s="9" t="s">
        <v>97</v>
      </c>
      <c r="AX7" s="9" t="s">
        <v>98</v>
      </c>
      <c r="AY7" s="9" t="s">
        <v>99</v>
      </c>
      <c r="AZ7" s="9" t="s">
        <v>100</v>
      </c>
      <c r="BA7" s="9" t="s">
        <v>101</v>
      </c>
      <c r="BB7" s="9" t="s">
        <v>102</v>
      </c>
      <c r="BC7" s="9" t="s">
        <v>103</v>
      </c>
      <c r="BD7" s="9" t="s">
        <v>104</v>
      </c>
      <c r="BE7" s="9" t="s">
        <v>105</v>
      </c>
      <c r="BF7" s="9" t="s">
        <v>106</v>
      </c>
      <c r="BG7" s="9" t="s">
        <v>107</v>
      </c>
      <c r="BH7" s="9" t="s">
        <v>108</v>
      </c>
      <c r="BI7" s="9" t="s">
        <v>109</v>
      </c>
      <c r="BJ7"/>
      <c r="BK7"/>
      <c r="BL7"/>
    </row>
    <row r="8" spans="1:64" ht="14.4" x14ac:dyDescent="0.3">
      <c r="A8" s="20" t="s">
        <v>110</v>
      </c>
      <c r="B8" s="20" t="s">
        <v>111</v>
      </c>
      <c r="C8" s="20" t="s">
        <v>112</v>
      </c>
      <c r="D8" s="20" t="s">
        <v>113</v>
      </c>
      <c r="E8" s="20" t="s">
        <v>114</v>
      </c>
      <c r="F8" s="20">
        <v>7</v>
      </c>
      <c r="G8" s="20" t="s">
        <v>6</v>
      </c>
      <c r="H8" s="34">
        <v>46107</v>
      </c>
      <c r="I8" s="20">
        <v>9</v>
      </c>
      <c r="J8" s="20" t="s">
        <v>115</v>
      </c>
      <c r="K8" s="20" t="s">
        <v>116</v>
      </c>
      <c r="L8" s="20" t="s">
        <v>117</v>
      </c>
      <c r="M8" s="20" t="s">
        <v>118</v>
      </c>
      <c r="N8" s="20" t="s">
        <v>119</v>
      </c>
      <c r="O8" s="20">
        <v>11590857.99</v>
      </c>
      <c r="P8" s="20"/>
      <c r="Q8" s="20">
        <v>11590857.99</v>
      </c>
      <c r="R8" s="20"/>
      <c r="S8" s="20">
        <v>11590857.99</v>
      </c>
      <c r="T8" s="20" t="s">
        <v>120</v>
      </c>
      <c r="U8" s="20">
        <v>5210101232</v>
      </c>
      <c r="V8" s="20" t="s">
        <v>121</v>
      </c>
      <c r="W8" s="20" t="s">
        <v>122</v>
      </c>
      <c r="X8" s="20" t="s">
        <v>123</v>
      </c>
      <c r="Y8" s="20" t="s">
        <v>124</v>
      </c>
      <c r="Z8" s="20" t="s">
        <v>125</v>
      </c>
      <c r="AA8" s="20">
        <v>0</v>
      </c>
      <c r="AB8" s="20" t="s">
        <v>126</v>
      </c>
      <c r="AC8" s="20" t="s">
        <v>127</v>
      </c>
      <c r="AD8" s="20" t="s">
        <v>128</v>
      </c>
      <c r="AE8" s="20" t="s">
        <v>129</v>
      </c>
      <c r="AF8" s="20" t="s">
        <v>130</v>
      </c>
      <c r="AG8" s="20" t="s">
        <v>131</v>
      </c>
      <c r="AH8" s="20" t="s">
        <v>132</v>
      </c>
      <c r="AI8" s="20"/>
      <c r="AJ8" s="20"/>
      <c r="AK8" s="20"/>
      <c r="AL8" s="20" t="s">
        <v>133</v>
      </c>
      <c r="AM8" s="20"/>
      <c r="AN8" s="20"/>
      <c r="AO8" s="20" t="s">
        <v>24</v>
      </c>
      <c r="AP8" s="20" t="s">
        <v>24</v>
      </c>
      <c r="AQ8" s="20"/>
      <c r="AR8" s="20" t="s">
        <v>134</v>
      </c>
      <c r="AS8" s="20"/>
      <c r="AT8" s="20">
        <v>117689</v>
      </c>
      <c r="AU8" s="20" t="s">
        <v>135</v>
      </c>
      <c r="AV8" s="20">
        <v>5509</v>
      </c>
      <c r="AW8" s="20" t="s">
        <v>136</v>
      </c>
      <c r="AX8" s="20">
        <v>100070263</v>
      </c>
      <c r="AY8" s="20" t="s">
        <v>137</v>
      </c>
      <c r="AZ8" s="20"/>
      <c r="BA8" s="20"/>
      <c r="BB8" s="20"/>
      <c r="BC8" s="20"/>
      <c r="BD8" s="20"/>
      <c r="BE8" s="20"/>
      <c r="BF8" s="20"/>
      <c r="BG8" s="20"/>
      <c r="BH8" s="20"/>
      <c r="BI8" s="20" t="s">
        <v>138</v>
      </c>
      <c r="BJ8"/>
      <c r="BK8"/>
      <c r="BL8"/>
    </row>
    <row r="9" spans="1:64" ht="14.4" x14ac:dyDescent="0.3">
      <c r="A9" s="20" t="s">
        <v>139</v>
      </c>
      <c r="B9" s="20" t="s">
        <v>140</v>
      </c>
      <c r="C9" s="20" t="s">
        <v>141</v>
      </c>
      <c r="D9" s="20" t="s">
        <v>142</v>
      </c>
      <c r="E9" s="20" t="s">
        <v>143</v>
      </c>
      <c r="F9" s="20">
        <v>7</v>
      </c>
      <c r="G9" s="20" t="s">
        <v>8</v>
      </c>
      <c r="H9" s="34">
        <v>45790</v>
      </c>
      <c r="I9" s="20">
        <v>69</v>
      </c>
      <c r="J9" s="20" t="s">
        <v>144</v>
      </c>
      <c r="K9" s="20" t="s">
        <v>145</v>
      </c>
      <c r="L9" s="20" t="s">
        <v>117</v>
      </c>
      <c r="M9" s="20" t="s">
        <v>118</v>
      </c>
      <c r="N9" s="20" t="s">
        <v>119</v>
      </c>
      <c r="O9" s="20">
        <v>11183040</v>
      </c>
      <c r="P9" s="20"/>
      <c r="Q9" s="20">
        <v>11183040</v>
      </c>
      <c r="R9" s="20"/>
      <c r="S9" s="20">
        <v>11183040</v>
      </c>
      <c r="T9" s="20" t="s">
        <v>146</v>
      </c>
      <c r="U9" s="20">
        <v>5210101581</v>
      </c>
      <c r="V9" s="20" t="s">
        <v>123</v>
      </c>
      <c r="W9" s="20" t="s">
        <v>124</v>
      </c>
      <c r="X9" s="20" t="s">
        <v>123</v>
      </c>
      <c r="Y9" s="20" t="s">
        <v>124</v>
      </c>
      <c r="Z9" s="20" t="s">
        <v>147</v>
      </c>
      <c r="AA9" s="20">
        <v>0</v>
      </c>
      <c r="AB9" s="20" t="s">
        <v>126</v>
      </c>
      <c r="AC9" s="20" t="s">
        <v>148</v>
      </c>
      <c r="AD9" s="20" t="s">
        <v>149</v>
      </c>
      <c r="AE9" s="20" t="s">
        <v>150</v>
      </c>
      <c r="AF9" s="20" t="s">
        <v>151</v>
      </c>
      <c r="AG9" s="20" t="s">
        <v>131</v>
      </c>
      <c r="AH9" s="20" t="s">
        <v>132</v>
      </c>
      <c r="AI9" s="20"/>
      <c r="AJ9" s="20"/>
      <c r="AK9" s="20"/>
      <c r="AL9" s="20" t="s">
        <v>152</v>
      </c>
      <c r="AM9" s="20">
        <v>45757</v>
      </c>
      <c r="AN9" s="20" t="s">
        <v>153</v>
      </c>
      <c r="AO9" s="20" t="s">
        <v>154</v>
      </c>
      <c r="AP9" s="20" t="s">
        <v>154</v>
      </c>
      <c r="AQ9" s="20"/>
      <c r="AR9" s="20" t="s">
        <v>155</v>
      </c>
      <c r="AS9" s="20" t="s">
        <v>156</v>
      </c>
      <c r="AT9" s="20">
        <v>117399</v>
      </c>
      <c r="AU9" s="20" t="s">
        <v>157</v>
      </c>
      <c r="AV9" s="20">
        <v>4100</v>
      </c>
      <c r="AW9" s="20" t="s">
        <v>158</v>
      </c>
      <c r="AX9" s="20">
        <v>100065551</v>
      </c>
      <c r="AY9" s="20"/>
      <c r="AZ9" s="20"/>
      <c r="BA9" s="20"/>
      <c r="BB9" s="20"/>
      <c r="BC9" s="20"/>
      <c r="BD9" s="20"/>
      <c r="BE9" s="20"/>
      <c r="BF9" s="20"/>
      <c r="BG9" s="20"/>
      <c r="BH9" s="20"/>
      <c r="BI9" s="20" t="s">
        <v>159</v>
      </c>
      <c r="BJ9"/>
      <c r="BK9"/>
      <c r="BL9"/>
    </row>
    <row r="10" spans="1:64" ht="14.4" x14ac:dyDescent="0.3">
      <c r="A10" s="20" t="s">
        <v>160</v>
      </c>
      <c r="B10" s="20" t="s">
        <v>161</v>
      </c>
      <c r="C10" s="20" t="s">
        <v>162</v>
      </c>
      <c r="D10" s="20" t="s">
        <v>142</v>
      </c>
      <c r="E10" s="20" t="s">
        <v>143</v>
      </c>
      <c r="F10" s="20">
        <v>7</v>
      </c>
      <c r="G10" s="20" t="s">
        <v>17</v>
      </c>
      <c r="H10" s="34">
        <v>46055</v>
      </c>
      <c r="I10" s="20">
        <v>108</v>
      </c>
      <c r="J10" s="20" t="s">
        <v>163</v>
      </c>
      <c r="K10" s="20" t="s">
        <v>116</v>
      </c>
      <c r="L10" s="20" t="s">
        <v>117</v>
      </c>
      <c r="M10" s="20" t="s">
        <v>118</v>
      </c>
      <c r="N10" s="20" t="s">
        <v>119</v>
      </c>
      <c r="O10" s="20">
        <v>11501733.640000001</v>
      </c>
      <c r="P10" s="20"/>
      <c r="Q10" s="20">
        <v>11501733.640000001</v>
      </c>
      <c r="R10" s="20"/>
      <c r="S10" s="20">
        <v>11501733.640000001</v>
      </c>
      <c r="T10" s="20" t="s">
        <v>120</v>
      </c>
      <c r="U10" s="20">
        <v>5210101232</v>
      </c>
      <c r="V10" s="20" t="s">
        <v>121</v>
      </c>
      <c r="W10" s="20" t="s">
        <v>122</v>
      </c>
      <c r="X10" s="20" t="s">
        <v>123</v>
      </c>
      <c r="Y10" s="20" t="s">
        <v>124</v>
      </c>
      <c r="Z10" s="20" t="s">
        <v>125</v>
      </c>
      <c r="AA10" s="20">
        <v>0</v>
      </c>
      <c r="AB10" s="20" t="s">
        <v>126</v>
      </c>
      <c r="AC10" s="20" t="s">
        <v>127</v>
      </c>
      <c r="AD10" s="20" t="s">
        <v>128</v>
      </c>
      <c r="AE10" s="20" t="s">
        <v>129</v>
      </c>
      <c r="AF10" s="20" t="s">
        <v>130</v>
      </c>
      <c r="AG10" s="20" t="s">
        <v>131</v>
      </c>
      <c r="AH10" s="20" t="s">
        <v>132</v>
      </c>
      <c r="AI10" s="20"/>
      <c r="AJ10" s="20"/>
      <c r="AK10" s="20"/>
      <c r="AL10" s="20" t="s">
        <v>164</v>
      </c>
      <c r="AM10" s="20">
        <v>45994</v>
      </c>
      <c r="AN10" s="20" t="s">
        <v>165</v>
      </c>
      <c r="AO10" s="20" t="s">
        <v>24</v>
      </c>
      <c r="AP10" s="20" t="s">
        <v>24</v>
      </c>
      <c r="AQ10" s="20"/>
      <c r="AR10" s="20" t="s">
        <v>166</v>
      </c>
      <c r="AS10" s="20" t="s">
        <v>167</v>
      </c>
      <c r="AT10" s="20">
        <v>117689</v>
      </c>
      <c r="AU10" s="20" t="s">
        <v>135</v>
      </c>
      <c r="AV10" s="20">
        <v>5509</v>
      </c>
      <c r="AW10" s="20" t="s">
        <v>136</v>
      </c>
      <c r="AX10" s="20">
        <v>100070263</v>
      </c>
      <c r="AY10" s="20"/>
      <c r="AZ10" s="20"/>
      <c r="BA10" s="20"/>
      <c r="BB10" s="20"/>
      <c r="BC10" s="20"/>
      <c r="BD10" s="20"/>
      <c r="BE10" s="20"/>
      <c r="BF10" s="20"/>
      <c r="BG10" s="20"/>
      <c r="BH10" s="20"/>
      <c r="BI10" s="20" t="s">
        <v>168</v>
      </c>
      <c r="BJ10"/>
      <c r="BK10"/>
      <c r="BL10"/>
    </row>
    <row r="11" spans="1:64" ht="14.4" x14ac:dyDescent="0.3">
      <c r="A11" s="20" t="s">
        <v>169</v>
      </c>
      <c r="B11" s="20" t="s">
        <v>170</v>
      </c>
      <c r="C11" s="20" t="s">
        <v>171</v>
      </c>
      <c r="D11" s="20" t="s">
        <v>172</v>
      </c>
      <c r="E11" s="20" t="s">
        <v>173</v>
      </c>
      <c r="F11" s="20">
        <v>7</v>
      </c>
      <c r="G11" s="20" t="s">
        <v>7</v>
      </c>
      <c r="H11" s="34">
        <v>45768</v>
      </c>
      <c r="I11" s="20">
        <v>3</v>
      </c>
      <c r="J11" s="20" t="s">
        <v>174</v>
      </c>
      <c r="K11" s="20" t="s">
        <v>116</v>
      </c>
      <c r="L11" s="20" t="s">
        <v>117</v>
      </c>
      <c r="M11" s="20" t="s">
        <v>118</v>
      </c>
      <c r="N11" s="20" t="s">
        <v>119</v>
      </c>
      <c r="O11" s="20">
        <v>11253696.6</v>
      </c>
      <c r="P11" s="20"/>
      <c r="Q11" s="20">
        <v>11253696.6</v>
      </c>
      <c r="R11" s="20"/>
      <c r="S11" s="20">
        <v>11253696.6</v>
      </c>
      <c r="T11" s="20" t="s">
        <v>146</v>
      </c>
      <c r="U11" s="20">
        <v>5210101232</v>
      </c>
      <c r="V11" s="20" t="s">
        <v>121</v>
      </c>
      <c r="W11" s="20" t="s">
        <v>122</v>
      </c>
      <c r="X11" s="20" t="s">
        <v>123</v>
      </c>
      <c r="Y11" s="20" t="s">
        <v>124</v>
      </c>
      <c r="Z11" s="20" t="s">
        <v>125</v>
      </c>
      <c r="AA11" s="20">
        <v>0</v>
      </c>
      <c r="AB11" s="20" t="s">
        <v>126</v>
      </c>
      <c r="AC11" s="20" t="s">
        <v>127</v>
      </c>
      <c r="AD11" s="20" t="s">
        <v>128</v>
      </c>
      <c r="AE11" s="20" t="s">
        <v>129</v>
      </c>
      <c r="AF11" s="20" t="s">
        <v>130</v>
      </c>
      <c r="AG11" s="20" t="s">
        <v>131</v>
      </c>
      <c r="AH11" s="20" t="s">
        <v>132</v>
      </c>
      <c r="AI11" s="20"/>
      <c r="AJ11" s="20"/>
      <c r="AK11" s="20"/>
      <c r="AL11" s="20" t="s">
        <v>175</v>
      </c>
      <c r="AM11" s="20"/>
      <c r="AN11" s="20"/>
      <c r="AO11" s="20" t="s">
        <v>24</v>
      </c>
      <c r="AP11" s="20" t="s">
        <v>24</v>
      </c>
      <c r="AQ11" s="20"/>
      <c r="AR11" s="20"/>
      <c r="AS11" s="20"/>
      <c r="AT11" s="20"/>
      <c r="AU11" s="20"/>
      <c r="AV11" s="20"/>
      <c r="AW11" s="20"/>
      <c r="AX11" s="20">
        <v>100064933</v>
      </c>
      <c r="AY11" s="20" t="s">
        <v>176</v>
      </c>
      <c r="AZ11" s="20"/>
      <c r="BA11" s="20"/>
      <c r="BB11" s="20"/>
      <c r="BC11" s="20"/>
      <c r="BD11" s="20"/>
      <c r="BE11" s="20"/>
      <c r="BF11" s="20"/>
      <c r="BG11" s="20"/>
      <c r="BH11" s="20"/>
      <c r="BI11" s="20" t="s">
        <v>177</v>
      </c>
      <c r="BJ11"/>
      <c r="BK11"/>
      <c r="BL11"/>
    </row>
    <row r="12" spans="1:64" s="35" customFormat="1" ht="14.4" x14ac:dyDescent="0.3">
      <c r="A12" s="20" t="s">
        <v>178</v>
      </c>
      <c r="B12" s="20" t="s">
        <v>179</v>
      </c>
      <c r="C12" s="20" t="s">
        <v>180</v>
      </c>
      <c r="D12" s="20" t="s">
        <v>142</v>
      </c>
      <c r="E12" s="20" t="s">
        <v>143</v>
      </c>
      <c r="F12" s="20">
        <v>7</v>
      </c>
      <c r="G12" s="20" t="s">
        <v>9</v>
      </c>
      <c r="H12" s="34">
        <v>45832</v>
      </c>
      <c r="I12" s="20">
        <v>33</v>
      </c>
      <c r="J12" s="20" t="s">
        <v>181</v>
      </c>
      <c r="K12" s="20" t="s">
        <v>116</v>
      </c>
      <c r="L12" s="20" t="s">
        <v>117</v>
      </c>
      <c r="M12" s="20" t="s">
        <v>118</v>
      </c>
      <c r="N12" s="20" t="s">
        <v>119</v>
      </c>
      <c r="O12" s="20">
        <v>11253696.6</v>
      </c>
      <c r="P12" s="20"/>
      <c r="Q12" s="20">
        <v>11253696.6</v>
      </c>
      <c r="R12" s="20"/>
      <c r="S12" s="20">
        <v>11253696.6</v>
      </c>
      <c r="T12" s="20" t="s">
        <v>146</v>
      </c>
      <c r="U12" s="20">
        <v>5210101232</v>
      </c>
      <c r="V12" s="20" t="s">
        <v>121</v>
      </c>
      <c r="W12" s="20" t="s">
        <v>122</v>
      </c>
      <c r="X12" s="20" t="s">
        <v>123</v>
      </c>
      <c r="Y12" s="20" t="s">
        <v>124</v>
      </c>
      <c r="Z12" s="20" t="s">
        <v>125</v>
      </c>
      <c r="AA12" s="20">
        <v>0</v>
      </c>
      <c r="AB12" s="20" t="s">
        <v>126</v>
      </c>
      <c r="AC12" s="20" t="s">
        <v>127</v>
      </c>
      <c r="AD12" s="20" t="s">
        <v>128</v>
      </c>
      <c r="AE12" s="20" t="s">
        <v>129</v>
      </c>
      <c r="AF12" s="20" t="s">
        <v>130</v>
      </c>
      <c r="AG12" s="20" t="s">
        <v>131</v>
      </c>
      <c r="AH12" s="20" t="s">
        <v>132</v>
      </c>
      <c r="AI12" s="20"/>
      <c r="AJ12" s="20"/>
      <c r="AK12" s="20"/>
      <c r="AL12" s="20" t="s">
        <v>182</v>
      </c>
      <c r="AM12" s="20">
        <v>45810</v>
      </c>
      <c r="AN12" s="20" t="s">
        <v>183</v>
      </c>
      <c r="AO12" s="20" t="s">
        <v>24</v>
      </c>
      <c r="AP12" s="20" t="s">
        <v>24</v>
      </c>
      <c r="AQ12" s="20"/>
      <c r="AR12" s="20" t="s">
        <v>184</v>
      </c>
      <c r="AS12" s="20" t="s">
        <v>185</v>
      </c>
      <c r="AT12" s="20">
        <v>117689</v>
      </c>
      <c r="AU12" s="20" t="s">
        <v>135</v>
      </c>
      <c r="AV12" s="20">
        <v>5509</v>
      </c>
      <c r="AW12" s="20" t="s">
        <v>136</v>
      </c>
      <c r="AX12" s="20">
        <v>100064933</v>
      </c>
      <c r="AY12" s="20"/>
      <c r="AZ12" s="20"/>
      <c r="BA12" s="20"/>
      <c r="BB12" s="20"/>
      <c r="BC12" s="20"/>
      <c r="BD12" s="20"/>
      <c r="BE12" s="20"/>
      <c r="BF12" s="20"/>
      <c r="BG12" s="20"/>
      <c r="BH12" s="20"/>
      <c r="BI12" s="20" t="s">
        <v>186</v>
      </c>
      <c r="BJ12"/>
      <c r="BK12"/>
      <c r="BL12"/>
    </row>
    <row r="13" spans="1:64" ht="14.4" x14ac:dyDescent="0.3">
      <c r="A13" s="20" t="s">
        <v>187</v>
      </c>
      <c r="B13" s="20" t="s">
        <v>188</v>
      </c>
      <c r="C13" s="20" t="s">
        <v>189</v>
      </c>
      <c r="D13" s="20" t="s">
        <v>172</v>
      </c>
      <c r="E13" s="20" t="s">
        <v>190</v>
      </c>
      <c r="F13" s="20">
        <v>7</v>
      </c>
      <c r="G13" s="20" t="s">
        <v>6</v>
      </c>
      <c r="H13" s="34">
        <v>46118</v>
      </c>
      <c r="I13" s="20">
        <v>162</v>
      </c>
      <c r="J13" s="20" t="s">
        <v>191</v>
      </c>
      <c r="K13" s="20" t="s">
        <v>192</v>
      </c>
      <c r="L13" s="20" t="s">
        <v>117</v>
      </c>
      <c r="M13" s="20" t="s">
        <v>118</v>
      </c>
      <c r="N13" s="20" t="s">
        <v>119</v>
      </c>
      <c r="O13" s="20">
        <v>10175000</v>
      </c>
      <c r="P13" s="20"/>
      <c r="Q13" s="20">
        <v>10175000</v>
      </c>
      <c r="R13" s="20"/>
      <c r="S13" s="20">
        <v>10175000</v>
      </c>
      <c r="T13" s="20" t="s">
        <v>120</v>
      </c>
      <c r="U13" s="20">
        <v>5210101581</v>
      </c>
      <c r="V13" s="20" t="s">
        <v>123</v>
      </c>
      <c r="W13" s="20" t="s">
        <v>124</v>
      </c>
      <c r="X13" s="20" t="s">
        <v>123</v>
      </c>
      <c r="Y13" s="20" t="s">
        <v>124</v>
      </c>
      <c r="Z13" s="20" t="s">
        <v>147</v>
      </c>
      <c r="AA13" s="20">
        <v>0</v>
      </c>
      <c r="AB13" s="20" t="s">
        <v>126</v>
      </c>
      <c r="AC13" s="20" t="s">
        <v>127</v>
      </c>
      <c r="AD13" s="20" t="s">
        <v>128</v>
      </c>
      <c r="AE13" s="20" t="s">
        <v>150</v>
      </c>
      <c r="AF13" s="20" t="s">
        <v>151</v>
      </c>
      <c r="AG13" s="20" t="s">
        <v>131</v>
      </c>
      <c r="AH13" s="20" t="s">
        <v>132</v>
      </c>
      <c r="AI13" s="20"/>
      <c r="AJ13" s="20"/>
      <c r="AK13" s="20"/>
      <c r="AL13" s="20"/>
      <c r="AM13" s="20"/>
      <c r="AN13" s="20"/>
      <c r="AO13" s="20" t="s">
        <v>27</v>
      </c>
      <c r="AP13" s="20" t="s">
        <v>27</v>
      </c>
      <c r="AQ13" s="20"/>
      <c r="AR13" s="20"/>
      <c r="AS13" s="20"/>
      <c r="AT13" s="20">
        <v>117399</v>
      </c>
      <c r="AU13" s="20" t="s">
        <v>157</v>
      </c>
      <c r="AV13" s="20">
        <v>4100</v>
      </c>
      <c r="AW13" s="20" t="s">
        <v>158</v>
      </c>
      <c r="AX13" s="20">
        <v>100065551</v>
      </c>
      <c r="AY13" s="20" t="s">
        <v>191</v>
      </c>
      <c r="AZ13" s="20"/>
      <c r="BA13" s="20"/>
      <c r="BB13" s="20"/>
      <c r="BC13" s="20"/>
      <c r="BD13" s="20"/>
      <c r="BE13" s="20"/>
      <c r="BF13" s="20"/>
      <c r="BG13" s="20"/>
      <c r="BH13" s="20"/>
      <c r="BI13" s="20" t="s">
        <v>193</v>
      </c>
      <c r="BJ13"/>
      <c r="BK13"/>
      <c r="BL13"/>
    </row>
    <row r="14" spans="1:64" ht="14.4" x14ac:dyDescent="0.3">
      <c r="A14" s="20" t="s">
        <v>194</v>
      </c>
      <c r="B14" s="20" t="s">
        <v>195</v>
      </c>
      <c r="C14" s="20" t="s">
        <v>196</v>
      </c>
      <c r="D14" s="20" t="s">
        <v>142</v>
      </c>
      <c r="E14" s="20" t="s">
        <v>143</v>
      </c>
      <c r="F14" s="20">
        <v>7</v>
      </c>
      <c r="G14" s="20" t="s">
        <v>9</v>
      </c>
      <c r="H14" s="34">
        <v>45810</v>
      </c>
      <c r="I14" s="20">
        <v>161</v>
      </c>
      <c r="J14" s="20" t="s">
        <v>197</v>
      </c>
      <c r="K14" s="20" t="s">
        <v>145</v>
      </c>
      <c r="L14" s="20" t="s">
        <v>117</v>
      </c>
      <c r="M14" s="20" t="s">
        <v>118</v>
      </c>
      <c r="N14" s="20" t="s">
        <v>119</v>
      </c>
      <c r="O14" s="20">
        <v>9971500</v>
      </c>
      <c r="P14" s="20"/>
      <c r="Q14" s="20">
        <v>9971500</v>
      </c>
      <c r="R14" s="20"/>
      <c r="S14" s="20">
        <v>9971500</v>
      </c>
      <c r="T14" s="20" t="s">
        <v>146</v>
      </c>
      <c r="U14" s="20">
        <v>5210101581</v>
      </c>
      <c r="V14" s="20" t="s">
        <v>123</v>
      </c>
      <c r="W14" s="20" t="s">
        <v>124</v>
      </c>
      <c r="X14" s="20" t="s">
        <v>123</v>
      </c>
      <c r="Y14" s="20" t="s">
        <v>124</v>
      </c>
      <c r="Z14" s="20" t="s">
        <v>147</v>
      </c>
      <c r="AA14" s="20">
        <v>0</v>
      </c>
      <c r="AB14" s="20" t="s">
        <v>126</v>
      </c>
      <c r="AC14" s="20" t="s">
        <v>148</v>
      </c>
      <c r="AD14" s="20" t="s">
        <v>149</v>
      </c>
      <c r="AE14" s="20" t="s">
        <v>150</v>
      </c>
      <c r="AF14" s="20" t="s">
        <v>151</v>
      </c>
      <c r="AG14" s="20" t="s">
        <v>131</v>
      </c>
      <c r="AH14" s="20" t="s">
        <v>132</v>
      </c>
      <c r="AI14" s="20"/>
      <c r="AJ14" s="20"/>
      <c r="AK14" s="20"/>
      <c r="AL14" s="20" t="s">
        <v>198</v>
      </c>
      <c r="AM14" s="20">
        <v>45790</v>
      </c>
      <c r="AN14" s="20" t="s">
        <v>199</v>
      </c>
      <c r="AO14" s="20" t="s">
        <v>154</v>
      </c>
      <c r="AP14" s="20" t="s">
        <v>154</v>
      </c>
      <c r="AQ14" s="20"/>
      <c r="AR14" s="20" t="s">
        <v>200</v>
      </c>
      <c r="AS14" s="20" t="s">
        <v>156</v>
      </c>
      <c r="AT14" s="20">
        <v>117399</v>
      </c>
      <c r="AU14" s="20" t="s">
        <v>157</v>
      </c>
      <c r="AV14" s="20">
        <v>4100</v>
      </c>
      <c r="AW14" s="20" t="s">
        <v>158</v>
      </c>
      <c r="AX14" s="20">
        <v>100065551</v>
      </c>
      <c r="AY14" s="20"/>
      <c r="AZ14" s="20"/>
      <c r="BA14" s="20"/>
      <c r="BB14" s="20"/>
      <c r="BC14" s="20"/>
      <c r="BD14" s="20"/>
      <c r="BE14" s="20"/>
      <c r="BF14" s="20"/>
      <c r="BG14" s="20"/>
      <c r="BH14" s="20"/>
      <c r="BI14" s="20" t="s">
        <v>201</v>
      </c>
      <c r="BJ14"/>
      <c r="BK14"/>
      <c r="BL14"/>
    </row>
    <row r="15" spans="1:64" ht="14.4" x14ac:dyDescent="0.3">
      <c r="A15" s="20" t="s">
        <v>202</v>
      </c>
      <c r="B15" s="20" t="s">
        <v>203</v>
      </c>
      <c r="C15" s="20" t="s">
        <v>204</v>
      </c>
      <c r="D15" s="20" t="s">
        <v>142</v>
      </c>
      <c r="E15" s="20" t="s">
        <v>143</v>
      </c>
      <c r="F15" s="20">
        <v>7</v>
      </c>
      <c r="G15" s="20" t="s">
        <v>17</v>
      </c>
      <c r="H15" s="34">
        <v>46066</v>
      </c>
      <c r="I15" s="20">
        <v>28</v>
      </c>
      <c r="J15" s="20" t="s">
        <v>205</v>
      </c>
      <c r="K15" s="20" t="s">
        <v>145</v>
      </c>
      <c r="L15" s="20" t="s">
        <v>117</v>
      </c>
      <c r="M15" s="20" t="s">
        <v>118</v>
      </c>
      <c r="N15" s="20" t="s">
        <v>119</v>
      </c>
      <c r="O15" s="20">
        <v>9755900</v>
      </c>
      <c r="P15" s="20"/>
      <c r="Q15" s="20">
        <v>9755900</v>
      </c>
      <c r="R15" s="20"/>
      <c r="S15" s="20">
        <v>9755900</v>
      </c>
      <c r="T15" s="20" t="s">
        <v>120</v>
      </c>
      <c r="U15" s="20">
        <v>5210101581</v>
      </c>
      <c r="V15" s="20" t="s">
        <v>123</v>
      </c>
      <c r="W15" s="20" t="s">
        <v>124</v>
      </c>
      <c r="X15" s="20" t="s">
        <v>123</v>
      </c>
      <c r="Y15" s="20" t="s">
        <v>124</v>
      </c>
      <c r="Z15" s="20" t="s">
        <v>147</v>
      </c>
      <c r="AA15" s="20">
        <v>0</v>
      </c>
      <c r="AB15" s="20" t="s">
        <v>126</v>
      </c>
      <c r="AC15" s="20" t="s">
        <v>148</v>
      </c>
      <c r="AD15" s="20" t="s">
        <v>149</v>
      </c>
      <c r="AE15" s="20" t="s">
        <v>150</v>
      </c>
      <c r="AF15" s="20" t="s">
        <v>151</v>
      </c>
      <c r="AG15" s="20" t="s">
        <v>131</v>
      </c>
      <c r="AH15" s="20" t="s">
        <v>132</v>
      </c>
      <c r="AI15" s="20"/>
      <c r="AJ15" s="20"/>
      <c r="AK15" s="20"/>
      <c r="AL15" s="20" t="s">
        <v>206</v>
      </c>
      <c r="AM15" s="20">
        <v>46055</v>
      </c>
      <c r="AN15" s="20" t="s">
        <v>207</v>
      </c>
      <c r="AO15" s="20" t="s">
        <v>154</v>
      </c>
      <c r="AP15" s="20" t="s">
        <v>154</v>
      </c>
      <c r="AQ15" s="20"/>
      <c r="AR15" s="20" t="s">
        <v>208</v>
      </c>
      <c r="AS15" s="20" t="s">
        <v>156</v>
      </c>
      <c r="AT15" s="20">
        <v>117399</v>
      </c>
      <c r="AU15" s="20" t="s">
        <v>157</v>
      </c>
      <c r="AV15" s="20">
        <v>4100</v>
      </c>
      <c r="AW15" s="20" t="s">
        <v>158</v>
      </c>
      <c r="AX15" s="20">
        <v>100065551</v>
      </c>
      <c r="AY15" s="20"/>
      <c r="AZ15" s="20"/>
      <c r="BA15" s="20"/>
      <c r="BB15" s="20"/>
      <c r="BC15" s="20"/>
      <c r="BD15" s="20"/>
      <c r="BE15" s="20"/>
      <c r="BF15" s="20"/>
      <c r="BG15" s="20"/>
      <c r="BH15" s="20"/>
      <c r="BI15" s="20" t="s">
        <v>209</v>
      </c>
      <c r="BJ15"/>
      <c r="BK15"/>
      <c r="BL15"/>
    </row>
    <row r="16" spans="1:64" ht="14.4" x14ac:dyDescent="0.3">
      <c r="A16" s="20" t="s">
        <v>210</v>
      </c>
      <c r="B16" s="20" t="s">
        <v>211</v>
      </c>
      <c r="C16" s="20" t="s">
        <v>212</v>
      </c>
      <c r="D16" s="20" t="s">
        <v>142</v>
      </c>
      <c r="E16" s="20" t="s">
        <v>143</v>
      </c>
      <c r="F16" s="20">
        <v>7</v>
      </c>
      <c r="G16" s="20" t="s">
        <v>18</v>
      </c>
      <c r="H16" s="34">
        <v>46092</v>
      </c>
      <c r="I16" s="20">
        <v>98</v>
      </c>
      <c r="J16" s="20" t="s">
        <v>213</v>
      </c>
      <c r="K16" s="20" t="s">
        <v>145</v>
      </c>
      <c r="L16" s="20" t="s">
        <v>117</v>
      </c>
      <c r="M16" s="20" t="s">
        <v>118</v>
      </c>
      <c r="N16" s="20" t="s">
        <v>119</v>
      </c>
      <c r="O16" s="20">
        <v>9540300</v>
      </c>
      <c r="P16" s="20"/>
      <c r="Q16" s="20">
        <v>9540300</v>
      </c>
      <c r="R16" s="20"/>
      <c r="S16" s="20">
        <v>9540300</v>
      </c>
      <c r="T16" s="20" t="s">
        <v>120</v>
      </c>
      <c r="U16" s="20">
        <v>5210101581</v>
      </c>
      <c r="V16" s="20" t="s">
        <v>123</v>
      </c>
      <c r="W16" s="20" t="s">
        <v>124</v>
      </c>
      <c r="X16" s="20" t="s">
        <v>123</v>
      </c>
      <c r="Y16" s="20" t="s">
        <v>124</v>
      </c>
      <c r="Z16" s="20" t="s">
        <v>147</v>
      </c>
      <c r="AA16" s="20">
        <v>0</v>
      </c>
      <c r="AB16" s="20" t="s">
        <v>126</v>
      </c>
      <c r="AC16" s="20" t="s">
        <v>148</v>
      </c>
      <c r="AD16" s="20" t="s">
        <v>149</v>
      </c>
      <c r="AE16" s="20" t="s">
        <v>150</v>
      </c>
      <c r="AF16" s="20" t="s">
        <v>151</v>
      </c>
      <c r="AG16" s="20" t="s">
        <v>131</v>
      </c>
      <c r="AH16" s="20" t="s">
        <v>132</v>
      </c>
      <c r="AI16" s="20"/>
      <c r="AJ16" s="20"/>
      <c r="AK16" s="20"/>
      <c r="AL16" s="20" t="s">
        <v>214</v>
      </c>
      <c r="AM16" s="20">
        <v>46083</v>
      </c>
      <c r="AN16" s="20" t="s">
        <v>215</v>
      </c>
      <c r="AO16" s="20" t="s">
        <v>154</v>
      </c>
      <c r="AP16" s="20" t="s">
        <v>154</v>
      </c>
      <c r="AQ16" s="20"/>
      <c r="AR16" s="20" t="s">
        <v>216</v>
      </c>
      <c r="AS16" s="20" t="s">
        <v>156</v>
      </c>
      <c r="AT16" s="20">
        <v>117399</v>
      </c>
      <c r="AU16" s="20" t="s">
        <v>157</v>
      </c>
      <c r="AV16" s="20">
        <v>4100</v>
      </c>
      <c r="AW16" s="20" t="s">
        <v>158</v>
      </c>
      <c r="AX16" s="20">
        <v>100065551</v>
      </c>
      <c r="AY16" s="20"/>
      <c r="AZ16" s="20"/>
      <c r="BA16" s="20"/>
      <c r="BB16" s="20"/>
      <c r="BC16" s="20"/>
      <c r="BD16" s="20"/>
      <c r="BE16" s="20"/>
      <c r="BF16" s="20"/>
      <c r="BG16" s="20"/>
      <c r="BH16" s="20"/>
      <c r="BI16" s="20" t="s">
        <v>217</v>
      </c>
      <c r="BJ16"/>
      <c r="BK16"/>
      <c r="BL16"/>
    </row>
    <row r="17" spans="1:64" ht="14.4" x14ac:dyDescent="0.3">
      <c r="A17" s="20" t="s">
        <v>218</v>
      </c>
      <c r="B17" s="20" t="s">
        <v>219</v>
      </c>
      <c r="C17" s="20" t="s">
        <v>220</v>
      </c>
      <c r="D17" s="20" t="s">
        <v>142</v>
      </c>
      <c r="E17" s="20" t="s">
        <v>143</v>
      </c>
      <c r="F17" s="20">
        <v>7</v>
      </c>
      <c r="G17" s="20" t="s">
        <v>9</v>
      </c>
      <c r="H17" s="34">
        <v>45824</v>
      </c>
      <c r="I17" s="20">
        <v>51</v>
      </c>
      <c r="J17" s="20" t="s">
        <v>221</v>
      </c>
      <c r="K17" s="20" t="s">
        <v>145</v>
      </c>
      <c r="L17" s="20" t="s">
        <v>117</v>
      </c>
      <c r="M17" s="20" t="s">
        <v>118</v>
      </c>
      <c r="N17" s="20" t="s">
        <v>119</v>
      </c>
      <c r="O17" s="20">
        <v>9432500</v>
      </c>
      <c r="P17" s="20"/>
      <c r="Q17" s="20">
        <v>9432500</v>
      </c>
      <c r="R17" s="20"/>
      <c r="S17" s="20">
        <v>9432500</v>
      </c>
      <c r="T17" s="20" t="s">
        <v>146</v>
      </c>
      <c r="U17" s="20">
        <v>5210101581</v>
      </c>
      <c r="V17" s="20" t="s">
        <v>123</v>
      </c>
      <c r="W17" s="20" t="s">
        <v>124</v>
      </c>
      <c r="X17" s="20" t="s">
        <v>123</v>
      </c>
      <c r="Y17" s="20" t="s">
        <v>124</v>
      </c>
      <c r="Z17" s="20" t="s">
        <v>147</v>
      </c>
      <c r="AA17" s="20">
        <v>0</v>
      </c>
      <c r="AB17" s="20" t="s">
        <v>126</v>
      </c>
      <c r="AC17" s="20" t="s">
        <v>148</v>
      </c>
      <c r="AD17" s="20" t="s">
        <v>149</v>
      </c>
      <c r="AE17" s="20" t="s">
        <v>150</v>
      </c>
      <c r="AF17" s="20" t="s">
        <v>151</v>
      </c>
      <c r="AG17" s="20" t="s">
        <v>131</v>
      </c>
      <c r="AH17" s="20" t="s">
        <v>132</v>
      </c>
      <c r="AI17" s="20"/>
      <c r="AJ17" s="20"/>
      <c r="AK17" s="20"/>
      <c r="AL17" s="20" t="s">
        <v>222</v>
      </c>
      <c r="AM17" s="20">
        <v>45810</v>
      </c>
      <c r="AN17" s="20" t="s">
        <v>223</v>
      </c>
      <c r="AO17" s="20" t="s">
        <v>154</v>
      </c>
      <c r="AP17" s="20" t="s">
        <v>154</v>
      </c>
      <c r="AQ17" s="20"/>
      <c r="AR17" s="20" t="s">
        <v>224</v>
      </c>
      <c r="AS17" s="20" t="s">
        <v>156</v>
      </c>
      <c r="AT17" s="20">
        <v>117399</v>
      </c>
      <c r="AU17" s="20" t="s">
        <v>157</v>
      </c>
      <c r="AV17" s="20">
        <v>4100</v>
      </c>
      <c r="AW17" s="20" t="s">
        <v>158</v>
      </c>
      <c r="AX17" s="20">
        <v>100065551</v>
      </c>
      <c r="AY17" s="20"/>
      <c r="AZ17" s="20"/>
      <c r="BA17" s="20"/>
      <c r="BB17" s="20"/>
      <c r="BC17" s="20"/>
      <c r="BD17" s="20"/>
      <c r="BE17" s="20"/>
      <c r="BF17" s="20"/>
      <c r="BG17" s="20"/>
      <c r="BH17" s="20"/>
      <c r="BI17" s="20" t="s">
        <v>225</v>
      </c>
      <c r="BJ17"/>
      <c r="BK17"/>
      <c r="BL17"/>
    </row>
    <row r="18" spans="1:64" ht="14.4" x14ac:dyDescent="0.3">
      <c r="A18" s="20" t="s">
        <v>226</v>
      </c>
      <c r="B18" s="20" t="s">
        <v>227</v>
      </c>
      <c r="C18" s="20" t="s">
        <v>228</v>
      </c>
      <c r="D18" s="20" t="s">
        <v>142</v>
      </c>
      <c r="E18" s="20" t="s">
        <v>143</v>
      </c>
      <c r="F18" s="20">
        <v>7</v>
      </c>
      <c r="G18" s="20" t="s">
        <v>10</v>
      </c>
      <c r="H18" s="34">
        <v>45848</v>
      </c>
      <c r="I18" s="20">
        <v>39</v>
      </c>
      <c r="J18" s="20" t="s">
        <v>229</v>
      </c>
      <c r="K18" s="20" t="s">
        <v>145</v>
      </c>
      <c r="L18" s="20" t="s">
        <v>117</v>
      </c>
      <c r="M18" s="20" t="s">
        <v>118</v>
      </c>
      <c r="N18" s="20" t="s">
        <v>119</v>
      </c>
      <c r="O18" s="20">
        <v>9163000</v>
      </c>
      <c r="P18" s="20"/>
      <c r="Q18" s="20">
        <v>9163000</v>
      </c>
      <c r="R18" s="20"/>
      <c r="S18" s="20">
        <v>9163000</v>
      </c>
      <c r="T18" s="20" t="s">
        <v>146</v>
      </c>
      <c r="U18" s="20">
        <v>5210101581</v>
      </c>
      <c r="V18" s="20" t="s">
        <v>123</v>
      </c>
      <c r="W18" s="20" t="s">
        <v>124</v>
      </c>
      <c r="X18" s="20" t="s">
        <v>123</v>
      </c>
      <c r="Y18" s="20" t="s">
        <v>124</v>
      </c>
      <c r="Z18" s="20" t="s">
        <v>147</v>
      </c>
      <c r="AA18" s="20">
        <v>0</v>
      </c>
      <c r="AB18" s="20" t="s">
        <v>126</v>
      </c>
      <c r="AC18" s="20" t="s">
        <v>148</v>
      </c>
      <c r="AD18" s="20" t="s">
        <v>149</v>
      </c>
      <c r="AE18" s="20" t="s">
        <v>150</v>
      </c>
      <c r="AF18" s="20" t="s">
        <v>151</v>
      </c>
      <c r="AG18" s="20" t="s">
        <v>131</v>
      </c>
      <c r="AH18" s="20" t="s">
        <v>132</v>
      </c>
      <c r="AI18" s="20"/>
      <c r="AJ18" s="20"/>
      <c r="AK18" s="20"/>
      <c r="AL18" s="20" t="s">
        <v>230</v>
      </c>
      <c r="AM18" s="20">
        <v>45840</v>
      </c>
      <c r="AN18" s="20" t="s">
        <v>231</v>
      </c>
      <c r="AO18" s="20" t="s">
        <v>154</v>
      </c>
      <c r="AP18" s="20" t="s">
        <v>154</v>
      </c>
      <c r="AQ18" s="20"/>
      <c r="AR18" s="20" t="s">
        <v>232</v>
      </c>
      <c r="AS18" s="20" t="s">
        <v>156</v>
      </c>
      <c r="AT18" s="20">
        <v>117399</v>
      </c>
      <c r="AU18" s="20" t="s">
        <v>157</v>
      </c>
      <c r="AV18" s="20">
        <v>4100</v>
      </c>
      <c r="AW18" s="20" t="s">
        <v>158</v>
      </c>
      <c r="AX18" s="20">
        <v>100065551</v>
      </c>
      <c r="AY18" s="20"/>
      <c r="AZ18" s="20"/>
      <c r="BA18" s="20"/>
      <c r="BB18" s="20"/>
      <c r="BC18" s="20"/>
      <c r="BD18" s="20"/>
      <c r="BE18" s="20"/>
      <c r="BF18" s="20"/>
      <c r="BG18" s="20"/>
      <c r="BH18" s="20"/>
      <c r="BI18" s="20" t="s">
        <v>233</v>
      </c>
      <c r="BJ18"/>
      <c r="BK18"/>
      <c r="BL18"/>
    </row>
    <row r="19" spans="1:64" ht="14.4" x14ac:dyDescent="0.3">
      <c r="A19" s="20" t="s">
        <v>234</v>
      </c>
      <c r="B19" s="20" t="s">
        <v>235</v>
      </c>
      <c r="C19" s="20" t="s">
        <v>236</v>
      </c>
      <c r="D19" s="20" t="s">
        <v>142</v>
      </c>
      <c r="E19" s="20" t="s">
        <v>143</v>
      </c>
      <c r="F19" s="20">
        <v>7</v>
      </c>
      <c r="G19" s="20" t="s">
        <v>11</v>
      </c>
      <c r="H19" s="34">
        <v>45883</v>
      </c>
      <c r="I19" s="20">
        <v>24</v>
      </c>
      <c r="J19" s="20" t="s">
        <v>237</v>
      </c>
      <c r="K19" s="20" t="s">
        <v>145</v>
      </c>
      <c r="L19" s="20" t="s">
        <v>117</v>
      </c>
      <c r="M19" s="20" t="s">
        <v>118</v>
      </c>
      <c r="N19" s="20" t="s">
        <v>119</v>
      </c>
      <c r="O19" s="20">
        <v>9163000</v>
      </c>
      <c r="P19" s="20"/>
      <c r="Q19" s="20">
        <v>9163000</v>
      </c>
      <c r="R19" s="20"/>
      <c r="S19" s="20">
        <v>9163000</v>
      </c>
      <c r="T19" s="20" t="s">
        <v>146</v>
      </c>
      <c r="U19" s="20">
        <v>5210101581</v>
      </c>
      <c r="V19" s="20" t="s">
        <v>123</v>
      </c>
      <c r="W19" s="20" t="s">
        <v>124</v>
      </c>
      <c r="X19" s="20" t="s">
        <v>123</v>
      </c>
      <c r="Y19" s="20" t="s">
        <v>124</v>
      </c>
      <c r="Z19" s="20" t="s">
        <v>147</v>
      </c>
      <c r="AA19" s="20">
        <v>0</v>
      </c>
      <c r="AB19" s="20" t="s">
        <v>126</v>
      </c>
      <c r="AC19" s="20" t="s">
        <v>148</v>
      </c>
      <c r="AD19" s="20" t="s">
        <v>149</v>
      </c>
      <c r="AE19" s="20" t="s">
        <v>150</v>
      </c>
      <c r="AF19" s="20" t="s">
        <v>151</v>
      </c>
      <c r="AG19" s="20" t="s">
        <v>131</v>
      </c>
      <c r="AH19" s="20" t="s">
        <v>132</v>
      </c>
      <c r="AI19" s="20"/>
      <c r="AJ19" s="20"/>
      <c r="AK19" s="20"/>
      <c r="AL19" s="20" t="s">
        <v>238</v>
      </c>
      <c r="AM19" s="20">
        <v>45873</v>
      </c>
      <c r="AN19" s="20" t="s">
        <v>239</v>
      </c>
      <c r="AO19" s="20" t="s">
        <v>154</v>
      </c>
      <c r="AP19" s="20" t="s">
        <v>154</v>
      </c>
      <c r="AQ19" s="20"/>
      <c r="AR19" s="20" t="s">
        <v>240</v>
      </c>
      <c r="AS19" s="20" t="s">
        <v>156</v>
      </c>
      <c r="AT19" s="20">
        <v>117399</v>
      </c>
      <c r="AU19" s="20" t="s">
        <v>157</v>
      </c>
      <c r="AV19" s="20">
        <v>4100</v>
      </c>
      <c r="AW19" s="20" t="s">
        <v>158</v>
      </c>
      <c r="AX19" s="20">
        <v>100065551</v>
      </c>
      <c r="AY19" s="20"/>
      <c r="AZ19" s="20"/>
      <c r="BA19" s="20"/>
      <c r="BB19" s="20"/>
      <c r="BC19" s="20"/>
      <c r="BD19" s="20"/>
      <c r="BE19" s="20"/>
      <c r="BF19" s="20"/>
      <c r="BG19" s="20"/>
      <c r="BH19" s="20"/>
      <c r="BI19" s="20" t="s">
        <v>241</v>
      </c>
      <c r="BJ19"/>
      <c r="BK19"/>
      <c r="BL19"/>
    </row>
    <row r="20" spans="1:64" ht="14.4" x14ac:dyDescent="0.3">
      <c r="A20" s="20" t="s">
        <v>242</v>
      </c>
      <c r="B20" s="20" t="s">
        <v>243</v>
      </c>
      <c r="C20" s="20" t="s">
        <v>244</v>
      </c>
      <c r="D20" s="20" t="s">
        <v>142</v>
      </c>
      <c r="E20" s="20" t="s">
        <v>143</v>
      </c>
      <c r="F20" s="20">
        <v>7</v>
      </c>
      <c r="G20" s="20" t="s">
        <v>12</v>
      </c>
      <c r="H20" s="34">
        <v>45916</v>
      </c>
      <c r="I20" s="20">
        <v>133</v>
      </c>
      <c r="J20" s="20" t="s">
        <v>245</v>
      </c>
      <c r="K20" s="20" t="s">
        <v>145</v>
      </c>
      <c r="L20" s="20" t="s">
        <v>117</v>
      </c>
      <c r="M20" s="20" t="s">
        <v>118</v>
      </c>
      <c r="N20" s="20" t="s">
        <v>119</v>
      </c>
      <c r="O20" s="20">
        <v>9163000</v>
      </c>
      <c r="P20" s="20"/>
      <c r="Q20" s="20">
        <v>9163000</v>
      </c>
      <c r="R20" s="20"/>
      <c r="S20" s="20">
        <v>9163000</v>
      </c>
      <c r="T20" s="20" t="s">
        <v>146</v>
      </c>
      <c r="U20" s="20">
        <v>5210101581</v>
      </c>
      <c r="V20" s="20" t="s">
        <v>123</v>
      </c>
      <c r="W20" s="20" t="s">
        <v>124</v>
      </c>
      <c r="X20" s="20" t="s">
        <v>123</v>
      </c>
      <c r="Y20" s="20" t="s">
        <v>124</v>
      </c>
      <c r="Z20" s="20" t="s">
        <v>147</v>
      </c>
      <c r="AA20" s="20">
        <v>0</v>
      </c>
      <c r="AB20" s="20" t="s">
        <v>126</v>
      </c>
      <c r="AC20" s="20" t="s">
        <v>148</v>
      </c>
      <c r="AD20" s="20" t="s">
        <v>149</v>
      </c>
      <c r="AE20" s="20" t="s">
        <v>150</v>
      </c>
      <c r="AF20" s="20" t="s">
        <v>151</v>
      </c>
      <c r="AG20" s="20" t="s">
        <v>131</v>
      </c>
      <c r="AH20" s="20" t="s">
        <v>132</v>
      </c>
      <c r="AI20" s="20"/>
      <c r="AJ20" s="20"/>
      <c r="AK20" s="20"/>
      <c r="AL20" s="20" t="s">
        <v>246</v>
      </c>
      <c r="AM20" s="20">
        <v>45901</v>
      </c>
      <c r="AN20" s="20" t="s">
        <v>247</v>
      </c>
      <c r="AO20" s="20" t="s">
        <v>154</v>
      </c>
      <c r="AP20" s="20" t="s">
        <v>154</v>
      </c>
      <c r="AQ20" s="20"/>
      <c r="AR20" s="20" t="s">
        <v>248</v>
      </c>
      <c r="AS20" s="20" t="s">
        <v>156</v>
      </c>
      <c r="AT20" s="20">
        <v>117399</v>
      </c>
      <c r="AU20" s="20" t="s">
        <v>157</v>
      </c>
      <c r="AV20" s="20">
        <v>4100</v>
      </c>
      <c r="AW20" s="20" t="s">
        <v>158</v>
      </c>
      <c r="AX20" s="20">
        <v>100065551</v>
      </c>
      <c r="AY20" s="20"/>
      <c r="AZ20" s="20"/>
      <c r="BA20" s="20"/>
      <c r="BB20" s="20"/>
      <c r="BC20" s="20"/>
      <c r="BD20" s="20"/>
      <c r="BE20" s="20"/>
      <c r="BF20" s="20"/>
      <c r="BG20" s="20"/>
      <c r="BH20" s="20"/>
      <c r="BI20" s="20" t="s">
        <v>249</v>
      </c>
      <c r="BJ20"/>
      <c r="BK20"/>
      <c r="BL20"/>
    </row>
    <row r="21" spans="1:64" ht="14.4" x14ac:dyDescent="0.3">
      <c r="A21" s="20" t="s">
        <v>250</v>
      </c>
      <c r="B21" s="20" t="s">
        <v>251</v>
      </c>
      <c r="C21" s="20" t="s">
        <v>252</v>
      </c>
      <c r="D21" s="20" t="s">
        <v>142</v>
      </c>
      <c r="E21" s="20" t="s">
        <v>143</v>
      </c>
      <c r="F21" s="20">
        <v>7</v>
      </c>
      <c r="G21" s="20" t="s">
        <v>13</v>
      </c>
      <c r="H21" s="34">
        <v>45943</v>
      </c>
      <c r="I21" s="20">
        <v>46</v>
      </c>
      <c r="J21" s="20" t="s">
        <v>253</v>
      </c>
      <c r="K21" s="20" t="s">
        <v>145</v>
      </c>
      <c r="L21" s="20" t="s">
        <v>117</v>
      </c>
      <c r="M21" s="20" t="s">
        <v>118</v>
      </c>
      <c r="N21" s="20" t="s">
        <v>119</v>
      </c>
      <c r="O21" s="20">
        <v>9163000</v>
      </c>
      <c r="P21" s="20"/>
      <c r="Q21" s="20">
        <v>9163000</v>
      </c>
      <c r="R21" s="20"/>
      <c r="S21" s="20">
        <v>9163000</v>
      </c>
      <c r="T21" s="20" t="s">
        <v>146</v>
      </c>
      <c r="U21" s="20">
        <v>5210101581</v>
      </c>
      <c r="V21" s="20" t="s">
        <v>123</v>
      </c>
      <c r="W21" s="20" t="s">
        <v>124</v>
      </c>
      <c r="X21" s="20" t="s">
        <v>123</v>
      </c>
      <c r="Y21" s="20" t="s">
        <v>124</v>
      </c>
      <c r="Z21" s="20" t="s">
        <v>147</v>
      </c>
      <c r="AA21" s="20">
        <v>0</v>
      </c>
      <c r="AB21" s="20" t="s">
        <v>126</v>
      </c>
      <c r="AC21" s="20" t="s">
        <v>148</v>
      </c>
      <c r="AD21" s="20" t="s">
        <v>149</v>
      </c>
      <c r="AE21" s="20" t="s">
        <v>150</v>
      </c>
      <c r="AF21" s="20" t="s">
        <v>151</v>
      </c>
      <c r="AG21" s="20" t="s">
        <v>131</v>
      </c>
      <c r="AH21" s="20" t="s">
        <v>132</v>
      </c>
      <c r="AI21" s="20"/>
      <c r="AJ21" s="20"/>
      <c r="AK21" s="20"/>
      <c r="AL21" s="20" t="s">
        <v>254</v>
      </c>
      <c r="AM21" s="20">
        <v>45933</v>
      </c>
      <c r="AN21" s="20" t="s">
        <v>255</v>
      </c>
      <c r="AO21" s="20" t="s">
        <v>154</v>
      </c>
      <c r="AP21" s="20" t="s">
        <v>154</v>
      </c>
      <c r="AQ21" s="20"/>
      <c r="AR21" s="20" t="s">
        <v>256</v>
      </c>
      <c r="AS21" s="20" t="s">
        <v>156</v>
      </c>
      <c r="AT21" s="20">
        <v>117399</v>
      </c>
      <c r="AU21" s="20" t="s">
        <v>157</v>
      </c>
      <c r="AV21" s="20">
        <v>4100</v>
      </c>
      <c r="AW21" s="20" t="s">
        <v>158</v>
      </c>
      <c r="AX21" s="20">
        <v>100065551</v>
      </c>
      <c r="AY21" s="20"/>
      <c r="AZ21" s="20"/>
      <c r="BA21" s="20"/>
      <c r="BB21" s="20"/>
      <c r="BC21" s="20"/>
      <c r="BD21" s="20"/>
      <c r="BE21" s="20"/>
      <c r="BF21" s="20"/>
      <c r="BG21" s="20"/>
      <c r="BH21" s="20"/>
      <c r="BI21" s="20" t="s">
        <v>257</v>
      </c>
      <c r="BJ21"/>
      <c r="BK21"/>
      <c r="BL21"/>
    </row>
    <row r="22" spans="1:64" ht="14.4" x14ac:dyDescent="0.3">
      <c r="A22" s="20" t="s">
        <v>258</v>
      </c>
      <c r="B22" s="20" t="s">
        <v>259</v>
      </c>
      <c r="C22" s="20" t="s">
        <v>260</v>
      </c>
      <c r="D22" s="20" t="s">
        <v>142</v>
      </c>
      <c r="E22" s="20" t="s">
        <v>143</v>
      </c>
      <c r="F22" s="20">
        <v>7</v>
      </c>
      <c r="G22" s="20" t="s">
        <v>15</v>
      </c>
      <c r="H22" s="34">
        <v>45995</v>
      </c>
      <c r="I22" s="20">
        <v>19</v>
      </c>
      <c r="J22" s="20" t="s">
        <v>261</v>
      </c>
      <c r="K22" s="20" t="s">
        <v>145</v>
      </c>
      <c r="L22" s="20" t="s">
        <v>117</v>
      </c>
      <c r="M22" s="20" t="s">
        <v>118</v>
      </c>
      <c r="N22" s="20" t="s">
        <v>119</v>
      </c>
      <c r="O22" s="20">
        <v>9163000</v>
      </c>
      <c r="P22" s="20"/>
      <c r="Q22" s="20">
        <v>9163000</v>
      </c>
      <c r="R22" s="20"/>
      <c r="S22" s="20">
        <v>9163000</v>
      </c>
      <c r="T22" s="20" t="s">
        <v>146</v>
      </c>
      <c r="U22" s="20">
        <v>5210101581</v>
      </c>
      <c r="V22" s="20" t="s">
        <v>123</v>
      </c>
      <c r="W22" s="20" t="s">
        <v>124</v>
      </c>
      <c r="X22" s="20" t="s">
        <v>123</v>
      </c>
      <c r="Y22" s="20" t="s">
        <v>124</v>
      </c>
      <c r="Z22" s="20" t="s">
        <v>147</v>
      </c>
      <c r="AA22" s="20">
        <v>0</v>
      </c>
      <c r="AB22" s="20" t="s">
        <v>126</v>
      </c>
      <c r="AC22" s="20" t="s">
        <v>148</v>
      </c>
      <c r="AD22" s="20" t="s">
        <v>149</v>
      </c>
      <c r="AE22" s="20" t="s">
        <v>150</v>
      </c>
      <c r="AF22" s="20" t="s">
        <v>151</v>
      </c>
      <c r="AG22" s="20" t="s">
        <v>131</v>
      </c>
      <c r="AH22" s="20" t="s">
        <v>132</v>
      </c>
      <c r="AI22" s="20"/>
      <c r="AJ22" s="20"/>
      <c r="AK22" s="20"/>
      <c r="AL22" s="20" t="s">
        <v>262</v>
      </c>
      <c r="AM22" s="20">
        <v>45964</v>
      </c>
      <c r="AN22" s="20" t="s">
        <v>263</v>
      </c>
      <c r="AO22" s="20" t="s">
        <v>154</v>
      </c>
      <c r="AP22" s="20" t="s">
        <v>154</v>
      </c>
      <c r="AQ22" s="20"/>
      <c r="AR22" s="20" t="s">
        <v>264</v>
      </c>
      <c r="AS22" s="20" t="s">
        <v>156</v>
      </c>
      <c r="AT22" s="20">
        <v>117399</v>
      </c>
      <c r="AU22" s="20" t="s">
        <v>157</v>
      </c>
      <c r="AV22" s="20">
        <v>4100</v>
      </c>
      <c r="AW22" s="20" t="s">
        <v>158</v>
      </c>
      <c r="AX22" s="20">
        <v>100065551</v>
      </c>
      <c r="AY22" s="20"/>
      <c r="AZ22" s="20"/>
      <c r="BA22" s="20"/>
      <c r="BB22" s="20"/>
      <c r="BC22" s="20"/>
      <c r="BD22" s="20"/>
      <c r="BE22" s="20"/>
      <c r="BF22" s="20"/>
      <c r="BG22" s="20"/>
      <c r="BH22" s="20"/>
      <c r="BI22" s="20" t="s">
        <v>265</v>
      </c>
      <c r="BJ22"/>
      <c r="BK22"/>
      <c r="BL22"/>
    </row>
    <row r="23" spans="1:64" ht="14.4" x14ac:dyDescent="0.3">
      <c r="A23" s="20" t="s">
        <v>266</v>
      </c>
      <c r="B23" s="20" t="s">
        <v>267</v>
      </c>
      <c r="C23" s="20" t="s">
        <v>268</v>
      </c>
      <c r="D23" s="20" t="s">
        <v>142</v>
      </c>
      <c r="E23" s="20" t="s">
        <v>143</v>
      </c>
      <c r="F23" s="20">
        <v>7</v>
      </c>
      <c r="G23" s="20" t="s">
        <v>15</v>
      </c>
      <c r="H23" s="34">
        <v>46009</v>
      </c>
      <c r="I23" s="20">
        <v>106</v>
      </c>
      <c r="J23" s="20" t="s">
        <v>269</v>
      </c>
      <c r="K23" s="20" t="s">
        <v>145</v>
      </c>
      <c r="L23" s="20" t="s">
        <v>117</v>
      </c>
      <c r="M23" s="20" t="s">
        <v>118</v>
      </c>
      <c r="N23" s="20" t="s">
        <v>119</v>
      </c>
      <c r="O23" s="20">
        <v>9163000</v>
      </c>
      <c r="P23" s="20"/>
      <c r="Q23" s="20">
        <v>9163000</v>
      </c>
      <c r="R23" s="20"/>
      <c r="S23" s="20">
        <v>9163000</v>
      </c>
      <c r="T23" s="20" t="s">
        <v>146</v>
      </c>
      <c r="U23" s="20">
        <v>5210101581</v>
      </c>
      <c r="V23" s="20" t="s">
        <v>123</v>
      </c>
      <c r="W23" s="20" t="s">
        <v>124</v>
      </c>
      <c r="X23" s="20" t="s">
        <v>123</v>
      </c>
      <c r="Y23" s="20" t="s">
        <v>124</v>
      </c>
      <c r="Z23" s="20" t="s">
        <v>147</v>
      </c>
      <c r="AA23" s="20">
        <v>0</v>
      </c>
      <c r="AB23" s="20" t="s">
        <v>126</v>
      </c>
      <c r="AC23" s="20" t="s">
        <v>148</v>
      </c>
      <c r="AD23" s="20" t="s">
        <v>149</v>
      </c>
      <c r="AE23" s="20" t="s">
        <v>150</v>
      </c>
      <c r="AF23" s="20" t="s">
        <v>151</v>
      </c>
      <c r="AG23" s="20" t="s">
        <v>131</v>
      </c>
      <c r="AH23" s="20" t="s">
        <v>132</v>
      </c>
      <c r="AI23" s="20"/>
      <c r="AJ23" s="20"/>
      <c r="AK23" s="20"/>
      <c r="AL23" s="20" t="s">
        <v>270</v>
      </c>
      <c r="AM23" s="20">
        <v>45993</v>
      </c>
      <c r="AN23" s="20" t="s">
        <v>271</v>
      </c>
      <c r="AO23" s="20" t="s">
        <v>154</v>
      </c>
      <c r="AP23" s="20" t="s">
        <v>154</v>
      </c>
      <c r="AQ23" s="20"/>
      <c r="AR23" s="20" t="s">
        <v>272</v>
      </c>
      <c r="AS23" s="20" t="s">
        <v>156</v>
      </c>
      <c r="AT23" s="20">
        <v>117399</v>
      </c>
      <c r="AU23" s="20" t="s">
        <v>157</v>
      </c>
      <c r="AV23" s="20">
        <v>4100</v>
      </c>
      <c r="AW23" s="20" t="s">
        <v>158</v>
      </c>
      <c r="AX23" s="20">
        <v>100065551</v>
      </c>
      <c r="AY23" s="20"/>
      <c r="AZ23" s="20"/>
      <c r="BA23" s="20"/>
      <c r="BB23" s="20"/>
      <c r="BC23" s="20"/>
      <c r="BD23" s="20"/>
      <c r="BE23" s="20"/>
      <c r="BF23" s="20"/>
      <c r="BG23" s="20"/>
      <c r="BH23" s="20"/>
      <c r="BI23" s="20" t="s">
        <v>273</v>
      </c>
      <c r="BJ23"/>
      <c r="BK23"/>
      <c r="BL23"/>
    </row>
    <row r="24" spans="1:64" ht="14.4" x14ac:dyDescent="0.3">
      <c r="A24" s="20" t="s">
        <v>274</v>
      </c>
      <c r="B24" s="20" t="s">
        <v>275</v>
      </c>
      <c r="C24" s="20" t="s">
        <v>276</v>
      </c>
      <c r="D24" s="20" t="s">
        <v>142</v>
      </c>
      <c r="E24" s="20" t="s">
        <v>143</v>
      </c>
      <c r="F24" s="20">
        <v>7</v>
      </c>
      <c r="G24" s="20" t="s">
        <v>13</v>
      </c>
      <c r="H24" s="34">
        <v>45952</v>
      </c>
      <c r="I24" s="20">
        <v>29</v>
      </c>
      <c r="J24" s="20" t="s">
        <v>277</v>
      </c>
      <c r="K24" s="20" t="s">
        <v>116</v>
      </c>
      <c r="L24" s="20" t="s">
        <v>117</v>
      </c>
      <c r="M24" s="20" t="s">
        <v>118</v>
      </c>
      <c r="N24" s="20" t="s">
        <v>119</v>
      </c>
      <c r="O24" s="20">
        <v>11218727.060000001</v>
      </c>
      <c r="P24" s="20"/>
      <c r="Q24" s="20">
        <v>11218727.060000001</v>
      </c>
      <c r="R24" s="20"/>
      <c r="S24" s="36">
        <v>11218727.060000001</v>
      </c>
      <c r="T24" s="20" t="s">
        <v>146</v>
      </c>
      <c r="U24" s="20">
        <v>5210101232</v>
      </c>
      <c r="V24" s="20" t="s">
        <v>121</v>
      </c>
      <c r="W24" s="20" t="s">
        <v>122</v>
      </c>
      <c r="X24" s="20" t="s">
        <v>123</v>
      </c>
      <c r="Y24" s="20" t="s">
        <v>124</v>
      </c>
      <c r="Z24" s="20" t="s">
        <v>125</v>
      </c>
      <c r="AA24" s="20">
        <v>0</v>
      </c>
      <c r="AB24" s="20" t="s">
        <v>126</v>
      </c>
      <c r="AC24" s="20" t="s">
        <v>127</v>
      </c>
      <c r="AD24" s="20" t="s">
        <v>128</v>
      </c>
      <c r="AE24" s="20" t="s">
        <v>129</v>
      </c>
      <c r="AF24" s="20" t="s">
        <v>130</v>
      </c>
      <c r="AG24" s="20" t="s">
        <v>131</v>
      </c>
      <c r="AH24" s="20" t="s">
        <v>132</v>
      </c>
      <c r="AI24" s="20"/>
      <c r="AJ24" s="20"/>
      <c r="AK24" s="20"/>
      <c r="AL24" s="20" t="s">
        <v>278</v>
      </c>
      <c r="AM24" s="20">
        <v>45903</v>
      </c>
      <c r="AN24" s="20" t="s">
        <v>279</v>
      </c>
      <c r="AO24" s="20" t="s">
        <v>24</v>
      </c>
      <c r="AP24" s="20" t="s">
        <v>24</v>
      </c>
      <c r="AQ24" s="20"/>
      <c r="AR24" s="20" t="s">
        <v>280</v>
      </c>
      <c r="AS24" s="20" t="s">
        <v>185</v>
      </c>
      <c r="AT24" s="20">
        <v>117689</v>
      </c>
      <c r="AU24" s="20" t="s">
        <v>135</v>
      </c>
      <c r="AV24" s="20">
        <v>5509</v>
      </c>
      <c r="AW24" s="20" t="s">
        <v>136</v>
      </c>
      <c r="AX24" s="20">
        <v>100064933</v>
      </c>
      <c r="AY24" s="20"/>
      <c r="AZ24" s="20"/>
      <c r="BA24" s="20"/>
      <c r="BB24" s="20"/>
      <c r="BC24" s="20"/>
      <c r="BD24" s="20"/>
      <c r="BE24" s="20"/>
      <c r="BF24" s="20"/>
      <c r="BG24" s="20"/>
      <c r="BH24" s="20"/>
      <c r="BI24" s="20" t="s">
        <v>281</v>
      </c>
      <c r="BJ24"/>
      <c r="BK24"/>
      <c r="BL24"/>
    </row>
    <row r="25" spans="1:64" s="35" customFormat="1" ht="14.4" x14ac:dyDescent="0.3">
      <c r="A25" s="20" t="s">
        <v>282</v>
      </c>
      <c r="B25" s="20" t="s">
        <v>283</v>
      </c>
      <c r="C25" s="20" t="s">
        <v>284</v>
      </c>
      <c r="D25" s="20" t="s">
        <v>142</v>
      </c>
      <c r="E25" s="20" t="s">
        <v>143</v>
      </c>
      <c r="F25" s="20">
        <v>7</v>
      </c>
      <c r="G25" s="20" t="s">
        <v>12</v>
      </c>
      <c r="H25" s="34">
        <v>45908</v>
      </c>
      <c r="I25" s="20">
        <v>26</v>
      </c>
      <c r="J25" s="20" t="s">
        <v>285</v>
      </c>
      <c r="K25" s="20" t="s">
        <v>116</v>
      </c>
      <c r="L25" s="20" t="s">
        <v>117</v>
      </c>
      <c r="M25" s="20" t="s">
        <v>118</v>
      </c>
      <c r="N25" s="20" t="s">
        <v>119</v>
      </c>
      <c r="O25" s="20">
        <v>4579183.1100000003</v>
      </c>
      <c r="P25" s="20"/>
      <c r="Q25" s="20">
        <v>4579183.1100000003</v>
      </c>
      <c r="R25" s="20"/>
      <c r="S25" s="20">
        <v>4579183.1100000003</v>
      </c>
      <c r="T25" s="20" t="s">
        <v>146</v>
      </c>
      <c r="U25" s="20">
        <v>5210101232</v>
      </c>
      <c r="V25" s="20" t="s">
        <v>121</v>
      </c>
      <c r="W25" s="20" t="s">
        <v>122</v>
      </c>
      <c r="X25" s="20" t="s">
        <v>123</v>
      </c>
      <c r="Y25" s="20" t="s">
        <v>124</v>
      </c>
      <c r="Z25" s="20" t="s">
        <v>125</v>
      </c>
      <c r="AA25" s="20">
        <v>0</v>
      </c>
      <c r="AB25" s="20" t="s">
        <v>126</v>
      </c>
      <c r="AC25" s="20" t="s">
        <v>127</v>
      </c>
      <c r="AD25" s="20" t="s">
        <v>128</v>
      </c>
      <c r="AE25" s="20" t="s">
        <v>129</v>
      </c>
      <c r="AF25" s="20" t="s">
        <v>130</v>
      </c>
      <c r="AG25" s="20" t="s">
        <v>131</v>
      </c>
      <c r="AH25" s="20" t="s">
        <v>132</v>
      </c>
      <c r="AI25" s="20"/>
      <c r="AJ25" s="20"/>
      <c r="AK25" s="20"/>
      <c r="AL25" s="20" t="s">
        <v>286</v>
      </c>
      <c r="AM25" s="20">
        <v>45888</v>
      </c>
      <c r="AN25" s="20" t="s">
        <v>287</v>
      </c>
      <c r="AO25" s="20" t="s">
        <v>24</v>
      </c>
      <c r="AP25" s="20" t="s">
        <v>24</v>
      </c>
      <c r="AQ25" s="20"/>
      <c r="AR25" s="20" t="s">
        <v>288</v>
      </c>
      <c r="AS25" s="20" t="s">
        <v>289</v>
      </c>
      <c r="AT25" s="20">
        <v>117689</v>
      </c>
      <c r="AU25" s="20" t="s">
        <v>135</v>
      </c>
      <c r="AV25" s="20">
        <v>5509</v>
      </c>
      <c r="AW25" s="20" t="s">
        <v>136</v>
      </c>
      <c r="AX25" s="20">
        <v>100065125</v>
      </c>
      <c r="AY25" s="20"/>
      <c r="AZ25" s="20"/>
      <c r="BA25" s="20"/>
      <c r="BB25" s="20"/>
      <c r="BC25" s="20"/>
      <c r="BD25" s="20"/>
      <c r="BE25" s="20"/>
      <c r="BF25" s="20"/>
      <c r="BG25" s="20"/>
      <c r="BH25" s="20"/>
      <c r="BI25" s="20" t="s">
        <v>290</v>
      </c>
      <c r="BJ25"/>
      <c r="BK25" s="37"/>
      <c r="BL25" s="37"/>
    </row>
    <row r="26" spans="1:64" ht="57.6" x14ac:dyDescent="0.3">
      <c r="A26" s="20" t="s">
        <v>291</v>
      </c>
      <c r="B26" s="20" t="s">
        <v>292</v>
      </c>
      <c r="C26" s="20" t="s">
        <v>293</v>
      </c>
      <c r="D26" s="20" t="s">
        <v>142</v>
      </c>
      <c r="E26" s="20" t="s">
        <v>143</v>
      </c>
      <c r="F26" s="20">
        <v>7</v>
      </c>
      <c r="G26" s="20" t="s">
        <v>18</v>
      </c>
      <c r="H26" s="34">
        <v>46093</v>
      </c>
      <c r="I26" s="20">
        <v>107</v>
      </c>
      <c r="J26" s="38" t="s">
        <v>294</v>
      </c>
      <c r="K26" s="20" t="s">
        <v>145</v>
      </c>
      <c r="L26" s="20" t="s">
        <v>117</v>
      </c>
      <c r="M26" s="20" t="s">
        <v>118</v>
      </c>
      <c r="N26" s="20" t="s">
        <v>119</v>
      </c>
      <c r="O26" s="20">
        <v>8223622</v>
      </c>
      <c r="P26" s="20"/>
      <c r="Q26" s="20">
        <v>8223622</v>
      </c>
      <c r="R26" s="20"/>
      <c r="S26" s="20">
        <v>8223622</v>
      </c>
      <c r="T26" s="20" t="s">
        <v>120</v>
      </c>
      <c r="U26" s="20">
        <v>5210101581</v>
      </c>
      <c r="V26" s="20" t="s">
        <v>123</v>
      </c>
      <c r="W26" s="20" t="s">
        <v>124</v>
      </c>
      <c r="X26" s="20" t="s">
        <v>123</v>
      </c>
      <c r="Y26" s="20" t="s">
        <v>124</v>
      </c>
      <c r="Z26" s="20" t="s">
        <v>147</v>
      </c>
      <c r="AA26" s="20">
        <v>0</v>
      </c>
      <c r="AB26" s="20" t="s">
        <v>126</v>
      </c>
      <c r="AC26" s="20" t="s">
        <v>148</v>
      </c>
      <c r="AD26" s="20" t="s">
        <v>149</v>
      </c>
      <c r="AE26" s="20" t="s">
        <v>150</v>
      </c>
      <c r="AF26" s="20" t="s">
        <v>151</v>
      </c>
      <c r="AG26" s="20" t="s">
        <v>131</v>
      </c>
      <c r="AH26" s="20" t="s">
        <v>132</v>
      </c>
      <c r="AI26" s="20"/>
      <c r="AJ26" s="20"/>
      <c r="AK26" s="20"/>
      <c r="AL26" s="20">
        <v>325803980260</v>
      </c>
      <c r="AM26" s="20">
        <v>46082</v>
      </c>
      <c r="AN26" s="20" t="s">
        <v>295</v>
      </c>
      <c r="AO26" s="20" t="s">
        <v>29</v>
      </c>
      <c r="AP26" s="20" t="s">
        <v>29</v>
      </c>
      <c r="AQ26" s="20"/>
      <c r="AR26" s="20" t="s">
        <v>296</v>
      </c>
      <c r="AS26" s="20" t="s">
        <v>297</v>
      </c>
      <c r="AT26" s="20">
        <v>117399</v>
      </c>
      <c r="AU26" s="20" t="s">
        <v>157</v>
      </c>
      <c r="AV26" s="20">
        <v>4100</v>
      </c>
      <c r="AW26" s="20" t="s">
        <v>158</v>
      </c>
      <c r="AX26" s="20">
        <v>100070242</v>
      </c>
      <c r="AY26" s="20"/>
      <c r="AZ26" s="20"/>
      <c r="BA26" s="20"/>
      <c r="BB26" s="20"/>
      <c r="BC26" s="20"/>
      <c r="BD26" s="20"/>
      <c r="BE26" s="20"/>
      <c r="BF26" s="20"/>
      <c r="BG26" s="20"/>
      <c r="BH26" s="20"/>
      <c r="BI26" s="20" t="s">
        <v>298</v>
      </c>
      <c r="BJ26"/>
      <c r="BK26"/>
      <c r="BL26"/>
    </row>
    <row r="27" spans="1:64" ht="14.4" x14ac:dyDescent="0.3">
      <c r="A27" s="20" t="s">
        <v>299</v>
      </c>
      <c r="B27" s="20" t="s">
        <v>300</v>
      </c>
      <c r="C27" s="20" t="s">
        <v>301</v>
      </c>
      <c r="D27" s="20" t="s">
        <v>142</v>
      </c>
      <c r="E27" s="20" t="s">
        <v>143</v>
      </c>
      <c r="F27" s="20">
        <v>7</v>
      </c>
      <c r="G27" s="20" t="s">
        <v>16</v>
      </c>
      <c r="H27" s="34">
        <v>46035</v>
      </c>
      <c r="I27" s="20">
        <v>6</v>
      </c>
      <c r="J27" s="20" t="s">
        <v>302</v>
      </c>
      <c r="K27" s="20" t="s">
        <v>145</v>
      </c>
      <c r="L27" s="20" t="s">
        <v>117</v>
      </c>
      <c r="M27" s="20" t="s">
        <v>118</v>
      </c>
      <c r="N27" s="20" t="s">
        <v>119</v>
      </c>
      <c r="O27" s="20">
        <v>9163000</v>
      </c>
      <c r="P27" s="20"/>
      <c r="Q27" s="20">
        <v>9163000</v>
      </c>
      <c r="R27" s="20"/>
      <c r="S27" s="20">
        <v>9163000</v>
      </c>
      <c r="T27" s="20" t="s">
        <v>120</v>
      </c>
      <c r="U27" s="20">
        <v>5210101581</v>
      </c>
      <c r="V27" s="20" t="s">
        <v>123</v>
      </c>
      <c r="W27" s="20" t="s">
        <v>124</v>
      </c>
      <c r="X27" s="20" t="s">
        <v>123</v>
      </c>
      <c r="Y27" s="20" t="s">
        <v>124</v>
      </c>
      <c r="Z27" s="20" t="s">
        <v>147</v>
      </c>
      <c r="AA27" s="20">
        <v>0</v>
      </c>
      <c r="AB27" s="20" t="s">
        <v>126</v>
      </c>
      <c r="AC27" s="20" t="s">
        <v>148</v>
      </c>
      <c r="AD27" s="20" t="s">
        <v>149</v>
      </c>
      <c r="AE27" s="20" t="s">
        <v>150</v>
      </c>
      <c r="AF27" s="20" t="s">
        <v>151</v>
      </c>
      <c r="AG27" s="20" t="s">
        <v>131</v>
      </c>
      <c r="AH27" s="20" t="s">
        <v>132</v>
      </c>
      <c r="AI27" s="20"/>
      <c r="AJ27" s="20"/>
      <c r="AK27" s="20"/>
      <c r="AL27" s="20" t="s">
        <v>303</v>
      </c>
      <c r="AM27" s="20">
        <v>46026</v>
      </c>
      <c r="AN27" s="20" t="s">
        <v>304</v>
      </c>
      <c r="AO27" s="20" t="s">
        <v>154</v>
      </c>
      <c r="AP27" s="20" t="s">
        <v>154</v>
      </c>
      <c r="AQ27" s="20"/>
      <c r="AR27" s="20" t="s">
        <v>305</v>
      </c>
      <c r="AS27" s="20" t="s">
        <v>156</v>
      </c>
      <c r="AT27" s="20">
        <v>117399</v>
      </c>
      <c r="AU27" s="20" t="s">
        <v>157</v>
      </c>
      <c r="AV27" s="20">
        <v>4100</v>
      </c>
      <c r="AW27" s="20" t="s">
        <v>158</v>
      </c>
      <c r="AX27" s="20">
        <v>100065551</v>
      </c>
      <c r="AY27" s="20"/>
      <c r="AZ27" s="20"/>
      <c r="BA27" s="20"/>
      <c r="BB27" s="20"/>
      <c r="BC27" s="20"/>
      <c r="BD27" s="20"/>
      <c r="BE27" s="20"/>
      <c r="BF27" s="20"/>
      <c r="BG27" s="20"/>
      <c r="BH27" s="20"/>
      <c r="BI27" s="20" t="s">
        <v>306</v>
      </c>
      <c r="BJ27"/>
      <c r="BK27"/>
      <c r="BL27"/>
    </row>
    <row r="28" spans="1:64" ht="14.4" x14ac:dyDescent="0.3">
      <c r="A28" s="20" t="s">
        <v>307</v>
      </c>
      <c r="B28" s="20" t="s">
        <v>308</v>
      </c>
      <c r="C28" s="20" t="s">
        <v>309</v>
      </c>
      <c r="D28" s="20" t="s">
        <v>142</v>
      </c>
      <c r="E28" s="20" t="s">
        <v>143</v>
      </c>
      <c r="F28" s="20">
        <v>7</v>
      </c>
      <c r="G28" s="20" t="s">
        <v>11</v>
      </c>
      <c r="H28" s="34">
        <v>45887</v>
      </c>
      <c r="I28" s="20">
        <v>94</v>
      </c>
      <c r="J28" s="20" t="s">
        <v>310</v>
      </c>
      <c r="K28" s="20" t="s">
        <v>145</v>
      </c>
      <c r="L28" s="20" t="s">
        <v>117</v>
      </c>
      <c r="M28" s="20" t="s">
        <v>118</v>
      </c>
      <c r="N28" s="20" t="s">
        <v>119</v>
      </c>
      <c r="O28" s="20">
        <v>6045509</v>
      </c>
      <c r="P28" s="20"/>
      <c r="Q28" s="20">
        <v>6045509</v>
      </c>
      <c r="R28" s="20"/>
      <c r="S28" s="20">
        <v>6045509</v>
      </c>
      <c r="T28" s="20" t="s">
        <v>146</v>
      </c>
      <c r="U28" s="20">
        <v>5210101581</v>
      </c>
      <c r="V28" s="20" t="s">
        <v>123</v>
      </c>
      <c r="W28" s="20" t="s">
        <v>124</v>
      </c>
      <c r="X28" s="20" t="s">
        <v>123</v>
      </c>
      <c r="Y28" s="20" t="s">
        <v>124</v>
      </c>
      <c r="Z28" s="20" t="s">
        <v>147</v>
      </c>
      <c r="AA28" s="20">
        <v>0</v>
      </c>
      <c r="AB28" s="20" t="s">
        <v>126</v>
      </c>
      <c r="AC28" s="20" t="s">
        <v>148</v>
      </c>
      <c r="AD28" s="20" t="s">
        <v>149</v>
      </c>
      <c r="AE28" s="20" t="s">
        <v>150</v>
      </c>
      <c r="AF28" s="20" t="s">
        <v>151</v>
      </c>
      <c r="AG28" s="20" t="s">
        <v>131</v>
      </c>
      <c r="AH28" s="20" t="s">
        <v>132</v>
      </c>
      <c r="AI28" s="20"/>
      <c r="AJ28" s="20"/>
      <c r="AK28" s="20"/>
      <c r="AL28" s="20">
        <v>325666881333</v>
      </c>
      <c r="AM28" s="20">
        <v>45870</v>
      </c>
      <c r="AN28" s="20" t="s">
        <v>311</v>
      </c>
      <c r="AO28" s="20" t="s">
        <v>29</v>
      </c>
      <c r="AP28" s="20" t="s">
        <v>29</v>
      </c>
      <c r="AQ28" s="20"/>
      <c r="AR28" s="20" t="s">
        <v>312</v>
      </c>
      <c r="AS28" s="20" t="s">
        <v>313</v>
      </c>
      <c r="AT28" s="20">
        <v>117399</v>
      </c>
      <c r="AU28" s="20" t="s">
        <v>157</v>
      </c>
      <c r="AV28" s="20">
        <v>4100</v>
      </c>
      <c r="AW28" s="20" t="s">
        <v>158</v>
      </c>
      <c r="AX28" s="20">
        <v>100064557</v>
      </c>
      <c r="AY28" s="20"/>
      <c r="AZ28" s="20"/>
      <c r="BA28" s="20"/>
      <c r="BB28" s="20"/>
      <c r="BC28" s="20"/>
      <c r="BD28" s="20"/>
      <c r="BE28" s="20"/>
      <c r="BF28" s="20"/>
      <c r="BG28" s="20"/>
      <c r="BH28" s="20"/>
      <c r="BI28" s="20" t="s">
        <v>314</v>
      </c>
      <c r="BJ28"/>
      <c r="BK28"/>
      <c r="BL28"/>
    </row>
    <row r="29" spans="1:64" ht="14.4" x14ac:dyDescent="0.3">
      <c r="A29" s="20" t="s">
        <v>315</v>
      </c>
      <c r="B29" s="20" t="s">
        <v>316</v>
      </c>
      <c r="C29" s="20" t="s">
        <v>317</v>
      </c>
      <c r="D29" s="20" t="s">
        <v>142</v>
      </c>
      <c r="E29" s="20" t="s">
        <v>143</v>
      </c>
      <c r="F29" s="20">
        <v>7</v>
      </c>
      <c r="G29" s="20" t="s">
        <v>14</v>
      </c>
      <c r="H29" s="34">
        <v>45978</v>
      </c>
      <c r="I29" s="20">
        <v>160</v>
      </c>
      <c r="J29" s="20" t="s">
        <v>318</v>
      </c>
      <c r="K29" s="20" t="s">
        <v>145</v>
      </c>
      <c r="L29" s="20" t="s">
        <v>117</v>
      </c>
      <c r="M29" s="20" t="s">
        <v>118</v>
      </c>
      <c r="N29" s="20" t="s">
        <v>119</v>
      </c>
      <c r="O29" s="20">
        <v>6026507</v>
      </c>
      <c r="P29" s="20"/>
      <c r="Q29" s="20">
        <v>6026507</v>
      </c>
      <c r="R29" s="20"/>
      <c r="S29" s="20">
        <v>6026507</v>
      </c>
      <c r="T29" s="20" t="s">
        <v>146</v>
      </c>
      <c r="U29" s="20">
        <v>5210101581</v>
      </c>
      <c r="V29" s="20" t="s">
        <v>123</v>
      </c>
      <c r="W29" s="20" t="s">
        <v>124</v>
      </c>
      <c r="X29" s="20" t="s">
        <v>123</v>
      </c>
      <c r="Y29" s="20" t="s">
        <v>124</v>
      </c>
      <c r="Z29" s="20" t="s">
        <v>147</v>
      </c>
      <c r="AA29" s="20">
        <v>0</v>
      </c>
      <c r="AB29" s="20" t="s">
        <v>126</v>
      </c>
      <c r="AC29" s="20" t="s">
        <v>148</v>
      </c>
      <c r="AD29" s="20" t="s">
        <v>149</v>
      </c>
      <c r="AE29" s="20" t="s">
        <v>150</v>
      </c>
      <c r="AF29" s="20" t="s">
        <v>151</v>
      </c>
      <c r="AG29" s="20" t="s">
        <v>131</v>
      </c>
      <c r="AH29" s="20" t="s">
        <v>132</v>
      </c>
      <c r="AI29" s="20"/>
      <c r="AJ29" s="20"/>
      <c r="AK29" s="20"/>
      <c r="AL29" s="20">
        <v>325082540769</v>
      </c>
      <c r="AM29" s="20">
        <v>45962</v>
      </c>
      <c r="AN29" s="20" t="s">
        <v>319</v>
      </c>
      <c r="AO29" s="20" t="s">
        <v>29</v>
      </c>
      <c r="AP29" s="20" t="s">
        <v>29</v>
      </c>
      <c r="AQ29" s="20"/>
      <c r="AR29" s="20" t="s">
        <v>320</v>
      </c>
      <c r="AS29" s="20" t="s">
        <v>313</v>
      </c>
      <c r="AT29" s="20">
        <v>117399</v>
      </c>
      <c r="AU29" s="20" t="s">
        <v>157</v>
      </c>
      <c r="AV29" s="20">
        <v>4100</v>
      </c>
      <c r="AW29" s="20" t="s">
        <v>158</v>
      </c>
      <c r="AX29" s="20">
        <v>100064557</v>
      </c>
      <c r="AY29" s="20"/>
      <c r="AZ29" s="20"/>
      <c r="BA29" s="20"/>
      <c r="BB29" s="20"/>
      <c r="BC29" s="20"/>
      <c r="BD29" s="20"/>
      <c r="BE29" s="20"/>
      <c r="BF29" s="20"/>
      <c r="BG29" s="20"/>
      <c r="BH29" s="20"/>
      <c r="BI29" s="20" t="s">
        <v>321</v>
      </c>
      <c r="BJ29"/>
      <c r="BK29"/>
      <c r="BL29"/>
    </row>
    <row r="30" spans="1:64" ht="14.4" x14ac:dyDescent="0.3">
      <c r="A30" s="20" t="s">
        <v>322</v>
      </c>
      <c r="B30" s="20" t="s">
        <v>219</v>
      </c>
      <c r="C30" s="20" t="s">
        <v>220</v>
      </c>
      <c r="D30" s="20" t="s">
        <v>142</v>
      </c>
      <c r="E30" s="20" t="s">
        <v>143</v>
      </c>
      <c r="F30" s="20">
        <v>7</v>
      </c>
      <c r="G30" s="20" t="s">
        <v>9</v>
      </c>
      <c r="H30" s="34">
        <v>45824</v>
      </c>
      <c r="I30" s="20">
        <v>52</v>
      </c>
      <c r="J30" s="20" t="s">
        <v>323</v>
      </c>
      <c r="K30" s="20" t="s">
        <v>145</v>
      </c>
      <c r="L30" s="20" t="s">
        <v>117</v>
      </c>
      <c r="M30" s="20" t="s">
        <v>118</v>
      </c>
      <c r="N30" s="20" t="s">
        <v>119</v>
      </c>
      <c r="O30" s="20">
        <v>5972550</v>
      </c>
      <c r="P30" s="20"/>
      <c r="Q30" s="20">
        <v>5972550</v>
      </c>
      <c r="R30" s="20"/>
      <c r="S30" s="20">
        <v>5972550</v>
      </c>
      <c r="T30" s="20" t="s">
        <v>146</v>
      </c>
      <c r="U30" s="20">
        <v>5210101581</v>
      </c>
      <c r="V30" s="20" t="s">
        <v>123</v>
      </c>
      <c r="W30" s="20" t="s">
        <v>124</v>
      </c>
      <c r="X30" s="20" t="s">
        <v>123</v>
      </c>
      <c r="Y30" s="20" t="s">
        <v>124</v>
      </c>
      <c r="Z30" s="20" t="s">
        <v>147</v>
      </c>
      <c r="AA30" s="20">
        <v>0</v>
      </c>
      <c r="AB30" s="20" t="s">
        <v>126</v>
      </c>
      <c r="AC30" s="20" t="s">
        <v>148</v>
      </c>
      <c r="AD30" s="20" t="s">
        <v>149</v>
      </c>
      <c r="AE30" s="20" t="s">
        <v>150</v>
      </c>
      <c r="AF30" s="20" t="s">
        <v>151</v>
      </c>
      <c r="AG30" s="20" t="s">
        <v>131</v>
      </c>
      <c r="AH30" s="20" t="s">
        <v>132</v>
      </c>
      <c r="AI30" s="20"/>
      <c r="AJ30" s="20"/>
      <c r="AK30" s="20"/>
      <c r="AL30" s="20">
        <v>325342294482</v>
      </c>
      <c r="AM30" s="20">
        <v>45809</v>
      </c>
      <c r="AN30" s="20" t="s">
        <v>324</v>
      </c>
      <c r="AO30" s="20" t="s">
        <v>29</v>
      </c>
      <c r="AP30" s="20" t="s">
        <v>29</v>
      </c>
      <c r="AQ30" s="20"/>
      <c r="AR30" s="20" t="s">
        <v>325</v>
      </c>
      <c r="AS30" s="20" t="s">
        <v>313</v>
      </c>
      <c r="AT30" s="20">
        <v>117399</v>
      </c>
      <c r="AU30" s="20" t="s">
        <v>157</v>
      </c>
      <c r="AV30" s="20">
        <v>4100</v>
      </c>
      <c r="AW30" s="20" t="s">
        <v>158</v>
      </c>
      <c r="AX30" s="20">
        <v>100064557</v>
      </c>
      <c r="AY30" s="20"/>
      <c r="AZ30" s="20"/>
      <c r="BA30" s="20"/>
      <c r="BB30" s="20"/>
      <c r="BC30" s="20"/>
      <c r="BD30" s="20"/>
      <c r="BE30" s="20"/>
      <c r="BF30" s="20"/>
      <c r="BG30" s="20"/>
      <c r="BH30" s="20"/>
      <c r="BI30" s="20" t="s">
        <v>326</v>
      </c>
      <c r="BJ30"/>
      <c r="BK30"/>
      <c r="BL30"/>
    </row>
    <row r="31" spans="1:64" ht="14.4" x14ac:dyDescent="0.3">
      <c r="A31" s="20" t="s">
        <v>327</v>
      </c>
      <c r="B31" s="20" t="s">
        <v>328</v>
      </c>
      <c r="C31" s="20" t="s">
        <v>329</v>
      </c>
      <c r="D31" s="20" t="s">
        <v>142</v>
      </c>
      <c r="E31" s="20" t="s">
        <v>143</v>
      </c>
      <c r="F31" s="20">
        <v>7</v>
      </c>
      <c r="G31" s="20" t="s">
        <v>12</v>
      </c>
      <c r="H31" s="34">
        <v>45915</v>
      </c>
      <c r="I31" s="20">
        <v>66</v>
      </c>
      <c r="J31" s="20" t="s">
        <v>330</v>
      </c>
      <c r="K31" s="20" t="s">
        <v>145</v>
      </c>
      <c r="L31" s="20" t="s">
        <v>117</v>
      </c>
      <c r="M31" s="20" t="s">
        <v>118</v>
      </c>
      <c r="N31" s="20" t="s">
        <v>119</v>
      </c>
      <c r="O31" s="20">
        <v>5920562</v>
      </c>
      <c r="P31" s="20"/>
      <c r="Q31" s="20">
        <v>5920562</v>
      </c>
      <c r="R31" s="20"/>
      <c r="S31" s="20">
        <v>5920562</v>
      </c>
      <c r="T31" s="20" t="s">
        <v>146</v>
      </c>
      <c r="U31" s="20">
        <v>5210101581</v>
      </c>
      <c r="V31" s="20" t="s">
        <v>123</v>
      </c>
      <c r="W31" s="20" t="s">
        <v>124</v>
      </c>
      <c r="X31" s="20" t="s">
        <v>123</v>
      </c>
      <c r="Y31" s="20" t="s">
        <v>124</v>
      </c>
      <c r="Z31" s="20" t="s">
        <v>147</v>
      </c>
      <c r="AA31" s="20">
        <v>0</v>
      </c>
      <c r="AB31" s="20" t="s">
        <v>126</v>
      </c>
      <c r="AC31" s="20" t="s">
        <v>148</v>
      </c>
      <c r="AD31" s="20" t="s">
        <v>149</v>
      </c>
      <c r="AE31" s="20" t="s">
        <v>150</v>
      </c>
      <c r="AF31" s="20" t="s">
        <v>151</v>
      </c>
      <c r="AG31" s="20" t="s">
        <v>131</v>
      </c>
      <c r="AH31" s="20" t="s">
        <v>132</v>
      </c>
      <c r="AI31" s="20"/>
      <c r="AJ31" s="20"/>
      <c r="AK31" s="20"/>
      <c r="AL31" s="20">
        <v>325065318607</v>
      </c>
      <c r="AM31" s="20">
        <v>45901</v>
      </c>
      <c r="AN31" s="20" t="s">
        <v>331</v>
      </c>
      <c r="AO31" s="20" t="s">
        <v>29</v>
      </c>
      <c r="AP31" s="20" t="s">
        <v>29</v>
      </c>
      <c r="AQ31" s="20"/>
      <c r="AR31" s="20" t="s">
        <v>332</v>
      </c>
      <c r="AS31" s="20" t="s">
        <v>313</v>
      </c>
      <c r="AT31" s="20">
        <v>117399</v>
      </c>
      <c r="AU31" s="20" t="s">
        <v>157</v>
      </c>
      <c r="AV31" s="20">
        <v>4100</v>
      </c>
      <c r="AW31" s="20" t="s">
        <v>158</v>
      </c>
      <c r="AX31" s="20">
        <v>100064557</v>
      </c>
      <c r="AY31" s="20"/>
      <c r="AZ31" s="20"/>
      <c r="BA31" s="20"/>
      <c r="BB31" s="20"/>
      <c r="BC31" s="20"/>
      <c r="BD31" s="20"/>
      <c r="BE31" s="20"/>
      <c r="BF31" s="20"/>
      <c r="BG31" s="20"/>
      <c r="BH31" s="20"/>
      <c r="BI31" s="20" t="s">
        <v>333</v>
      </c>
      <c r="BJ31"/>
      <c r="BK31"/>
      <c r="BL31"/>
    </row>
    <row r="32" spans="1:64" ht="14.4" x14ac:dyDescent="0.3">
      <c r="A32" s="20" t="s">
        <v>334</v>
      </c>
      <c r="B32" s="20" t="s">
        <v>251</v>
      </c>
      <c r="C32" s="20" t="s">
        <v>252</v>
      </c>
      <c r="D32" s="20" t="s">
        <v>142</v>
      </c>
      <c r="E32" s="20" t="s">
        <v>143</v>
      </c>
      <c r="F32" s="20">
        <v>7</v>
      </c>
      <c r="G32" s="20" t="s">
        <v>13</v>
      </c>
      <c r="H32" s="34">
        <v>45943</v>
      </c>
      <c r="I32" s="20">
        <v>47</v>
      </c>
      <c r="J32" s="20" t="s">
        <v>335</v>
      </c>
      <c r="K32" s="20" t="s">
        <v>145</v>
      </c>
      <c r="L32" s="20" t="s">
        <v>117</v>
      </c>
      <c r="M32" s="20" t="s">
        <v>118</v>
      </c>
      <c r="N32" s="20" t="s">
        <v>119</v>
      </c>
      <c r="O32" s="20">
        <v>5894668</v>
      </c>
      <c r="P32" s="20"/>
      <c r="Q32" s="20">
        <v>5894668</v>
      </c>
      <c r="R32" s="20"/>
      <c r="S32" s="20">
        <v>5894668</v>
      </c>
      <c r="T32" s="20" t="s">
        <v>146</v>
      </c>
      <c r="U32" s="20">
        <v>5210101581</v>
      </c>
      <c r="V32" s="20" t="s">
        <v>123</v>
      </c>
      <c r="W32" s="20" t="s">
        <v>124</v>
      </c>
      <c r="X32" s="20" t="s">
        <v>123</v>
      </c>
      <c r="Y32" s="20" t="s">
        <v>124</v>
      </c>
      <c r="Z32" s="20" t="s">
        <v>147</v>
      </c>
      <c r="AA32" s="20">
        <v>0</v>
      </c>
      <c r="AB32" s="20" t="s">
        <v>126</v>
      </c>
      <c r="AC32" s="20" t="s">
        <v>148</v>
      </c>
      <c r="AD32" s="20" t="s">
        <v>149</v>
      </c>
      <c r="AE32" s="20" t="s">
        <v>150</v>
      </c>
      <c r="AF32" s="20" t="s">
        <v>151</v>
      </c>
      <c r="AG32" s="20" t="s">
        <v>131</v>
      </c>
      <c r="AH32" s="20" t="s">
        <v>132</v>
      </c>
      <c r="AI32" s="20"/>
      <c r="AJ32" s="20"/>
      <c r="AK32" s="20"/>
      <c r="AL32" s="20">
        <v>325078282399</v>
      </c>
      <c r="AM32" s="20">
        <v>45931</v>
      </c>
      <c r="AN32" s="20" t="s">
        <v>336</v>
      </c>
      <c r="AO32" s="20" t="s">
        <v>29</v>
      </c>
      <c r="AP32" s="20" t="s">
        <v>29</v>
      </c>
      <c r="AQ32" s="20"/>
      <c r="AR32" s="20" t="s">
        <v>337</v>
      </c>
      <c r="AS32" s="20" t="s">
        <v>313</v>
      </c>
      <c r="AT32" s="20">
        <v>117399</v>
      </c>
      <c r="AU32" s="20" t="s">
        <v>157</v>
      </c>
      <c r="AV32" s="20">
        <v>4100</v>
      </c>
      <c r="AW32" s="20" t="s">
        <v>158</v>
      </c>
      <c r="AX32" s="20">
        <v>100064557</v>
      </c>
      <c r="AY32" s="20"/>
      <c r="AZ32" s="20"/>
      <c r="BA32" s="20"/>
      <c r="BB32" s="20"/>
      <c r="BC32" s="20"/>
      <c r="BD32" s="20"/>
      <c r="BE32" s="20"/>
      <c r="BF32" s="20"/>
      <c r="BG32" s="20"/>
      <c r="BH32" s="20"/>
      <c r="BI32" s="20" t="s">
        <v>338</v>
      </c>
      <c r="BJ32"/>
      <c r="BK32"/>
      <c r="BL32"/>
    </row>
    <row r="33" spans="1:64" ht="14.4" x14ac:dyDescent="0.3">
      <c r="A33" s="20" t="s">
        <v>339</v>
      </c>
      <c r="B33" s="20" t="s">
        <v>227</v>
      </c>
      <c r="C33" s="20" t="s">
        <v>228</v>
      </c>
      <c r="D33" s="20" t="s">
        <v>142</v>
      </c>
      <c r="E33" s="20" t="s">
        <v>143</v>
      </c>
      <c r="F33" s="20">
        <v>7</v>
      </c>
      <c r="G33" s="20" t="s">
        <v>10</v>
      </c>
      <c r="H33" s="34">
        <v>45848</v>
      </c>
      <c r="I33" s="20">
        <v>40</v>
      </c>
      <c r="J33" s="20" t="s">
        <v>340</v>
      </c>
      <c r="K33" s="20" t="s">
        <v>145</v>
      </c>
      <c r="L33" s="20" t="s">
        <v>117</v>
      </c>
      <c r="M33" s="20" t="s">
        <v>118</v>
      </c>
      <c r="N33" s="20" t="s">
        <v>119</v>
      </c>
      <c r="O33" s="20">
        <v>5892630</v>
      </c>
      <c r="P33" s="20"/>
      <c r="Q33" s="20">
        <v>5892630</v>
      </c>
      <c r="R33" s="20"/>
      <c r="S33" s="20">
        <v>5892630</v>
      </c>
      <c r="T33" s="20" t="s">
        <v>146</v>
      </c>
      <c r="U33" s="20">
        <v>5210101581</v>
      </c>
      <c r="V33" s="20" t="s">
        <v>123</v>
      </c>
      <c r="W33" s="20" t="s">
        <v>124</v>
      </c>
      <c r="X33" s="20" t="s">
        <v>123</v>
      </c>
      <c r="Y33" s="20" t="s">
        <v>124</v>
      </c>
      <c r="Z33" s="20" t="s">
        <v>147</v>
      </c>
      <c r="AA33" s="20">
        <v>0</v>
      </c>
      <c r="AB33" s="20" t="s">
        <v>126</v>
      </c>
      <c r="AC33" s="20" t="s">
        <v>148</v>
      </c>
      <c r="AD33" s="20" t="s">
        <v>149</v>
      </c>
      <c r="AE33" s="20" t="s">
        <v>150</v>
      </c>
      <c r="AF33" s="20" t="s">
        <v>151</v>
      </c>
      <c r="AG33" s="20" t="s">
        <v>131</v>
      </c>
      <c r="AH33" s="20" t="s">
        <v>132</v>
      </c>
      <c r="AI33" s="20"/>
      <c r="AJ33" s="20"/>
      <c r="AK33" s="20"/>
      <c r="AL33" s="20">
        <v>325019647765</v>
      </c>
      <c r="AM33" s="20">
        <v>45839</v>
      </c>
      <c r="AN33" s="20" t="s">
        <v>341</v>
      </c>
      <c r="AO33" s="20" t="s">
        <v>29</v>
      </c>
      <c r="AP33" s="20" t="s">
        <v>29</v>
      </c>
      <c r="AQ33" s="20"/>
      <c r="AR33" s="20" t="s">
        <v>342</v>
      </c>
      <c r="AS33" s="20" t="s">
        <v>313</v>
      </c>
      <c r="AT33" s="20">
        <v>117399</v>
      </c>
      <c r="AU33" s="20" t="s">
        <v>157</v>
      </c>
      <c r="AV33" s="20">
        <v>4100</v>
      </c>
      <c r="AW33" s="20" t="s">
        <v>158</v>
      </c>
      <c r="AX33" s="20">
        <v>100064557</v>
      </c>
      <c r="AY33" s="20"/>
      <c r="AZ33" s="20"/>
      <c r="BA33" s="20"/>
      <c r="BB33" s="20"/>
      <c r="BC33" s="20"/>
      <c r="BD33" s="20"/>
      <c r="BE33" s="20"/>
      <c r="BF33" s="20"/>
      <c r="BG33" s="20"/>
      <c r="BH33" s="20"/>
      <c r="BI33" s="20" t="s">
        <v>343</v>
      </c>
      <c r="BJ33"/>
      <c r="BK33"/>
      <c r="BL33"/>
    </row>
    <row r="34" spans="1:64" ht="14.4" x14ac:dyDescent="0.3">
      <c r="A34" s="20" t="s">
        <v>344</v>
      </c>
      <c r="B34" s="20" t="s">
        <v>345</v>
      </c>
      <c r="C34" s="20" t="s">
        <v>346</v>
      </c>
      <c r="D34" s="20" t="s">
        <v>142</v>
      </c>
      <c r="E34" s="20" t="s">
        <v>143</v>
      </c>
      <c r="F34" s="20">
        <v>7</v>
      </c>
      <c r="G34" s="20" t="s">
        <v>15</v>
      </c>
      <c r="H34" s="34">
        <v>46003</v>
      </c>
      <c r="I34" s="20">
        <v>47</v>
      </c>
      <c r="J34" s="20" t="s">
        <v>347</v>
      </c>
      <c r="K34" s="20" t="s">
        <v>145</v>
      </c>
      <c r="L34" s="20" t="s">
        <v>117</v>
      </c>
      <c r="M34" s="20" t="s">
        <v>118</v>
      </c>
      <c r="N34" s="20" t="s">
        <v>119</v>
      </c>
      <c r="O34" s="20">
        <v>5273478</v>
      </c>
      <c r="P34" s="20"/>
      <c r="Q34" s="20">
        <v>5273478</v>
      </c>
      <c r="R34" s="20"/>
      <c r="S34" s="20">
        <v>5273478</v>
      </c>
      <c r="T34" s="20" t="s">
        <v>146</v>
      </c>
      <c r="U34" s="20">
        <v>5210101581</v>
      </c>
      <c r="V34" s="20" t="s">
        <v>123</v>
      </c>
      <c r="W34" s="20" t="s">
        <v>124</v>
      </c>
      <c r="X34" s="20" t="s">
        <v>123</v>
      </c>
      <c r="Y34" s="20" t="s">
        <v>124</v>
      </c>
      <c r="Z34" s="20" t="s">
        <v>147</v>
      </c>
      <c r="AA34" s="20">
        <v>0</v>
      </c>
      <c r="AB34" s="20" t="s">
        <v>126</v>
      </c>
      <c r="AC34" s="20" t="s">
        <v>148</v>
      </c>
      <c r="AD34" s="20" t="s">
        <v>149</v>
      </c>
      <c r="AE34" s="20" t="s">
        <v>150</v>
      </c>
      <c r="AF34" s="20" t="s">
        <v>151</v>
      </c>
      <c r="AG34" s="20" t="s">
        <v>131</v>
      </c>
      <c r="AH34" s="20" t="s">
        <v>132</v>
      </c>
      <c r="AI34" s="20"/>
      <c r="AJ34" s="20"/>
      <c r="AK34" s="20"/>
      <c r="AL34" s="20">
        <v>325633731673</v>
      </c>
      <c r="AM34" s="20">
        <v>45992</v>
      </c>
      <c r="AN34" s="20" t="s">
        <v>348</v>
      </c>
      <c r="AO34" s="20" t="s">
        <v>29</v>
      </c>
      <c r="AP34" s="20" t="s">
        <v>29</v>
      </c>
      <c r="AQ34" s="20"/>
      <c r="AR34" s="20" t="s">
        <v>349</v>
      </c>
      <c r="AS34" s="20" t="s">
        <v>313</v>
      </c>
      <c r="AT34" s="20">
        <v>117399</v>
      </c>
      <c r="AU34" s="20" t="s">
        <v>157</v>
      </c>
      <c r="AV34" s="20">
        <v>4100</v>
      </c>
      <c r="AW34" s="20" t="s">
        <v>158</v>
      </c>
      <c r="AX34" s="20">
        <v>100064557</v>
      </c>
      <c r="AY34" s="20"/>
      <c r="AZ34" s="20"/>
      <c r="BA34" s="20"/>
      <c r="BB34" s="20"/>
      <c r="BC34" s="20"/>
      <c r="BD34" s="20"/>
      <c r="BE34" s="20"/>
      <c r="BF34" s="20"/>
      <c r="BG34" s="20"/>
      <c r="BH34" s="20"/>
      <c r="BI34" s="20" t="s">
        <v>350</v>
      </c>
      <c r="BJ34"/>
      <c r="BK34"/>
      <c r="BL34"/>
    </row>
    <row r="35" spans="1:64" ht="14.4" x14ac:dyDescent="0.3">
      <c r="A35" s="20" t="s">
        <v>351</v>
      </c>
      <c r="B35" s="20" t="s">
        <v>352</v>
      </c>
      <c r="C35" s="20" t="s">
        <v>353</v>
      </c>
      <c r="D35" s="20" t="s">
        <v>142</v>
      </c>
      <c r="E35" s="20" t="s">
        <v>143</v>
      </c>
      <c r="F35" s="20">
        <v>7</v>
      </c>
      <c r="G35" s="20" t="s">
        <v>7</v>
      </c>
      <c r="H35" s="34">
        <v>45758</v>
      </c>
      <c r="I35" s="20">
        <v>31</v>
      </c>
      <c r="J35" s="20" t="s">
        <v>354</v>
      </c>
      <c r="K35" s="20" t="s">
        <v>145</v>
      </c>
      <c r="L35" s="20" t="s">
        <v>117</v>
      </c>
      <c r="M35" s="20" t="s">
        <v>118</v>
      </c>
      <c r="N35" s="20" t="s">
        <v>119</v>
      </c>
      <c r="O35" s="20">
        <v>5036542</v>
      </c>
      <c r="P35" s="20"/>
      <c r="Q35" s="20">
        <v>5036542</v>
      </c>
      <c r="R35" s="20"/>
      <c r="S35" s="20">
        <v>5036542</v>
      </c>
      <c r="T35" s="20" t="s">
        <v>146</v>
      </c>
      <c r="U35" s="20">
        <v>5210101581</v>
      </c>
      <c r="V35" s="20" t="s">
        <v>123</v>
      </c>
      <c r="W35" s="20" t="s">
        <v>124</v>
      </c>
      <c r="X35" s="20" t="s">
        <v>123</v>
      </c>
      <c r="Y35" s="20" t="s">
        <v>124</v>
      </c>
      <c r="Z35" s="20" t="s">
        <v>147</v>
      </c>
      <c r="AA35" s="20">
        <v>0</v>
      </c>
      <c r="AB35" s="20" t="s">
        <v>126</v>
      </c>
      <c r="AC35" s="20" t="s">
        <v>148</v>
      </c>
      <c r="AD35" s="20" t="s">
        <v>149</v>
      </c>
      <c r="AE35" s="20" t="s">
        <v>150</v>
      </c>
      <c r="AF35" s="20" t="s">
        <v>151</v>
      </c>
      <c r="AG35" s="20" t="s">
        <v>131</v>
      </c>
      <c r="AH35" s="20" t="s">
        <v>132</v>
      </c>
      <c r="AI35" s="20"/>
      <c r="AJ35" s="20"/>
      <c r="AK35" s="20"/>
      <c r="AL35" s="20">
        <v>325784885607</v>
      </c>
      <c r="AM35" s="20">
        <v>45748</v>
      </c>
      <c r="AN35" s="20" t="s">
        <v>355</v>
      </c>
      <c r="AO35" s="20" t="s">
        <v>29</v>
      </c>
      <c r="AP35" s="20" t="s">
        <v>29</v>
      </c>
      <c r="AQ35" s="20"/>
      <c r="AR35" s="20" t="s">
        <v>356</v>
      </c>
      <c r="AS35" s="20" t="s">
        <v>313</v>
      </c>
      <c r="AT35" s="20">
        <v>117399</v>
      </c>
      <c r="AU35" s="20" t="s">
        <v>157</v>
      </c>
      <c r="AV35" s="20">
        <v>4100</v>
      </c>
      <c r="AW35" s="20" t="s">
        <v>158</v>
      </c>
      <c r="AX35" s="20">
        <v>100064557</v>
      </c>
      <c r="AY35" s="20"/>
      <c r="AZ35" s="20"/>
      <c r="BA35" s="20"/>
      <c r="BB35" s="20"/>
      <c r="BC35" s="20"/>
      <c r="BD35" s="20"/>
      <c r="BE35" s="20"/>
      <c r="BF35" s="20"/>
      <c r="BG35" s="20"/>
      <c r="BH35" s="20"/>
      <c r="BI35" s="20" t="s">
        <v>357</v>
      </c>
      <c r="BJ35"/>
      <c r="BK35"/>
      <c r="BL35"/>
    </row>
    <row r="36" spans="1:64" ht="14.4" x14ac:dyDescent="0.3">
      <c r="A36" s="20" t="s">
        <v>358</v>
      </c>
      <c r="B36" s="20" t="s">
        <v>359</v>
      </c>
      <c r="C36" s="20" t="s">
        <v>360</v>
      </c>
      <c r="D36" s="20" t="s">
        <v>142</v>
      </c>
      <c r="E36" s="20" t="s">
        <v>143</v>
      </c>
      <c r="F36" s="20">
        <v>7</v>
      </c>
      <c r="G36" s="20" t="s">
        <v>16</v>
      </c>
      <c r="H36" s="34">
        <v>46034</v>
      </c>
      <c r="I36" s="20">
        <v>42</v>
      </c>
      <c r="J36" s="20" t="s">
        <v>361</v>
      </c>
      <c r="K36" s="20" t="s">
        <v>145</v>
      </c>
      <c r="L36" s="20" t="s">
        <v>117</v>
      </c>
      <c r="M36" s="20" t="s">
        <v>118</v>
      </c>
      <c r="N36" s="20" t="s">
        <v>119</v>
      </c>
      <c r="O36" s="20">
        <v>5023530</v>
      </c>
      <c r="P36" s="20"/>
      <c r="Q36" s="20">
        <v>5023530</v>
      </c>
      <c r="R36" s="20"/>
      <c r="S36" s="20">
        <v>5023530</v>
      </c>
      <c r="T36" s="20" t="s">
        <v>120</v>
      </c>
      <c r="U36" s="20">
        <v>5210101581</v>
      </c>
      <c r="V36" s="20" t="s">
        <v>123</v>
      </c>
      <c r="W36" s="20" t="s">
        <v>124</v>
      </c>
      <c r="X36" s="20" t="s">
        <v>123</v>
      </c>
      <c r="Y36" s="20" t="s">
        <v>124</v>
      </c>
      <c r="Z36" s="20" t="s">
        <v>147</v>
      </c>
      <c r="AA36" s="20">
        <v>0</v>
      </c>
      <c r="AB36" s="20" t="s">
        <v>126</v>
      </c>
      <c r="AC36" s="20" t="s">
        <v>148</v>
      </c>
      <c r="AD36" s="20" t="s">
        <v>149</v>
      </c>
      <c r="AE36" s="20" t="s">
        <v>150</v>
      </c>
      <c r="AF36" s="20" t="s">
        <v>151</v>
      </c>
      <c r="AG36" s="20" t="s">
        <v>131</v>
      </c>
      <c r="AH36" s="20" t="s">
        <v>132</v>
      </c>
      <c r="AI36" s="20"/>
      <c r="AJ36" s="20"/>
      <c r="AK36" s="20"/>
      <c r="AL36" s="20">
        <v>325405312875</v>
      </c>
      <c r="AM36" s="20">
        <v>46023</v>
      </c>
      <c r="AN36" s="20" t="s">
        <v>362</v>
      </c>
      <c r="AO36" s="20" t="s">
        <v>29</v>
      </c>
      <c r="AP36" s="20" t="s">
        <v>29</v>
      </c>
      <c r="AQ36" s="20"/>
      <c r="AR36" s="20" t="s">
        <v>363</v>
      </c>
      <c r="AS36" s="20" t="s">
        <v>364</v>
      </c>
      <c r="AT36" s="20">
        <v>117399</v>
      </c>
      <c r="AU36" s="20" t="s">
        <v>157</v>
      </c>
      <c r="AV36" s="20">
        <v>4100</v>
      </c>
      <c r="AW36" s="20" t="s">
        <v>158</v>
      </c>
      <c r="AX36" s="20">
        <v>100064557</v>
      </c>
      <c r="AY36" s="20"/>
      <c r="AZ36" s="20"/>
      <c r="BA36" s="20"/>
      <c r="BB36" s="20"/>
      <c r="BC36" s="20"/>
      <c r="BD36" s="20"/>
      <c r="BE36" s="20"/>
      <c r="BF36" s="20"/>
      <c r="BG36" s="20"/>
      <c r="BH36" s="20"/>
      <c r="BI36" s="20" t="s">
        <v>365</v>
      </c>
      <c r="BJ36"/>
      <c r="BK36"/>
      <c r="BL36"/>
    </row>
    <row r="37" spans="1:64" s="35" customFormat="1" ht="14.4" x14ac:dyDescent="0.3">
      <c r="A37" s="20" t="s">
        <v>366</v>
      </c>
      <c r="B37" s="20" t="s">
        <v>367</v>
      </c>
      <c r="C37" s="20" t="s">
        <v>368</v>
      </c>
      <c r="D37" s="20" t="s">
        <v>142</v>
      </c>
      <c r="E37" s="20" t="s">
        <v>143</v>
      </c>
      <c r="F37" s="20">
        <v>7</v>
      </c>
      <c r="G37" s="20" t="s">
        <v>13</v>
      </c>
      <c r="H37" s="34">
        <v>45944</v>
      </c>
      <c r="I37" s="20">
        <v>17</v>
      </c>
      <c r="J37" s="20" t="s">
        <v>369</v>
      </c>
      <c r="K37" s="20" t="s">
        <v>116</v>
      </c>
      <c r="L37" s="20" t="s">
        <v>117</v>
      </c>
      <c r="M37" s="20" t="s">
        <v>118</v>
      </c>
      <c r="N37" s="20" t="s">
        <v>119</v>
      </c>
      <c r="O37" s="20">
        <v>4524644.93</v>
      </c>
      <c r="P37" s="20"/>
      <c r="Q37" s="20">
        <v>4524644.93</v>
      </c>
      <c r="R37" s="20"/>
      <c r="S37" s="20">
        <v>4524644.93</v>
      </c>
      <c r="T37" s="20" t="s">
        <v>146</v>
      </c>
      <c r="U37" s="20">
        <v>5210101232</v>
      </c>
      <c r="V37" s="20" t="s">
        <v>121</v>
      </c>
      <c r="W37" s="20" t="s">
        <v>122</v>
      </c>
      <c r="X37" s="20" t="s">
        <v>123</v>
      </c>
      <c r="Y37" s="20" t="s">
        <v>124</v>
      </c>
      <c r="Z37" s="20" t="s">
        <v>125</v>
      </c>
      <c r="AA37" s="20">
        <v>0</v>
      </c>
      <c r="AB37" s="20" t="s">
        <v>126</v>
      </c>
      <c r="AC37" s="20" t="s">
        <v>127</v>
      </c>
      <c r="AD37" s="20" t="s">
        <v>128</v>
      </c>
      <c r="AE37" s="20" t="s">
        <v>129</v>
      </c>
      <c r="AF37" s="20" t="s">
        <v>130</v>
      </c>
      <c r="AG37" s="20" t="s">
        <v>131</v>
      </c>
      <c r="AH37" s="20" t="s">
        <v>132</v>
      </c>
      <c r="AI37" s="20"/>
      <c r="AJ37" s="20"/>
      <c r="AK37" s="20"/>
      <c r="AL37" s="20" t="s">
        <v>370</v>
      </c>
      <c r="AM37" s="20">
        <v>45918</v>
      </c>
      <c r="AN37" s="20" t="s">
        <v>371</v>
      </c>
      <c r="AO37" s="20" t="s">
        <v>24</v>
      </c>
      <c r="AP37" s="20" t="s">
        <v>24</v>
      </c>
      <c r="AQ37" s="20"/>
      <c r="AR37" s="20" t="s">
        <v>372</v>
      </c>
      <c r="AS37" s="20" t="s">
        <v>289</v>
      </c>
      <c r="AT37" s="20">
        <v>117689</v>
      </c>
      <c r="AU37" s="20" t="s">
        <v>135</v>
      </c>
      <c r="AV37" s="20">
        <v>5509</v>
      </c>
      <c r="AW37" s="20" t="s">
        <v>136</v>
      </c>
      <c r="AX37" s="20">
        <v>100065125</v>
      </c>
      <c r="AY37" s="20"/>
      <c r="AZ37" s="20"/>
      <c r="BA37" s="20"/>
      <c r="BB37" s="20"/>
      <c r="BC37" s="20"/>
      <c r="BD37" s="20"/>
      <c r="BE37" s="20"/>
      <c r="BF37" s="20"/>
      <c r="BG37" s="20"/>
      <c r="BH37" s="20"/>
      <c r="BI37" s="20" t="s">
        <v>373</v>
      </c>
      <c r="BJ37"/>
      <c r="BK37"/>
      <c r="BL37"/>
    </row>
    <row r="38" spans="1:64" ht="14.4" x14ac:dyDescent="0.3">
      <c r="A38" s="20" t="s">
        <v>374</v>
      </c>
      <c r="B38" s="20" t="s">
        <v>375</v>
      </c>
      <c r="C38" s="20" t="s">
        <v>376</v>
      </c>
      <c r="D38" s="20" t="s">
        <v>142</v>
      </c>
      <c r="E38" s="20" t="s">
        <v>143</v>
      </c>
      <c r="F38" s="20">
        <v>7</v>
      </c>
      <c r="G38" s="20" t="s">
        <v>10</v>
      </c>
      <c r="H38" s="34">
        <v>45846</v>
      </c>
      <c r="I38" s="20">
        <v>42</v>
      </c>
      <c r="J38" s="20" t="s">
        <v>377</v>
      </c>
      <c r="K38" s="20" t="s">
        <v>116</v>
      </c>
      <c r="L38" s="20" t="s">
        <v>117</v>
      </c>
      <c r="M38" s="20" t="s">
        <v>118</v>
      </c>
      <c r="N38" s="20" t="s">
        <v>119</v>
      </c>
      <c r="O38" s="20">
        <v>4437424.32</v>
      </c>
      <c r="P38" s="20"/>
      <c r="Q38" s="20">
        <v>4437424.32</v>
      </c>
      <c r="R38" s="20"/>
      <c r="S38" s="20">
        <v>4437424.32</v>
      </c>
      <c r="T38" s="20" t="s">
        <v>146</v>
      </c>
      <c r="U38" s="20">
        <v>5210101232</v>
      </c>
      <c r="V38" s="20" t="s">
        <v>121</v>
      </c>
      <c r="W38" s="20" t="s">
        <v>122</v>
      </c>
      <c r="X38" s="20" t="s">
        <v>123</v>
      </c>
      <c r="Y38" s="20" t="s">
        <v>124</v>
      </c>
      <c r="Z38" s="20" t="s">
        <v>125</v>
      </c>
      <c r="AA38" s="20">
        <v>0</v>
      </c>
      <c r="AB38" s="20" t="s">
        <v>126</v>
      </c>
      <c r="AC38" s="20" t="s">
        <v>127</v>
      </c>
      <c r="AD38" s="20" t="s">
        <v>128</v>
      </c>
      <c r="AE38" s="20" t="s">
        <v>129</v>
      </c>
      <c r="AF38" s="20" t="s">
        <v>130</v>
      </c>
      <c r="AG38" s="20" t="s">
        <v>131</v>
      </c>
      <c r="AH38" s="20" t="s">
        <v>132</v>
      </c>
      <c r="AI38" s="20"/>
      <c r="AJ38" s="20"/>
      <c r="AK38" s="20"/>
      <c r="AL38" s="20" t="s">
        <v>378</v>
      </c>
      <c r="AM38" s="20">
        <v>45827</v>
      </c>
      <c r="AN38" s="20" t="s">
        <v>379</v>
      </c>
      <c r="AO38" s="20" t="s">
        <v>24</v>
      </c>
      <c r="AP38" s="20" t="s">
        <v>24</v>
      </c>
      <c r="AQ38" s="20"/>
      <c r="AR38" s="20" t="s">
        <v>380</v>
      </c>
      <c r="AS38" s="20" t="s">
        <v>289</v>
      </c>
      <c r="AT38" s="20">
        <v>117689</v>
      </c>
      <c r="AU38" s="20" t="s">
        <v>135</v>
      </c>
      <c r="AV38" s="20">
        <v>5509</v>
      </c>
      <c r="AW38" s="20" t="s">
        <v>136</v>
      </c>
      <c r="AX38" s="20">
        <v>100065125</v>
      </c>
      <c r="AY38" s="20"/>
      <c r="AZ38" s="20"/>
      <c r="BA38" s="20"/>
      <c r="BB38" s="20"/>
      <c r="BC38" s="20"/>
      <c r="BD38" s="20"/>
      <c r="BE38" s="20"/>
      <c r="BF38" s="20"/>
      <c r="BG38" s="20"/>
      <c r="BH38" s="20"/>
      <c r="BI38" s="20" t="s">
        <v>381</v>
      </c>
      <c r="BJ38"/>
      <c r="BK38"/>
      <c r="BL38"/>
    </row>
    <row r="39" spans="1:64" ht="14.4" x14ac:dyDescent="0.3">
      <c r="A39" s="20" t="s">
        <v>382</v>
      </c>
      <c r="B39" s="20" t="s">
        <v>383</v>
      </c>
      <c r="C39" s="20" t="s">
        <v>384</v>
      </c>
      <c r="D39" s="20" t="s">
        <v>142</v>
      </c>
      <c r="E39" s="20" t="s">
        <v>143</v>
      </c>
      <c r="F39" s="20">
        <v>7</v>
      </c>
      <c r="G39" s="20" t="s">
        <v>17</v>
      </c>
      <c r="H39" s="34">
        <v>46070</v>
      </c>
      <c r="I39" s="20">
        <v>6</v>
      </c>
      <c r="J39" s="20" t="s">
        <v>385</v>
      </c>
      <c r="K39" s="20" t="s">
        <v>116</v>
      </c>
      <c r="L39" s="20" t="s">
        <v>117</v>
      </c>
      <c r="M39" s="20" t="s">
        <v>118</v>
      </c>
      <c r="N39" s="20" t="s">
        <v>119</v>
      </c>
      <c r="O39" s="20">
        <v>4373577.21</v>
      </c>
      <c r="P39" s="20"/>
      <c r="Q39" s="20">
        <v>4373577.21</v>
      </c>
      <c r="R39" s="20"/>
      <c r="S39" s="20">
        <v>4373577.21</v>
      </c>
      <c r="T39" s="20" t="s">
        <v>120</v>
      </c>
      <c r="U39" s="20">
        <v>5210101232</v>
      </c>
      <c r="V39" s="20" t="s">
        <v>121</v>
      </c>
      <c r="W39" s="20" t="s">
        <v>122</v>
      </c>
      <c r="X39" s="20" t="s">
        <v>123</v>
      </c>
      <c r="Y39" s="20" t="s">
        <v>124</v>
      </c>
      <c r="Z39" s="20" t="s">
        <v>125</v>
      </c>
      <c r="AA39" s="20">
        <v>0</v>
      </c>
      <c r="AB39" s="20" t="s">
        <v>126</v>
      </c>
      <c r="AC39" s="20" t="s">
        <v>127</v>
      </c>
      <c r="AD39" s="20" t="s">
        <v>128</v>
      </c>
      <c r="AE39" s="20" t="s">
        <v>129</v>
      </c>
      <c r="AF39" s="20" t="s">
        <v>130</v>
      </c>
      <c r="AG39" s="20" t="s">
        <v>131</v>
      </c>
      <c r="AH39" s="20" t="s">
        <v>132</v>
      </c>
      <c r="AI39" s="20"/>
      <c r="AJ39" s="20"/>
      <c r="AK39" s="20"/>
      <c r="AL39" s="20" t="s">
        <v>386</v>
      </c>
      <c r="AM39" s="20">
        <v>46041</v>
      </c>
      <c r="AN39" s="20" t="s">
        <v>387</v>
      </c>
      <c r="AO39" s="20" t="s">
        <v>24</v>
      </c>
      <c r="AP39" s="20" t="s">
        <v>24</v>
      </c>
      <c r="AQ39" s="20"/>
      <c r="AR39" s="20" t="s">
        <v>388</v>
      </c>
      <c r="AS39" s="20" t="s">
        <v>289</v>
      </c>
      <c r="AT39" s="20">
        <v>117689</v>
      </c>
      <c r="AU39" s="20" t="s">
        <v>135</v>
      </c>
      <c r="AV39" s="20">
        <v>5509</v>
      </c>
      <c r="AW39" s="20" t="s">
        <v>136</v>
      </c>
      <c r="AX39" s="20">
        <v>100065125</v>
      </c>
      <c r="AY39" s="20"/>
      <c r="AZ39" s="20"/>
      <c r="BA39" s="20"/>
      <c r="BB39" s="20"/>
      <c r="BC39" s="20"/>
      <c r="BD39" s="20"/>
      <c r="BE39" s="20"/>
      <c r="BF39" s="20"/>
      <c r="BG39" s="20"/>
      <c r="BH39" s="20"/>
      <c r="BI39" s="20" t="s">
        <v>389</v>
      </c>
      <c r="BJ39"/>
      <c r="BK39"/>
      <c r="BL39"/>
    </row>
    <row r="40" spans="1:64" ht="14.4" x14ac:dyDescent="0.3">
      <c r="A40" s="20" t="s">
        <v>390</v>
      </c>
      <c r="B40" s="20" t="s">
        <v>391</v>
      </c>
      <c r="C40" s="20" t="s">
        <v>392</v>
      </c>
      <c r="D40" s="20" t="s">
        <v>142</v>
      </c>
      <c r="E40" s="20" t="s">
        <v>143</v>
      </c>
      <c r="F40" s="20">
        <v>7</v>
      </c>
      <c r="G40" s="20" t="s">
        <v>14</v>
      </c>
      <c r="H40" s="34">
        <v>45982</v>
      </c>
      <c r="I40" s="20">
        <v>33</v>
      </c>
      <c r="J40" s="20" t="s">
        <v>393</v>
      </c>
      <c r="K40" s="20" t="s">
        <v>116</v>
      </c>
      <c r="L40" s="20" t="s">
        <v>117</v>
      </c>
      <c r="M40" s="20" t="s">
        <v>118</v>
      </c>
      <c r="N40" s="20" t="s">
        <v>119</v>
      </c>
      <c r="O40" s="20">
        <v>4324440.96</v>
      </c>
      <c r="P40" s="20"/>
      <c r="Q40" s="20">
        <v>4324440.96</v>
      </c>
      <c r="R40" s="20"/>
      <c r="S40" s="20">
        <v>4324440.96</v>
      </c>
      <c r="T40" s="20" t="s">
        <v>146</v>
      </c>
      <c r="U40" s="20">
        <v>5210101232</v>
      </c>
      <c r="V40" s="20" t="s">
        <v>121</v>
      </c>
      <c r="W40" s="20" t="s">
        <v>122</v>
      </c>
      <c r="X40" s="20" t="s">
        <v>123</v>
      </c>
      <c r="Y40" s="20" t="s">
        <v>124</v>
      </c>
      <c r="Z40" s="20" t="s">
        <v>125</v>
      </c>
      <c r="AA40" s="20">
        <v>0</v>
      </c>
      <c r="AB40" s="20" t="s">
        <v>126</v>
      </c>
      <c r="AC40" s="20" t="s">
        <v>127</v>
      </c>
      <c r="AD40" s="20" t="s">
        <v>128</v>
      </c>
      <c r="AE40" s="20" t="s">
        <v>129</v>
      </c>
      <c r="AF40" s="20" t="s">
        <v>130</v>
      </c>
      <c r="AG40" s="20" t="s">
        <v>131</v>
      </c>
      <c r="AH40" s="20" t="s">
        <v>132</v>
      </c>
      <c r="AI40" s="20"/>
      <c r="AJ40" s="20"/>
      <c r="AK40" s="20"/>
      <c r="AL40" s="20" t="s">
        <v>394</v>
      </c>
      <c r="AM40" s="20">
        <v>45948</v>
      </c>
      <c r="AN40" s="20" t="s">
        <v>395</v>
      </c>
      <c r="AO40" s="20" t="s">
        <v>24</v>
      </c>
      <c r="AP40" s="20" t="s">
        <v>24</v>
      </c>
      <c r="AQ40" s="20"/>
      <c r="AR40" s="20" t="s">
        <v>396</v>
      </c>
      <c r="AS40" s="20" t="s">
        <v>289</v>
      </c>
      <c r="AT40" s="20">
        <v>117689</v>
      </c>
      <c r="AU40" s="20" t="s">
        <v>135</v>
      </c>
      <c r="AV40" s="20">
        <v>5509</v>
      </c>
      <c r="AW40" s="20" t="s">
        <v>136</v>
      </c>
      <c r="AX40" s="20">
        <v>100065125</v>
      </c>
      <c r="AY40" s="20"/>
      <c r="AZ40" s="20"/>
      <c r="BA40" s="20"/>
      <c r="BB40" s="20"/>
      <c r="BC40" s="20"/>
      <c r="BD40" s="20"/>
      <c r="BE40" s="20"/>
      <c r="BF40" s="20"/>
      <c r="BG40" s="20"/>
      <c r="BH40" s="20"/>
      <c r="BI40" s="20" t="s">
        <v>397</v>
      </c>
      <c r="BJ40"/>
      <c r="BK40"/>
      <c r="BL40"/>
    </row>
    <row r="41" spans="1:64" ht="14.4" x14ac:dyDescent="0.3">
      <c r="A41" s="20" t="s">
        <v>398</v>
      </c>
      <c r="B41" s="20" t="s">
        <v>308</v>
      </c>
      <c r="C41" s="20" t="s">
        <v>399</v>
      </c>
      <c r="D41" s="20" t="s">
        <v>142</v>
      </c>
      <c r="E41" s="20" t="s">
        <v>143</v>
      </c>
      <c r="F41" s="20">
        <v>7</v>
      </c>
      <c r="G41" s="20" t="s">
        <v>11</v>
      </c>
      <c r="H41" s="34">
        <v>45888</v>
      </c>
      <c r="I41" s="20">
        <v>19</v>
      </c>
      <c r="J41" s="20" t="s">
        <v>400</v>
      </c>
      <c r="K41" s="20" t="s">
        <v>116</v>
      </c>
      <c r="L41" s="20" t="s">
        <v>117</v>
      </c>
      <c r="M41" s="20" t="s">
        <v>118</v>
      </c>
      <c r="N41" s="20" t="s">
        <v>119</v>
      </c>
      <c r="O41" s="20">
        <v>4270584.96</v>
      </c>
      <c r="P41" s="20"/>
      <c r="Q41" s="20">
        <v>4270584.96</v>
      </c>
      <c r="R41" s="20"/>
      <c r="S41" s="20">
        <v>4270584.96</v>
      </c>
      <c r="T41" s="20" t="s">
        <v>146</v>
      </c>
      <c r="U41" s="20">
        <v>5210101232</v>
      </c>
      <c r="V41" s="20" t="s">
        <v>121</v>
      </c>
      <c r="W41" s="20" t="s">
        <v>122</v>
      </c>
      <c r="X41" s="20" t="s">
        <v>123</v>
      </c>
      <c r="Y41" s="20" t="s">
        <v>124</v>
      </c>
      <c r="Z41" s="20" t="s">
        <v>125</v>
      </c>
      <c r="AA41" s="20">
        <v>0</v>
      </c>
      <c r="AB41" s="20" t="s">
        <v>126</v>
      </c>
      <c r="AC41" s="20" t="s">
        <v>127</v>
      </c>
      <c r="AD41" s="20" t="s">
        <v>128</v>
      </c>
      <c r="AE41" s="20" t="s">
        <v>129</v>
      </c>
      <c r="AF41" s="20" t="s">
        <v>130</v>
      </c>
      <c r="AG41" s="20" t="s">
        <v>131</v>
      </c>
      <c r="AH41" s="20" t="s">
        <v>132</v>
      </c>
      <c r="AI41" s="20"/>
      <c r="AJ41" s="20"/>
      <c r="AK41" s="20"/>
      <c r="AL41" s="20" t="s">
        <v>401</v>
      </c>
      <c r="AM41" s="20">
        <v>45855</v>
      </c>
      <c r="AN41" s="20" t="s">
        <v>402</v>
      </c>
      <c r="AO41" s="20" t="s">
        <v>24</v>
      </c>
      <c r="AP41" s="20" t="s">
        <v>24</v>
      </c>
      <c r="AQ41" s="20"/>
      <c r="AR41" s="20" t="s">
        <v>403</v>
      </c>
      <c r="AS41" s="20" t="s">
        <v>289</v>
      </c>
      <c r="AT41" s="20">
        <v>117689</v>
      </c>
      <c r="AU41" s="20" t="s">
        <v>135</v>
      </c>
      <c r="AV41" s="20">
        <v>5509</v>
      </c>
      <c r="AW41" s="20" t="s">
        <v>136</v>
      </c>
      <c r="AX41" s="20">
        <v>100065125</v>
      </c>
      <c r="AY41" s="20"/>
      <c r="AZ41" s="20"/>
      <c r="BA41" s="20"/>
      <c r="BB41" s="20"/>
      <c r="BC41" s="20"/>
      <c r="BD41" s="20"/>
      <c r="BE41" s="20"/>
      <c r="BF41" s="20"/>
      <c r="BG41" s="20"/>
      <c r="BH41" s="20"/>
      <c r="BI41" s="20" t="s">
        <v>404</v>
      </c>
      <c r="BJ41"/>
      <c r="BK41"/>
      <c r="BL41"/>
    </row>
    <row r="42" spans="1:64" ht="14.4" x14ac:dyDescent="0.3">
      <c r="A42" s="20" t="s">
        <v>405</v>
      </c>
      <c r="B42" s="20" t="s">
        <v>406</v>
      </c>
      <c r="C42" s="20" t="s">
        <v>407</v>
      </c>
      <c r="D42" s="20" t="s">
        <v>142</v>
      </c>
      <c r="E42" s="20" t="s">
        <v>143</v>
      </c>
      <c r="F42" s="20">
        <v>7</v>
      </c>
      <c r="G42" s="20" t="s">
        <v>10</v>
      </c>
      <c r="H42" s="34">
        <v>45840</v>
      </c>
      <c r="I42" s="20">
        <v>49</v>
      </c>
      <c r="J42" s="20" t="s">
        <v>408</v>
      </c>
      <c r="K42" s="20" t="s">
        <v>116</v>
      </c>
      <c r="L42" s="20" t="s">
        <v>117</v>
      </c>
      <c r="M42" s="20" t="s">
        <v>118</v>
      </c>
      <c r="N42" s="20" t="s">
        <v>119</v>
      </c>
      <c r="O42" s="20">
        <v>4265101.4400000004</v>
      </c>
      <c r="P42" s="20"/>
      <c r="Q42" s="20">
        <v>4265101.4400000004</v>
      </c>
      <c r="R42" s="20"/>
      <c r="S42" s="20">
        <v>4265101.4400000004</v>
      </c>
      <c r="T42" s="20" t="s">
        <v>146</v>
      </c>
      <c r="U42" s="20">
        <v>5210101232</v>
      </c>
      <c r="V42" s="20" t="s">
        <v>121</v>
      </c>
      <c r="W42" s="20" t="s">
        <v>122</v>
      </c>
      <c r="X42" s="20" t="s">
        <v>123</v>
      </c>
      <c r="Y42" s="20" t="s">
        <v>124</v>
      </c>
      <c r="Z42" s="20" t="s">
        <v>125</v>
      </c>
      <c r="AA42" s="20">
        <v>0</v>
      </c>
      <c r="AB42" s="20" t="s">
        <v>126</v>
      </c>
      <c r="AC42" s="20" t="s">
        <v>127</v>
      </c>
      <c r="AD42" s="20" t="s">
        <v>128</v>
      </c>
      <c r="AE42" s="20" t="s">
        <v>129</v>
      </c>
      <c r="AF42" s="20" t="s">
        <v>130</v>
      </c>
      <c r="AG42" s="20" t="s">
        <v>131</v>
      </c>
      <c r="AH42" s="20" t="s">
        <v>132</v>
      </c>
      <c r="AI42" s="20"/>
      <c r="AJ42" s="20"/>
      <c r="AK42" s="20"/>
      <c r="AL42" s="20" t="s">
        <v>409</v>
      </c>
      <c r="AM42" s="20">
        <v>45798</v>
      </c>
      <c r="AN42" s="20" t="s">
        <v>410</v>
      </c>
      <c r="AO42" s="20" t="s">
        <v>24</v>
      </c>
      <c r="AP42" s="20" t="s">
        <v>24</v>
      </c>
      <c r="AQ42" s="20"/>
      <c r="AR42" s="20" t="s">
        <v>411</v>
      </c>
      <c r="AS42" s="20" t="s">
        <v>289</v>
      </c>
      <c r="AT42" s="20">
        <v>117689</v>
      </c>
      <c r="AU42" s="20" t="s">
        <v>135</v>
      </c>
      <c r="AV42" s="20">
        <v>5509</v>
      </c>
      <c r="AW42" s="20" t="s">
        <v>136</v>
      </c>
      <c r="AX42" s="20">
        <v>100065125</v>
      </c>
      <c r="AY42" s="20"/>
      <c r="AZ42" s="20"/>
      <c r="BA42" s="20"/>
      <c r="BB42" s="20"/>
      <c r="BC42" s="20"/>
      <c r="BD42" s="20"/>
      <c r="BE42" s="20"/>
      <c r="BF42" s="20"/>
      <c r="BG42" s="20"/>
      <c r="BH42" s="20"/>
      <c r="BI42" s="20" t="s">
        <v>412</v>
      </c>
      <c r="BJ42"/>
      <c r="BK42"/>
      <c r="BL42"/>
    </row>
    <row r="43" spans="1:64" ht="14.4" x14ac:dyDescent="0.3">
      <c r="A43" s="20" t="s">
        <v>413</v>
      </c>
      <c r="B43" s="20" t="s">
        <v>267</v>
      </c>
      <c r="C43" s="20" t="s">
        <v>414</v>
      </c>
      <c r="D43" s="20" t="s">
        <v>142</v>
      </c>
      <c r="E43" s="20" t="s">
        <v>143</v>
      </c>
      <c r="F43" s="20">
        <v>7</v>
      </c>
      <c r="G43" s="20" t="s">
        <v>15</v>
      </c>
      <c r="H43" s="34">
        <v>46006</v>
      </c>
      <c r="I43" s="20">
        <v>93</v>
      </c>
      <c r="J43" s="20" t="s">
        <v>415</v>
      </c>
      <c r="K43" s="20" t="s">
        <v>116</v>
      </c>
      <c r="L43" s="20" t="s">
        <v>117</v>
      </c>
      <c r="M43" s="20" t="s">
        <v>118</v>
      </c>
      <c r="N43" s="20" t="s">
        <v>119</v>
      </c>
      <c r="O43" s="20">
        <v>4233133.82</v>
      </c>
      <c r="P43" s="20"/>
      <c r="Q43" s="20">
        <v>4233133.82</v>
      </c>
      <c r="R43" s="20"/>
      <c r="S43" s="20">
        <v>4233133.82</v>
      </c>
      <c r="T43" s="20" t="s">
        <v>146</v>
      </c>
      <c r="U43" s="20">
        <v>5210101232</v>
      </c>
      <c r="V43" s="20" t="s">
        <v>121</v>
      </c>
      <c r="W43" s="20" t="s">
        <v>122</v>
      </c>
      <c r="X43" s="20" t="s">
        <v>123</v>
      </c>
      <c r="Y43" s="20" t="s">
        <v>124</v>
      </c>
      <c r="Z43" s="20" t="s">
        <v>125</v>
      </c>
      <c r="AA43" s="20">
        <v>0</v>
      </c>
      <c r="AB43" s="20" t="s">
        <v>126</v>
      </c>
      <c r="AC43" s="20" t="s">
        <v>127</v>
      </c>
      <c r="AD43" s="20" t="s">
        <v>128</v>
      </c>
      <c r="AE43" s="20" t="s">
        <v>129</v>
      </c>
      <c r="AF43" s="20" t="s">
        <v>130</v>
      </c>
      <c r="AG43" s="20" t="s">
        <v>131</v>
      </c>
      <c r="AH43" s="20" t="s">
        <v>132</v>
      </c>
      <c r="AI43" s="20"/>
      <c r="AJ43" s="20"/>
      <c r="AK43" s="20"/>
      <c r="AL43" s="20" t="s">
        <v>416</v>
      </c>
      <c r="AM43" s="20">
        <v>45981</v>
      </c>
      <c r="AN43" s="20" t="s">
        <v>417</v>
      </c>
      <c r="AO43" s="20" t="s">
        <v>24</v>
      </c>
      <c r="AP43" s="20" t="s">
        <v>24</v>
      </c>
      <c r="AQ43" s="20"/>
      <c r="AR43" s="20" t="s">
        <v>418</v>
      </c>
      <c r="AS43" s="20" t="s">
        <v>289</v>
      </c>
      <c r="AT43" s="20">
        <v>117689</v>
      </c>
      <c r="AU43" s="20" t="s">
        <v>135</v>
      </c>
      <c r="AV43" s="20">
        <v>5509</v>
      </c>
      <c r="AW43" s="20" t="s">
        <v>136</v>
      </c>
      <c r="AX43" s="20">
        <v>100065125</v>
      </c>
      <c r="AY43" s="20"/>
      <c r="AZ43" s="20"/>
      <c r="BA43" s="20"/>
      <c r="BB43" s="20"/>
      <c r="BC43" s="20"/>
      <c r="BD43" s="20"/>
      <c r="BE43" s="20"/>
      <c r="BF43" s="20"/>
      <c r="BG43" s="20"/>
      <c r="BH43" s="20"/>
      <c r="BI43" s="20" t="s">
        <v>419</v>
      </c>
      <c r="BJ43"/>
      <c r="BK43"/>
      <c r="BL43"/>
    </row>
    <row r="44" spans="1:64" ht="14.4" x14ac:dyDescent="0.3">
      <c r="A44" s="20" t="s">
        <v>420</v>
      </c>
      <c r="B44" s="20" t="s">
        <v>421</v>
      </c>
      <c r="C44" s="20" t="s">
        <v>422</v>
      </c>
      <c r="D44" s="20" t="s">
        <v>142</v>
      </c>
      <c r="E44" s="20" t="s">
        <v>143</v>
      </c>
      <c r="F44" s="20">
        <v>7</v>
      </c>
      <c r="G44" s="20" t="s">
        <v>16</v>
      </c>
      <c r="H44" s="34">
        <v>46041</v>
      </c>
      <c r="I44" s="20">
        <v>86</v>
      </c>
      <c r="J44" s="20" t="s">
        <v>423</v>
      </c>
      <c r="K44" s="20" t="s">
        <v>116</v>
      </c>
      <c r="L44" s="20" t="s">
        <v>117</v>
      </c>
      <c r="M44" s="20" t="s">
        <v>118</v>
      </c>
      <c r="N44" s="20" t="s">
        <v>119</v>
      </c>
      <c r="O44" s="20">
        <v>4223975.04</v>
      </c>
      <c r="P44" s="20"/>
      <c r="Q44" s="20">
        <v>4223975.04</v>
      </c>
      <c r="R44" s="20"/>
      <c r="S44" s="20">
        <v>4223975.04</v>
      </c>
      <c r="T44" s="20" t="s">
        <v>120</v>
      </c>
      <c r="U44" s="20">
        <v>5210101232</v>
      </c>
      <c r="V44" s="20" t="s">
        <v>121</v>
      </c>
      <c r="W44" s="20" t="s">
        <v>122</v>
      </c>
      <c r="X44" s="20" t="s">
        <v>123</v>
      </c>
      <c r="Y44" s="20" t="s">
        <v>124</v>
      </c>
      <c r="Z44" s="20" t="s">
        <v>125</v>
      </c>
      <c r="AA44" s="20">
        <v>0</v>
      </c>
      <c r="AB44" s="20" t="s">
        <v>126</v>
      </c>
      <c r="AC44" s="20" t="s">
        <v>127</v>
      </c>
      <c r="AD44" s="20" t="s">
        <v>128</v>
      </c>
      <c r="AE44" s="20" t="s">
        <v>129</v>
      </c>
      <c r="AF44" s="20" t="s">
        <v>130</v>
      </c>
      <c r="AG44" s="20" t="s">
        <v>131</v>
      </c>
      <c r="AH44" s="20" t="s">
        <v>132</v>
      </c>
      <c r="AI44" s="20"/>
      <c r="AJ44" s="20"/>
      <c r="AK44" s="20"/>
      <c r="AL44" s="20" t="s">
        <v>424</v>
      </c>
      <c r="AM44" s="20">
        <v>46010</v>
      </c>
      <c r="AN44" s="20" t="s">
        <v>425</v>
      </c>
      <c r="AO44" s="20" t="s">
        <v>24</v>
      </c>
      <c r="AP44" s="20" t="s">
        <v>24</v>
      </c>
      <c r="AQ44" s="20"/>
      <c r="AR44" s="20" t="s">
        <v>426</v>
      </c>
      <c r="AS44" s="20" t="s">
        <v>289</v>
      </c>
      <c r="AT44" s="20">
        <v>117689</v>
      </c>
      <c r="AU44" s="20" t="s">
        <v>135</v>
      </c>
      <c r="AV44" s="20">
        <v>5509</v>
      </c>
      <c r="AW44" s="20" t="s">
        <v>136</v>
      </c>
      <c r="AX44" s="20">
        <v>100065125</v>
      </c>
      <c r="AY44" s="20"/>
      <c r="AZ44" s="20"/>
      <c r="BA44" s="20"/>
      <c r="BB44" s="20"/>
      <c r="BC44" s="20"/>
      <c r="BD44" s="20"/>
      <c r="BE44" s="20"/>
      <c r="BF44" s="20"/>
      <c r="BG44" s="20"/>
      <c r="BH44" s="20"/>
      <c r="BI44" s="20" t="s">
        <v>427</v>
      </c>
      <c r="BJ44"/>
      <c r="BK44"/>
      <c r="BL44"/>
    </row>
    <row r="45" spans="1:64" ht="14.4" x14ac:dyDescent="0.3">
      <c r="A45" s="20" t="s">
        <v>428</v>
      </c>
      <c r="B45" s="20" t="s">
        <v>429</v>
      </c>
      <c r="C45" s="20" t="s">
        <v>430</v>
      </c>
      <c r="D45" s="20" t="s">
        <v>142</v>
      </c>
      <c r="E45" s="20" t="s">
        <v>143</v>
      </c>
      <c r="F45" s="20">
        <v>7</v>
      </c>
      <c r="G45" s="20" t="s">
        <v>18</v>
      </c>
      <c r="H45" s="34">
        <v>46084</v>
      </c>
      <c r="I45" s="20">
        <v>15</v>
      </c>
      <c r="J45" s="20" t="s">
        <v>431</v>
      </c>
      <c r="K45" s="20" t="s">
        <v>116</v>
      </c>
      <c r="L45" s="20" t="s">
        <v>117</v>
      </c>
      <c r="M45" s="20" t="s">
        <v>118</v>
      </c>
      <c r="N45" s="20" t="s">
        <v>119</v>
      </c>
      <c r="O45" s="20">
        <v>4200856.13</v>
      </c>
      <c r="P45" s="20"/>
      <c r="Q45" s="20">
        <v>4200856.13</v>
      </c>
      <c r="R45" s="20"/>
      <c r="S45" s="20">
        <v>4200856.13</v>
      </c>
      <c r="T45" s="20" t="s">
        <v>120</v>
      </c>
      <c r="U45" s="20">
        <v>5210101232</v>
      </c>
      <c r="V45" s="20" t="s">
        <v>121</v>
      </c>
      <c r="W45" s="20" t="s">
        <v>122</v>
      </c>
      <c r="X45" s="20" t="s">
        <v>123</v>
      </c>
      <c r="Y45" s="20" t="s">
        <v>124</v>
      </c>
      <c r="Z45" s="20" t="s">
        <v>125</v>
      </c>
      <c r="AA45" s="20">
        <v>0</v>
      </c>
      <c r="AB45" s="20" t="s">
        <v>126</v>
      </c>
      <c r="AC45" s="20" t="s">
        <v>127</v>
      </c>
      <c r="AD45" s="20" t="s">
        <v>128</v>
      </c>
      <c r="AE45" s="20" t="s">
        <v>129</v>
      </c>
      <c r="AF45" s="20" t="s">
        <v>130</v>
      </c>
      <c r="AG45" s="20" t="s">
        <v>131</v>
      </c>
      <c r="AH45" s="20" t="s">
        <v>132</v>
      </c>
      <c r="AI45" s="20"/>
      <c r="AJ45" s="20"/>
      <c r="AK45" s="20"/>
      <c r="AL45" s="20" t="s">
        <v>432</v>
      </c>
      <c r="AM45" s="20">
        <v>46067</v>
      </c>
      <c r="AN45" s="20" t="s">
        <v>433</v>
      </c>
      <c r="AO45" s="20" t="s">
        <v>24</v>
      </c>
      <c r="AP45" s="20" t="s">
        <v>24</v>
      </c>
      <c r="AQ45" s="20"/>
      <c r="AR45" s="20" t="s">
        <v>434</v>
      </c>
      <c r="AS45" s="20" t="s">
        <v>435</v>
      </c>
      <c r="AT45" s="20">
        <v>117689</v>
      </c>
      <c r="AU45" s="20" t="s">
        <v>135</v>
      </c>
      <c r="AV45" s="20">
        <v>5509</v>
      </c>
      <c r="AW45" s="20" t="s">
        <v>136</v>
      </c>
      <c r="AX45" s="20">
        <v>100070209</v>
      </c>
      <c r="AY45" s="20"/>
      <c r="AZ45" s="20"/>
      <c r="BA45" s="20"/>
      <c r="BB45" s="20"/>
      <c r="BC45" s="20"/>
      <c r="BD45" s="20"/>
      <c r="BE45" s="20"/>
      <c r="BF45" s="20"/>
      <c r="BG45" s="20"/>
      <c r="BH45" s="20"/>
      <c r="BI45" s="20" t="s">
        <v>436</v>
      </c>
      <c r="BJ45"/>
      <c r="BK45"/>
      <c r="BL45"/>
    </row>
    <row r="46" spans="1:64" ht="28.8" x14ac:dyDescent="0.3">
      <c r="A46" s="20" t="s">
        <v>437</v>
      </c>
      <c r="B46" s="20" t="s">
        <v>188</v>
      </c>
      <c r="C46" s="20" t="s">
        <v>189</v>
      </c>
      <c r="D46" s="20" t="s">
        <v>172</v>
      </c>
      <c r="E46" s="20" t="s">
        <v>190</v>
      </c>
      <c r="F46" s="20">
        <v>7</v>
      </c>
      <c r="G46" s="20" t="s">
        <v>6</v>
      </c>
      <c r="H46" s="34">
        <v>46118</v>
      </c>
      <c r="I46" s="20">
        <v>161</v>
      </c>
      <c r="J46" s="38" t="s">
        <v>438</v>
      </c>
      <c r="K46" s="20" t="s">
        <v>192</v>
      </c>
      <c r="L46" s="20" t="s">
        <v>117</v>
      </c>
      <c r="M46" s="20" t="s">
        <v>118</v>
      </c>
      <c r="N46" s="20" t="s">
        <v>119</v>
      </c>
      <c r="O46" s="20">
        <v>5000000</v>
      </c>
      <c r="P46" s="20"/>
      <c r="Q46" s="20">
        <v>5000000</v>
      </c>
      <c r="R46" s="20"/>
      <c r="S46" s="20">
        <v>5000000</v>
      </c>
      <c r="T46" s="20" t="s">
        <v>120</v>
      </c>
      <c r="U46" s="20">
        <v>5210101581</v>
      </c>
      <c r="V46" s="20" t="s">
        <v>123</v>
      </c>
      <c r="W46" s="20" t="s">
        <v>124</v>
      </c>
      <c r="X46" s="20" t="s">
        <v>123</v>
      </c>
      <c r="Y46" s="20" t="s">
        <v>124</v>
      </c>
      <c r="Z46" s="20" t="s">
        <v>147</v>
      </c>
      <c r="AA46" s="20">
        <v>0</v>
      </c>
      <c r="AB46" s="20" t="s">
        <v>126</v>
      </c>
      <c r="AC46" s="20" t="s">
        <v>127</v>
      </c>
      <c r="AD46" s="20" t="s">
        <v>128</v>
      </c>
      <c r="AE46" s="20" t="s">
        <v>150</v>
      </c>
      <c r="AF46" s="20" t="s">
        <v>151</v>
      </c>
      <c r="AG46" s="20" t="s">
        <v>131</v>
      </c>
      <c r="AH46" s="20" t="s">
        <v>132</v>
      </c>
      <c r="AI46" s="20"/>
      <c r="AJ46" s="20"/>
      <c r="AK46" s="20"/>
      <c r="AL46" s="20"/>
      <c r="AM46" s="20"/>
      <c r="AN46" s="20"/>
      <c r="AO46" s="20" t="s">
        <v>439</v>
      </c>
      <c r="AP46" s="20" t="s">
        <v>439</v>
      </c>
      <c r="AQ46" s="20"/>
      <c r="AR46" s="20"/>
      <c r="AS46" s="20"/>
      <c r="AT46" s="20">
        <v>117399</v>
      </c>
      <c r="AU46" s="20" t="s">
        <v>157</v>
      </c>
      <c r="AV46" s="20">
        <v>4100</v>
      </c>
      <c r="AW46" s="20" t="s">
        <v>158</v>
      </c>
      <c r="AX46" s="20">
        <v>100070242</v>
      </c>
      <c r="AY46" s="20" t="s">
        <v>438</v>
      </c>
      <c r="AZ46" s="20"/>
      <c r="BA46" s="20"/>
      <c r="BB46" s="20"/>
      <c r="BC46" s="20"/>
      <c r="BD46" s="20"/>
      <c r="BE46" s="20"/>
      <c r="BF46" s="20"/>
      <c r="BG46" s="20"/>
      <c r="BH46" s="20"/>
      <c r="BI46" s="20" t="s">
        <v>440</v>
      </c>
      <c r="BJ46"/>
      <c r="BK46"/>
      <c r="BL46"/>
    </row>
    <row r="47" spans="1:64" ht="14.4" x14ac:dyDescent="0.3">
      <c r="A47" s="20" t="s">
        <v>441</v>
      </c>
      <c r="B47" s="20" t="s">
        <v>188</v>
      </c>
      <c r="C47" s="20" t="s">
        <v>189</v>
      </c>
      <c r="D47" s="20" t="s">
        <v>172</v>
      </c>
      <c r="E47" s="20" t="s">
        <v>190</v>
      </c>
      <c r="F47" s="20">
        <v>7</v>
      </c>
      <c r="G47" s="20" t="s">
        <v>6</v>
      </c>
      <c r="H47" s="34">
        <v>46118</v>
      </c>
      <c r="I47" s="20">
        <v>20</v>
      </c>
      <c r="J47" s="20" t="s">
        <v>435</v>
      </c>
      <c r="K47" s="20" t="s">
        <v>116</v>
      </c>
      <c r="L47" s="20" t="s">
        <v>117</v>
      </c>
      <c r="M47" s="20" t="s">
        <v>118</v>
      </c>
      <c r="N47" s="20" t="s">
        <v>119</v>
      </c>
      <c r="O47" s="20">
        <v>4200856</v>
      </c>
      <c r="P47" s="20"/>
      <c r="Q47" s="20">
        <v>4200856</v>
      </c>
      <c r="R47" s="20"/>
      <c r="S47" s="20">
        <v>4200856</v>
      </c>
      <c r="T47" s="20" t="s">
        <v>120</v>
      </c>
      <c r="U47" s="20">
        <v>5210101232</v>
      </c>
      <c r="V47" s="20" t="s">
        <v>121</v>
      </c>
      <c r="W47" s="20" t="s">
        <v>122</v>
      </c>
      <c r="X47" s="20" t="s">
        <v>123</v>
      </c>
      <c r="Y47" s="20" t="s">
        <v>124</v>
      </c>
      <c r="Z47" s="20" t="s">
        <v>125</v>
      </c>
      <c r="AA47" s="20">
        <v>0</v>
      </c>
      <c r="AB47" s="20" t="s">
        <v>126</v>
      </c>
      <c r="AC47" s="20" t="s">
        <v>127</v>
      </c>
      <c r="AD47" s="20" t="s">
        <v>128</v>
      </c>
      <c r="AE47" s="20" t="s">
        <v>129</v>
      </c>
      <c r="AF47" s="20" t="s">
        <v>130</v>
      </c>
      <c r="AG47" s="20" t="s">
        <v>131</v>
      </c>
      <c r="AH47" s="20" t="s">
        <v>132</v>
      </c>
      <c r="AI47" s="20"/>
      <c r="AJ47" s="20"/>
      <c r="AK47" s="20"/>
      <c r="AL47" s="20"/>
      <c r="AM47" s="20"/>
      <c r="AN47" s="20"/>
      <c r="AO47" s="20" t="s">
        <v>442</v>
      </c>
      <c r="AP47" s="20" t="s">
        <v>442</v>
      </c>
      <c r="AQ47" s="20"/>
      <c r="AR47" s="20"/>
      <c r="AS47" s="20"/>
      <c r="AT47" s="20">
        <v>117689</v>
      </c>
      <c r="AU47" s="20" t="s">
        <v>135</v>
      </c>
      <c r="AV47" s="20">
        <v>5509</v>
      </c>
      <c r="AW47" s="20" t="s">
        <v>136</v>
      </c>
      <c r="AX47" s="20">
        <v>100070209</v>
      </c>
      <c r="AY47" s="20" t="s">
        <v>435</v>
      </c>
      <c r="AZ47" s="20"/>
      <c r="BA47" s="20"/>
      <c r="BB47" s="20"/>
      <c r="BC47" s="20"/>
      <c r="BD47" s="20"/>
      <c r="BE47" s="20"/>
      <c r="BF47" s="20"/>
      <c r="BG47" s="20"/>
      <c r="BH47" s="20"/>
      <c r="BI47" s="20" t="s">
        <v>443</v>
      </c>
      <c r="BJ47"/>
      <c r="BK47"/>
      <c r="BL47"/>
    </row>
    <row r="48" spans="1:64" ht="14.4" x14ac:dyDescent="0.3">
      <c r="A48" s="20" t="s">
        <v>444</v>
      </c>
      <c r="B48" s="20" t="s">
        <v>445</v>
      </c>
      <c r="C48" s="20" t="s">
        <v>446</v>
      </c>
      <c r="D48" s="20" t="s">
        <v>172</v>
      </c>
      <c r="E48" s="20" t="s">
        <v>173</v>
      </c>
      <c r="F48" s="20">
        <v>7</v>
      </c>
      <c r="G48" s="20" t="s">
        <v>18</v>
      </c>
      <c r="H48" s="34">
        <v>46108</v>
      </c>
      <c r="I48" s="20">
        <v>3</v>
      </c>
      <c r="J48" s="20" t="s">
        <v>447</v>
      </c>
      <c r="K48" s="20" t="s">
        <v>116</v>
      </c>
      <c r="L48" s="20" t="s">
        <v>117</v>
      </c>
      <c r="M48" s="20" t="s">
        <v>118</v>
      </c>
      <c r="N48" s="20" t="s">
        <v>119</v>
      </c>
      <c r="O48" s="20">
        <v>3961708</v>
      </c>
      <c r="P48" s="20"/>
      <c r="Q48" s="20">
        <v>3961708</v>
      </c>
      <c r="R48" s="20"/>
      <c r="S48" s="20">
        <v>3961708</v>
      </c>
      <c r="T48" s="20" t="s">
        <v>120</v>
      </c>
      <c r="U48" s="20">
        <v>5210101232</v>
      </c>
      <c r="V48" s="20" t="s">
        <v>121</v>
      </c>
      <c r="W48" s="20" t="s">
        <v>122</v>
      </c>
      <c r="X48" s="20" t="s">
        <v>123</v>
      </c>
      <c r="Y48" s="20" t="s">
        <v>124</v>
      </c>
      <c r="Z48" s="20" t="s">
        <v>125</v>
      </c>
      <c r="AA48" s="20">
        <v>0</v>
      </c>
      <c r="AB48" s="20" t="s">
        <v>126</v>
      </c>
      <c r="AC48" s="20" t="s">
        <v>127</v>
      </c>
      <c r="AD48" s="20" t="s">
        <v>128</v>
      </c>
      <c r="AE48" s="20" t="s">
        <v>129</v>
      </c>
      <c r="AF48" s="20" t="s">
        <v>130</v>
      </c>
      <c r="AG48" s="20" t="s">
        <v>131</v>
      </c>
      <c r="AH48" s="20" t="s">
        <v>132</v>
      </c>
      <c r="AI48" s="20"/>
      <c r="AJ48" s="20"/>
      <c r="AK48" s="20"/>
      <c r="AL48" s="20" t="s">
        <v>164</v>
      </c>
      <c r="AM48" s="20"/>
      <c r="AN48" s="20"/>
      <c r="AO48" s="20" t="s">
        <v>24</v>
      </c>
      <c r="AP48" s="20" t="s">
        <v>24</v>
      </c>
      <c r="AQ48" s="20"/>
      <c r="AR48" s="20"/>
      <c r="AS48" s="20"/>
      <c r="AT48" s="20"/>
      <c r="AU48" s="20"/>
      <c r="AV48" s="20"/>
      <c r="AW48" s="20"/>
      <c r="AX48" s="20">
        <v>100070263</v>
      </c>
      <c r="AY48" s="20" t="s">
        <v>137</v>
      </c>
      <c r="AZ48" s="20"/>
      <c r="BA48" s="20"/>
      <c r="BB48" s="20"/>
      <c r="BC48" s="20"/>
      <c r="BD48" s="20"/>
      <c r="BE48" s="20"/>
      <c r="BF48" s="20"/>
      <c r="BG48" s="20"/>
      <c r="BH48" s="20"/>
      <c r="BI48" s="20" t="s">
        <v>448</v>
      </c>
      <c r="BJ48"/>
      <c r="BK48"/>
      <c r="BL48"/>
    </row>
    <row r="49" spans="1:64" ht="14.4" x14ac:dyDescent="0.3">
      <c r="A49" s="20" t="s">
        <v>449</v>
      </c>
      <c r="B49" s="20" t="s">
        <v>140</v>
      </c>
      <c r="C49" s="20" t="s">
        <v>141</v>
      </c>
      <c r="D49" s="20" t="s">
        <v>142</v>
      </c>
      <c r="E49" s="20" t="s">
        <v>143</v>
      </c>
      <c r="F49" s="20">
        <v>7</v>
      </c>
      <c r="G49" s="20" t="s">
        <v>8</v>
      </c>
      <c r="H49" s="34">
        <v>45790</v>
      </c>
      <c r="I49" s="20">
        <v>68</v>
      </c>
      <c r="J49" s="20" t="s">
        <v>450</v>
      </c>
      <c r="K49" s="20" t="s">
        <v>145</v>
      </c>
      <c r="L49" s="20" t="s">
        <v>117</v>
      </c>
      <c r="M49" s="20" t="s">
        <v>118</v>
      </c>
      <c r="N49" s="20" t="s">
        <v>119</v>
      </c>
      <c r="O49" s="20">
        <v>3796796</v>
      </c>
      <c r="P49" s="20"/>
      <c r="Q49" s="20">
        <v>3796796</v>
      </c>
      <c r="R49" s="20"/>
      <c r="S49" s="20">
        <v>3796796</v>
      </c>
      <c r="T49" s="20" t="s">
        <v>146</v>
      </c>
      <c r="U49" s="20">
        <v>5210101581</v>
      </c>
      <c r="V49" s="20" t="s">
        <v>123</v>
      </c>
      <c r="W49" s="20" t="s">
        <v>124</v>
      </c>
      <c r="X49" s="20" t="s">
        <v>123</v>
      </c>
      <c r="Y49" s="20" t="s">
        <v>124</v>
      </c>
      <c r="Z49" s="20" t="s">
        <v>147</v>
      </c>
      <c r="AA49" s="20">
        <v>0</v>
      </c>
      <c r="AB49" s="20" t="s">
        <v>126</v>
      </c>
      <c r="AC49" s="20" t="s">
        <v>148</v>
      </c>
      <c r="AD49" s="20" t="s">
        <v>149</v>
      </c>
      <c r="AE49" s="20" t="s">
        <v>150</v>
      </c>
      <c r="AF49" s="20" t="s">
        <v>151</v>
      </c>
      <c r="AG49" s="20" t="s">
        <v>131</v>
      </c>
      <c r="AH49" s="20" t="s">
        <v>132</v>
      </c>
      <c r="AI49" s="20"/>
      <c r="AJ49" s="20"/>
      <c r="AK49" s="20"/>
      <c r="AL49" s="20">
        <v>325348896385</v>
      </c>
      <c r="AM49" s="20">
        <v>45778</v>
      </c>
      <c r="AN49" s="20" t="s">
        <v>451</v>
      </c>
      <c r="AO49" s="20" t="s">
        <v>29</v>
      </c>
      <c r="AP49" s="20" t="s">
        <v>29</v>
      </c>
      <c r="AQ49" s="20"/>
      <c r="AR49" s="20" t="s">
        <v>452</v>
      </c>
      <c r="AS49" s="20" t="s">
        <v>313</v>
      </c>
      <c r="AT49" s="20">
        <v>117399</v>
      </c>
      <c r="AU49" s="20" t="s">
        <v>157</v>
      </c>
      <c r="AV49" s="20">
        <v>4100</v>
      </c>
      <c r="AW49" s="20" t="s">
        <v>158</v>
      </c>
      <c r="AX49" s="20">
        <v>100064557</v>
      </c>
      <c r="AY49" s="20"/>
      <c r="AZ49" s="20"/>
      <c r="BA49" s="20"/>
      <c r="BB49" s="20"/>
      <c r="BC49" s="20"/>
      <c r="BD49" s="20"/>
      <c r="BE49" s="20"/>
      <c r="BF49" s="20"/>
      <c r="BG49" s="20"/>
      <c r="BH49" s="20"/>
      <c r="BI49" s="20" t="s">
        <v>453</v>
      </c>
      <c r="BJ49"/>
      <c r="BK49"/>
      <c r="BL49"/>
    </row>
    <row r="50" spans="1:64" ht="14.4" x14ac:dyDescent="0.3">
      <c r="A50" s="20" t="s">
        <v>454</v>
      </c>
      <c r="B50" s="20" t="s">
        <v>455</v>
      </c>
      <c r="C50" s="20" t="s">
        <v>456</v>
      </c>
      <c r="D50" s="20" t="s">
        <v>172</v>
      </c>
      <c r="E50" s="20" t="s">
        <v>190</v>
      </c>
      <c r="F50" s="20">
        <v>7</v>
      </c>
      <c r="G50" s="20" t="s">
        <v>6</v>
      </c>
      <c r="H50" s="34">
        <v>46118</v>
      </c>
      <c r="I50" s="20">
        <v>13</v>
      </c>
      <c r="J50" s="20" t="s">
        <v>457</v>
      </c>
      <c r="K50" s="20" t="s">
        <v>116</v>
      </c>
      <c r="L50" s="20" t="s">
        <v>117</v>
      </c>
      <c r="M50" s="20" t="s">
        <v>118</v>
      </c>
      <c r="N50" s="20" t="s">
        <v>119</v>
      </c>
      <c r="O50" s="20">
        <v>3708870</v>
      </c>
      <c r="P50" s="20"/>
      <c r="Q50" s="20">
        <v>3708870</v>
      </c>
      <c r="R50" s="20"/>
      <c r="S50" s="20">
        <v>3708870</v>
      </c>
      <c r="T50" s="20" t="s">
        <v>120</v>
      </c>
      <c r="U50" s="20">
        <v>5210101232</v>
      </c>
      <c r="V50" s="20" t="s">
        <v>121</v>
      </c>
      <c r="W50" s="20" t="s">
        <v>122</v>
      </c>
      <c r="X50" s="20" t="s">
        <v>123</v>
      </c>
      <c r="Y50" s="20" t="s">
        <v>124</v>
      </c>
      <c r="Z50" s="20" t="s">
        <v>125</v>
      </c>
      <c r="AA50" s="20">
        <v>0</v>
      </c>
      <c r="AB50" s="20" t="s">
        <v>126</v>
      </c>
      <c r="AC50" s="20" t="s">
        <v>127</v>
      </c>
      <c r="AD50" s="20" t="s">
        <v>128</v>
      </c>
      <c r="AE50" s="20" t="s">
        <v>129</v>
      </c>
      <c r="AF50" s="20" t="s">
        <v>130</v>
      </c>
      <c r="AG50" s="20" t="s">
        <v>131</v>
      </c>
      <c r="AH50" s="20" t="s">
        <v>132</v>
      </c>
      <c r="AI50" s="20"/>
      <c r="AJ50" s="20"/>
      <c r="AK50" s="20"/>
      <c r="AL50" s="20" t="s">
        <v>458</v>
      </c>
      <c r="AM50" s="20"/>
      <c r="AN50" s="20"/>
      <c r="AO50" s="20" t="s">
        <v>442</v>
      </c>
      <c r="AP50" s="20" t="s">
        <v>442</v>
      </c>
      <c r="AQ50" s="20"/>
      <c r="AR50" s="20"/>
      <c r="AS50" s="20"/>
      <c r="AT50" s="20"/>
      <c r="AU50" s="20"/>
      <c r="AV50" s="20"/>
      <c r="AW50" s="20"/>
      <c r="AX50" s="20">
        <v>100070209</v>
      </c>
      <c r="AY50" s="20" t="s">
        <v>459</v>
      </c>
      <c r="AZ50" s="20"/>
      <c r="BA50" s="20"/>
      <c r="BB50" s="20"/>
      <c r="BC50" s="20"/>
      <c r="BD50" s="20"/>
      <c r="BE50" s="20"/>
      <c r="BF50" s="20"/>
      <c r="BG50" s="20"/>
      <c r="BH50" s="20"/>
      <c r="BI50" s="20" t="s">
        <v>460</v>
      </c>
      <c r="BJ50"/>
      <c r="BK50"/>
      <c r="BL50"/>
    </row>
    <row r="51" spans="1:64" ht="14.4" x14ac:dyDescent="0.3">
      <c r="A51" s="20" t="s">
        <v>461</v>
      </c>
      <c r="B51" s="20" t="s">
        <v>462</v>
      </c>
      <c r="C51" s="20" t="s">
        <v>463</v>
      </c>
      <c r="D51" s="20" t="s">
        <v>172</v>
      </c>
      <c r="E51" s="20" t="s">
        <v>173</v>
      </c>
      <c r="F51" s="20">
        <v>7</v>
      </c>
      <c r="G51" s="20" t="s">
        <v>17</v>
      </c>
      <c r="H51" s="34">
        <v>46078</v>
      </c>
      <c r="I51" s="20">
        <v>3</v>
      </c>
      <c r="J51" s="20" t="s">
        <v>447</v>
      </c>
      <c r="K51" s="20" t="s">
        <v>116</v>
      </c>
      <c r="L51" s="20" t="s">
        <v>117</v>
      </c>
      <c r="M51" s="20" t="s">
        <v>118</v>
      </c>
      <c r="N51" s="20" t="s">
        <v>119</v>
      </c>
      <c r="O51" s="20">
        <v>3578317</v>
      </c>
      <c r="P51" s="20"/>
      <c r="Q51" s="20">
        <v>3578317</v>
      </c>
      <c r="R51" s="20"/>
      <c r="S51" s="20">
        <v>3578317</v>
      </c>
      <c r="T51" s="20" t="s">
        <v>120</v>
      </c>
      <c r="U51" s="20">
        <v>5210101232</v>
      </c>
      <c r="V51" s="20" t="s">
        <v>121</v>
      </c>
      <c r="W51" s="20" t="s">
        <v>122</v>
      </c>
      <c r="X51" s="20" t="s">
        <v>123</v>
      </c>
      <c r="Y51" s="20" t="s">
        <v>124</v>
      </c>
      <c r="Z51" s="20" t="s">
        <v>125</v>
      </c>
      <c r="AA51" s="20">
        <v>0</v>
      </c>
      <c r="AB51" s="20" t="s">
        <v>126</v>
      </c>
      <c r="AC51" s="20" t="s">
        <v>127</v>
      </c>
      <c r="AD51" s="20" t="s">
        <v>128</v>
      </c>
      <c r="AE51" s="20" t="s">
        <v>129</v>
      </c>
      <c r="AF51" s="20" t="s">
        <v>130</v>
      </c>
      <c r="AG51" s="20" t="s">
        <v>131</v>
      </c>
      <c r="AH51" s="20" t="s">
        <v>132</v>
      </c>
      <c r="AI51" s="20"/>
      <c r="AJ51" s="20"/>
      <c r="AK51" s="20"/>
      <c r="AL51" s="20" t="s">
        <v>164</v>
      </c>
      <c r="AM51" s="20"/>
      <c r="AN51" s="20"/>
      <c r="AO51" s="20" t="s">
        <v>24</v>
      </c>
      <c r="AP51" s="20" t="s">
        <v>24</v>
      </c>
      <c r="AQ51" s="20"/>
      <c r="AR51" s="20"/>
      <c r="AS51" s="20"/>
      <c r="AT51" s="20"/>
      <c r="AU51" s="20"/>
      <c r="AV51" s="20"/>
      <c r="AW51" s="20"/>
      <c r="AX51" s="20">
        <v>100070263</v>
      </c>
      <c r="AY51" s="20" t="s">
        <v>137</v>
      </c>
      <c r="AZ51" s="20"/>
      <c r="BA51" s="20"/>
      <c r="BB51" s="20"/>
      <c r="BC51" s="20"/>
      <c r="BD51" s="20"/>
      <c r="BE51" s="20"/>
      <c r="BF51" s="20"/>
      <c r="BG51" s="20"/>
      <c r="BH51" s="20"/>
      <c r="BI51" s="20" t="s">
        <v>464</v>
      </c>
      <c r="BJ51"/>
      <c r="BK51"/>
      <c r="BL51"/>
    </row>
    <row r="52" spans="1:64" ht="14.4" x14ac:dyDescent="0.3">
      <c r="A52" s="20" t="s">
        <v>465</v>
      </c>
      <c r="B52" s="20" t="s">
        <v>140</v>
      </c>
      <c r="C52" s="20" t="s">
        <v>466</v>
      </c>
      <c r="D52" s="20" t="s">
        <v>142</v>
      </c>
      <c r="E52" s="20" t="s">
        <v>143</v>
      </c>
      <c r="F52" s="20">
        <v>7</v>
      </c>
      <c r="G52" s="20" t="s">
        <v>8</v>
      </c>
      <c r="H52" s="34">
        <v>45789</v>
      </c>
      <c r="I52" s="20">
        <v>57</v>
      </c>
      <c r="J52" s="20" t="s">
        <v>467</v>
      </c>
      <c r="K52" s="20" t="s">
        <v>116</v>
      </c>
      <c r="L52" s="20" t="s">
        <v>117</v>
      </c>
      <c r="M52" s="20" t="s">
        <v>118</v>
      </c>
      <c r="N52" s="20" t="s">
        <v>119</v>
      </c>
      <c r="O52" s="20">
        <v>3540630.52</v>
      </c>
      <c r="P52" s="20"/>
      <c r="Q52" s="20">
        <v>3540630.52</v>
      </c>
      <c r="R52" s="20"/>
      <c r="S52" s="20">
        <v>3540630.52</v>
      </c>
      <c r="T52" s="20" t="s">
        <v>146</v>
      </c>
      <c r="U52" s="20">
        <v>5210101232</v>
      </c>
      <c r="V52" s="20" t="s">
        <v>121</v>
      </c>
      <c r="W52" s="20" t="s">
        <v>122</v>
      </c>
      <c r="X52" s="20" t="s">
        <v>123</v>
      </c>
      <c r="Y52" s="20" t="s">
        <v>124</v>
      </c>
      <c r="Z52" s="20" t="s">
        <v>125</v>
      </c>
      <c r="AA52" s="20">
        <v>0</v>
      </c>
      <c r="AB52" s="20" t="s">
        <v>126</v>
      </c>
      <c r="AC52" s="20" t="s">
        <v>127</v>
      </c>
      <c r="AD52" s="20" t="s">
        <v>128</v>
      </c>
      <c r="AE52" s="20" t="s">
        <v>129</v>
      </c>
      <c r="AF52" s="20" t="s">
        <v>130</v>
      </c>
      <c r="AG52" s="20" t="s">
        <v>131</v>
      </c>
      <c r="AH52" s="20" t="s">
        <v>132</v>
      </c>
      <c r="AI52" s="20"/>
      <c r="AJ52" s="20"/>
      <c r="AK52" s="20"/>
      <c r="AL52" s="20" t="s">
        <v>468</v>
      </c>
      <c r="AM52" s="20">
        <v>45765</v>
      </c>
      <c r="AN52" s="20" t="s">
        <v>469</v>
      </c>
      <c r="AO52" s="20" t="s">
        <v>24</v>
      </c>
      <c r="AP52" s="20" t="s">
        <v>24</v>
      </c>
      <c r="AQ52" s="20"/>
      <c r="AR52" s="20" t="s">
        <v>470</v>
      </c>
      <c r="AS52" s="20" t="s">
        <v>289</v>
      </c>
      <c r="AT52" s="20">
        <v>117689</v>
      </c>
      <c r="AU52" s="20" t="s">
        <v>135</v>
      </c>
      <c r="AV52" s="20">
        <v>5509</v>
      </c>
      <c r="AW52" s="20" t="s">
        <v>136</v>
      </c>
      <c r="AX52" s="20">
        <v>100065125</v>
      </c>
      <c r="AY52" s="20"/>
      <c r="AZ52" s="20"/>
      <c r="BA52" s="20"/>
      <c r="BB52" s="20"/>
      <c r="BC52" s="20"/>
      <c r="BD52" s="20"/>
      <c r="BE52" s="20"/>
      <c r="BF52" s="20"/>
      <c r="BG52" s="20"/>
      <c r="BH52" s="20"/>
      <c r="BI52" s="20" t="s">
        <v>471</v>
      </c>
      <c r="BJ52"/>
      <c r="BK52"/>
      <c r="BL52"/>
    </row>
    <row r="53" spans="1:64" ht="14.4" x14ac:dyDescent="0.3">
      <c r="A53" s="20" t="s">
        <v>472</v>
      </c>
      <c r="B53" s="20" t="s">
        <v>375</v>
      </c>
      <c r="C53" s="20" t="s">
        <v>376</v>
      </c>
      <c r="D53" s="20" t="s">
        <v>142</v>
      </c>
      <c r="E53" s="20" t="s">
        <v>143</v>
      </c>
      <c r="F53" s="20">
        <v>7</v>
      </c>
      <c r="G53" s="20" t="s">
        <v>10</v>
      </c>
      <c r="H53" s="34">
        <v>45846</v>
      </c>
      <c r="I53" s="20">
        <v>43</v>
      </c>
      <c r="J53" s="20" t="s">
        <v>473</v>
      </c>
      <c r="K53" s="20" t="s">
        <v>116</v>
      </c>
      <c r="L53" s="20" t="s">
        <v>117</v>
      </c>
      <c r="M53" s="20" t="s">
        <v>118</v>
      </c>
      <c r="N53" s="20" t="s">
        <v>119</v>
      </c>
      <c r="O53" s="20">
        <v>2254942.7999999998</v>
      </c>
      <c r="P53" s="20"/>
      <c r="Q53" s="20">
        <v>2254942.7999999998</v>
      </c>
      <c r="R53" s="20"/>
      <c r="S53" s="20">
        <v>2254942.7999999998</v>
      </c>
      <c r="T53" s="20" t="s">
        <v>146</v>
      </c>
      <c r="U53" s="20">
        <v>5210101232</v>
      </c>
      <c r="V53" s="20" t="s">
        <v>121</v>
      </c>
      <c r="W53" s="20" t="s">
        <v>122</v>
      </c>
      <c r="X53" s="20" t="s">
        <v>123</v>
      </c>
      <c r="Y53" s="20" t="s">
        <v>124</v>
      </c>
      <c r="Z53" s="20" t="s">
        <v>125</v>
      </c>
      <c r="AA53" s="20">
        <v>0</v>
      </c>
      <c r="AB53" s="20" t="s">
        <v>126</v>
      </c>
      <c r="AC53" s="20" t="s">
        <v>127</v>
      </c>
      <c r="AD53" s="20" t="s">
        <v>128</v>
      </c>
      <c r="AE53" s="20" t="s">
        <v>129</v>
      </c>
      <c r="AF53" s="20" t="s">
        <v>130</v>
      </c>
      <c r="AG53" s="20" t="s">
        <v>131</v>
      </c>
      <c r="AH53" s="20" t="s">
        <v>132</v>
      </c>
      <c r="AI53" s="20"/>
      <c r="AJ53" s="20"/>
      <c r="AK53" s="20"/>
      <c r="AL53" s="20" t="s">
        <v>474</v>
      </c>
      <c r="AM53" s="20">
        <v>45817</v>
      </c>
      <c r="AN53" s="20" t="s">
        <v>475</v>
      </c>
      <c r="AO53" s="20" t="s">
        <v>24</v>
      </c>
      <c r="AP53" s="20" t="s">
        <v>24</v>
      </c>
      <c r="AQ53" s="20"/>
      <c r="AR53" s="20" t="s">
        <v>476</v>
      </c>
      <c r="AS53" s="20" t="s">
        <v>185</v>
      </c>
      <c r="AT53" s="20">
        <v>117689</v>
      </c>
      <c r="AU53" s="20" t="s">
        <v>135</v>
      </c>
      <c r="AV53" s="20">
        <v>5509</v>
      </c>
      <c r="AW53" s="20" t="s">
        <v>136</v>
      </c>
      <c r="AX53" s="20">
        <v>100064933</v>
      </c>
      <c r="AY53" s="20"/>
      <c r="AZ53" s="20"/>
      <c r="BA53" s="20"/>
      <c r="BB53" s="20"/>
      <c r="BC53" s="20"/>
      <c r="BD53" s="20"/>
      <c r="BE53" s="20"/>
      <c r="BF53" s="20"/>
      <c r="BG53" s="20"/>
      <c r="BH53" s="20"/>
      <c r="BI53" s="20" t="s">
        <v>477</v>
      </c>
      <c r="BJ53"/>
      <c r="BK53"/>
      <c r="BL53"/>
    </row>
    <row r="54" spans="1:64" ht="14.4" x14ac:dyDescent="0.3">
      <c r="A54" s="20" t="s">
        <v>478</v>
      </c>
      <c r="B54" s="20" t="s">
        <v>479</v>
      </c>
      <c r="C54" s="20" t="s">
        <v>480</v>
      </c>
      <c r="D54" s="20" t="s">
        <v>142</v>
      </c>
      <c r="E54" s="20" t="s">
        <v>143</v>
      </c>
      <c r="F54" s="20">
        <v>7</v>
      </c>
      <c r="G54" s="20" t="s">
        <v>17</v>
      </c>
      <c r="H54" s="34">
        <v>46064</v>
      </c>
      <c r="I54" s="20">
        <v>124</v>
      </c>
      <c r="J54" s="20" t="s">
        <v>481</v>
      </c>
      <c r="K54" s="20" t="s">
        <v>145</v>
      </c>
      <c r="L54" s="20" t="s">
        <v>117</v>
      </c>
      <c r="M54" s="20" t="s">
        <v>118</v>
      </c>
      <c r="N54" s="20" t="s">
        <v>119</v>
      </c>
      <c r="O54" s="20">
        <v>3280409</v>
      </c>
      <c r="P54" s="20"/>
      <c r="Q54" s="20">
        <v>3280409</v>
      </c>
      <c r="R54" s="20"/>
      <c r="S54" s="20">
        <v>3280409</v>
      </c>
      <c r="T54" s="20" t="s">
        <v>120</v>
      </c>
      <c r="U54" s="20">
        <v>5210101581</v>
      </c>
      <c r="V54" s="20" t="s">
        <v>123</v>
      </c>
      <c r="W54" s="20" t="s">
        <v>124</v>
      </c>
      <c r="X54" s="20" t="s">
        <v>123</v>
      </c>
      <c r="Y54" s="20" t="s">
        <v>124</v>
      </c>
      <c r="Z54" s="20" t="s">
        <v>147</v>
      </c>
      <c r="AA54" s="20">
        <v>0</v>
      </c>
      <c r="AB54" s="20" t="s">
        <v>126</v>
      </c>
      <c r="AC54" s="20" t="s">
        <v>148</v>
      </c>
      <c r="AD54" s="20" t="s">
        <v>149</v>
      </c>
      <c r="AE54" s="20" t="s">
        <v>150</v>
      </c>
      <c r="AF54" s="20" t="s">
        <v>151</v>
      </c>
      <c r="AG54" s="20" t="s">
        <v>131</v>
      </c>
      <c r="AH54" s="20" t="s">
        <v>132</v>
      </c>
      <c r="AI54" s="20"/>
      <c r="AJ54" s="20"/>
      <c r="AK54" s="20"/>
      <c r="AL54" s="20">
        <v>325926902801</v>
      </c>
      <c r="AM54" s="20">
        <v>46054</v>
      </c>
      <c r="AN54" s="20" t="s">
        <v>482</v>
      </c>
      <c r="AO54" s="20" t="s">
        <v>29</v>
      </c>
      <c r="AP54" s="20" t="s">
        <v>29</v>
      </c>
      <c r="AQ54" s="20"/>
      <c r="AR54" s="20" t="s">
        <v>483</v>
      </c>
      <c r="AS54" s="20" t="s">
        <v>297</v>
      </c>
      <c r="AT54" s="20">
        <v>117399</v>
      </c>
      <c r="AU54" s="20" t="s">
        <v>157</v>
      </c>
      <c r="AV54" s="20">
        <v>4100</v>
      </c>
      <c r="AW54" s="20" t="s">
        <v>158</v>
      </c>
      <c r="AX54" s="20">
        <v>100070242</v>
      </c>
      <c r="AY54" s="20"/>
      <c r="AZ54" s="20"/>
      <c r="BA54" s="20"/>
      <c r="BB54" s="20"/>
      <c r="BC54" s="20"/>
      <c r="BD54" s="20"/>
      <c r="BE54" s="20"/>
      <c r="BF54" s="20"/>
      <c r="BG54" s="20"/>
      <c r="BH54" s="20"/>
      <c r="BI54" s="20" t="s">
        <v>484</v>
      </c>
      <c r="BJ54"/>
      <c r="BK54"/>
      <c r="BL54"/>
    </row>
    <row r="55" spans="1:64" ht="14.4" x14ac:dyDescent="0.3">
      <c r="A55" s="20" t="s">
        <v>485</v>
      </c>
      <c r="B55" s="20" t="s">
        <v>486</v>
      </c>
      <c r="C55" s="20" t="s">
        <v>487</v>
      </c>
      <c r="D55" s="20" t="s">
        <v>142</v>
      </c>
      <c r="E55" s="20" t="s">
        <v>143</v>
      </c>
      <c r="F55" s="20">
        <v>7</v>
      </c>
      <c r="G55" s="20" t="s">
        <v>9</v>
      </c>
      <c r="H55" s="34">
        <v>45821</v>
      </c>
      <c r="I55" s="20">
        <v>102</v>
      </c>
      <c r="J55" s="20" t="s">
        <v>488</v>
      </c>
      <c r="K55" s="20" t="s">
        <v>145</v>
      </c>
      <c r="L55" s="20" t="s">
        <v>117</v>
      </c>
      <c r="M55" s="20" t="s">
        <v>118</v>
      </c>
      <c r="N55" s="20" t="s">
        <v>119</v>
      </c>
      <c r="O55" s="20">
        <v>1943712</v>
      </c>
      <c r="P55" s="20"/>
      <c r="Q55" s="20">
        <v>1943712</v>
      </c>
      <c r="R55" s="20"/>
      <c r="S55" s="20">
        <v>1943712</v>
      </c>
      <c r="T55" s="20" t="s">
        <v>146</v>
      </c>
      <c r="U55" s="20">
        <v>5210101581</v>
      </c>
      <c r="V55" s="20" t="s">
        <v>123</v>
      </c>
      <c r="W55" s="20" t="s">
        <v>124</v>
      </c>
      <c r="X55" s="20" t="s">
        <v>123</v>
      </c>
      <c r="Y55" s="20" t="s">
        <v>124</v>
      </c>
      <c r="Z55" s="20" t="s">
        <v>147</v>
      </c>
      <c r="AA55" s="20">
        <v>0</v>
      </c>
      <c r="AB55" s="20" t="s">
        <v>126</v>
      </c>
      <c r="AC55" s="20" t="s">
        <v>148</v>
      </c>
      <c r="AD55" s="20" t="s">
        <v>149</v>
      </c>
      <c r="AE55" s="20" t="s">
        <v>150</v>
      </c>
      <c r="AF55" s="20" t="s">
        <v>151</v>
      </c>
      <c r="AG55" s="20" t="s">
        <v>131</v>
      </c>
      <c r="AH55" s="20" t="s">
        <v>132</v>
      </c>
      <c r="AI55" s="20"/>
      <c r="AJ55" s="20"/>
      <c r="AK55" s="20"/>
      <c r="AL55" s="20" t="s">
        <v>489</v>
      </c>
      <c r="AM55" s="20">
        <v>45809</v>
      </c>
      <c r="AN55" s="20" t="s">
        <v>490</v>
      </c>
      <c r="AO55" s="20" t="s">
        <v>29</v>
      </c>
      <c r="AP55" s="20" t="s">
        <v>29</v>
      </c>
      <c r="AQ55" s="20"/>
      <c r="AR55" s="20" t="s">
        <v>491</v>
      </c>
      <c r="AS55" s="20" t="s">
        <v>492</v>
      </c>
      <c r="AT55" s="20">
        <v>117399</v>
      </c>
      <c r="AU55" s="20" t="s">
        <v>157</v>
      </c>
      <c r="AV55" s="20">
        <v>4100</v>
      </c>
      <c r="AW55" s="20" t="s">
        <v>158</v>
      </c>
      <c r="AX55" s="20"/>
      <c r="AY55" s="20"/>
      <c r="AZ55" s="20"/>
      <c r="BA55" s="20"/>
      <c r="BB55" s="20"/>
      <c r="BC55" s="20"/>
      <c r="BD55" s="20"/>
      <c r="BE55" s="20"/>
      <c r="BF55" s="20"/>
      <c r="BG55" s="20"/>
      <c r="BH55" s="20"/>
      <c r="BI55" s="20" t="s">
        <v>493</v>
      </c>
      <c r="BJ55"/>
      <c r="BK55"/>
      <c r="BL55"/>
    </row>
    <row r="56" spans="1:64" ht="14.4" x14ac:dyDescent="0.3">
      <c r="A56" s="20" t="s">
        <v>494</v>
      </c>
      <c r="B56" s="20" t="s">
        <v>495</v>
      </c>
      <c r="C56" s="20" t="s">
        <v>496</v>
      </c>
      <c r="D56" s="20" t="s">
        <v>142</v>
      </c>
      <c r="E56" s="20" t="s">
        <v>143</v>
      </c>
      <c r="F56" s="20">
        <v>7</v>
      </c>
      <c r="G56" s="20" t="s">
        <v>13</v>
      </c>
      <c r="H56" s="34">
        <v>45937</v>
      </c>
      <c r="I56" s="20">
        <v>30</v>
      </c>
      <c r="J56" s="20" t="s">
        <v>497</v>
      </c>
      <c r="K56" s="20" t="s">
        <v>116</v>
      </c>
      <c r="L56" s="20" t="s">
        <v>117</v>
      </c>
      <c r="M56" s="20" t="s">
        <v>118</v>
      </c>
      <c r="N56" s="20" t="s">
        <v>119</v>
      </c>
      <c r="O56" s="20">
        <v>2254942.7999999998</v>
      </c>
      <c r="P56" s="20"/>
      <c r="Q56" s="20">
        <v>2254942.7999999998</v>
      </c>
      <c r="R56" s="20"/>
      <c r="S56" s="20">
        <v>2254942.7999999998</v>
      </c>
      <c r="T56" s="20" t="s">
        <v>146</v>
      </c>
      <c r="U56" s="20">
        <v>5210101232</v>
      </c>
      <c r="V56" s="20" t="s">
        <v>121</v>
      </c>
      <c r="W56" s="20" t="s">
        <v>122</v>
      </c>
      <c r="X56" s="20" t="s">
        <v>123</v>
      </c>
      <c r="Y56" s="20" t="s">
        <v>124</v>
      </c>
      <c r="Z56" s="20" t="s">
        <v>125</v>
      </c>
      <c r="AA56" s="20">
        <v>0</v>
      </c>
      <c r="AB56" s="20" t="s">
        <v>126</v>
      </c>
      <c r="AC56" s="20" t="s">
        <v>127</v>
      </c>
      <c r="AD56" s="20" t="s">
        <v>128</v>
      </c>
      <c r="AE56" s="20" t="s">
        <v>129</v>
      </c>
      <c r="AF56" s="20" t="s">
        <v>130</v>
      </c>
      <c r="AG56" s="20" t="s">
        <v>131</v>
      </c>
      <c r="AH56" s="20" t="s">
        <v>132</v>
      </c>
      <c r="AI56" s="20"/>
      <c r="AJ56" s="20"/>
      <c r="AK56" s="20"/>
      <c r="AL56" s="20" t="s">
        <v>498</v>
      </c>
      <c r="AM56" s="20">
        <v>45903</v>
      </c>
      <c r="AN56" s="20" t="s">
        <v>499</v>
      </c>
      <c r="AO56" s="20" t="s">
        <v>24</v>
      </c>
      <c r="AP56" s="20" t="s">
        <v>24</v>
      </c>
      <c r="AQ56" s="20"/>
      <c r="AR56" s="20" t="s">
        <v>500</v>
      </c>
      <c r="AS56" s="20" t="s">
        <v>185</v>
      </c>
      <c r="AT56" s="20">
        <v>117689</v>
      </c>
      <c r="AU56" s="20" t="s">
        <v>135</v>
      </c>
      <c r="AV56" s="20">
        <v>5509</v>
      </c>
      <c r="AW56" s="20" t="s">
        <v>136</v>
      </c>
      <c r="AX56" s="20">
        <v>100064933</v>
      </c>
      <c r="AY56" s="20"/>
      <c r="AZ56" s="20"/>
      <c r="BA56" s="20"/>
      <c r="BB56" s="20"/>
      <c r="BC56" s="20"/>
      <c r="BD56" s="20"/>
      <c r="BE56" s="20"/>
      <c r="BF56" s="20"/>
      <c r="BG56" s="20"/>
      <c r="BH56" s="20"/>
      <c r="BI56" s="20" t="s">
        <v>501</v>
      </c>
      <c r="BJ56"/>
      <c r="BK56"/>
      <c r="BL56"/>
    </row>
    <row r="57" spans="1:64" ht="14.4" x14ac:dyDescent="0.3">
      <c r="A57" s="20" t="s">
        <v>502</v>
      </c>
      <c r="B57" s="20" t="s">
        <v>503</v>
      </c>
      <c r="C57" s="20" t="s">
        <v>504</v>
      </c>
      <c r="D57" s="20" t="s">
        <v>142</v>
      </c>
      <c r="E57" s="20" t="s">
        <v>143</v>
      </c>
      <c r="F57" s="20">
        <v>7</v>
      </c>
      <c r="G57" s="20" t="s">
        <v>15</v>
      </c>
      <c r="H57" s="34">
        <v>46014</v>
      </c>
      <c r="I57" s="20">
        <v>159</v>
      </c>
      <c r="J57" s="20" t="s">
        <v>505</v>
      </c>
      <c r="K57" s="20" t="s">
        <v>506</v>
      </c>
      <c r="L57" s="20" t="s">
        <v>117</v>
      </c>
      <c r="M57" s="20" t="s">
        <v>118</v>
      </c>
      <c r="N57" s="20" t="s">
        <v>119</v>
      </c>
      <c r="O57" s="20">
        <v>1274111</v>
      </c>
      <c r="P57" s="20"/>
      <c r="Q57" s="20">
        <v>1274111</v>
      </c>
      <c r="R57" s="20"/>
      <c r="S57" s="21">
        <v>1274111</v>
      </c>
      <c r="T57" s="20" t="s">
        <v>146</v>
      </c>
      <c r="U57" s="20">
        <v>5210101581</v>
      </c>
      <c r="V57" s="20" t="s">
        <v>123</v>
      </c>
      <c r="W57" s="20" t="s">
        <v>124</v>
      </c>
      <c r="X57" s="20" t="s">
        <v>123</v>
      </c>
      <c r="Y57" s="20" t="s">
        <v>124</v>
      </c>
      <c r="Z57" s="20" t="s">
        <v>147</v>
      </c>
      <c r="AA57" s="20">
        <v>0</v>
      </c>
      <c r="AB57" s="20" t="s">
        <v>126</v>
      </c>
      <c r="AC57" s="20" t="s">
        <v>507</v>
      </c>
      <c r="AD57" s="20" t="s">
        <v>508</v>
      </c>
      <c r="AE57" s="20" t="s">
        <v>150</v>
      </c>
      <c r="AF57" s="20" t="s">
        <v>151</v>
      </c>
      <c r="AG57" s="20" t="s">
        <v>131</v>
      </c>
      <c r="AH57" s="20" t="s">
        <v>132</v>
      </c>
      <c r="AI57" s="20"/>
      <c r="AJ57" s="20"/>
      <c r="AK57" s="20"/>
      <c r="AL57" s="20">
        <v>7000494201</v>
      </c>
      <c r="AM57" s="20">
        <v>45995</v>
      </c>
      <c r="AN57" s="20" t="s">
        <v>509</v>
      </c>
      <c r="AO57" s="20" t="s">
        <v>34</v>
      </c>
      <c r="AP57" s="20" t="s">
        <v>34</v>
      </c>
      <c r="AQ57" s="20"/>
      <c r="AR57" s="20" t="s">
        <v>510</v>
      </c>
      <c r="AS57" s="20" t="s">
        <v>511</v>
      </c>
      <c r="AT57" s="20">
        <v>117399</v>
      </c>
      <c r="AU57" s="20" t="s">
        <v>157</v>
      </c>
      <c r="AV57" s="20">
        <v>4203</v>
      </c>
      <c r="AW57" s="20" t="s">
        <v>512</v>
      </c>
      <c r="AX57" s="20">
        <v>100064587</v>
      </c>
      <c r="AY57" s="20"/>
      <c r="AZ57" s="20"/>
      <c r="BA57" s="20"/>
      <c r="BB57" s="20"/>
      <c r="BC57" s="20"/>
      <c r="BD57" s="20"/>
      <c r="BE57" s="20"/>
      <c r="BF57" s="20"/>
      <c r="BG57" s="20"/>
      <c r="BH57" s="20"/>
      <c r="BI57" s="20" t="s">
        <v>513</v>
      </c>
      <c r="BJ57"/>
      <c r="BK57"/>
      <c r="BL57"/>
    </row>
    <row r="58" spans="1:64" ht="14.4" x14ac:dyDescent="0.3">
      <c r="A58" s="20" t="s">
        <v>514</v>
      </c>
      <c r="B58" s="20" t="s">
        <v>503</v>
      </c>
      <c r="C58" s="20" t="s">
        <v>504</v>
      </c>
      <c r="D58" s="20" t="s">
        <v>142</v>
      </c>
      <c r="E58" s="20" t="s">
        <v>143</v>
      </c>
      <c r="F58" s="20">
        <v>7</v>
      </c>
      <c r="G58" s="20" t="s">
        <v>15</v>
      </c>
      <c r="H58" s="34">
        <v>46014</v>
      </c>
      <c r="I58" s="20">
        <v>160</v>
      </c>
      <c r="J58" s="20" t="s">
        <v>515</v>
      </c>
      <c r="K58" s="20" t="s">
        <v>506</v>
      </c>
      <c r="L58" s="20" t="s">
        <v>117</v>
      </c>
      <c r="M58" s="20" t="s">
        <v>118</v>
      </c>
      <c r="N58" s="20" t="s">
        <v>119</v>
      </c>
      <c r="O58" s="20">
        <v>1051507.24</v>
      </c>
      <c r="P58" s="20"/>
      <c r="Q58" s="20">
        <v>1051507.24</v>
      </c>
      <c r="R58" s="20"/>
      <c r="S58" s="26">
        <v>1051507.24</v>
      </c>
      <c r="T58" s="20" t="s">
        <v>146</v>
      </c>
      <c r="U58" s="20">
        <v>5210101581</v>
      </c>
      <c r="V58" s="20" t="s">
        <v>123</v>
      </c>
      <c r="W58" s="20" t="s">
        <v>124</v>
      </c>
      <c r="X58" s="20" t="s">
        <v>123</v>
      </c>
      <c r="Y58" s="20" t="s">
        <v>124</v>
      </c>
      <c r="Z58" s="20" t="s">
        <v>147</v>
      </c>
      <c r="AA58" s="20">
        <v>0</v>
      </c>
      <c r="AB58" s="20" t="s">
        <v>126</v>
      </c>
      <c r="AC58" s="20" t="s">
        <v>507</v>
      </c>
      <c r="AD58" s="20" t="s">
        <v>508</v>
      </c>
      <c r="AE58" s="20" t="s">
        <v>150</v>
      </c>
      <c r="AF58" s="20" t="s">
        <v>151</v>
      </c>
      <c r="AG58" s="20" t="s">
        <v>131</v>
      </c>
      <c r="AH58" s="20" t="s">
        <v>132</v>
      </c>
      <c r="AI58" s="20"/>
      <c r="AJ58" s="20"/>
      <c r="AK58" s="20"/>
      <c r="AL58" s="20">
        <v>7000440232</v>
      </c>
      <c r="AM58" s="20">
        <v>45994</v>
      </c>
      <c r="AN58" s="20" t="s">
        <v>516</v>
      </c>
      <c r="AO58" s="20" t="s">
        <v>34</v>
      </c>
      <c r="AP58" s="20" t="s">
        <v>34</v>
      </c>
      <c r="AQ58" s="20"/>
      <c r="AR58" s="20" t="s">
        <v>517</v>
      </c>
      <c r="AS58" s="20" t="s">
        <v>511</v>
      </c>
      <c r="AT58" s="20">
        <v>117399</v>
      </c>
      <c r="AU58" s="20" t="s">
        <v>157</v>
      </c>
      <c r="AV58" s="20">
        <v>4203</v>
      </c>
      <c r="AW58" s="20" t="s">
        <v>512</v>
      </c>
      <c r="AX58" s="20">
        <v>100064587</v>
      </c>
      <c r="AY58" s="20"/>
      <c r="AZ58" s="20"/>
      <c r="BA58" s="20"/>
      <c r="BB58" s="20"/>
      <c r="BC58" s="20"/>
      <c r="BD58" s="20"/>
      <c r="BE58" s="20"/>
      <c r="BF58" s="20"/>
      <c r="BG58" s="20"/>
      <c r="BH58" s="20"/>
      <c r="BI58" s="20" t="s">
        <v>518</v>
      </c>
      <c r="BJ58"/>
      <c r="BK58"/>
      <c r="BL58"/>
    </row>
    <row r="59" spans="1:64" ht="14.4" x14ac:dyDescent="0.3">
      <c r="A59" s="20" t="s">
        <v>519</v>
      </c>
      <c r="B59" s="20" t="s">
        <v>267</v>
      </c>
      <c r="C59" s="20" t="s">
        <v>414</v>
      </c>
      <c r="D59" s="20" t="s">
        <v>142</v>
      </c>
      <c r="E59" s="20" t="s">
        <v>143</v>
      </c>
      <c r="F59" s="20">
        <v>7</v>
      </c>
      <c r="G59" s="20" t="s">
        <v>15</v>
      </c>
      <c r="H59" s="34">
        <v>46006</v>
      </c>
      <c r="I59" s="20">
        <v>91</v>
      </c>
      <c r="J59" s="20" t="s">
        <v>520</v>
      </c>
      <c r="K59" s="20" t="s">
        <v>506</v>
      </c>
      <c r="L59" s="20" t="s">
        <v>117</v>
      </c>
      <c r="M59" s="20" t="s">
        <v>118</v>
      </c>
      <c r="N59" s="20" t="s">
        <v>119</v>
      </c>
      <c r="O59" s="20">
        <v>1051506</v>
      </c>
      <c r="P59" s="20"/>
      <c r="Q59" s="20">
        <v>1051506</v>
      </c>
      <c r="R59" s="20"/>
      <c r="S59" s="26">
        <v>1051506</v>
      </c>
      <c r="T59" s="20" t="s">
        <v>146</v>
      </c>
      <c r="U59" s="20">
        <v>5210101581</v>
      </c>
      <c r="V59" s="20" t="s">
        <v>123</v>
      </c>
      <c r="W59" s="20" t="s">
        <v>124</v>
      </c>
      <c r="X59" s="20" t="s">
        <v>123</v>
      </c>
      <c r="Y59" s="20" t="s">
        <v>124</v>
      </c>
      <c r="Z59" s="20" t="s">
        <v>147</v>
      </c>
      <c r="AA59" s="20">
        <v>0</v>
      </c>
      <c r="AB59" s="20" t="s">
        <v>126</v>
      </c>
      <c r="AC59" s="20" t="s">
        <v>507</v>
      </c>
      <c r="AD59" s="20" t="s">
        <v>508</v>
      </c>
      <c r="AE59" s="20" t="s">
        <v>150</v>
      </c>
      <c r="AF59" s="20" t="s">
        <v>151</v>
      </c>
      <c r="AG59" s="20" t="s">
        <v>131</v>
      </c>
      <c r="AH59" s="20" t="s">
        <v>132</v>
      </c>
      <c r="AI59" s="20"/>
      <c r="AJ59" s="20"/>
      <c r="AK59" s="20"/>
      <c r="AL59" s="20">
        <v>1021806001</v>
      </c>
      <c r="AM59" s="20">
        <v>45980</v>
      </c>
      <c r="AN59" s="20" t="s">
        <v>521</v>
      </c>
      <c r="AO59" s="20" t="s">
        <v>31</v>
      </c>
      <c r="AP59" s="20" t="s">
        <v>31</v>
      </c>
      <c r="AQ59" s="20"/>
      <c r="AR59" s="20" t="s">
        <v>522</v>
      </c>
      <c r="AS59" s="20" t="s">
        <v>511</v>
      </c>
      <c r="AT59" s="20">
        <v>117399</v>
      </c>
      <c r="AU59" s="20" t="s">
        <v>157</v>
      </c>
      <c r="AV59" s="20">
        <v>4203</v>
      </c>
      <c r="AW59" s="20" t="s">
        <v>512</v>
      </c>
      <c r="AX59" s="20">
        <v>100064582</v>
      </c>
      <c r="AY59" s="20"/>
      <c r="AZ59" s="20"/>
      <c r="BA59" s="20"/>
      <c r="BB59" s="20"/>
      <c r="BC59" s="20"/>
      <c r="BD59" s="20"/>
      <c r="BE59" s="20"/>
      <c r="BF59" s="20"/>
      <c r="BG59" s="20"/>
      <c r="BH59" s="20"/>
      <c r="BI59" s="20" t="s">
        <v>523</v>
      </c>
      <c r="BJ59"/>
      <c r="BK59"/>
      <c r="BL59"/>
    </row>
    <row r="60" spans="1:64" ht="14.4" x14ac:dyDescent="0.3">
      <c r="A60" s="20" t="s">
        <v>524</v>
      </c>
      <c r="B60" s="20" t="s">
        <v>267</v>
      </c>
      <c r="C60" s="20" t="s">
        <v>414</v>
      </c>
      <c r="D60" s="20" t="s">
        <v>142</v>
      </c>
      <c r="E60" s="20" t="s">
        <v>143</v>
      </c>
      <c r="F60" s="20">
        <v>7</v>
      </c>
      <c r="G60" s="20" t="s">
        <v>15</v>
      </c>
      <c r="H60" s="34">
        <v>46006</v>
      </c>
      <c r="I60" s="20">
        <v>92</v>
      </c>
      <c r="J60" s="20" t="s">
        <v>525</v>
      </c>
      <c r="K60" s="20" t="s">
        <v>506</v>
      </c>
      <c r="L60" s="20" t="s">
        <v>117</v>
      </c>
      <c r="M60" s="20" t="s">
        <v>118</v>
      </c>
      <c r="N60" s="20" t="s">
        <v>119</v>
      </c>
      <c r="O60" s="20">
        <v>1051506</v>
      </c>
      <c r="P60" s="20"/>
      <c r="Q60" s="20">
        <v>1051506</v>
      </c>
      <c r="R60" s="20"/>
      <c r="S60" s="21">
        <v>1051506</v>
      </c>
      <c r="T60" s="20" t="s">
        <v>146</v>
      </c>
      <c r="U60" s="20">
        <v>5210101581</v>
      </c>
      <c r="V60" s="20" t="s">
        <v>123</v>
      </c>
      <c r="W60" s="20" t="s">
        <v>124</v>
      </c>
      <c r="X60" s="20" t="s">
        <v>123</v>
      </c>
      <c r="Y60" s="20" t="s">
        <v>124</v>
      </c>
      <c r="Z60" s="20" t="s">
        <v>147</v>
      </c>
      <c r="AA60" s="20">
        <v>0</v>
      </c>
      <c r="AB60" s="20" t="s">
        <v>126</v>
      </c>
      <c r="AC60" s="20" t="s">
        <v>507</v>
      </c>
      <c r="AD60" s="20" t="s">
        <v>508</v>
      </c>
      <c r="AE60" s="20" t="s">
        <v>150</v>
      </c>
      <c r="AF60" s="20" t="s">
        <v>151</v>
      </c>
      <c r="AG60" s="20" t="s">
        <v>131</v>
      </c>
      <c r="AH60" s="20" t="s">
        <v>132</v>
      </c>
      <c r="AI60" s="20"/>
      <c r="AJ60" s="20"/>
      <c r="AK60" s="20"/>
      <c r="AL60" s="20">
        <v>1021803865</v>
      </c>
      <c r="AM60" s="20">
        <v>45979</v>
      </c>
      <c r="AN60" s="20" t="s">
        <v>526</v>
      </c>
      <c r="AO60" s="20" t="s">
        <v>31</v>
      </c>
      <c r="AP60" s="20" t="s">
        <v>31</v>
      </c>
      <c r="AQ60" s="20"/>
      <c r="AR60" s="20" t="s">
        <v>527</v>
      </c>
      <c r="AS60" s="20" t="s">
        <v>511</v>
      </c>
      <c r="AT60" s="20">
        <v>117399</v>
      </c>
      <c r="AU60" s="20" t="s">
        <v>157</v>
      </c>
      <c r="AV60" s="20">
        <v>4203</v>
      </c>
      <c r="AW60" s="20" t="s">
        <v>512</v>
      </c>
      <c r="AX60" s="20">
        <v>100064582</v>
      </c>
      <c r="AY60" s="20"/>
      <c r="AZ60" s="20"/>
      <c r="BA60" s="20"/>
      <c r="BB60" s="20"/>
      <c r="BC60" s="20"/>
      <c r="BD60" s="20"/>
      <c r="BE60" s="20"/>
      <c r="BF60" s="20"/>
      <c r="BG60" s="20"/>
      <c r="BH60" s="20"/>
      <c r="BI60" s="20" t="s">
        <v>528</v>
      </c>
      <c r="BJ60"/>
      <c r="BK60"/>
      <c r="BL60"/>
    </row>
    <row r="61" spans="1:64" ht="14.4" x14ac:dyDescent="0.3">
      <c r="A61" s="20" t="s">
        <v>529</v>
      </c>
      <c r="B61" s="20" t="s">
        <v>161</v>
      </c>
      <c r="C61" s="20" t="s">
        <v>162</v>
      </c>
      <c r="D61" s="20" t="s">
        <v>142</v>
      </c>
      <c r="E61" s="20" t="s">
        <v>143</v>
      </c>
      <c r="F61" s="20">
        <v>7</v>
      </c>
      <c r="G61" s="20" t="s">
        <v>17</v>
      </c>
      <c r="H61" s="34">
        <v>46055</v>
      </c>
      <c r="I61" s="20">
        <v>109</v>
      </c>
      <c r="J61" s="20" t="s">
        <v>530</v>
      </c>
      <c r="K61" s="20" t="s">
        <v>116</v>
      </c>
      <c r="L61" s="20" t="s">
        <v>117</v>
      </c>
      <c r="M61" s="20" t="s">
        <v>118</v>
      </c>
      <c r="N61" s="20" t="s">
        <v>119</v>
      </c>
      <c r="O61" s="20">
        <v>2254942.7999999998</v>
      </c>
      <c r="P61" s="20"/>
      <c r="Q61" s="20">
        <v>2254942.7999999998</v>
      </c>
      <c r="R61" s="20"/>
      <c r="S61" s="20">
        <v>2254942.7999999998</v>
      </c>
      <c r="T61" s="20" t="s">
        <v>120</v>
      </c>
      <c r="U61" s="20">
        <v>5210101232</v>
      </c>
      <c r="V61" s="20" t="s">
        <v>121</v>
      </c>
      <c r="W61" s="20" t="s">
        <v>122</v>
      </c>
      <c r="X61" s="20" t="s">
        <v>123</v>
      </c>
      <c r="Y61" s="20" t="s">
        <v>124</v>
      </c>
      <c r="Z61" s="20" t="s">
        <v>125</v>
      </c>
      <c r="AA61" s="20">
        <v>0</v>
      </c>
      <c r="AB61" s="20" t="s">
        <v>126</v>
      </c>
      <c r="AC61" s="20" t="s">
        <v>127</v>
      </c>
      <c r="AD61" s="20" t="s">
        <v>128</v>
      </c>
      <c r="AE61" s="20" t="s">
        <v>129</v>
      </c>
      <c r="AF61" s="20" t="s">
        <v>130</v>
      </c>
      <c r="AG61" s="20" t="s">
        <v>131</v>
      </c>
      <c r="AH61" s="20" t="s">
        <v>132</v>
      </c>
      <c r="AI61" s="20"/>
      <c r="AJ61" s="20"/>
      <c r="AK61" s="20"/>
      <c r="AL61" s="20" t="s">
        <v>531</v>
      </c>
      <c r="AM61" s="20">
        <v>45994</v>
      </c>
      <c r="AN61" s="20" t="s">
        <v>532</v>
      </c>
      <c r="AO61" s="20" t="s">
        <v>24</v>
      </c>
      <c r="AP61" s="20" t="s">
        <v>24</v>
      </c>
      <c r="AQ61" s="20"/>
      <c r="AR61" s="20" t="s">
        <v>533</v>
      </c>
      <c r="AS61" s="20" t="s">
        <v>167</v>
      </c>
      <c r="AT61" s="20">
        <v>117689</v>
      </c>
      <c r="AU61" s="20" t="s">
        <v>135</v>
      </c>
      <c r="AV61" s="20">
        <v>5509</v>
      </c>
      <c r="AW61" s="20" t="s">
        <v>136</v>
      </c>
      <c r="AX61" s="20">
        <v>100070263</v>
      </c>
      <c r="AY61" s="20"/>
      <c r="AZ61" s="20"/>
      <c r="BA61" s="20"/>
      <c r="BB61" s="20"/>
      <c r="BC61" s="20"/>
      <c r="BD61" s="20"/>
      <c r="BE61" s="20"/>
      <c r="BF61" s="20"/>
      <c r="BG61" s="20"/>
      <c r="BH61" s="20"/>
      <c r="BI61" s="20" t="s">
        <v>534</v>
      </c>
      <c r="BJ61"/>
      <c r="BK61"/>
      <c r="BL61"/>
    </row>
    <row r="62" spans="1:64" ht="14.4" x14ac:dyDescent="0.3">
      <c r="A62" s="20" t="s">
        <v>535</v>
      </c>
      <c r="B62" s="20" t="s">
        <v>170</v>
      </c>
      <c r="C62" s="20" t="s">
        <v>171</v>
      </c>
      <c r="D62" s="20" t="s">
        <v>172</v>
      </c>
      <c r="E62" s="20" t="s">
        <v>173</v>
      </c>
      <c r="F62" s="20">
        <v>7</v>
      </c>
      <c r="G62" s="20" t="s">
        <v>7</v>
      </c>
      <c r="H62" s="34">
        <v>45768</v>
      </c>
      <c r="I62" s="20">
        <v>2</v>
      </c>
      <c r="J62" s="20" t="s">
        <v>536</v>
      </c>
      <c r="K62" s="20" t="s">
        <v>116</v>
      </c>
      <c r="L62" s="20" t="s">
        <v>117</v>
      </c>
      <c r="M62" s="20" t="s">
        <v>118</v>
      </c>
      <c r="N62" s="20" t="s">
        <v>119</v>
      </c>
      <c r="O62" s="20">
        <v>2193643.41</v>
      </c>
      <c r="P62" s="20"/>
      <c r="Q62" s="20">
        <v>2193643.41</v>
      </c>
      <c r="R62" s="20"/>
      <c r="S62" s="20">
        <v>2193643.41</v>
      </c>
      <c r="T62" s="20" t="s">
        <v>146</v>
      </c>
      <c r="U62" s="20">
        <v>5210101232</v>
      </c>
      <c r="V62" s="20" t="s">
        <v>121</v>
      </c>
      <c r="W62" s="20" t="s">
        <v>122</v>
      </c>
      <c r="X62" s="20" t="s">
        <v>123</v>
      </c>
      <c r="Y62" s="20" t="s">
        <v>124</v>
      </c>
      <c r="Z62" s="20" t="s">
        <v>125</v>
      </c>
      <c r="AA62" s="20">
        <v>0</v>
      </c>
      <c r="AB62" s="20" t="s">
        <v>126</v>
      </c>
      <c r="AC62" s="20" t="s">
        <v>127</v>
      </c>
      <c r="AD62" s="20" t="s">
        <v>128</v>
      </c>
      <c r="AE62" s="20" t="s">
        <v>129</v>
      </c>
      <c r="AF62" s="20" t="s">
        <v>130</v>
      </c>
      <c r="AG62" s="20" t="s">
        <v>131</v>
      </c>
      <c r="AH62" s="20" t="s">
        <v>132</v>
      </c>
      <c r="AI62" s="20"/>
      <c r="AJ62" s="20"/>
      <c r="AK62" s="20"/>
      <c r="AL62" s="20" t="s">
        <v>537</v>
      </c>
      <c r="AM62" s="20"/>
      <c r="AN62" s="20"/>
      <c r="AO62" s="20" t="s">
        <v>24</v>
      </c>
      <c r="AP62" s="20" t="s">
        <v>24</v>
      </c>
      <c r="AQ62" s="20"/>
      <c r="AR62" s="20"/>
      <c r="AS62" s="20"/>
      <c r="AT62" s="20"/>
      <c r="AU62" s="20"/>
      <c r="AV62" s="20"/>
      <c r="AW62" s="20"/>
      <c r="AX62" s="20">
        <v>100064933</v>
      </c>
      <c r="AY62" s="20" t="s">
        <v>538</v>
      </c>
      <c r="AZ62" s="20"/>
      <c r="BA62" s="20"/>
      <c r="BB62" s="20"/>
      <c r="BC62" s="20"/>
      <c r="BD62" s="20"/>
      <c r="BE62" s="20"/>
      <c r="BF62" s="20"/>
      <c r="BG62" s="20"/>
      <c r="BH62" s="20"/>
      <c r="BI62" s="20" t="s">
        <v>539</v>
      </c>
      <c r="BJ62"/>
      <c r="BK62"/>
      <c r="BL62"/>
    </row>
    <row r="63" spans="1:64" ht="14.4" x14ac:dyDescent="0.3">
      <c r="A63" s="20" t="s">
        <v>540</v>
      </c>
      <c r="B63" s="20" t="s">
        <v>421</v>
      </c>
      <c r="C63" s="20" t="s">
        <v>422</v>
      </c>
      <c r="D63" s="20" t="s">
        <v>142</v>
      </c>
      <c r="E63" s="20" t="s">
        <v>143</v>
      </c>
      <c r="F63" s="20">
        <v>7</v>
      </c>
      <c r="G63" s="20" t="s">
        <v>16</v>
      </c>
      <c r="H63" s="34">
        <v>46041</v>
      </c>
      <c r="I63" s="20">
        <v>82</v>
      </c>
      <c r="J63" s="20" t="s">
        <v>541</v>
      </c>
      <c r="K63" s="20" t="s">
        <v>542</v>
      </c>
      <c r="L63" s="20" t="s">
        <v>117</v>
      </c>
      <c r="M63" s="20" t="s">
        <v>118</v>
      </c>
      <c r="N63" s="20" t="s">
        <v>119</v>
      </c>
      <c r="O63" s="20">
        <v>915492.7</v>
      </c>
      <c r="P63" s="20"/>
      <c r="Q63" s="20">
        <v>915492.7</v>
      </c>
      <c r="R63" s="20"/>
      <c r="S63" s="20">
        <v>915492.7</v>
      </c>
      <c r="T63" s="20" t="s">
        <v>120</v>
      </c>
      <c r="U63" s="20">
        <v>5210101320</v>
      </c>
      <c r="V63" s="20" t="s">
        <v>543</v>
      </c>
      <c r="W63" s="20" t="s">
        <v>544</v>
      </c>
      <c r="X63" s="20" t="s">
        <v>123</v>
      </c>
      <c r="Y63" s="20" t="s">
        <v>124</v>
      </c>
      <c r="Z63" s="20" t="s">
        <v>545</v>
      </c>
      <c r="AA63" s="20">
        <v>0</v>
      </c>
      <c r="AB63" s="20" t="s">
        <v>126</v>
      </c>
      <c r="AC63" s="20" t="s">
        <v>546</v>
      </c>
      <c r="AD63" s="20" t="s">
        <v>547</v>
      </c>
      <c r="AE63" s="20" t="s">
        <v>548</v>
      </c>
      <c r="AF63" s="20" t="s">
        <v>549</v>
      </c>
      <c r="AG63" s="20" t="s">
        <v>131</v>
      </c>
      <c r="AH63" s="20" t="s">
        <v>132</v>
      </c>
      <c r="AI63" s="20"/>
      <c r="AJ63" s="20"/>
      <c r="AK63" s="20"/>
      <c r="AL63" s="20" t="s">
        <v>550</v>
      </c>
      <c r="AM63" s="20">
        <v>45994</v>
      </c>
      <c r="AN63" s="20" t="s">
        <v>551</v>
      </c>
      <c r="AO63" s="20" t="s">
        <v>24</v>
      </c>
      <c r="AP63" s="20" t="s">
        <v>24</v>
      </c>
      <c r="AQ63" s="20"/>
      <c r="AR63" s="20" t="s">
        <v>552</v>
      </c>
      <c r="AS63" s="20" t="s">
        <v>553</v>
      </c>
      <c r="AT63" s="20">
        <v>119404</v>
      </c>
      <c r="AU63" s="20" t="s">
        <v>554</v>
      </c>
      <c r="AV63" s="20">
        <v>5503</v>
      </c>
      <c r="AW63" s="20" t="s">
        <v>555</v>
      </c>
      <c r="AX63" s="20">
        <v>100070210</v>
      </c>
      <c r="AY63" s="20"/>
      <c r="AZ63" s="20"/>
      <c r="BA63" s="20"/>
      <c r="BB63" s="20"/>
      <c r="BC63" s="20"/>
      <c r="BD63" s="20"/>
      <c r="BE63" s="20"/>
      <c r="BF63" s="20"/>
      <c r="BG63" s="20"/>
      <c r="BH63" s="20"/>
      <c r="BI63" s="20" t="s">
        <v>556</v>
      </c>
      <c r="BJ63"/>
      <c r="BK63"/>
      <c r="BL63"/>
    </row>
    <row r="64" spans="1:64" ht="14.4" x14ac:dyDescent="0.3">
      <c r="A64" s="20" t="s">
        <v>557</v>
      </c>
      <c r="B64" s="20" t="s">
        <v>558</v>
      </c>
      <c r="C64" s="20" t="s">
        <v>559</v>
      </c>
      <c r="D64" s="20" t="s">
        <v>142</v>
      </c>
      <c r="E64" s="20" t="s">
        <v>143</v>
      </c>
      <c r="F64" s="20">
        <v>7</v>
      </c>
      <c r="G64" s="20" t="s">
        <v>9</v>
      </c>
      <c r="H64" s="34">
        <v>45827</v>
      </c>
      <c r="I64" s="20">
        <v>1851</v>
      </c>
      <c r="J64" s="20" t="s">
        <v>560</v>
      </c>
      <c r="K64" s="20" t="s">
        <v>561</v>
      </c>
      <c r="L64" s="20" t="s">
        <v>117</v>
      </c>
      <c r="M64" s="20" t="s">
        <v>118</v>
      </c>
      <c r="N64" s="20" t="s">
        <v>119</v>
      </c>
      <c r="O64" s="20">
        <v>893304.18</v>
      </c>
      <c r="P64" s="20"/>
      <c r="Q64" s="20">
        <v>893304.18</v>
      </c>
      <c r="R64" s="20"/>
      <c r="S64" s="20">
        <v>893304.18</v>
      </c>
      <c r="T64" s="20" t="s">
        <v>146</v>
      </c>
      <c r="U64" s="20">
        <v>5210101238</v>
      </c>
      <c r="V64" s="20" t="s">
        <v>121</v>
      </c>
      <c r="W64" s="20" t="s">
        <v>122</v>
      </c>
      <c r="X64" s="20" t="s">
        <v>123</v>
      </c>
      <c r="Y64" s="20" t="s">
        <v>124</v>
      </c>
      <c r="Z64" s="20" t="s">
        <v>562</v>
      </c>
      <c r="AA64" s="20">
        <v>0</v>
      </c>
      <c r="AB64" s="20" t="s">
        <v>126</v>
      </c>
      <c r="AC64" s="20" t="s">
        <v>127</v>
      </c>
      <c r="AD64" s="20" t="s">
        <v>128</v>
      </c>
      <c r="AE64" s="20" t="s">
        <v>548</v>
      </c>
      <c r="AF64" s="20" t="s">
        <v>549</v>
      </c>
      <c r="AG64" s="20" t="s">
        <v>131</v>
      </c>
      <c r="AH64" s="20" t="s">
        <v>132</v>
      </c>
      <c r="AI64" s="20"/>
      <c r="AJ64" s="20"/>
      <c r="AK64" s="20"/>
      <c r="AL64" s="20" t="s">
        <v>563</v>
      </c>
      <c r="AM64" s="20">
        <v>45810</v>
      </c>
      <c r="AN64" s="20" t="s">
        <v>564</v>
      </c>
      <c r="AO64" s="20" t="s">
        <v>24</v>
      </c>
      <c r="AP64" s="20" t="s">
        <v>24</v>
      </c>
      <c r="AQ64" s="20"/>
      <c r="AR64" s="20" t="s">
        <v>565</v>
      </c>
      <c r="AS64" s="20" t="s">
        <v>566</v>
      </c>
      <c r="AT64" s="20">
        <v>119404</v>
      </c>
      <c r="AU64" s="20" t="s">
        <v>554</v>
      </c>
      <c r="AV64" s="20">
        <v>5512</v>
      </c>
      <c r="AW64" s="20" t="s">
        <v>567</v>
      </c>
      <c r="AX64" s="20">
        <v>100064822</v>
      </c>
      <c r="AY64" s="20"/>
      <c r="AZ64" s="20"/>
      <c r="BA64" s="20"/>
      <c r="BB64" s="20"/>
      <c r="BC64" s="20"/>
      <c r="BD64" s="20"/>
      <c r="BE64" s="20"/>
      <c r="BF64" s="20"/>
      <c r="BG64" s="20"/>
      <c r="BH64" s="20"/>
      <c r="BI64" s="20" t="s">
        <v>568</v>
      </c>
      <c r="BJ64"/>
      <c r="BK64"/>
      <c r="BL64"/>
    </row>
    <row r="65" spans="1:64" ht="14.4" x14ac:dyDescent="0.3">
      <c r="A65" s="20" t="s">
        <v>569</v>
      </c>
      <c r="B65" s="20" t="s">
        <v>570</v>
      </c>
      <c r="C65" s="20" t="s">
        <v>571</v>
      </c>
      <c r="D65" s="20" t="s">
        <v>142</v>
      </c>
      <c r="E65" s="20" t="s">
        <v>143</v>
      </c>
      <c r="F65" s="20">
        <v>7</v>
      </c>
      <c r="G65" s="20" t="s">
        <v>12</v>
      </c>
      <c r="H65" s="34">
        <v>45922</v>
      </c>
      <c r="I65" s="20">
        <v>1049</v>
      </c>
      <c r="J65" s="20" t="s">
        <v>572</v>
      </c>
      <c r="K65" s="20" t="s">
        <v>561</v>
      </c>
      <c r="L65" s="20" t="s">
        <v>117</v>
      </c>
      <c r="M65" s="20" t="s">
        <v>118</v>
      </c>
      <c r="N65" s="20" t="s">
        <v>119</v>
      </c>
      <c r="O65" s="20">
        <v>893304.18</v>
      </c>
      <c r="P65" s="20"/>
      <c r="Q65" s="20">
        <v>893304.18</v>
      </c>
      <c r="R65" s="20"/>
      <c r="S65" s="20">
        <v>893304.18</v>
      </c>
      <c r="T65" s="20" t="s">
        <v>146</v>
      </c>
      <c r="U65" s="20">
        <v>5210101238</v>
      </c>
      <c r="V65" s="20" t="s">
        <v>121</v>
      </c>
      <c r="W65" s="20" t="s">
        <v>122</v>
      </c>
      <c r="X65" s="20" t="s">
        <v>123</v>
      </c>
      <c r="Y65" s="20" t="s">
        <v>124</v>
      </c>
      <c r="Z65" s="20" t="s">
        <v>562</v>
      </c>
      <c r="AA65" s="20">
        <v>0</v>
      </c>
      <c r="AB65" s="20" t="s">
        <v>126</v>
      </c>
      <c r="AC65" s="20" t="s">
        <v>127</v>
      </c>
      <c r="AD65" s="20" t="s">
        <v>128</v>
      </c>
      <c r="AE65" s="20" t="s">
        <v>548</v>
      </c>
      <c r="AF65" s="20" t="s">
        <v>549</v>
      </c>
      <c r="AG65" s="20" t="s">
        <v>131</v>
      </c>
      <c r="AH65" s="20" t="s">
        <v>132</v>
      </c>
      <c r="AI65" s="20"/>
      <c r="AJ65" s="20"/>
      <c r="AK65" s="20"/>
      <c r="AL65" s="20" t="s">
        <v>573</v>
      </c>
      <c r="AM65" s="20">
        <v>45903</v>
      </c>
      <c r="AN65" s="20" t="s">
        <v>574</v>
      </c>
      <c r="AO65" s="20" t="s">
        <v>24</v>
      </c>
      <c r="AP65" s="20" t="s">
        <v>24</v>
      </c>
      <c r="AQ65" s="20"/>
      <c r="AR65" s="20" t="s">
        <v>575</v>
      </c>
      <c r="AS65" s="20" t="s">
        <v>566</v>
      </c>
      <c r="AT65" s="20">
        <v>119404</v>
      </c>
      <c r="AU65" s="20" t="s">
        <v>554</v>
      </c>
      <c r="AV65" s="20">
        <v>5512</v>
      </c>
      <c r="AW65" s="20" t="s">
        <v>567</v>
      </c>
      <c r="AX65" s="20">
        <v>100064822</v>
      </c>
      <c r="AY65" s="20"/>
      <c r="AZ65" s="20"/>
      <c r="BA65" s="20"/>
      <c r="BB65" s="20"/>
      <c r="BC65" s="20"/>
      <c r="BD65" s="20"/>
      <c r="BE65" s="20"/>
      <c r="BF65" s="20"/>
      <c r="BG65" s="20"/>
      <c r="BH65" s="20"/>
      <c r="BI65" s="20" t="s">
        <v>576</v>
      </c>
      <c r="BJ65"/>
      <c r="BK65"/>
      <c r="BL65"/>
    </row>
    <row r="66" spans="1:64" ht="14.4" x14ac:dyDescent="0.3">
      <c r="A66" s="20" t="s">
        <v>577</v>
      </c>
      <c r="B66" s="20" t="s">
        <v>140</v>
      </c>
      <c r="C66" s="20" t="s">
        <v>466</v>
      </c>
      <c r="D66" s="20" t="s">
        <v>142</v>
      </c>
      <c r="E66" s="20" t="s">
        <v>143</v>
      </c>
      <c r="F66" s="20">
        <v>7</v>
      </c>
      <c r="G66" s="20" t="s">
        <v>8</v>
      </c>
      <c r="H66" s="34">
        <v>45789</v>
      </c>
      <c r="I66" s="20">
        <v>58</v>
      </c>
      <c r="J66" s="20" t="s">
        <v>578</v>
      </c>
      <c r="K66" s="20" t="s">
        <v>116</v>
      </c>
      <c r="L66" s="20" t="s">
        <v>117</v>
      </c>
      <c r="M66" s="20" t="s">
        <v>118</v>
      </c>
      <c r="N66" s="20" t="s">
        <v>119</v>
      </c>
      <c r="O66" s="20">
        <v>856724.93</v>
      </c>
      <c r="P66" s="20"/>
      <c r="Q66" s="20">
        <v>856724.93</v>
      </c>
      <c r="R66" s="20"/>
      <c r="S66" s="20">
        <v>856724.93</v>
      </c>
      <c r="T66" s="20" t="s">
        <v>146</v>
      </c>
      <c r="U66" s="20">
        <v>5210101232</v>
      </c>
      <c r="V66" s="20" t="s">
        <v>121</v>
      </c>
      <c r="W66" s="20" t="s">
        <v>122</v>
      </c>
      <c r="X66" s="20" t="s">
        <v>123</v>
      </c>
      <c r="Y66" s="20" t="s">
        <v>124</v>
      </c>
      <c r="Z66" s="20" t="s">
        <v>125</v>
      </c>
      <c r="AA66" s="20">
        <v>0</v>
      </c>
      <c r="AB66" s="20" t="s">
        <v>126</v>
      </c>
      <c r="AC66" s="20" t="s">
        <v>127</v>
      </c>
      <c r="AD66" s="20" t="s">
        <v>128</v>
      </c>
      <c r="AE66" s="20" t="s">
        <v>129</v>
      </c>
      <c r="AF66" s="20" t="s">
        <v>130</v>
      </c>
      <c r="AG66" s="20" t="s">
        <v>131</v>
      </c>
      <c r="AH66" s="20" t="s">
        <v>132</v>
      </c>
      <c r="AI66" s="20"/>
      <c r="AJ66" s="20"/>
      <c r="AK66" s="20"/>
      <c r="AL66" s="20" t="s">
        <v>579</v>
      </c>
      <c r="AM66" s="20">
        <v>45765</v>
      </c>
      <c r="AN66" s="20" t="s">
        <v>580</v>
      </c>
      <c r="AO66" s="20" t="s">
        <v>24</v>
      </c>
      <c r="AP66" s="20" t="s">
        <v>24</v>
      </c>
      <c r="AQ66" s="20"/>
      <c r="AR66" s="20" t="s">
        <v>581</v>
      </c>
      <c r="AS66" s="20" t="s">
        <v>289</v>
      </c>
      <c r="AT66" s="20">
        <v>117689</v>
      </c>
      <c r="AU66" s="20" t="s">
        <v>135</v>
      </c>
      <c r="AV66" s="20">
        <v>5509</v>
      </c>
      <c r="AW66" s="20" t="s">
        <v>136</v>
      </c>
      <c r="AX66" s="20">
        <v>100065125</v>
      </c>
      <c r="AY66" s="20"/>
      <c r="AZ66" s="20"/>
      <c r="BA66" s="20"/>
      <c r="BB66" s="20"/>
      <c r="BC66" s="20"/>
      <c r="BD66" s="20"/>
      <c r="BE66" s="20"/>
      <c r="BF66" s="20"/>
      <c r="BG66" s="20"/>
      <c r="BH66" s="20"/>
      <c r="BI66" s="20" t="s">
        <v>582</v>
      </c>
      <c r="BJ66"/>
      <c r="BK66"/>
      <c r="BL66"/>
    </row>
    <row r="67" spans="1:64" ht="14.4" x14ac:dyDescent="0.3">
      <c r="A67" s="20" t="s">
        <v>583</v>
      </c>
      <c r="B67" s="20" t="s">
        <v>359</v>
      </c>
      <c r="C67" s="20" t="s">
        <v>360</v>
      </c>
      <c r="D67" s="20" t="s">
        <v>142</v>
      </c>
      <c r="E67" s="20" t="s">
        <v>143</v>
      </c>
      <c r="F67" s="20">
        <v>7</v>
      </c>
      <c r="G67" s="20" t="s">
        <v>16</v>
      </c>
      <c r="H67" s="34">
        <v>46034</v>
      </c>
      <c r="I67" s="20">
        <v>41</v>
      </c>
      <c r="J67" s="20" t="s">
        <v>584</v>
      </c>
      <c r="K67" s="20" t="s">
        <v>145</v>
      </c>
      <c r="L67" s="20" t="s">
        <v>117</v>
      </c>
      <c r="M67" s="20" t="s">
        <v>118</v>
      </c>
      <c r="N67" s="20" t="s">
        <v>119</v>
      </c>
      <c r="O67" s="20">
        <v>463400</v>
      </c>
      <c r="P67" s="20"/>
      <c r="Q67" s="20">
        <v>463400</v>
      </c>
      <c r="R67" s="20"/>
      <c r="S67" s="20">
        <v>463400</v>
      </c>
      <c r="T67" s="20" t="s">
        <v>120</v>
      </c>
      <c r="U67" s="20">
        <v>5210101581</v>
      </c>
      <c r="V67" s="20" t="s">
        <v>123</v>
      </c>
      <c r="W67" s="20" t="s">
        <v>124</v>
      </c>
      <c r="X67" s="20" t="s">
        <v>123</v>
      </c>
      <c r="Y67" s="20" t="s">
        <v>124</v>
      </c>
      <c r="Z67" s="20" t="s">
        <v>147</v>
      </c>
      <c r="AA67" s="20">
        <v>0</v>
      </c>
      <c r="AB67" s="20" t="s">
        <v>126</v>
      </c>
      <c r="AC67" s="20" t="s">
        <v>148</v>
      </c>
      <c r="AD67" s="20" t="s">
        <v>149</v>
      </c>
      <c r="AE67" s="20" t="s">
        <v>150</v>
      </c>
      <c r="AF67" s="20" t="s">
        <v>151</v>
      </c>
      <c r="AG67" s="20" t="s">
        <v>131</v>
      </c>
      <c r="AH67" s="20" t="s">
        <v>132</v>
      </c>
      <c r="AI67" s="20"/>
      <c r="AJ67" s="20"/>
      <c r="AK67" s="20"/>
      <c r="AL67" s="20" t="s">
        <v>585</v>
      </c>
      <c r="AM67" s="20">
        <v>46032</v>
      </c>
      <c r="AN67" s="20" t="s">
        <v>586</v>
      </c>
      <c r="AO67" s="20" t="s">
        <v>35</v>
      </c>
      <c r="AP67" s="20" t="s">
        <v>35</v>
      </c>
      <c r="AQ67" s="20"/>
      <c r="AR67" s="20" t="s">
        <v>587</v>
      </c>
      <c r="AS67" s="20" t="s">
        <v>588</v>
      </c>
      <c r="AT67" s="20">
        <v>117399</v>
      </c>
      <c r="AU67" s="20" t="s">
        <v>157</v>
      </c>
      <c r="AV67" s="20">
        <v>4100</v>
      </c>
      <c r="AW67" s="20" t="s">
        <v>158</v>
      </c>
      <c r="AX67" s="20">
        <v>100070382</v>
      </c>
      <c r="AY67" s="20"/>
      <c r="AZ67" s="20"/>
      <c r="BA67" s="20"/>
      <c r="BB67" s="20"/>
      <c r="BC67" s="20"/>
      <c r="BD67" s="20"/>
      <c r="BE67" s="20"/>
      <c r="BF67" s="20"/>
      <c r="BG67" s="20"/>
      <c r="BH67" s="20"/>
      <c r="BI67" s="20" t="s">
        <v>589</v>
      </c>
      <c r="BJ67"/>
      <c r="BK67"/>
      <c r="BL67"/>
    </row>
    <row r="68" spans="1:64" ht="14.4" x14ac:dyDescent="0.3">
      <c r="A68" s="20" t="s">
        <v>590</v>
      </c>
      <c r="B68" s="20" t="s">
        <v>591</v>
      </c>
      <c r="C68" s="20" t="s">
        <v>592</v>
      </c>
      <c r="D68" s="20" t="s">
        <v>172</v>
      </c>
      <c r="E68" s="20" t="s">
        <v>190</v>
      </c>
      <c r="F68" s="20">
        <v>7</v>
      </c>
      <c r="G68" s="20" t="s">
        <v>12</v>
      </c>
      <c r="H68" s="34">
        <v>45922</v>
      </c>
      <c r="I68" s="20">
        <v>88</v>
      </c>
      <c r="J68" s="20" t="s">
        <v>191</v>
      </c>
      <c r="K68" s="20" t="s">
        <v>192</v>
      </c>
      <c r="L68" s="20" t="s">
        <v>117</v>
      </c>
      <c r="M68" s="20" t="s">
        <v>118</v>
      </c>
      <c r="N68" s="20" t="s">
        <v>119</v>
      </c>
      <c r="O68" s="20">
        <v>232980</v>
      </c>
      <c r="P68" s="20"/>
      <c r="Q68" s="20">
        <v>232980</v>
      </c>
      <c r="R68" s="20"/>
      <c r="S68" s="20">
        <v>232980</v>
      </c>
      <c r="T68" s="20" t="s">
        <v>146</v>
      </c>
      <c r="U68" s="20">
        <v>5210101581</v>
      </c>
      <c r="V68" s="20" t="s">
        <v>123</v>
      </c>
      <c r="W68" s="20" t="s">
        <v>124</v>
      </c>
      <c r="X68" s="20" t="s">
        <v>123</v>
      </c>
      <c r="Y68" s="20" t="s">
        <v>124</v>
      </c>
      <c r="Z68" s="20" t="s">
        <v>147</v>
      </c>
      <c r="AA68" s="20">
        <v>0</v>
      </c>
      <c r="AB68" s="20" t="s">
        <v>126</v>
      </c>
      <c r="AC68" s="20" t="s">
        <v>127</v>
      </c>
      <c r="AD68" s="20" t="s">
        <v>128</v>
      </c>
      <c r="AE68" s="20" t="s">
        <v>150</v>
      </c>
      <c r="AF68" s="20" t="s">
        <v>151</v>
      </c>
      <c r="AG68" s="20" t="s">
        <v>131</v>
      </c>
      <c r="AH68" s="20" t="s">
        <v>132</v>
      </c>
      <c r="AI68" s="20"/>
      <c r="AJ68" s="20"/>
      <c r="AK68" s="20"/>
      <c r="AL68" s="20"/>
      <c r="AM68" s="20"/>
      <c r="AN68" s="20"/>
      <c r="AO68" s="20" t="s">
        <v>27</v>
      </c>
      <c r="AP68" s="20" t="s">
        <v>27</v>
      </c>
      <c r="AQ68" s="20"/>
      <c r="AR68" s="20"/>
      <c r="AS68" s="20"/>
      <c r="AT68" s="20"/>
      <c r="AU68" s="20"/>
      <c r="AV68" s="20"/>
      <c r="AW68" s="20"/>
      <c r="AX68" s="20">
        <v>100065551</v>
      </c>
      <c r="AY68" s="20" t="s">
        <v>191</v>
      </c>
      <c r="AZ68" s="20"/>
      <c r="BA68" s="20"/>
      <c r="BB68" s="20"/>
      <c r="BC68" s="20"/>
      <c r="BD68" s="20"/>
      <c r="BE68" s="20"/>
      <c r="BF68" s="20"/>
      <c r="BG68" s="20"/>
      <c r="BH68" s="20"/>
      <c r="BI68" s="20" t="s">
        <v>593</v>
      </c>
      <c r="BJ68"/>
      <c r="BK68"/>
      <c r="BL68"/>
    </row>
    <row r="69" spans="1:64" ht="14.4" x14ac:dyDescent="0.3">
      <c r="A69" s="20" t="s">
        <v>594</v>
      </c>
      <c r="B69" s="20" t="s">
        <v>595</v>
      </c>
      <c r="C69" s="20" t="s">
        <v>596</v>
      </c>
      <c r="D69" s="20" t="s">
        <v>142</v>
      </c>
      <c r="E69" s="20" t="s">
        <v>143</v>
      </c>
      <c r="F69" s="20">
        <v>7</v>
      </c>
      <c r="G69" s="20" t="s">
        <v>18</v>
      </c>
      <c r="H69" s="34">
        <v>46107</v>
      </c>
      <c r="I69" s="20">
        <v>87</v>
      </c>
      <c r="J69" s="20" t="s">
        <v>597</v>
      </c>
      <c r="K69" s="20" t="s">
        <v>506</v>
      </c>
      <c r="L69" s="20" t="s">
        <v>117</v>
      </c>
      <c r="M69" s="20" t="s">
        <v>118</v>
      </c>
      <c r="N69" s="20" t="s">
        <v>119</v>
      </c>
      <c r="O69" s="20">
        <v>1051500</v>
      </c>
      <c r="P69" s="20"/>
      <c r="Q69" s="20">
        <v>1051500</v>
      </c>
      <c r="R69" s="20"/>
      <c r="S69" s="26">
        <v>1051500</v>
      </c>
      <c r="T69" s="20" t="s">
        <v>120</v>
      </c>
      <c r="U69" s="20">
        <v>5210101581</v>
      </c>
      <c r="V69" s="20" t="s">
        <v>123</v>
      </c>
      <c r="W69" s="20" t="s">
        <v>124</v>
      </c>
      <c r="X69" s="20" t="s">
        <v>123</v>
      </c>
      <c r="Y69" s="20" t="s">
        <v>124</v>
      </c>
      <c r="Z69" s="20" t="s">
        <v>147</v>
      </c>
      <c r="AA69" s="20">
        <v>0</v>
      </c>
      <c r="AB69" s="20" t="s">
        <v>126</v>
      </c>
      <c r="AC69" s="20" t="s">
        <v>507</v>
      </c>
      <c r="AD69" s="20" t="s">
        <v>508</v>
      </c>
      <c r="AE69" s="20" t="s">
        <v>150</v>
      </c>
      <c r="AF69" s="20" t="s">
        <v>151</v>
      </c>
      <c r="AG69" s="20" t="s">
        <v>131</v>
      </c>
      <c r="AH69" s="20" t="s">
        <v>132</v>
      </c>
      <c r="AI69" s="20"/>
      <c r="AJ69" s="20"/>
      <c r="AK69" s="20"/>
      <c r="AL69" s="20">
        <v>1022003384</v>
      </c>
      <c r="AM69" s="20">
        <v>46091</v>
      </c>
      <c r="AN69" s="20" t="s">
        <v>598</v>
      </c>
      <c r="AO69" s="20" t="s">
        <v>31</v>
      </c>
      <c r="AP69" s="20" t="s">
        <v>31</v>
      </c>
      <c r="AQ69" s="20"/>
      <c r="AR69" s="20" t="s">
        <v>599</v>
      </c>
      <c r="AS69" s="20" t="s">
        <v>600</v>
      </c>
      <c r="AT69" s="20">
        <v>117399</v>
      </c>
      <c r="AU69" s="20" t="s">
        <v>157</v>
      </c>
      <c r="AV69" s="20">
        <v>4203</v>
      </c>
      <c r="AW69" s="20" t="s">
        <v>512</v>
      </c>
      <c r="AX69" s="20">
        <v>100070243</v>
      </c>
      <c r="AY69" s="20"/>
      <c r="AZ69" s="20"/>
      <c r="BA69" s="20"/>
      <c r="BB69" s="20"/>
      <c r="BC69" s="20"/>
      <c r="BD69" s="20"/>
      <c r="BE69" s="20"/>
      <c r="BF69" s="20"/>
      <c r="BG69" s="20"/>
      <c r="BH69" s="20"/>
      <c r="BI69" s="20" t="s">
        <v>601</v>
      </c>
      <c r="BJ69"/>
      <c r="BK69"/>
      <c r="BL69"/>
    </row>
    <row r="70" spans="1:64" ht="14.4" x14ac:dyDescent="0.3">
      <c r="A70" s="20" t="s">
        <v>602</v>
      </c>
      <c r="B70" s="20" t="s">
        <v>603</v>
      </c>
      <c r="C70" s="20" t="s">
        <v>604</v>
      </c>
      <c r="D70" s="20" t="s">
        <v>172</v>
      </c>
      <c r="E70" s="20" t="s">
        <v>190</v>
      </c>
      <c r="F70" s="20">
        <v>7</v>
      </c>
      <c r="G70" s="20" t="s">
        <v>12</v>
      </c>
      <c r="H70" s="34">
        <v>45922</v>
      </c>
      <c r="I70" s="20">
        <v>12</v>
      </c>
      <c r="J70" s="20" t="s">
        <v>605</v>
      </c>
      <c r="K70" s="20" t="s">
        <v>606</v>
      </c>
      <c r="L70" s="20" t="s">
        <v>117</v>
      </c>
      <c r="M70" s="20" t="s">
        <v>118</v>
      </c>
      <c r="N70" s="20" t="s">
        <v>119</v>
      </c>
      <c r="O70" s="20">
        <v>814056</v>
      </c>
      <c r="P70" s="20"/>
      <c r="Q70" s="20">
        <v>814056</v>
      </c>
      <c r="R70" s="20"/>
      <c r="S70" s="20">
        <v>814056</v>
      </c>
      <c r="T70" s="20" t="s">
        <v>146</v>
      </c>
      <c r="U70" s="20">
        <v>5210101291</v>
      </c>
      <c r="V70" s="20" t="s">
        <v>607</v>
      </c>
      <c r="W70" s="20" t="s">
        <v>608</v>
      </c>
      <c r="X70" s="20" t="s">
        <v>123</v>
      </c>
      <c r="Y70" s="20" t="s">
        <v>124</v>
      </c>
      <c r="Z70" s="20" t="s">
        <v>609</v>
      </c>
      <c r="AA70" s="20">
        <v>0</v>
      </c>
      <c r="AB70" s="20" t="s">
        <v>126</v>
      </c>
      <c r="AC70" s="20" t="s">
        <v>127</v>
      </c>
      <c r="AD70" s="20" t="s">
        <v>128</v>
      </c>
      <c r="AE70" s="20" t="s">
        <v>150</v>
      </c>
      <c r="AF70" s="20" t="s">
        <v>151</v>
      </c>
      <c r="AG70" s="20" t="s">
        <v>131</v>
      </c>
      <c r="AH70" s="20" t="s">
        <v>132</v>
      </c>
      <c r="AI70" s="20"/>
      <c r="AJ70" s="20"/>
      <c r="AK70" s="20"/>
      <c r="AL70" s="20" t="s">
        <v>610</v>
      </c>
      <c r="AM70" s="20"/>
      <c r="AN70" s="20"/>
      <c r="AO70" s="20" t="s">
        <v>442</v>
      </c>
      <c r="AP70" s="20" t="s">
        <v>442</v>
      </c>
      <c r="AQ70" s="20"/>
      <c r="AR70" s="20"/>
      <c r="AS70" s="20"/>
      <c r="AT70" s="20"/>
      <c r="AU70" s="20"/>
      <c r="AV70" s="20"/>
      <c r="AW70" s="20"/>
      <c r="AX70" s="20">
        <v>100064822</v>
      </c>
      <c r="AY70" s="20" t="s">
        <v>605</v>
      </c>
      <c r="AZ70" s="20"/>
      <c r="BA70" s="20"/>
      <c r="BB70" s="20"/>
      <c r="BC70" s="20"/>
      <c r="BD70" s="20"/>
      <c r="BE70" s="20"/>
      <c r="BF70" s="20"/>
      <c r="BG70" s="20"/>
      <c r="BH70" s="20"/>
      <c r="BI70" s="20" t="s">
        <v>611</v>
      </c>
      <c r="BJ70"/>
      <c r="BK70"/>
      <c r="BL70"/>
    </row>
    <row r="71" spans="1:64" ht="14.4" x14ac:dyDescent="0.3">
      <c r="A71" s="20" t="s">
        <v>612</v>
      </c>
      <c r="B71" s="20" t="s">
        <v>445</v>
      </c>
      <c r="C71" s="20" t="s">
        <v>446</v>
      </c>
      <c r="D71" s="20" t="s">
        <v>172</v>
      </c>
      <c r="E71" s="20" t="s">
        <v>173</v>
      </c>
      <c r="F71" s="20">
        <v>7</v>
      </c>
      <c r="G71" s="20" t="s">
        <v>18</v>
      </c>
      <c r="H71" s="34">
        <v>46108</v>
      </c>
      <c r="I71" s="20">
        <v>2</v>
      </c>
      <c r="J71" s="20" t="s">
        <v>613</v>
      </c>
      <c r="K71" s="20" t="s">
        <v>116</v>
      </c>
      <c r="L71" s="20" t="s">
        <v>117</v>
      </c>
      <c r="M71" s="20" t="s">
        <v>118</v>
      </c>
      <c r="N71" s="20" t="s">
        <v>119</v>
      </c>
      <c r="O71" s="20">
        <v>776703</v>
      </c>
      <c r="P71" s="20"/>
      <c r="Q71" s="20">
        <v>776703</v>
      </c>
      <c r="R71" s="20"/>
      <c r="S71" s="20">
        <v>776703</v>
      </c>
      <c r="T71" s="20" t="s">
        <v>120</v>
      </c>
      <c r="U71" s="20">
        <v>5210101232</v>
      </c>
      <c r="V71" s="20" t="s">
        <v>121</v>
      </c>
      <c r="W71" s="20" t="s">
        <v>122</v>
      </c>
      <c r="X71" s="20" t="s">
        <v>123</v>
      </c>
      <c r="Y71" s="20" t="s">
        <v>124</v>
      </c>
      <c r="Z71" s="20" t="s">
        <v>125</v>
      </c>
      <c r="AA71" s="20">
        <v>0</v>
      </c>
      <c r="AB71" s="20" t="s">
        <v>126</v>
      </c>
      <c r="AC71" s="20" t="s">
        <v>127</v>
      </c>
      <c r="AD71" s="20" t="s">
        <v>128</v>
      </c>
      <c r="AE71" s="20" t="s">
        <v>129</v>
      </c>
      <c r="AF71" s="20" t="s">
        <v>130</v>
      </c>
      <c r="AG71" s="20" t="s">
        <v>131</v>
      </c>
      <c r="AH71" s="20" t="s">
        <v>132</v>
      </c>
      <c r="AI71" s="20"/>
      <c r="AJ71" s="20"/>
      <c r="AK71" s="20"/>
      <c r="AL71" s="20" t="s">
        <v>531</v>
      </c>
      <c r="AM71" s="20"/>
      <c r="AN71" s="20"/>
      <c r="AO71" s="20" t="s">
        <v>24</v>
      </c>
      <c r="AP71" s="20" t="s">
        <v>24</v>
      </c>
      <c r="AQ71" s="20"/>
      <c r="AR71" s="20"/>
      <c r="AS71" s="20"/>
      <c r="AT71" s="20"/>
      <c r="AU71" s="20"/>
      <c r="AV71" s="20"/>
      <c r="AW71" s="20"/>
      <c r="AX71" s="20">
        <v>100070263</v>
      </c>
      <c r="AY71" s="20" t="s">
        <v>137</v>
      </c>
      <c r="AZ71" s="20"/>
      <c r="BA71" s="20"/>
      <c r="BB71" s="20"/>
      <c r="BC71" s="20"/>
      <c r="BD71" s="20"/>
      <c r="BE71" s="20"/>
      <c r="BF71" s="20"/>
      <c r="BG71" s="20"/>
      <c r="BH71" s="20"/>
      <c r="BI71" s="20" t="s">
        <v>614</v>
      </c>
      <c r="BJ71"/>
      <c r="BK71"/>
      <c r="BL71"/>
    </row>
    <row r="72" spans="1:64" ht="14.4" x14ac:dyDescent="0.3">
      <c r="A72" s="20" t="s">
        <v>615</v>
      </c>
      <c r="B72" s="20" t="s">
        <v>462</v>
      </c>
      <c r="C72" s="20" t="s">
        <v>463</v>
      </c>
      <c r="D72" s="20" t="s">
        <v>172</v>
      </c>
      <c r="E72" s="20" t="s">
        <v>173</v>
      </c>
      <c r="F72" s="20">
        <v>7</v>
      </c>
      <c r="G72" s="20" t="s">
        <v>17</v>
      </c>
      <c r="H72" s="34">
        <v>46078</v>
      </c>
      <c r="I72" s="20">
        <v>2</v>
      </c>
      <c r="J72" s="20" t="s">
        <v>613</v>
      </c>
      <c r="K72" s="20" t="s">
        <v>116</v>
      </c>
      <c r="L72" s="20" t="s">
        <v>117</v>
      </c>
      <c r="M72" s="20" t="s">
        <v>118</v>
      </c>
      <c r="N72" s="20" t="s">
        <v>119</v>
      </c>
      <c r="O72" s="20">
        <v>701537</v>
      </c>
      <c r="P72" s="20"/>
      <c r="Q72" s="20">
        <v>701537</v>
      </c>
      <c r="R72" s="20"/>
      <c r="S72" s="20">
        <v>701537</v>
      </c>
      <c r="T72" s="20" t="s">
        <v>120</v>
      </c>
      <c r="U72" s="20">
        <v>5210101232</v>
      </c>
      <c r="V72" s="20" t="s">
        <v>121</v>
      </c>
      <c r="W72" s="20" t="s">
        <v>122</v>
      </c>
      <c r="X72" s="20" t="s">
        <v>123</v>
      </c>
      <c r="Y72" s="20" t="s">
        <v>124</v>
      </c>
      <c r="Z72" s="20" t="s">
        <v>125</v>
      </c>
      <c r="AA72" s="20">
        <v>0</v>
      </c>
      <c r="AB72" s="20" t="s">
        <v>126</v>
      </c>
      <c r="AC72" s="20" t="s">
        <v>127</v>
      </c>
      <c r="AD72" s="20" t="s">
        <v>128</v>
      </c>
      <c r="AE72" s="20" t="s">
        <v>129</v>
      </c>
      <c r="AF72" s="20" t="s">
        <v>130</v>
      </c>
      <c r="AG72" s="20" t="s">
        <v>131</v>
      </c>
      <c r="AH72" s="20" t="s">
        <v>132</v>
      </c>
      <c r="AI72" s="20"/>
      <c r="AJ72" s="20"/>
      <c r="AK72" s="20"/>
      <c r="AL72" s="20" t="s">
        <v>531</v>
      </c>
      <c r="AM72" s="20"/>
      <c r="AN72" s="20"/>
      <c r="AO72" s="20" t="s">
        <v>24</v>
      </c>
      <c r="AP72" s="20" t="s">
        <v>24</v>
      </c>
      <c r="AQ72" s="20"/>
      <c r="AR72" s="20"/>
      <c r="AS72" s="20"/>
      <c r="AT72" s="20"/>
      <c r="AU72" s="20"/>
      <c r="AV72" s="20"/>
      <c r="AW72" s="20"/>
      <c r="AX72" s="20">
        <v>100070263</v>
      </c>
      <c r="AY72" s="20" t="s">
        <v>137</v>
      </c>
      <c r="AZ72" s="20"/>
      <c r="BA72" s="20"/>
      <c r="BB72" s="20"/>
      <c r="BC72" s="20"/>
      <c r="BD72" s="20"/>
      <c r="BE72" s="20"/>
      <c r="BF72" s="20"/>
      <c r="BG72" s="20"/>
      <c r="BH72" s="20"/>
      <c r="BI72" s="20" t="s">
        <v>616</v>
      </c>
      <c r="BJ72"/>
      <c r="BK72"/>
      <c r="BL72"/>
    </row>
    <row r="73" spans="1:64" ht="14.4" x14ac:dyDescent="0.3">
      <c r="A73" s="20" t="s">
        <v>617</v>
      </c>
      <c r="B73" s="20" t="s">
        <v>188</v>
      </c>
      <c r="C73" s="20" t="s">
        <v>189</v>
      </c>
      <c r="D73" s="20" t="s">
        <v>172</v>
      </c>
      <c r="E73" s="20" t="s">
        <v>190</v>
      </c>
      <c r="F73" s="20">
        <v>7</v>
      </c>
      <c r="G73" s="20" t="s">
        <v>6</v>
      </c>
      <c r="H73" s="34">
        <v>46118</v>
      </c>
      <c r="I73" s="20">
        <v>101</v>
      </c>
      <c r="J73" s="20" t="s">
        <v>618</v>
      </c>
      <c r="K73" s="20" t="s">
        <v>619</v>
      </c>
      <c r="L73" s="20" t="s">
        <v>117</v>
      </c>
      <c r="M73" s="20" t="s">
        <v>118</v>
      </c>
      <c r="N73" s="20" t="s">
        <v>119</v>
      </c>
      <c r="O73" s="20">
        <v>151776</v>
      </c>
      <c r="P73" s="20"/>
      <c r="Q73" s="20">
        <v>151776</v>
      </c>
      <c r="R73" s="20"/>
      <c r="S73" s="20">
        <v>151776</v>
      </c>
      <c r="T73" s="20" t="s">
        <v>120</v>
      </c>
      <c r="U73" s="20">
        <v>5210101320</v>
      </c>
      <c r="V73" s="20" t="s">
        <v>543</v>
      </c>
      <c r="W73" s="20" t="s">
        <v>544</v>
      </c>
      <c r="X73" s="20" t="s">
        <v>123</v>
      </c>
      <c r="Y73" s="20" t="s">
        <v>124</v>
      </c>
      <c r="Z73" s="20" t="s">
        <v>545</v>
      </c>
      <c r="AA73" s="20">
        <v>0</v>
      </c>
      <c r="AB73" s="20" t="s">
        <v>126</v>
      </c>
      <c r="AC73" s="20" t="s">
        <v>127</v>
      </c>
      <c r="AD73" s="20" t="s">
        <v>128</v>
      </c>
      <c r="AE73" s="20" t="s">
        <v>548</v>
      </c>
      <c r="AF73" s="20" t="s">
        <v>549</v>
      </c>
      <c r="AG73" s="20" t="s">
        <v>131</v>
      </c>
      <c r="AH73" s="20" t="s">
        <v>132</v>
      </c>
      <c r="AI73" s="20"/>
      <c r="AJ73" s="20"/>
      <c r="AK73" s="20"/>
      <c r="AL73" s="20"/>
      <c r="AM73" s="20"/>
      <c r="AN73" s="20"/>
      <c r="AO73" s="20" t="s">
        <v>442</v>
      </c>
      <c r="AP73" s="20" t="s">
        <v>442</v>
      </c>
      <c r="AQ73" s="20"/>
      <c r="AR73" s="20"/>
      <c r="AS73" s="20"/>
      <c r="AT73" s="20">
        <v>119404</v>
      </c>
      <c r="AU73" s="20" t="s">
        <v>554</v>
      </c>
      <c r="AV73" s="20">
        <v>5503</v>
      </c>
      <c r="AW73" s="20" t="s">
        <v>555</v>
      </c>
      <c r="AX73" s="20">
        <v>100070210</v>
      </c>
      <c r="AY73" s="20" t="s">
        <v>620</v>
      </c>
      <c r="AZ73" s="20"/>
      <c r="BA73" s="20"/>
      <c r="BB73" s="20"/>
      <c r="BC73" s="20"/>
      <c r="BD73" s="20"/>
      <c r="BE73" s="20"/>
      <c r="BF73" s="20"/>
      <c r="BG73" s="20"/>
      <c r="BH73" s="20"/>
      <c r="BI73" s="20" t="s">
        <v>621</v>
      </c>
      <c r="BJ73"/>
      <c r="BK73"/>
      <c r="BL73"/>
    </row>
    <row r="74" spans="1:64" ht="14.4" x14ac:dyDescent="0.3">
      <c r="A74" s="20" t="s">
        <v>622</v>
      </c>
      <c r="B74" s="20" t="s">
        <v>623</v>
      </c>
      <c r="C74" s="20" t="s">
        <v>624</v>
      </c>
      <c r="D74" s="20" t="s">
        <v>142</v>
      </c>
      <c r="E74" s="20" t="s">
        <v>143</v>
      </c>
      <c r="F74" s="20">
        <v>7</v>
      </c>
      <c r="G74" s="20" t="s">
        <v>18</v>
      </c>
      <c r="H74" s="34">
        <v>46083</v>
      </c>
      <c r="I74" s="20">
        <v>162</v>
      </c>
      <c r="J74" s="20" t="s">
        <v>625</v>
      </c>
      <c r="K74" s="20" t="s">
        <v>542</v>
      </c>
      <c r="L74" s="20" t="s">
        <v>117</v>
      </c>
      <c r="M74" s="20" t="s">
        <v>118</v>
      </c>
      <c r="N74" s="20" t="s">
        <v>119</v>
      </c>
      <c r="O74" s="20">
        <v>75888</v>
      </c>
      <c r="P74" s="20"/>
      <c r="Q74" s="20">
        <v>75888</v>
      </c>
      <c r="R74" s="20"/>
      <c r="S74" s="20">
        <v>75888</v>
      </c>
      <c r="T74" s="20" t="s">
        <v>120</v>
      </c>
      <c r="U74" s="20">
        <v>5210101320</v>
      </c>
      <c r="V74" s="20" t="s">
        <v>543</v>
      </c>
      <c r="W74" s="20" t="s">
        <v>544</v>
      </c>
      <c r="X74" s="20" t="s">
        <v>123</v>
      </c>
      <c r="Y74" s="20" t="s">
        <v>124</v>
      </c>
      <c r="Z74" s="20" t="s">
        <v>545</v>
      </c>
      <c r="AA74" s="20">
        <v>0</v>
      </c>
      <c r="AB74" s="20" t="s">
        <v>126</v>
      </c>
      <c r="AC74" s="20" t="s">
        <v>546</v>
      </c>
      <c r="AD74" s="20" t="s">
        <v>547</v>
      </c>
      <c r="AE74" s="20" t="s">
        <v>548</v>
      </c>
      <c r="AF74" s="20" t="s">
        <v>549</v>
      </c>
      <c r="AG74" s="20" t="s">
        <v>131</v>
      </c>
      <c r="AH74" s="20" t="s">
        <v>132</v>
      </c>
      <c r="AI74" s="20"/>
      <c r="AJ74" s="20"/>
      <c r="AK74" s="20"/>
      <c r="AL74" s="20" t="s">
        <v>626</v>
      </c>
      <c r="AM74" s="20">
        <v>46067</v>
      </c>
      <c r="AN74" s="20" t="s">
        <v>627</v>
      </c>
      <c r="AO74" s="20" t="s">
        <v>24</v>
      </c>
      <c r="AP74" s="20" t="s">
        <v>24</v>
      </c>
      <c r="AQ74" s="20"/>
      <c r="AR74" s="20" t="s">
        <v>628</v>
      </c>
      <c r="AS74" s="20" t="s">
        <v>553</v>
      </c>
      <c r="AT74" s="20">
        <v>119404</v>
      </c>
      <c r="AU74" s="20" t="s">
        <v>554</v>
      </c>
      <c r="AV74" s="20">
        <v>5503</v>
      </c>
      <c r="AW74" s="20" t="s">
        <v>555</v>
      </c>
      <c r="AX74" s="20">
        <v>100070210</v>
      </c>
      <c r="AY74" s="20"/>
      <c r="AZ74" s="20"/>
      <c r="BA74" s="20"/>
      <c r="BB74" s="20"/>
      <c r="BC74" s="20"/>
      <c r="BD74" s="20"/>
      <c r="BE74" s="20"/>
      <c r="BF74" s="20"/>
      <c r="BG74" s="20"/>
      <c r="BH74" s="20"/>
      <c r="BI74" s="20" t="s">
        <v>629</v>
      </c>
      <c r="BJ74"/>
      <c r="BK74"/>
      <c r="BL74"/>
    </row>
    <row r="75" spans="1:64" ht="14.4" x14ac:dyDescent="0.3">
      <c r="A75" s="20" t="s">
        <v>630</v>
      </c>
      <c r="B75" s="20" t="s">
        <v>631</v>
      </c>
      <c r="C75" s="20" t="s">
        <v>632</v>
      </c>
      <c r="D75" s="20" t="s">
        <v>142</v>
      </c>
      <c r="E75" s="20" t="s">
        <v>143</v>
      </c>
      <c r="F75" s="20">
        <v>7</v>
      </c>
      <c r="G75" s="20" t="s">
        <v>17</v>
      </c>
      <c r="H75" s="34">
        <v>46059</v>
      </c>
      <c r="I75" s="20">
        <v>1</v>
      </c>
      <c r="J75" s="20" t="s">
        <v>633</v>
      </c>
      <c r="K75" s="20" t="s">
        <v>542</v>
      </c>
      <c r="L75" s="20" t="s">
        <v>117</v>
      </c>
      <c r="M75" s="20" t="s">
        <v>118</v>
      </c>
      <c r="N75" s="20" t="s">
        <v>119</v>
      </c>
      <c r="O75" s="20">
        <v>74876.160000000003</v>
      </c>
      <c r="P75" s="20"/>
      <c r="Q75" s="20">
        <v>74876.160000000003</v>
      </c>
      <c r="R75" s="20"/>
      <c r="S75" s="20">
        <v>74876.160000000003</v>
      </c>
      <c r="T75" s="20" t="s">
        <v>120</v>
      </c>
      <c r="U75" s="20">
        <v>5210101320</v>
      </c>
      <c r="V75" s="20" t="s">
        <v>543</v>
      </c>
      <c r="W75" s="20" t="s">
        <v>544</v>
      </c>
      <c r="X75" s="20" t="s">
        <v>123</v>
      </c>
      <c r="Y75" s="20" t="s">
        <v>124</v>
      </c>
      <c r="Z75" s="20" t="s">
        <v>545</v>
      </c>
      <c r="AA75" s="20">
        <v>0</v>
      </c>
      <c r="AB75" s="20" t="s">
        <v>126</v>
      </c>
      <c r="AC75" s="20" t="s">
        <v>546</v>
      </c>
      <c r="AD75" s="20" t="s">
        <v>547</v>
      </c>
      <c r="AE75" s="20" t="s">
        <v>548</v>
      </c>
      <c r="AF75" s="20" t="s">
        <v>549</v>
      </c>
      <c r="AG75" s="20" t="s">
        <v>131</v>
      </c>
      <c r="AH75" s="20" t="s">
        <v>132</v>
      </c>
      <c r="AI75" s="20"/>
      <c r="AJ75" s="20"/>
      <c r="AK75" s="20"/>
      <c r="AL75" s="20" t="s">
        <v>634</v>
      </c>
      <c r="AM75" s="20">
        <v>46042</v>
      </c>
      <c r="AN75" s="20" t="s">
        <v>635</v>
      </c>
      <c r="AO75" s="20" t="s">
        <v>24</v>
      </c>
      <c r="AP75" s="20" t="s">
        <v>24</v>
      </c>
      <c r="AQ75" s="20"/>
      <c r="AR75" s="20" t="s">
        <v>636</v>
      </c>
      <c r="AS75" s="20" t="s">
        <v>553</v>
      </c>
      <c r="AT75" s="20">
        <v>119404</v>
      </c>
      <c r="AU75" s="20" t="s">
        <v>554</v>
      </c>
      <c r="AV75" s="20">
        <v>5503</v>
      </c>
      <c r="AW75" s="20" t="s">
        <v>555</v>
      </c>
      <c r="AX75" s="20">
        <v>100070210</v>
      </c>
      <c r="AY75" s="20"/>
      <c r="AZ75" s="20"/>
      <c r="BA75" s="20"/>
      <c r="BB75" s="20"/>
      <c r="BC75" s="20"/>
      <c r="BD75" s="20"/>
      <c r="BE75" s="20"/>
      <c r="BF75" s="20"/>
      <c r="BG75" s="20"/>
      <c r="BH75" s="20"/>
      <c r="BI75" s="20" t="s">
        <v>637</v>
      </c>
      <c r="BJ75"/>
      <c r="BK75"/>
      <c r="BL75"/>
    </row>
    <row r="76" spans="1:64" ht="14.4" x14ac:dyDescent="0.3">
      <c r="A76" s="20" t="s">
        <v>638</v>
      </c>
      <c r="B76" s="20" t="s">
        <v>259</v>
      </c>
      <c r="C76" s="20" t="s">
        <v>639</v>
      </c>
      <c r="D76" s="20" t="s">
        <v>142</v>
      </c>
      <c r="E76" s="20" t="s">
        <v>143</v>
      </c>
      <c r="F76" s="20">
        <v>7</v>
      </c>
      <c r="G76" s="20" t="s">
        <v>15</v>
      </c>
      <c r="H76" s="34">
        <v>45999</v>
      </c>
      <c r="I76" s="20">
        <v>2212</v>
      </c>
      <c r="J76" s="20" t="s">
        <v>640</v>
      </c>
      <c r="K76" s="20" t="s">
        <v>561</v>
      </c>
      <c r="L76" s="20" t="s">
        <v>117</v>
      </c>
      <c r="M76" s="20" t="s">
        <v>118</v>
      </c>
      <c r="N76" s="20" t="s">
        <v>119</v>
      </c>
      <c r="O76" s="20">
        <v>74774.98</v>
      </c>
      <c r="P76" s="20"/>
      <c r="Q76" s="20">
        <v>74774.98</v>
      </c>
      <c r="R76" s="20"/>
      <c r="S76" s="20">
        <v>74774.98</v>
      </c>
      <c r="T76" s="20" t="s">
        <v>146</v>
      </c>
      <c r="U76" s="20">
        <v>5210101238</v>
      </c>
      <c r="V76" s="20" t="s">
        <v>121</v>
      </c>
      <c r="W76" s="20" t="s">
        <v>122</v>
      </c>
      <c r="X76" s="20" t="s">
        <v>123</v>
      </c>
      <c r="Y76" s="20" t="s">
        <v>124</v>
      </c>
      <c r="Z76" s="20" t="s">
        <v>562</v>
      </c>
      <c r="AA76" s="20">
        <v>0</v>
      </c>
      <c r="AB76" s="20" t="s">
        <v>126</v>
      </c>
      <c r="AC76" s="20" t="s">
        <v>127</v>
      </c>
      <c r="AD76" s="20" t="s">
        <v>128</v>
      </c>
      <c r="AE76" s="20" t="s">
        <v>548</v>
      </c>
      <c r="AF76" s="20" t="s">
        <v>549</v>
      </c>
      <c r="AG76" s="20" t="s">
        <v>131</v>
      </c>
      <c r="AH76" s="20" t="s">
        <v>132</v>
      </c>
      <c r="AI76" s="20"/>
      <c r="AJ76" s="20"/>
      <c r="AK76" s="20"/>
      <c r="AL76" s="20" t="s">
        <v>641</v>
      </c>
      <c r="AM76" s="20">
        <v>45981</v>
      </c>
      <c r="AN76" s="20" t="s">
        <v>642</v>
      </c>
      <c r="AO76" s="20" t="s">
        <v>24</v>
      </c>
      <c r="AP76" s="20" t="s">
        <v>24</v>
      </c>
      <c r="AQ76" s="20"/>
      <c r="AR76" s="20" t="s">
        <v>643</v>
      </c>
      <c r="AS76" s="20" t="s">
        <v>644</v>
      </c>
      <c r="AT76" s="20">
        <v>119404</v>
      </c>
      <c r="AU76" s="20" t="s">
        <v>554</v>
      </c>
      <c r="AV76" s="20">
        <v>5512</v>
      </c>
      <c r="AW76" s="20" t="s">
        <v>567</v>
      </c>
      <c r="AX76" s="20">
        <v>100064823</v>
      </c>
      <c r="AY76" s="20"/>
      <c r="AZ76" s="20"/>
      <c r="BA76" s="20"/>
      <c r="BB76" s="20"/>
      <c r="BC76" s="20"/>
      <c r="BD76" s="20"/>
      <c r="BE76" s="20"/>
      <c r="BF76" s="20"/>
      <c r="BG76" s="20"/>
      <c r="BH76" s="20"/>
      <c r="BI76" s="20" t="s">
        <v>645</v>
      </c>
      <c r="BJ76"/>
      <c r="BK76"/>
      <c r="BL76"/>
    </row>
    <row r="77" spans="1:64" ht="14.4" x14ac:dyDescent="0.3">
      <c r="A77" s="20" t="s">
        <v>646</v>
      </c>
      <c r="B77" s="20" t="s">
        <v>375</v>
      </c>
      <c r="C77" s="20" t="s">
        <v>376</v>
      </c>
      <c r="D77" s="20" t="s">
        <v>142</v>
      </c>
      <c r="E77" s="20" t="s">
        <v>143</v>
      </c>
      <c r="F77" s="20">
        <v>7</v>
      </c>
      <c r="G77" s="20" t="s">
        <v>10</v>
      </c>
      <c r="H77" s="34">
        <v>45846</v>
      </c>
      <c r="I77" s="20">
        <v>673</v>
      </c>
      <c r="J77" s="20" t="s">
        <v>647</v>
      </c>
      <c r="K77" s="20" t="s">
        <v>561</v>
      </c>
      <c r="L77" s="20" t="s">
        <v>117</v>
      </c>
      <c r="M77" s="20" t="s">
        <v>118</v>
      </c>
      <c r="N77" s="20" t="s">
        <v>119</v>
      </c>
      <c r="O77" s="20">
        <v>74471.42</v>
      </c>
      <c r="P77" s="20"/>
      <c r="Q77" s="20">
        <v>74471.42</v>
      </c>
      <c r="R77" s="20"/>
      <c r="S77" s="20">
        <v>74471.42</v>
      </c>
      <c r="T77" s="20" t="s">
        <v>146</v>
      </c>
      <c r="U77" s="20">
        <v>5210101238</v>
      </c>
      <c r="V77" s="20" t="s">
        <v>121</v>
      </c>
      <c r="W77" s="20" t="s">
        <v>122</v>
      </c>
      <c r="X77" s="20" t="s">
        <v>123</v>
      </c>
      <c r="Y77" s="20" t="s">
        <v>124</v>
      </c>
      <c r="Z77" s="20" t="s">
        <v>562</v>
      </c>
      <c r="AA77" s="20">
        <v>0</v>
      </c>
      <c r="AB77" s="20" t="s">
        <v>126</v>
      </c>
      <c r="AC77" s="20" t="s">
        <v>127</v>
      </c>
      <c r="AD77" s="20" t="s">
        <v>128</v>
      </c>
      <c r="AE77" s="20" t="s">
        <v>548</v>
      </c>
      <c r="AF77" s="20" t="s">
        <v>549</v>
      </c>
      <c r="AG77" s="20" t="s">
        <v>131</v>
      </c>
      <c r="AH77" s="20" t="s">
        <v>132</v>
      </c>
      <c r="AI77" s="20"/>
      <c r="AJ77" s="20"/>
      <c r="AK77" s="20"/>
      <c r="AL77" s="20" t="s">
        <v>648</v>
      </c>
      <c r="AM77" s="20">
        <v>45827</v>
      </c>
      <c r="AN77" s="20" t="s">
        <v>649</v>
      </c>
      <c r="AO77" s="20" t="s">
        <v>24</v>
      </c>
      <c r="AP77" s="20" t="s">
        <v>24</v>
      </c>
      <c r="AQ77" s="20"/>
      <c r="AR77" s="20" t="s">
        <v>650</v>
      </c>
      <c r="AS77" s="20" t="s">
        <v>644</v>
      </c>
      <c r="AT77" s="20">
        <v>119404</v>
      </c>
      <c r="AU77" s="20" t="s">
        <v>554</v>
      </c>
      <c r="AV77" s="20">
        <v>5512</v>
      </c>
      <c r="AW77" s="20" t="s">
        <v>567</v>
      </c>
      <c r="AX77" s="20">
        <v>100064823</v>
      </c>
      <c r="AY77" s="20"/>
      <c r="AZ77" s="20"/>
      <c r="BA77" s="20"/>
      <c r="BB77" s="20"/>
      <c r="BC77" s="20"/>
      <c r="BD77" s="20"/>
      <c r="BE77" s="20"/>
      <c r="BF77" s="20"/>
      <c r="BG77" s="20"/>
      <c r="BH77" s="20"/>
      <c r="BI77" s="20" t="s">
        <v>651</v>
      </c>
      <c r="BJ77"/>
      <c r="BK77"/>
      <c r="BL77"/>
    </row>
    <row r="78" spans="1:64" ht="14.4" x14ac:dyDescent="0.3">
      <c r="A78" s="20" t="s">
        <v>652</v>
      </c>
      <c r="B78" s="20" t="s">
        <v>283</v>
      </c>
      <c r="C78" s="20" t="s">
        <v>284</v>
      </c>
      <c r="D78" s="20" t="s">
        <v>142</v>
      </c>
      <c r="E78" s="20" t="s">
        <v>143</v>
      </c>
      <c r="F78" s="20">
        <v>7</v>
      </c>
      <c r="G78" s="20" t="s">
        <v>12</v>
      </c>
      <c r="H78" s="34">
        <v>45908</v>
      </c>
      <c r="I78" s="20">
        <v>642</v>
      </c>
      <c r="J78" s="20" t="s">
        <v>653</v>
      </c>
      <c r="K78" s="20" t="s">
        <v>561</v>
      </c>
      <c r="L78" s="20" t="s">
        <v>117</v>
      </c>
      <c r="M78" s="20" t="s">
        <v>118</v>
      </c>
      <c r="N78" s="20" t="s">
        <v>119</v>
      </c>
      <c r="O78" s="20">
        <v>74269.06</v>
      </c>
      <c r="P78" s="20"/>
      <c r="Q78" s="20">
        <v>74269.06</v>
      </c>
      <c r="R78" s="20"/>
      <c r="S78" s="20">
        <v>74269.06</v>
      </c>
      <c r="T78" s="20" t="s">
        <v>146</v>
      </c>
      <c r="U78" s="20">
        <v>5210101238</v>
      </c>
      <c r="V78" s="20" t="s">
        <v>121</v>
      </c>
      <c r="W78" s="20" t="s">
        <v>122</v>
      </c>
      <c r="X78" s="20" t="s">
        <v>123</v>
      </c>
      <c r="Y78" s="20" t="s">
        <v>124</v>
      </c>
      <c r="Z78" s="20" t="s">
        <v>562</v>
      </c>
      <c r="AA78" s="20">
        <v>0</v>
      </c>
      <c r="AB78" s="20" t="s">
        <v>126</v>
      </c>
      <c r="AC78" s="20" t="s">
        <v>127</v>
      </c>
      <c r="AD78" s="20" t="s">
        <v>128</v>
      </c>
      <c r="AE78" s="20" t="s">
        <v>548</v>
      </c>
      <c r="AF78" s="20" t="s">
        <v>549</v>
      </c>
      <c r="AG78" s="20" t="s">
        <v>131</v>
      </c>
      <c r="AH78" s="20" t="s">
        <v>132</v>
      </c>
      <c r="AI78" s="20"/>
      <c r="AJ78" s="20"/>
      <c r="AK78" s="20"/>
      <c r="AL78" s="20" t="s">
        <v>654</v>
      </c>
      <c r="AM78" s="20">
        <v>45888</v>
      </c>
      <c r="AN78" s="20" t="s">
        <v>655</v>
      </c>
      <c r="AO78" s="20" t="s">
        <v>24</v>
      </c>
      <c r="AP78" s="20" t="s">
        <v>24</v>
      </c>
      <c r="AQ78" s="20"/>
      <c r="AR78" s="20" t="s">
        <v>656</v>
      </c>
      <c r="AS78" s="20" t="s">
        <v>644</v>
      </c>
      <c r="AT78" s="20">
        <v>119404</v>
      </c>
      <c r="AU78" s="20" t="s">
        <v>554</v>
      </c>
      <c r="AV78" s="20">
        <v>5512</v>
      </c>
      <c r="AW78" s="20" t="s">
        <v>567</v>
      </c>
      <c r="AX78" s="20">
        <v>100064823</v>
      </c>
      <c r="AY78" s="20"/>
      <c r="AZ78" s="20"/>
      <c r="BA78" s="20"/>
      <c r="BB78" s="20"/>
      <c r="BC78" s="20"/>
      <c r="BD78" s="20"/>
      <c r="BE78" s="20"/>
      <c r="BF78" s="20"/>
      <c r="BG78" s="20"/>
      <c r="BH78" s="20"/>
      <c r="BI78" s="20" t="s">
        <v>657</v>
      </c>
      <c r="BJ78"/>
      <c r="BK78"/>
      <c r="BL78"/>
    </row>
    <row r="79" spans="1:64" ht="14.4" x14ac:dyDescent="0.3">
      <c r="A79" s="20" t="s">
        <v>658</v>
      </c>
      <c r="B79" s="20" t="s">
        <v>659</v>
      </c>
      <c r="C79" s="20" t="s">
        <v>660</v>
      </c>
      <c r="D79" s="20" t="s">
        <v>142</v>
      </c>
      <c r="E79" s="20" t="s">
        <v>143</v>
      </c>
      <c r="F79" s="20">
        <v>7</v>
      </c>
      <c r="G79" s="20" t="s">
        <v>13</v>
      </c>
      <c r="H79" s="34">
        <v>45951</v>
      </c>
      <c r="I79" s="20">
        <v>314</v>
      </c>
      <c r="J79" s="20" t="s">
        <v>661</v>
      </c>
      <c r="K79" s="20" t="s">
        <v>561</v>
      </c>
      <c r="L79" s="20" t="s">
        <v>117</v>
      </c>
      <c r="M79" s="20" t="s">
        <v>118</v>
      </c>
      <c r="N79" s="20" t="s">
        <v>119</v>
      </c>
      <c r="O79" s="20">
        <v>74066.69</v>
      </c>
      <c r="P79" s="20"/>
      <c r="Q79" s="20">
        <v>74066.69</v>
      </c>
      <c r="R79" s="20"/>
      <c r="S79" s="20">
        <v>74066.69</v>
      </c>
      <c r="T79" s="20" t="s">
        <v>146</v>
      </c>
      <c r="U79" s="20">
        <v>5210101238</v>
      </c>
      <c r="V79" s="20" t="s">
        <v>121</v>
      </c>
      <c r="W79" s="20" t="s">
        <v>122</v>
      </c>
      <c r="X79" s="20" t="s">
        <v>123</v>
      </c>
      <c r="Y79" s="20" t="s">
        <v>124</v>
      </c>
      <c r="Z79" s="20" t="s">
        <v>562</v>
      </c>
      <c r="AA79" s="20">
        <v>0</v>
      </c>
      <c r="AB79" s="20" t="s">
        <v>126</v>
      </c>
      <c r="AC79" s="20" t="s">
        <v>127</v>
      </c>
      <c r="AD79" s="20" t="s">
        <v>128</v>
      </c>
      <c r="AE79" s="20" t="s">
        <v>548</v>
      </c>
      <c r="AF79" s="20" t="s">
        <v>549</v>
      </c>
      <c r="AG79" s="20" t="s">
        <v>131</v>
      </c>
      <c r="AH79" s="20" t="s">
        <v>132</v>
      </c>
      <c r="AI79" s="20"/>
      <c r="AJ79" s="20"/>
      <c r="AK79" s="20"/>
      <c r="AL79" s="20" t="s">
        <v>662</v>
      </c>
      <c r="AM79" s="20">
        <v>45918</v>
      </c>
      <c r="AN79" s="20" t="s">
        <v>663</v>
      </c>
      <c r="AO79" s="20" t="s">
        <v>24</v>
      </c>
      <c r="AP79" s="20" t="s">
        <v>24</v>
      </c>
      <c r="AQ79" s="20"/>
      <c r="AR79" s="20" t="s">
        <v>664</v>
      </c>
      <c r="AS79" s="20" t="s">
        <v>644</v>
      </c>
      <c r="AT79" s="20">
        <v>119404</v>
      </c>
      <c r="AU79" s="20" t="s">
        <v>554</v>
      </c>
      <c r="AV79" s="20">
        <v>5512</v>
      </c>
      <c r="AW79" s="20" t="s">
        <v>567</v>
      </c>
      <c r="AX79" s="20">
        <v>100064823</v>
      </c>
      <c r="AY79" s="20"/>
      <c r="AZ79" s="20"/>
      <c r="BA79" s="20"/>
      <c r="BB79" s="20"/>
      <c r="BC79" s="20"/>
      <c r="BD79" s="20"/>
      <c r="BE79" s="20"/>
      <c r="BF79" s="20"/>
      <c r="BG79" s="20"/>
      <c r="BH79" s="20"/>
      <c r="BI79" s="20" t="s">
        <v>665</v>
      </c>
      <c r="BJ79"/>
      <c r="BK79"/>
      <c r="BL79"/>
    </row>
    <row r="80" spans="1:64" ht="14.4" x14ac:dyDescent="0.3">
      <c r="A80" s="20" t="s">
        <v>666</v>
      </c>
      <c r="B80" s="20" t="s">
        <v>359</v>
      </c>
      <c r="C80" s="20" t="s">
        <v>667</v>
      </c>
      <c r="D80" s="20" t="s">
        <v>142</v>
      </c>
      <c r="E80" s="20" t="s">
        <v>143</v>
      </c>
      <c r="F80" s="20">
        <v>7</v>
      </c>
      <c r="G80" s="20" t="s">
        <v>16</v>
      </c>
      <c r="H80" s="34">
        <v>46031</v>
      </c>
      <c r="I80" s="20">
        <v>68</v>
      </c>
      <c r="J80" s="20" t="s">
        <v>668</v>
      </c>
      <c r="K80" s="20" t="s">
        <v>145</v>
      </c>
      <c r="L80" s="20" t="s">
        <v>117</v>
      </c>
      <c r="M80" s="20" t="s">
        <v>118</v>
      </c>
      <c r="N80" s="20" t="s">
        <v>119</v>
      </c>
      <c r="O80" s="20">
        <v>39100</v>
      </c>
      <c r="P80" s="20"/>
      <c r="Q80" s="20">
        <v>39100</v>
      </c>
      <c r="R80" s="20"/>
      <c r="S80" s="20">
        <v>39100</v>
      </c>
      <c r="T80" s="20" t="s">
        <v>120</v>
      </c>
      <c r="U80" s="20">
        <v>5210101581</v>
      </c>
      <c r="V80" s="20" t="s">
        <v>123</v>
      </c>
      <c r="W80" s="20" t="s">
        <v>124</v>
      </c>
      <c r="X80" s="20" t="s">
        <v>123</v>
      </c>
      <c r="Y80" s="20" t="s">
        <v>124</v>
      </c>
      <c r="Z80" s="20" t="s">
        <v>147</v>
      </c>
      <c r="AA80" s="20">
        <v>0</v>
      </c>
      <c r="AB80" s="20" t="s">
        <v>126</v>
      </c>
      <c r="AC80" s="20" t="s">
        <v>148</v>
      </c>
      <c r="AD80" s="20" t="s">
        <v>149</v>
      </c>
      <c r="AE80" s="20" t="s">
        <v>150</v>
      </c>
      <c r="AF80" s="20" t="s">
        <v>151</v>
      </c>
      <c r="AG80" s="20" t="s">
        <v>131</v>
      </c>
      <c r="AH80" s="20" t="s">
        <v>132</v>
      </c>
      <c r="AI80" s="20"/>
      <c r="AJ80" s="20"/>
      <c r="AK80" s="20"/>
      <c r="AL80" s="20" t="s">
        <v>669</v>
      </c>
      <c r="AM80" s="20">
        <v>46029</v>
      </c>
      <c r="AN80" s="20" t="s">
        <v>670</v>
      </c>
      <c r="AO80" s="20" t="s">
        <v>35</v>
      </c>
      <c r="AP80" s="20" t="s">
        <v>35</v>
      </c>
      <c r="AQ80" s="20"/>
      <c r="AR80" s="20" t="s">
        <v>671</v>
      </c>
      <c r="AS80" s="20" t="s">
        <v>672</v>
      </c>
      <c r="AT80" s="20">
        <v>117399</v>
      </c>
      <c r="AU80" s="20" t="s">
        <v>157</v>
      </c>
      <c r="AV80" s="20">
        <v>4100</v>
      </c>
      <c r="AW80" s="20" t="s">
        <v>158</v>
      </c>
      <c r="AX80" s="20">
        <v>100070343</v>
      </c>
      <c r="AY80" s="20"/>
      <c r="AZ80" s="20"/>
      <c r="BA80" s="20"/>
      <c r="BB80" s="20"/>
      <c r="BC80" s="20"/>
      <c r="BD80" s="20"/>
      <c r="BE80" s="20"/>
      <c r="BF80" s="20"/>
      <c r="BG80" s="20"/>
      <c r="BH80" s="20"/>
      <c r="BI80" s="20" t="s">
        <v>673</v>
      </c>
      <c r="BJ80"/>
      <c r="BK80"/>
      <c r="BL80"/>
    </row>
    <row r="81" spans="1:64" ht="14.4" x14ac:dyDescent="0.3">
      <c r="A81" s="20" t="s">
        <v>674</v>
      </c>
      <c r="B81" s="20" t="s">
        <v>675</v>
      </c>
      <c r="C81" s="20" t="s">
        <v>676</v>
      </c>
      <c r="D81" s="20" t="s">
        <v>172</v>
      </c>
      <c r="E81" s="20" t="s">
        <v>173</v>
      </c>
      <c r="F81" s="20">
        <v>7</v>
      </c>
      <c r="G81" s="20" t="s">
        <v>12</v>
      </c>
      <c r="H81" s="34">
        <v>45923</v>
      </c>
      <c r="I81" s="20">
        <v>8</v>
      </c>
      <c r="J81" s="20" t="s">
        <v>677</v>
      </c>
      <c r="K81" s="20" t="s">
        <v>145</v>
      </c>
      <c r="L81" s="20" t="s">
        <v>117</v>
      </c>
      <c r="M81" s="20" t="s">
        <v>118</v>
      </c>
      <c r="N81" s="20" t="s">
        <v>119</v>
      </c>
      <c r="O81" s="20">
        <v>6052</v>
      </c>
      <c r="P81" s="20"/>
      <c r="Q81" s="20">
        <v>6052</v>
      </c>
      <c r="R81" s="20"/>
      <c r="S81" s="20">
        <v>6052</v>
      </c>
      <c r="T81" s="20" t="s">
        <v>146</v>
      </c>
      <c r="U81" s="20">
        <v>5210101581</v>
      </c>
      <c r="V81" s="20" t="s">
        <v>123</v>
      </c>
      <c r="W81" s="20" t="s">
        <v>124</v>
      </c>
      <c r="X81" s="20" t="s">
        <v>123</v>
      </c>
      <c r="Y81" s="20" t="s">
        <v>124</v>
      </c>
      <c r="Z81" s="20" t="s">
        <v>147</v>
      </c>
      <c r="AA81" s="20">
        <v>0</v>
      </c>
      <c r="AB81" s="20" t="s">
        <v>126</v>
      </c>
      <c r="AC81" s="20" t="s">
        <v>148</v>
      </c>
      <c r="AD81" s="20" t="s">
        <v>149</v>
      </c>
      <c r="AE81" s="20" t="s">
        <v>150</v>
      </c>
      <c r="AF81" s="20" t="s">
        <v>151</v>
      </c>
      <c r="AG81" s="20" t="s">
        <v>131</v>
      </c>
      <c r="AH81" s="20" t="s">
        <v>132</v>
      </c>
      <c r="AI81" s="20"/>
      <c r="AJ81" s="20"/>
      <c r="AK81" s="20"/>
      <c r="AL81" s="20"/>
      <c r="AM81" s="20"/>
      <c r="AN81" s="20"/>
      <c r="AO81" s="20" t="s">
        <v>439</v>
      </c>
      <c r="AP81" s="20" t="s">
        <v>439</v>
      </c>
      <c r="AQ81" s="20"/>
      <c r="AR81" s="20"/>
      <c r="AS81" s="20"/>
      <c r="AT81" s="20" t="s">
        <v>678</v>
      </c>
      <c r="AU81" s="20"/>
      <c r="AV81" s="20" t="s">
        <v>679</v>
      </c>
      <c r="AW81" s="20"/>
      <c r="AX81" s="20">
        <v>325666881333</v>
      </c>
      <c r="AY81" s="20" t="s">
        <v>677</v>
      </c>
      <c r="AZ81" s="20"/>
      <c r="BA81" s="20"/>
      <c r="BB81" s="20"/>
      <c r="BC81" s="20"/>
      <c r="BD81" s="20"/>
      <c r="BE81" s="20"/>
      <c r="BF81" s="20"/>
      <c r="BG81" s="20"/>
      <c r="BH81" s="20">
        <v>4100</v>
      </c>
      <c r="BI81" s="20" t="s">
        <v>680</v>
      </c>
      <c r="BJ81"/>
      <c r="BK81"/>
      <c r="BL81"/>
    </row>
    <row r="82" spans="1:64" ht="14.4" x14ac:dyDescent="0.3">
      <c r="A82" s="20" t="s">
        <v>681</v>
      </c>
      <c r="B82" s="20" t="s">
        <v>421</v>
      </c>
      <c r="C82" s="20" t="s">
        <v>422</v>
      </c>
      <c r="D82" s="20" t="s">
        <v>142</v>
      </c>
      <c r="E82" s="20" t="s">
        <v>143</v>
      </c>
      <c r="F82" s="20">
        <v>7</v>
      </c>
      <c r="G82" s="20" t="s">
        <v>16</v>
      </c>
      <c r="H82" s="34">
        <v>46041</v>
      </c>
      <c r="I82" s="20">
        <v>928</v>
      </c>
      <c r="J82" s="20" t="s">
        <v>682</v>
      </c>
      <c r="K82" s="20" t="s">
        <v>561</v>
      </c>
      <c r="L82" s="20" t="s">
        <v>117</v>
      </c>
      <c r="M82" s="20" t="s">
        <v>118</v>
      </c>
      <c r="N82" s="20" t="s">
        <v>119</v>
      </c>
      <c r="O82" s="20">
        <v>73244.160000000003</v>
      </c>
      <c r="P82" s="20"/>
      <c r="Q82" s="20">
        <v>73244.160000000003</v>
      </c>
      <c r="R82" s="20"/>
      <c r="S82" s="20">
        <v>73244.160000000003</v>
      </c>
      <c r="T82" s="20" t="s">
        <v>120</v>
      </c>
      <c r="U82" s="20">
        <v>5210101238</v>
      </c>
      <c r="V82" s="20" t="s">
        <v>121</v>
      </c>
      <c r="W82" s="20" t="s">
        <v>122</v>
      </c>
      <c r="X82" s="20" t="s">
        <v>123</v>
      </c>
      <c r="Y82" s="20" t="s">
        <v>124</v>
      </c>
      <c r="Z82" s="20" t="s">
        <v>562</v>
      </c>
      <c r="AA82" s="20">
        <v>0</v>
      </c>
      <c r="AB82" s="20" t="s">
        <v>126</v>
      </c>
      <c r="AC82" s="20" t="s">
        <v>127</v>
      </c>
      <c r="AD82" s="20" t="s">
        <v>128</v>
      </c>
      <c r="AE82" s="20" t="s">
        <v>548</v>
      </c>
      <c r="AF82" s="20" t="s">
        <v>549</v>
      </c>
      <c r="AG82" s="20" t="s">
        <v>131</v>
      </c>
      <c r="AH82" s="20" t="s">
        <v>132</v>
      </c>
      <c r="AI82" s="20"/>
      <c r="AJ82" s="20"/>
      <c r="AK82" s="20"/>
      <c r="AL82" s="20" t="s">
        <v>683</v>
      </c>
      <c r="AM82" s="20">
        <v>46011</v>
      </c>
      <c r="AN82" s="20" t="s">
        <v>684</v>
      </c>
      <c r="AO82" s="20" t="s">
        <v>24</v>
      </c>
      <c r="AP82" s="20" t="s">
        <v>24</v>
      </c>
      <c r="AQ82" s="20"/>
      <c r="AR82" s="20" t="s">
        <v>685</v>
      </c>
      <c r="AS82" s="20" t="s">
        <v>644</v>
      </c>
      <c r="AT82" s="20">
        <v>119404</v>
      </c>
      <c r="AU82" s="20" t="s">
        <v>554</v>
      </c>
      <c r="AV82" s="20">
        <v>5512</v>
      </c>
      <c r="AW82" s="20" t="s">
        <v>567</v>
      </c>
      <c r="AX82" s="20">
        <v>100064823</v>
      </c>
      <c r="AY82" s="20"/>
      <c r="AZ82" s="20"/>
      <c r="BA82" s="20"/>
      <c r="BB82" s="20"/>
      <c r="BC82" s="20"/>
      <c r="BD82" s="20"/>
      <c r="BE82" s="20"/>
      <c r="BF82" s="20"/>
      <c r="BG82" s="20"/>
      <c r="BH82" s="20"/>
      <c r="BI82" s="20" t="s">
        <v>686</v>
      </c>
      <c r="BJ82"/>
      <c r="BK82"/>
      <c r="BL82"/>
    </row>
    <row r="83" spans="1:64" ht="14.4" x14ac:dyDescent="0.3">
      <c r="A83" s="20" t="s">
        <v>687</v>
      </c>
      <c r="B83" s="20" t="s">
        <v>688</v>
      </c>
      <c r="C83" s="20" t="s">
        <v>689</v>
      </c>
      <c r="D83" s="20" t="s">
        <v>142</v>
      </c>
      <c r="E83" s="20" t="s">
        <v>143</v>
      </c>
      <c r="F83" s="20">
        <v>7</v>
      </c>
      <c r="G83" s="20" t="s">
        <v>16</v>
      </c>
      <c r="H83" s="34">
        <v>46042</v>
      </c>
      <c r="I83" s="20">
        <v>118</v>
      </c>
      <c r="J83" s="20" t="s">
        <v>690</v>
      </c>
      <c r="K83" s="20" t="s">
        <v>145</v>
      </c>
      <c r="L83" s="20" t="s">
        <v>117</v>
      </c>
      <c r="M83" s="20" t="s">
        <v>118</v>
      </c>
      <c r="N83" s="20" t="s">
        <v>119</v>
      </c>
      <c r="O83" s="20">
        <v>22500</v>
      </c>
      <c r="P83" s="20"/>
      <c r="Q83" s="20">
        <v>22500</v>
      </c>
      <c r="R83" s="20"/>
      <c r="S83" s="20">
        <v>22500</v>
      </c>
      <c r="T83" s="20" t="s">
        <v>120</v>
      </c>
      <c r="U83" s="20">
        <v>5210101581</v>
      </c>
      <c r="V83" s="20" t="s">
        <v>123</v>
      </c>
      <c r="W83" s="20" t="s">
        <v>124</v>
      </c>
      <c r="X83" s="20" t="s">
        <v>123</v>
      </c>
      <c r="Y83" s="20" t="s">
        <v>124</v>
      </c>
      <c r="Z83" s="20" t="s">
        <v>147</v>
      </c>
      <c r="AA83" s="20">
        <v>0</v>
      </c>
      <c r="AB83" s="20" t="s">
        <v>126</v>
      </c>
      <c r="AC83" s="20" t="s">
        <v>148</v>
      </c>
      <c r="AD83" s="20" t="s">
        <v>149</v>
      </c>
      <c r="AE83" s="20" t="s">
        <v>150</v>
      </c>
      <c r="AF83" s="20" t="s">
        <v>151</v>
      </c>
      <c r="AG83" s="20" t="s">
        <v>131</v>
      </c>
      <c r="AH83" s="20" t="s">
        <v>132</v>
      </c>
      <c r="AI83" s="20"/>
      <c r="AJ83" s="20"/>
      <c r="AK83" s="20"/>
      <c r="AL83" s="20" t="s">
        <v>691</v>
      </c>
      <c r="AM83" s="20">
        <v>46041</v>
      </c>
      <c r="AN83" s="20" t="s">
        <v>692</v>
      </c>
      <c r="AO83" s="20" t="s">
        <v>35</v>
      </c>
      <c r="AP83" s="20" t="s">
        <v>35</v>
      </c>
      <c r="AQ83" s="20"/>
      <c r="AR83" s="20" t="s">
        <v>693</v>
      </c>
      <c r="AS83" s="20" t="s">
        <v>588</v>
      </c>
      <c r="AT83" s="20">
        <v>117399</v>
      </c>
      <c r="AU83" s="20" t="s">
        <v>157</v>
      </c>
      <c r="AV83" s="20">
        <v>4100</v>
      </c>
      <c r="AW83" s="20" t="s">
        <v>158</v>
      </c>
      <c r="AX83" s="20">
        <v>100070490</v>
      </c>
      <c r="AY83" s="20"/>
      <c r="AZ83" s="20"/>
      <c r="BA83" s="20"/>
      <c r="BB83" s="20"/>
      <c r="BC83" s="20"/>
      <c r="BD83" s="20"/>
      <c r="BE83" s="20"/>
      <c r="BF83" s="20"/>
      <c r="BG83" s="20"/>
      <c r="BH83" s="20"/>
      <c r="BI83" s="20" t="s">
        <v>694</v>
      </c>
      <c r="BJ83"/>
      <c r="BK83"/>
      <c r="BL83"/>
    </row>
    <row r="84" spans="1:64" ht="14.4" x14ac:dyDescent="0.3">
      <c r="A84" s="20" t="s">
        <v>695</v>
      </c>
      <c r="B84" s="20" t="s">
        <v>696</v>
      </c>
      <c r="C84" s="20" t="s">
        <v>697</v>
      </c>
      <c r="D84" s="20" t="s">
        <v>172</v>
      </c>
      <c r="E84" s="20" t="s">
        <v>173</v>
      </c>
      <c r="F84" s="20">
        <v>7</v>
      </c>
      <c r="G84" s="20" t="s">
        <v>14</v>
      </c>
      <c r="H84" s="34">
        <v>45982</v>
      </c>
      <c r="I84" s="20">
        <v>156</v>
      </c>
      <c r="J84" s="20" t="s">
        <v>698</v>
      </c>
      <c r="K84" s="20" t="s">
        <v>699</v>
      </c>
      <c r="L84" s="20" t="s">
        <v>117</v>
      </c>
      <c r="M84" s="20" t="s">
        <v>118</v>
      </c>
      <c r="N84" s="20" t="s">
        <v>119</v>
      </c>
      <c r="O84" s="20">
        <v>8694</v>
      </c>
      <c r="P84" s="20"/>
      <c r="Q84" s="20">
        <v>8694</v>
      </c>
      <c r="R84" s="20"/>
      <c r="S84" s="20">
        <v>8694</v>
      </c>
      <c r="T84" s="20" t="s">
        <v>146</v>
      </c>
      <c r="U84" s="20">
        <v>5210101584</v>
      </c>
      <c r="V84" s="20" t="s">
        <v>123</v>
      </c>
      <c r="W84" s="20" t="s">
        <v>124</v>
      </c>
      <c r="X84" s="20" t="s">
        <v>123</v>
      </c>
      <c r="Y84" s="20" t="s">
        <v>124</v>
      </c>
      <c r="Z84" s="20" t="s">
        <v>700</v>
      </c>
      <c r="AA84" s="20">
        <v>0</v>
      </c>
      <c r="AB84" s="20" t="s">
        <v>126</v>
      </c>
      <c r="AC84" s="20" t="s">
        <v>127</v>
      </c>
      <c r="AD84" s="20" t="s">
        <v>128</v>
      </c>
      <c r="AE84" s="20" t="s">
        <v>150</v>
      </c>
      <c r="AF84" s="20" t="s">
        <v>151</v>
      </c>
      <c r="AG84" s="20" t="s">
        <v>131</v>
      </c>
      <c r="AH84" s="20" t="s">
        <v>132</v>
      </c>
      <c r="AI84" s="20"/>
      <c r="AJ84" s="20"/>
      <c r="AK84" s="20"/>
      <c r="AL84" s="20">
        <v>117399</v>
      </c>
      <c r="AM84" s="20"/>
      <c r="AN84" s="20"/>
      <c r="AO84" s="20" t="s">
        <v>701</v>
      </c>
      <c r="AP84" s="20" t="s">
        <v>37</v>
      </c>
      <c r="AQ84" s="20"/>
      <c r="AR84" s="20"/>
      <c r="AS84" s="20"/>
      <c r="AT84" s="20">
        <v>100064526</v>
      </c>
      <c r="AU84" s="20"/>
      <c r="AV84" s="20" t="s">
        <v>702</v>
      </c>
      <c r="AW84" s="20"/>
      <c r="AX84" s="20" t="s">
        <v>37</v>
      </c>
      <c r="AY84" s="20" t="s">
        <v>703</v>
      </c>
      <c r="AZ84" s="20"/>
      <c r="BA84" s="20"/>
      <c r="BB84" s="20"/>
      <c r="BC84" s="20"/>
      <c r="BD84" s="20"/>
      <c r="BE84" s="20"/>
      <c r="BF84" s="20"/>
      <c r="BG84" s="20"/>
      <c r="BH84" s="20">
        <v>4204</v>
      </c>
      <c r="BI84" s="20" t="s">
        <v>704</v>
      </c>
      <c r="BJ84"/>
      <c r="BK84"/>
      <c r="BL84"/>
    </row>
    <row r="85" spans="1:64" ht="14.4" x14ac:dyDescent="0.3">
      <c r="A85" s="20" t="s">
        <v>705</v>
      </c>
      <c r="B85" s="20" t="s">
        <v>631</v>
      </c>
      <c r="C85" s="20" t="s">
        <v>706</v>
      </c>
      <c r="D85" s="20" t="s">
        <v>142</v>
      </c>
      <c r="E85" s="20" t="s">
        <v>143</v>
      </c>
      <c r="F85" s="20">
        <v>7</v>
      </c>
      <c r="G85" s="20" t="s">
        <v>17</v>
      </c>
      <c r="H85" s="34">
        <v>46056</v>
      </c>
      <c r="I85" s="20">
        <v>54</v>
      </c>
      <c r="J85" s="20" t="s">
        <v>707</v>
      </c>
      <c r="K85" s="20" t="s">
        <v>145</v>
      </c>
      <c r="L85" s="20" t="s">
        <v>117</v>
      </c>
      <c r="M85" s="20" t="s">
        <v>118</v>
      </c>
      <c r="N85" s="20" t="s">
        <v>119</v>
      </c>
      <c r="O85" s="20">
        <v>7363</v>
      </c>
      <c r="P85" s="20"/>
      <c r="Q85" s="20">
        <v>7363</v>
      </c>
      <c r="R85" s="20"/>
      <c r="S85" s="20">
        <v>7363</v>
      </c>
      <c r="T85" s="20" t="s">
        <v>120</v>
      </c>
      <c r="U85" s="20">
        <v>5210101581</v>
      </c>
      <c r="V85" s="20" t="s">
        <v>123</v>
      </c>
      <c r="W85" s="20" t="s">
        <v>124</v>
      </c>
      <c r="X85" s="20" t="s">
        <v>123</v>
      </c>
      <c r="Y85" s="20" t="s">
        <v>124</v>
      </c>
      <c r="Z85" s="20" t="s">
        <v>147</v>
      </c>
      <c r="AA85" s="20">
        <v>0</v>
      </c>
      <c r="AB85" s="20" t="s">
        <v>126</v>
      </c>
      <c r="AC85" s="20" t="s">
        <v>148</v>
      </c>
      <c r="AD85" s="20" t="s">
        <v>149</v>
      </c>
      <c r="AE85" s="20" t="s">
        <v>150</v>
      </c>
      <c r="AF85" s="20" t="s">
        <v>151</v>
      </c>
      <c r="AG85" s="20" t="s">
        <v>131</v>
      </c>
      <c r="AH85" s="20" t="s">
        <v>132</v>
      </c>
      <c r="AI85" s="20"/>
      <c r="AJ85" s="20"/>
      <c r="AK85" s="20"/>
      <c r="AL85" s="20" t="s">
        <v>708</v>
      </c>
      <c r="AM85" s="20">
        <v>46055</v>
      </c>
      <c r="AN85" s="20" t="s">
        <v>709</v>
      </c>
      <c r="AO85" s="20" t="s">
        <v>39</v>
      </c>
      <c r="AP85" s="20" t="s">
        <v>39</v>
      </c>
      <c r="AQ85" s="20"/>
      <c r="AR85" s="20" t="s">
        <v>710</v>
      </c>
      <c r="AS85" s="20" t="s">
        <v>711</v>
      </c>
      <c r="AT85" s="20">
        <v>117399</v>
      </c>
      <c r="AU85" s="20" t="s">
        <v>157</v>
      </c>
      <c r="AV85" s="20">
        <v>4100</v>
      </c>
      <c r="AW85" s="20" t="s">
        <v>158</v>
      </c>
      <c r="AX85" s="20">
        <v>100070675</v>
      </c>
      <c r="AY85" s="20"/>
      <c r="AZ85" s="20"/>
      <c r="BA85" s="20"/>
      <c r="BB85" s="20"/>
      <c r="BC85" s="20"/>
      <c r="BD85" s="20"/>
      <c r="BE85" s="20"/>
      <c r="BF85" s="20"/>
      <c r="BG85" s="20"/>
      <c r="BH85" s="20"/>
      <c r="BI85" s="20" t="s">
        <v>712</v>
      </c>
      <c r="BJ85"/>
      <c r="BK85"/>
      <c r="BL85"/>
    </row>
    <row r="86" spans="1:64" ht="14.4" x14ac:dyDescent="0.3">
      <c r="A86" s="20" t="s">
        <v>713</v>
      </c>
      <c r="B86" s="20" t="s">
        <v>714</v>
      </c>
      <c r="C86" s="20" t="s">
        <v>715</v>
      </c>
      <c r="D86" s="20" t="s">
        <v>172</v>
      </c>
      <c r="E86" s="20" t="s">
        <v>173</v>
      </c>
      <c r="F86" s="20">
        <v>7</v>
      </c>
      <c r="G86" s="20" t="s">
        <v>15</v>
      </c>
      <c r="H86" s="34">
        <v>46020</v>
      </c>
      <c r="I86" s="20">
        <v>15</v>
      </c>
      <c r="J86" s="20" t="s">
        <v>677</v>
      </c>
      <c r="K86" s="20" t="s">
        <v>145</v>
      </c>
      <c r="L86" s="20" t="s">
        <v>117</v>
      </c>
      <c r="M86" s="20" t="s">
        <v>118</v>
      </c>
      <c r="N86" s="20" t="s">
        <v>119</v>
      </c>
      <c r="O86" s="20">
        <v>6033</v>
      </c>
      <c r="P86" s="20"/>
      <c r="Q86" s="20">
        <v>6033</v>
      </c>
      <c r="R86" s="20"/>
      <c r="S86" s="20">
        <v>6033</v>
      </c>
      <c r="T86" s="20" t="s">
        <v>146</v>
      </c>
      <c r="U86" s="20">
        <v>5210101581</v>
      </c>
      <c r="V86" s="20" t="s">
        <v>123</v>
      </c>
      <c r="W86" s="20" t="s">
        <v>124</v>
      </c>
      <c r="X86" s="20" t="s">
        <v>123</v>
      </c>
      <c r="Y86" s="20" t="s">
        <v>124</v>
      </c>
      <c r="Z86" s="20" t="s">
        <v>147</v>
      </c>
      <c r="AA86" s="20">
        <v>0</v>
      </c>
      <c r="AB86" s="20" t="s">
        <v>126</v>
      </c>
      <c r="AC86" s="20" t="s">
        <v>148</v>
      </c>
      <c r="AD86" s="20" t="s">
        <v>149</v>
      </c>
      <c r="AE86" s="20" t="s">
        <v>150</v>
      </c>
      <c r="AF86" s="20" t="s">
        <v>151</v>
      </c>
      <c r="AG86" s="20" t="s">
        <v>131</v>
      </c>
      <c r="AH86" s="20" t="s">
        <v>132</v>
      </c>
      <c r="AI86" s="20"/>
      <c r="AJ86" s="20"/>
      <c r="AK86" s="20"/>
      <c r="AL86" s="20"/>
      <c r="AM86" s="20"/>
      <c r="AN86" s="20"/>
      <c r="AO86" s="20" t="s">
        <v>439</v>
      </c>
      <c r="AP86" s="20" t="s">
        <v>439</v>
      </c>
      <c r="AQ86" s="20"/>
      <c r="AR86" s="20"/>
      <c r="AS86" s="20"/>
      <c r="AT86" s="20" t="s">
        <v>678</v>
      </c>
      <c r="AU86" s="20"/>
      <c r="AV86" s="20" t="s">
        <v>679</v>
      </c>
      <c r="AW86" s="20"/>
      <c r="AX86" s="20">
        <v>325082540769</v>
      </c>
      <c r="AY86" s="20" t="s">
        <v>677</v>
      </c>
      <c r="AZ86" s="20"/>
      <c r="BA86" s="20"/>
      <c r="BB86" s="20"/>
      <c r="BC86" s="20"/>
      <c r="BD86" s="20"/>
      <c r="BE86" s="20"/>
      <c r="BF86" s="20"/>
      <c r="BG86" s="20"/>
      <c r="BH86" s="20">
        <v>4100</v>
      </c>
      <c r="BI86" s="20" t="s">
        <v>716</v>
      </c>
      <c r="BJ86"/>
      <c r="BK86"/>
      <c r="BL86"/>
    </row>
    <row r="87" spans="1:64" ht="14.4" x14ac:dyDescent="0.3">
      <c r="A87" s="20" t="s">
        <v>717</v>
      </c>
      <c r="B87" s="20" t="s">
        <v>718</v>
      </c>
      <c r="C87" s="20" t="s">
        <v>719</v>
      </c>
      <c r="D87" s="20" t="s">
        <v>172</v>
      </c>
      <c r="E87" s="20" t="s">
        <v>173</v>
      </c>
      <c r="F87" s="20">
        <v>7</v>
      </c>
      <c r="G87" s="20" t="s">
        <v>10</v>
      </c>
      <c r="H87" s="34">
        <v>45862</v>
      </c>
      <c r="I87" s="20">
        <v>7</v>
      </c>
      <c r="J87" s="20" t="s">
        <v>720</v>
      </c>
      <c r="K87" s="20" t="s">
        <v>145</v>
      </c>
      <c r="L87" s="20" t="s">
        <v>117</v>
      </c>
      <c r="M87" s="20" t="s">
        <v>118</v>
      </c>
      <c r="N87" s="20" t="s">
        <v>119</v>
      </c>
      <c r="O87" s="20">
        <v>5979</v>
      </c>
      <c r="P87" s="20"/>
      <c r="Q87" s="20">
        <v>5979</v>
      </c>
      <c r="R87" s="20"/>
      <c r="S87" s="20">
        <v>5979</v>
      </c>
      <c r="T87" s="20" t="s">
        <v>146</v>
      </c>
      <c r="U87" s="20">
        <v>5210101581</v>
      </c>
      <c r="V87" s="20" t="s">
        <v>123</v>
      </c>
      <c r="W87" s="20" t="s">
        <v>124</v>
      </c>
      <c r="X87" s="20" t="s">
        <v>123</v>
      </c>
      <c r="Y87" s="20" t="s">
        <v>124</v>
      </c>
      <c r="Z87" s="20" t="s">
        <v>147</v>
      </c>
      <c r="AA87" s="20">
        <v>0</v>
      </c>
      <c r="AB87" s="20" t="s">
        <v>126</v>
      </c>
      <c r="AC87" s="20" t="s">
        <v>148</v>
      </c>
      <c r="AD87" s="20" t="s">
        <v>149</v>
      </c>
      <c r="AE87" s="20" t="s">
        <v>150</v>
      </c>
      <c r="AF87" s="20" t="s">
        <v>151</v>
      </c>
      <c r="AG87" s="20" t="s">
        <v>131</v>
      </c>
      <c r="AH87" s="20" t="s">
        <v>132</v>
      </c>
      <c r="AI87" s="20"/>
      <c r="AJ87" s="20"/>
      <c r="AK87" s="20"/>
      <c r="AL87" s="20"/>
      <c r="AM87" s="20"/>
      <c r="AN87" s="20"/>
      <c r="AO87" s="20" t="s">
        <v>439</v>
      </c>
      <c r="AP87" s="20" t="s">
        <v>439</v>
      </c>
      <c r="AQ87" s="20"/>
      <c r="AR87" s="20"/>
      <c r="AS87" s="20"/>
      <c r="AT87" s="20" t="s">
        <v>678</v>
      </c>
      <c r="AU87" s="20"/>
      <c r="AV87" s="20" t="s">
        <v>679</v>
      </c>
      <c r="AW87" s="20"/>
      <c r="AX87" s="20">
        <v>325342294482</v>
      </c>
      <c r="AY87" s="20" t="s">
        <v>721</v>
      </c>
      <c r="AZ87" s="20"/>
      <c r="BA87" s="20"/>
      <c r="BB87" s="20"/>
      <c r="BC87" s="20"/>
      <c r="BD87" s="20"/>
      <c r="BE87" s="20"/>
      <c r="BF87" s="20"/>
      <c r="BG87" s="20"/>
      <c r="BH87" s="20">
        <v>4100</v>
      </c>
      <c r="BI87" s="20" t="s">
        <v>722</v>
      </c>
      <c r="BJ87"/>
      <c r="BK87"/>
      <c r="BL87"/>
    </row>
    <row r="88" spans="1:64" ht="14.4" x14ac:dyDescent="0.3">
      <c r="A88" s="20" t="s">
        <v>723</v>
      </c>
      <c r="B88" s="20" t="s">
        <v>724</v>
      </c>
      <c r="C88" s="20" t="s">
        <v>725</v>
      </c>
      <c r="D88" s="20" t="s">
        <v>172</v>
      </c>
      <c r="E88" s="20" t="s">
        <v>173</v>
      </c>
      <c r="F88" s="20">
        <v>7</v>
      </c>
      <c r="G88" s="20" t="s">
        <v>13</v>
      </c>
      <c r="H88" s="34">
        <v>45957</v>
      </c>
      <c r="I88" s="20">
        <v>11</v>
      </c>
      <c r="J88" s="20" t="s">
        <v>720</v>
      </c>
      <c r="K88" s="20" t="s">
        <v>145</v>
      </c>
      <c r="L88" s="20" t="s">
        <v>117</v>
      </c>
      <c r="M88" s="20" t="s">
        <v>118</v>
      </c>
      <c r="N88" s="20" t="s">
        <v>119</v>
      </c>
      <c r="O88" s="20">
        <v>5926</v>
      </c>
      <c r="P88" s="20"/>
      <c r="Q88" s="20">
        <v>5926</v>
      </c>
      <c r="R88" s="20"/>
      <c r="S88" s="20">
        <v>5926</v>
      </c>
      <c r="T88" s="20" t="s">
        <v>146</v>
      </c>
      <c r="U88" s="20">
        <v>5210101581</v>
      </c>
      <c r="V88" s="20" t="s">
        <v>123</v>
      </c>
      <c r="W88" s="20" t="s">
        <v>124</v>
      </c>
      <c r="X88" s="20" t="s">
        <v>123</v>
      </c>
      <c r="Y88" s="20" t="s">
        <v>124</v>
      </c>
      <c r="Z88" s="20" t="s">
        <v>147</v>
      </c>
      <c r="AA88" s="20">
        <v>0</v>
      </c>
      <c r="AB88" s="20" t="s">
        <v>126</v>
      </c>
      <c r="AC88" s="20" t="s">
        <v>148</v>
      </c>
      <c r="AD88" s="20" t="s">
        <v>149</v>
      </c>
      <c r="AE88" s="20" t="s">
        <v>150</v>
      </c>
      <c r="AF88" s="20" t="s">
        <v>151</v>
      </c>
      <c r="AG88" s="20" t="s">
        <v>131</v>
      </c>
      <c r="AH88" s="20" t="s">
        <v>132</v>
      </c>
      <c r="AI88" s="20"/>
      <c r="AJ88" s="20"/>
      <c r="AK88" s="20"/>
      <c r="AL88" s="20"/>
      <c r="AM88" s="20"/>
      <c r="AN88" s="20"/>
      <c r="AO88" s="20" t="s">
        <v>439</v>
      </c>
      <c r="AP88" s="20" t="s">
        <v>439</v>
      </c>
      <c r="AQ88" s="20"/>
      <c r="AR88" s="20"/>
      <c r="AS88" s="20"/>
      <c r="AT88" s="20" t="s">
        <v>678</v>
      </c>
      <c r="AU88" s="20"/>
      <c r="AV88" s="20" t="s">
        <v>679</v>
      </c>
      <c r="AW88" s="20"/>
      <c r="AX88" s="20">
        <v>325065318607</v>
      </c>
      <c r="AY88" s="20" t="s">
        <v>721</v>
      </c>
      <c r="AZ88" s="20"/>
      <c r="BA88" s="20"/>
      <c r="BB88" s="20"/>
      <c r="BC88" s="20"/>
      <c r="BD88" s="20"/>
      <c r="BE88" s="20"/>
      <c r="BF88" s="20"/>
      <c r="BG88" s="20"/>
      <c r="BH88" s="20">
        <v>4100</v>
      </c>
      <c r="BI88" s="20" t="s">
        <v>726</v>
      </c>
      <c r="BJ88"/>
      <c r="BK88"/>
      <c r="BL88"/>
    </row>
    <row r="89" spans="1:64" ht="14.4" x14ac:dyDescent="0.3">
      <c r="A89" s="20" t="s">
        <v>727</v>
      </c>
      <c r="B89" s="20" t="s">
        <v>728</v>
      </c>
      <c r="C89" s="20" t="s">
        <v>729</v>
      </c>
      <c r="D89" s="20" t="s">
        <v>172</v>
      </c>
      <c r="E89" s="20" t="s">
        <v>173</v>
      </c>
      <c r="F89" s="20">
        <v>7</v>
      </c>
      <c r="G89" s="20" t="s">
        <v>14</v>
      </c>
      <c r="H89" s="34">
        <v>45987</v>
      </c>
      <c r="I89" s="20">
        <v>15</v>
      </c>
      <c r="J89" s="20" t="s">
        <v>677</v>
      </c>
      <c r="K89" s="20" t="s">
        <v>145</v>
      </c>
      <c r="L89" s="20" t="s">
        <v>117</v>
      </c>
      <c r="M89" s="20" t="s">
        <v>118</v>
      </c>
      <c r="N89" s="20" t="s">
        <v>119</v>
      </c>
      <c r="O89" s="20">
        <v>5901</v>
      </c>
      <c r="P89" s="20"/>
      <c r="Q89" s="20">
        <v>5901</v>
      </c>
      <c r="R89" s="20"/>
      <c r="S89" s="20">
        <v>5901</v>
      </c>
      <c r="T89" s="20" t="s">
        <v>146</v>
      </c>
      <c r="U89" s="20">
        <v>5210101581</v>
      </c>
      <c r="V89" s="20" t="s">
        <v>123</v>
      </c>
      <c r="W89" s="20" t="s">
        <v>124</v>
      </c>
      <c r="X89" s="20" t="s">
        <v>123</v>
      </c>
      <c r="Y89" s="20" t="s">
        <v>124</v>
      </c>
      <c r="Z89" s="20" t="s">
        <v>147</v>
      </c>
      <c r="AA89" s="20">
        <v>0</v>
      </c>
      <c r="AB89" s="20" t="s">
        <v>126</v>
      </c>
      <c r="AC89" s="20" t="s">
        <v>148</v>
      </c>
      <c r="AD89" s="20" t="s">
        <v>149</v>
      </c>
      <c r="AE89" s="20" t="s">
        <v>150</v>
      </c>
      <c r="AF89" s="20" t="s">
        <v>151</v>
      </c>
      <c r="AG89" s="20" t="s">
        <v>131</v>
      </c>
      <c r="AH89" s="20" t="s">
        <v>132</v>
      </c>
      <c r="AI89" s="20"/>
      <c r="AJ89" s="20"/>
      <c r="AK89" s="20"/>
      <c r="AL89" s="20"/>
      <c r="AM89" s="20"/>
      <c r="AN89" s="20"/>
      <c r="AO89" s="20" t="s">
        <v>439</v>
      </c>
      <c r="AP89" s="20" t="s">
        <v>439</v>
      </c>
      <c r="AQ89" s="20"/>
      <c r="AR89" s="20"/>
      <c r="AS89" s="20"/>
      <c r="AT89" s="20" t="s">
        <v>678</v>
      </c>
      <c r="AU89" s="20"/>
      <c r="AV89" s="20" t="s">
        <v>679</v>
      </c>
      <c r="AW89" s="20"/>
      <c r="AX89" s="20">
        <v>325078282399</v>
      </c>
      <c r="AY89" s="20" t="s">
        <v>677</v>
      </c>
      <c r="AZ89" s="20"/>
      <c r="BA89" s="20"/>
      <c r="BB89" s="20"/>
      <c r="BC89" s="20"/>
      <c r="BD89" s="20"/>
      <c r="BE89" s="20"/>
      <c r="BF89" s="20"/>
      <c r="BG89" s="20"/>
      <c r="BH89" s="20">
        <v>4100</v>
      </c>
      <c r="BI89" s="20" t="s">
        <v>730</v>
      </c>
      <c r="BJ89"/>
      <c r="BK89"/>
      <c r="BL89"/>
    </row>
    <row r="90" spans="1:64" ht="14.4" x14ac:dyDescent="0.3">
      <c r="A90" s="20" t="s">
        <v>731</v>
      </c>
      <c r="B90" s="20" t="s">
        <v>732</v>
      </c>
      <c r="C90" s="20" t="s">
        <v>733</v>
      </c>
      <c r="D90" s="20" t="s">
        <v>172</v>
      </c>
      <c r="E90" s="20" t="s">
        <v>173</v>
      </c>
      <c r="F90" s="20">
        <v>7</v>
      </c>
      <c r="G90" s="20" t="s">
        <v>11</v>
      </c>
      <c r="H90" s="34">
        <v>45895</v>
      </c>
      <c r="I90" s="20">
        <v>16</v>
      </c>
      <c r="J90" s="20" t="s">
        <v>677</v>
      </c>
      <c r="K90" s="20" t="s">
        <v>145</v>
      </c>
      <c r="L90" s="20" t="s">
        <v>117</v>
      </c>
      <c r="M90" s="20" t="s">
        <v>118</v>
      </c>
      <c r="N90" s="20" t="s">
        <v>119</v>
      </c>
      <c r="O90" s="20">
        <v>5899</v>
      </c>
      <c r="P90" s="20"/>
      <c r="Q90" s="20">
        <v>5899</v>
      </c>
      <c r="R90" s="20"/>
      <c r="S90" s="20">
        <v>5899</v>
      </c>
      <c r="T90" s="20" t="s">
        <v>146</v>
      </c>
      <c r="U90" s="20">
        <v>5210101581</v>
      </c>
      <c r="V90" s="20" t="s">
        <v>123</v>
      </c>
      <c r="W90" s="20" t="s">
        <v>124</v>
      </c>
      <c r="X90" s="20" t="s">
        <v>123</v>
      </c>
      <c r="Y90" s="20" t="s">
        <v>124</v>
      </c>
      <c r="Z90" s="20" t="s">
        <v>147</v>
      </c>
      <c r="AA90" s="20">
        <v>0</v>
      </c>
      <c r="AB90" s="20" t="s">
        <v>126</v>
      </c>
      <c r="AC90" s="20" t="s">
        <v>148</v>
      </c>
      <c r="AD90" s="20" t="s">
        <v>149</v>
      </c>
      <c r="AE90" s="20" t="s">
        <v>150</v>
      </c>
      <c r="AF90" s="20" t="s">
        <v>151</v>
      </c>
      <c r="AG90" s="20" t="s">
        <v>131</v>
      </c>
      <c r="AH90" s="20" t="s">
        <v>132</v>
      </c>
      <c r="AI90" s="20"/>
      <c r="AJ90" s="20"/>
      <c r="AK90" s="20"/>
      <c r="AL90" s="20"/>
      <c r="AM90" s="20"/>
      <c r="AN90" s="20"/>
      <c r="AO90" s="20" t="s">
        <v>439</v>
      </c>
      <c r="AP90" s="20" t="s">
        <v>439</v>
      </c>
      <c r="AQ90" s="20"/>
      <c r="AR90" s="20"/>
      <c r="AS90" s="20"/>
      <c r="AT90" s="20" t="s">
        <v>678</v>
      </c>
      <c r="AU90" s="20"/>
      <c r="AV90" s="20" t="s">
        <v>679</v>
      </c>
      <c r="AW90" s="20"/>
      <c r="AX90" s="20">
        <v>325019647765</v>
      </c>
      <c r="AY90" s="20" t="s">
        <v>677</v>
      </c>
      <c r="AZ90" s="20"/>
      <c r="BA90" s="20"/>
      <c r="BB90" s="20"/>
      <c r="BC90" s="20"/>
      <c r="BD90" s="20"/>
      <c r="BE90" s="20"/>
      <c r="BF90" s="20"/>
      <c r="BG90" s="20"/>
      <c r="BH90" s="20">
        <v>4100</v>
      </c>
      <c r="BI90" s="20" t="s">
        <v>734</v>
      </c>
      <c r="BJ90"/>
      <c r="BK90"/>
      <c r="BL90"/>
    </row>
    <row r="91" spans="1:64" ht="14.4" x14ac:dyDescent="0.3">
      <c r="A91" s="20" t="s">
        <v>735</v>
      </c>
      <c r="B91" s="20" t="s">
        <v>736</v>
      </c>
      <c r="C91" s="20" t="s">
        <v>737</v>
      </c>
      <c r="D91" s="20" t="s">
        <v>172</v>
      </c>
      <c r="E91" s="20" t="s">
        <v>173</v>
      </c>
      <c r="F91" s="20">
        <v>7</v>
      </c>
      <c r="G91" s="20" t="s">
        <v>16</v>
      </c>
      <c r="H91" s="34">
        <v>46050</v>
      </c>
      <c r="I91" s="20">
        <v>19</v>
      </c>
      <c r="J91" s="20" t="s">
        <v>738</v>
      </c>
      <c r="K91" s="20" t="s">
        <v>145</v>
      </c>
      <c r="L91" s="20" t="s">
        <v>117</v>
      </c>
      <c r="M91" s="20" t="s">
        <v>118</v>
      </c>
      <c r="N91" s="20" t="s">
        <v>119</v>
      </c>
      <c r="O91" s="20">
        <v>5279</v>
      </c>
      <c r="P91" s="20"/>
      <c r="Q91" s="20">
        <v>5279</v>
      </c>
      <c r="R91" s="20"/>
      <c r="S91" s="20">
        <v>5279</v>
      </c>
      <c r="T91" s="20" t="s">
        <v>120</v>
      </c>
      <c r="U91" s="20">
        <v>5210101581</v>
      </c>
      <c r="V91" s="20" t="s">
        <v>123</v>
      </c>
      <c r="W91" s="20" t="s">
        <v>124</v>
      </c>
      <c r="X91" s="20" t="s">
        <v>123</v>
      </c>
      <c r="Y91" s="20" t="s">
        <v>124</v>
      </c>
      <c r="Z91" s="20" t="s">
        <v>147</v>
      </c>
      <c r="AA91" s="20">
        <v>0</v>
      </c>
      <c r="AB91" s="20" t="s">
        <v>126</v>
      </c>
      <c r="AC91" s="20" t="s">
        <v>148</v>
      </c>
      <c r="AD91" s="20" t="s">
        <v>149</v>
      </c>
      <c r="AE91" s="20" t="s">
        <v>150</v>
      </c>
      <c r="AF91" s="20" t="s">
        <v>151</v>
      </c>
      <c r="AG91" s="20" t="s">
        <v>131</v>
      </c>
      <c r="AH91" s="20" t="s">
        <v>132</v>
      </c>
      <c r="AI91" s="20"/>
      <c r="AJ91" s="20"/>
      <c r="AK91" s="20"/>
      <c r="AL91" s="20"/>
      <c r="AM91" s="20"/>
      <c r="AN91" s="20"/>
      <c r="AO91" s="20" t="s">
        <v>439</v>
      </c>
      <c r="AP91" s="20" t="s">
        <v>439</v>
      </c>
      <c r="AQ91" s="20"/>
      <c r="AR91" s="20"/>
      <c r="AS91" s="20"/>
      <c r="AT91" s="20" t="s">
        <v>678</v>
      </c>
      <c r="AU91" s="20"/>
      <c r="AV91" s="20" t="s">
        <v>679</v>
      </c>
      <c r="AW91" s="20"/>
      <c r="AX91" s="20">
        <v>325633731673</v>
      </c>
      <c r="AY91" s="20" t="s">
        <v>739</v>
      </c>
      <c r="AZ91" s="20"/>
      <c r="BA91" s="20"/>
      <c r="BB91" s="20"/>
      <c r="BC91" s="20"/>
      <c r="BD91" s="20"/>
      <c r="BE91" s="20"/>
      <c r="BF91" s="20"/>
      <c r="BG91" s="20"/>
      <c r="BH91" s="20">
        <v>4100</v>
      </c>
      <c r="BI91" s="20" t="s">
        <v>740</v>
      </c>
      <c r="BJ91"/>
      <c r="BK91"/>
      <c r="BL91"/>
    </row>
    <row r="92" spans="1:64" ht="14.4" x14ac:dyDescent="0.3">
      <c r="A92" s="20" t="s">
        <v>741</v>
      </c>
      <c r="B92" s="20" t="s">
        <v>742</v>
      </c>
      <c r="C92" s="20" t="s">
        <v>743</v>
      </c>
      <c r="D92" s="20" t="s">
        <v>172</v>
      </c>
      <c r="E92" s="20" t="s">
        <v>173</v>
      </c>
      <c r="F92" s="20">
        <v>7</v>
      </c>
      <c r="G92" s="20" t="s">
        <v>8</v>
      </c>
      <c r="H92" s="34">
        <v>45800</v>
      </c>
      <c r="I92" s="20">
        <v>10</v>
      </c>
      <c r="J92" s="20" t="s">
        <v>720</v>
      </c>
      <c r="K92" s="20" t="s">
        <v>145</v>
      </c>
      <c r="L92" s="20" t="s">
        <v>117</v>
      </c>
      <c r="M92" s="20" t="s">
        <v>118</v>
      </c>
      <c r="N92" s="20" t="s">
        <v>119</v>
      </c>
      <c r="O92" s="20">
        <v>5042</v>
      </c>
      <c r="P92" s="20"/>
      <c r="Q92" s="20">
        <v>5042</v>
      </c>
      <c r="R92" s="20"/>
      <c r="S92" s="20">
        <v>5042</v>
      </c>
      <c r="T92" s="20" t="s">
        <v>146</v>
      </c>
      <c r="U92" s="20">
        <v>5210101581</v>
      </c>
      <c r="V92" s="20" t="s">
        <v>123</v>
      </c>
      <c r="W92" s="20" t="s">
        <v>124</v>
      </c>
      <c r="X92" s="20" t="s">
        <v>123</v>
      </c>
      <c r="Y92" s="20" t="s">
        <v>124</v>
      </c>
      <c r="Z92" s="20" t="s">
        <v>147</v>
      </c>
      <c r="AA92" s="20">
        <v>0</v>
      </c>
      <c r="AB92" s="20" t="s">
        <v>126</v>
      </c>
      <c r="AC92" s="20" t="s">
        <v>148</v>
      </c>
      <c r="AD92" s="20" t="s">
        <v>149</v>
      </c>
      <c r="AE92" s="20" t="s">
        <v>150</v>
      </c>
      <c r="AF92" s="20" t="s">
        <v>151</v>
      </c>
      <c r="AG92" s="20" t="s">
        <v>131</v>
      </c>
      <c r="AH92" s="20" t="s">
        <v>132</v>
      </c>
      <c r="AI92" s="20"/>
      <c r="AJ92" s="20"/>
      <c r="AK92" s="20"/>
      <c r="AL92" s="20"/>
      <c r="AM92" s="20"/>
      <c r="AN92" s="20"/>
      <c r="AO92" s="20" t="s">
        <v>439</v>
      </c>
      <c r="AP92" s="20" t="s">
        <v>439</v>
      </c>
      <c r="AQ92" s="20"/>
      <c r="AR92" s="20"/>
      <c r="AS92" s="20"/>
      <c r="AT92" s="20" t="s">
        <v>678</v>
      </c>
      <c r="AU92" s="20"/>
      <c r="AV92" s="20" t="s">
        <v>679</v>
      </c>
      <c r="AW92" s="20"/>
      <c r="AX92" s="20">
        <v>325784885607</v>
      </c>
      <c r="AY92" s="20" t="s">
        <v>721</v>
      </c>
      <c r="AZ92" s="20"/>
      <c r="BA92" s="20"/>
      <c r="BB92" s="20"/>
      <c r="BC92" s="20"/>
      <c r="BD92" s="20"/>
      <c r="BE92" s="20"/>
      <c r="BF92" s="20"/>
      <c r="BG92" s="20"/>
      <c r="BH92" s="20">
        <v>4100</v>
      </c>
      <c r="BI92" s="20" t="s">
        <v>744</v>
      </c>
      <c r="BJ92"/>
      <c r="BK92"/>
      <c r="BL92"/>
    </row>
    <row r="93" spans="1:64" ht="14.4" x14ac:dyDescent="0.3">
      <c r="A93" s="20" t="s">
        <v>745</v>
      </c>
      <c r="B93" s="20" t="s">
        <v>746</v>
      </c>
      <c r="C93" s="20" t="s">
        <v>747</v>
      </c>
      <c r="D93" s="20" t="s">
        <v>172</v>
      </c>
      <c r="E93" s="20" t="s">
        <v>173</v>
      </c>
      <c r="F93" s="20">
        <v>7</v>
      </c>
      <c r="G93" s="20" t="s">
        <v>17</v>
      </c>
      <c r="H93" s="34">
        <v>46078</v>
      </c>
      <c r="I93" s="20">
        <v>22</v>
      </c>
      <c r="J93" s="20" t="s">
        <v>748</v>
      </c>
      <c r="K93" s="20" t="s">
        <v>145</v>
      </c>
      <c r="L93" s="20" t="s">
        <v>117</v>
      </c>
      <c r="M93" s="20" t="s">
        <v>118</v>
      </c>
      <c r="N93" s="20" t="s">
        <v>119</v>
      </c>
      <c r="O93" s="20">
        <v>5029</v>
      </c>
      <c r="P93" s="20"/>
      <c r="Q93" s="20">
        <v>5029</v>
      </c>
      <c r="R93" s="20"/>
      <c r="S93" s="20">
        <v>5029</v>
      </c>
      <c r="T93" s="20" t="s">
        <v>120</v>
      </c>
      <c r="U93" s="20">
        <v>5210101581</v>
      </c>
      <c r="V93" s="20" t="s">
        <v>123</v>
      </c>
      <c r="W93" s="20" t="s">
        <v>124</v>
      </c>
      <c r="X93" s="20" t="s">
        <v>123</v>
      </c>
      <c r="Y93" s="20" t="s">
        <v>124</v>
      </c>
      <c r="Z93" s="20" t="s">
        <v>147</v>
      </c>
      <c r="AA93" s="20">
        <v>0</v>
      </c>
      <c r="AB93" s="20" t="s">
        <v>126</v>
      </c>
      <c r="AC93" s="20" t="s">
        <v>148</v>
      </c>
      <c r="AD93" s="20" t="s">
        <v>149</v>
      </c>
      <c r="AE93" s="20" t="s">
        <v>150</v>
      </c>
      <c r="AF93" s="20" t="s">
        <v>151</v>
      </c>
      <c r="AG93" s="20" t="s">
        <v>131</v>
      </c>
      <c r="AH93" s="20" t="s">
        <v>132</v>
      </c>
      <c r="AI93" s="20"/>
      <c r="AJ93" s="20"/>
      <c r="AK93" s="20"/>
      <c r="AL93" s="20"/>
      <c r="AM93" s="20"/>
      <c r="AN93" s="20"/>
      <c r="AO93" s="20" t="s">
        <v>439</v>
      </c>
      <c r="AP93" s="20" t="s">
        <v>439</v>
      </c>
      <c r="AQ93" s="20"/>
      <c r="AR93" s="20"/>
      <c r="AS93" s="20"/>
      <c r="AT93" s="20" t="s">
        <v>678</v>
      </c>
      <c r="AU93" s="20"/>
      <c r="AV93" s="20" t="s">
        <v>679</v>
      </c>
      <c r="AW93" s="20"/>
      <c r="AX93" s="20">
        <v>325405312875</v>
      </c>
      <c r="AY93" s="20" t="s">
        <v>749</v>
      </c>
      <c r="AZ93" s="20"/>
      <c r="BA93" s="20"/>
      <c r="BB93" s="20"/>
      <c r="BC93" s="20"/>
      <c r="BD93" s="20"/>
      <c r="BE93" s="20"/>
      <c r="BF93" s="20"/>
      <c r="BG93" s="20"/>
      <c r="BH93" s="20">
        <v>4100</v>
      </c>
      <c r="BI93" s="20" t="s">
        <v>750</v>
      </c>
      <c r="BJ93"/>
      <c r="BK93"/>
      <c r="BL93"/>
    </row>
    <row r="94" spans="1:64" ht="14.4" x14ac:dyDescent="0.3">
      <c r="A94" s="20" t="s">
        <v>751</v>
      </c>
      <c r="B94" s="20" t="s">
        <v>752</v>
      </c>
      <c r="C94" s="20" t="s">
        <v>753</v>
      </c>
      <c r="D94" s="20" t="s">
        <v>172</v>
      </c>
      <c r="E94" s="20" t="s">
        <v>190</v>
      </c>
      <c r="F94" s="20">
        <v>7</v>
      </c>
      <c r="G94" s="20" t="s">
        <v>6</v>
      </c>
      <c r="H94" s="34">
        <v>46140</v>
      </c>
      <c r="I94" s="20">
        <v>14</v>
      </c>
      <c r="J94" s="38" t="s">
        <v>754</v>
      </c>
      <c r="K94" s="20" t="s">
        <v>145</v>
      </c>
      <c r="L94" s="20" t="s">
        <v>117</v>
      </c>
      <c r="M94" s="20" t="s">
        <v>118</v>
      </c>
      <c r="N94" s="20" t="s">
        <v>119</v>
      </c>
      <c r="O94" s="20">
        <v>4116</v>
      </c>
      <c r="P94" s="20"/>
      <c r="Q94" s="20">
        <v>4116</v>
      </c>
      <c r="R94" s="20"/>
      <c r="S94" s="20">
        <v>4116</v>
      </c>
      <c r="T94" s="20" t="s">
        <v>120</v>
      </c>
      <c r="U94" s="20">
        <v>5210101581</v>
      </c>
      <c r="V94" s="20" t="s">
        <v>123</v>
      </c>
      <c r="W94" s="20" t="s">
        <v>124</v>
      </c>
      <c r="X94" s="20" t="s">
        <v>123</v>
      </c>
      <c r="Y94" s="20" t="s">
        <v>124</v>
      </c>
      <c r="Z94" s="20" t="s">
        <v>147</v>
      </c>
      <c r="AA94" s="20">
        <v>0</v>
      </c>
      <c r="AB94" s="20" t="s">
        <v>126</v>
      </c>
      <c r="AC94" s="20" t="s">
        <v>148</v>
      </c>
      <c r="AD94" s="20" t="s">
        <v>149</v>
      </c>
      <c r="AE94" s="20" t="s">
        <v>150</v>
      </c>
      <c r="AF94" s="20" t="s">
        <v>151</v>
      </c>
      <c r="AG94" s="20" t="s">
        <v>131</v>
      </c>
      <c r="AH94" s="20" t="s">
        <v>132</v>
      </c>
      <c r="AI94" s="20"/>
      <c r="AJ94" s="20"/>
      <c r="AK94" s="20"/>
      <c r="AL94" s="20"/>
      <c r="AM94" s="20"/>
      <c r="AN94" s="20"/>
      <c r="AO94" s="20" t="s">
        <v>439</v>
      </c>
      <c r="AP94" s="20" t="s">
        <v>439</v>
      </c>
      <c r="AQ94" s="20"/>
      <c r="AR94" s="20"/>
      <c r="AS94" s="20"/>
      <c r="AT94" s="20" t="s">
        <v>755</v>
      </c>
      <c r="AU94" s="20"/>
      <c r="AV94" s="20" t="s">
        <v>679</v>
      </c>
      <c r="AW94" s="20"/>
      <c r="AX94" s="20">
        <v>325803980260</v>
      </c>
      <c r="AY94" s="20" t="s">
        <v>756</v>
      </c>
      <c r="AZ94" s="20"/>
      <c r="BA94" s="20"/>
      <c r="BB94" s="20"/>
      <c r="BC94" s="20"/>
      <c r="BD94" s="20"/>
      <c r="BE94" s="20"/>
      <c r="BF94" s="20"/>
      <c r="BG94" s="20"/>
      <c r="BH94" s="20">
        <v>4100</v>
      </c>
      <c r="BI94" s="20" t="s">
        <v>757</v>
      </c>
      <c r="BJ94"/>
      <c r="BK94"/>
      <c r="BL94"/>
    </row>
    <row r="95" spans="1:64" ht="14.4" x14ac:dyDescent="0.3">
      <c r="A95" s="20" t="s">
        <v>758</v>
      </c>
      <c r="B95" s="20" t="s">
        <v>696</v>
      </c>
      <c r="C95" s="20" t="s">
        <v>697</v>
      </c>
      <c r="D95" s="20" t="s">
        <v>172</v>
      </c>
      <c r="E95" s="20" t="s">
        <v>173</v>
      </c>
      <c r="F95" s="20">
        <v>7</v>
      </c>
      <c r="G95" s="20" t="s">
        <v>14</v>
      </c>
      <c r="H95" s="34">
        <v>45982</v>
      </c>
      <c r="I95" s="20">
        <v>155</v>
      </c>
      <c r="J95" s="20" t="s">
        <v>698</v>
      </c>
      <c r="K95" s="20" t="s">
        <v>699</v>
      </c>
      <c r="L95" s="20" t="s">
        <v>117</v>
      </c>
      <c r="M95" s="20" t="s">
        <v>118</v>
      </c>
      <c r="N95" s="20" t="s">
        <v>119</v>
      </c>
      <c r="O95" s="20">
        <v>4547</v>
      </c>
      <c r="P95" s="20"/>
      <c r="Q95" s="20">
        <v>4547</v>
      </c>
      <c r="R95" s="20"/>
      <c r="S95" s="20">
        <v>4547</v>
      </c>
      <c r="T95" s="20" t="s">
        <v>146</v>
      </c>
      <c r="U95" s="20">
        <v>5210101584</v>
      </c>
      <c r="V95" s="20" t="s">
        <v>123</v>
      </c>
      <c r="W95" s="20" t="s">
        <v>124</v>
      </c>
      <c r="X95" s="20" t="s">
        <v>123</v>
      </c>
      <c r="Y95" s="20" t="s">
        <v>124</v>
      </c>
      <c r="Z95" s="20" t="s">
        <v>700</v>
      </c>
      <c r="AA95" s="20">
        <v>0</v>
      </c>
      <c r="AB95" s="20" t="s">
        <v>126</v>
      </c>
      <c r="AC95" s="20" t="s">
        <v>127</v>
      </c>
      <c r="AD95" s="20" t="s">
        <v>128</v>
      </c>
      <c r="AE95" s="20" t="s">
        <v>150</v>
      </c>
      <c r="AF95" s="20" t="s">
        <v>151</v>
      </c>
      <c r="AG95" s="20" t="s">
        <v>131</v>
      </c>
      <c r="AH95" s="20" t="s">
        <v>132</v>
      </c>
      <c r="AI95" s="20"/>
      <c r="AJ95" s="20"/>
      <c r="AK95" s="20"/>
      <c r="AL95" s="20">
        <v>117399</v>
      </c>
      <c r="AM95" s="20"/>
      <c r="AN95" s="20"/>
      <c r="AO95" s="20" t="s">
        <v>759</v>
      </c>
      <c r="AP95" s="20" t="s">
        <v>41</v>
      </c>
      <c r="AQ95" s="20"/>
      <c r="AR95" s="20"/>
      <c r="AS95" s="20"/>
      <c r="AT95" s="20">
        <v>100064821</v>
      </c>
      <c r="AU95" s="20"/>
      <c r="AV95" s="20" t="s">
        <v>760</v>
      </c>
      <c r="AW95" s="20"/>
      <c r="AX95" s="20" t="s">
        <v>41</v>
      </c>
      <c r="AY95" s="20" t="s">
        <v>703</v>
      </c>
      <c r="AZ95" s="20"/>
      <c r="BA95" s="20"/>
      <c r="BB95" s="20"/>
      <c r="BC95" s="20"/>
      <c r="BD95" s="20"/>
      <c r="BE95" s="20"/>
      <c r="BF95" s="20"/>
      <c r="BG95" s="20"/>
      <c r="BH95" s="20">
        <v>4204</v>
      </c>
      <c r="BI95" s="20" t="s">
        <v>761</v>
      </c>
      <c r="BJ95"/>
      <c r="BK95"/>
      <c r="BL95"/>
    </row>
    <row r="96" spans="1:64" ht="14.4" x14ac:dyDescent="0.3">
      <c r="A96" s="20" t="s">
        <v>762</v>
      </c>
      <c r="B96" s="20" t="s">
        <v>195</v>
      </c>
      <c r="C96" s="20" t="s">
        <v>196</v>
      </c>
      <c r="D96" s="20" t="s">
        <v>142</v>
      </c>
      <c r="E96" s="20" t="s">
        <v>143</v>
      </c>
      <c r="F96" s="20">
        <v>7</v>
      </c>
      <c r="G96" s="20" t="s">
        <v>9</v>
      </c>
      <c r="H96" s="34">
        <v>45810</v>
      </c>
      <c r="I96" s="20">
        <v>160</v>
      </c>
      <c r="J96" s="20" t="s">
        <v>763</v>
      </c>
      <c r="K96" s="20" t="s">
        <v>145</v>
      </c>
      <c r="L96" s="20" t="s">
        <v>117</v>
      </c>
      <c r="M96" s="20" t="s">
        <v>118</v>
      </c>
      <c r="N96" s="20" t="s">
        <v>119</v>
      </c>
      <c r="O96" s="20">
        <v>3969</v>
      </c>
      <c r="P96" s="20"/>
      <c r="Q96" s="20">
        <v>3969</v>
      </c>
      <c r="R96" s="20"/>
      <c r="S96" s="20">
        <v>3969</v>
      </c>
      <c r="T96" s="20" t="s">
        <v>146</v>
      </c>
      <c r="U96" s="20">
        <v>5210101581</v>
      </c>
      <c r="V96" s="20" t="s">
        <v>123</v>
      </c>
      <c r="W96" s="20" t="s">
        <v>124</v>
      </c>
      <c r="X96" s="20" t="s">
        <v>123</v>
      </c>
      <c r="Y96" s="20" t="s">
        <v>124</v>
      </c>
      <c r="Z96" s="20" t="s">
        <v>147</v>
      </c>
      <c r="AA96" s="20">
        <v>0</v>
      </c>
      <c r="AB96" s="20" t="s">
        <v>126</v>
      </c>
      <c r="AC96" s="20" t="s">
        <v>148</v>
      </c>
      <c r="AD96" s="20" t="s">
        <v>149</v>
      </c>
      <c r="AE96" s="20" t="s">
        <v>150</v>
      </c>
      <c r="AF96" s="20" t="s">
        <v>151</v>
      </c>
      <c r="AG96" s="20" t="s">
        <v>131</v>
      </c>
      <c r="AH96" s="20" t="s">
        <v>132</v>
      </c>
      <c r="AI96" s="20"/>
      <c r="AJ96" s="20"/>
      <c r="AK96" s="20"/>
      <c r="AL96" s="20" t="s">
        <v>764</v>
      </c>
      <c r="AM96" s="20">
        <v>45810</v>
      </c>
      <c r="AN96" s="20" t="s">
        <v>765</v>
      </c>
      <c r="AO96" s="20" t="s">
        <v>39</v>
      </c>
      <c r="AP96" s="20" t="s">
        <v>39</v>
      </c>
      <c r="AQ96" s="20"/>
      <c r="AR96" s="20" t="s">
        <v>766</v>
      </c>
      <c r="AS96" s="20" t="s">
        <v>767</v>
      </c>
      <c r="AT96" s="20">
        <v>117399</v>
      </c>
      <c r="AU96" s="20" t="s">
        <v>157</v>
      </c>
      <c r="AV96" s="20">
        <v>4100</v>
      </c>
      <c r="AW96" s="20" t="s">
        <v>158</v>
      </c>
      <c r="AX96" s="20">
        <v>100066878</v>
      </c>
      <c r="AY96" s="20"/>
      <c r="AZ96" s="20"/>
      <c r="BA96" s="20"/>
      <c r="BB96" s="20"/>
      <c r="BC96" s="20"/>
      <c r="BD96" s="20"/>
      <c r="BE96" s="20"/>
      <c r="BF96" s="20"/>
      <c r="BG96" s="20"/>
      <c r="BH96" s="20"/>
      <c r="BI96" s="20" t="s">
        <v>768</v>
      </c>
      <c r="BJ96"/>
      <c r="BK96"/>
      <c r="BL96"/>
    </row>
    <row r="97" spans="1:64" ht="14.4" x14ac:dyDescent="0.3">
      <c r="A97" s="20" t="s">
        <v>769</v>
      </c>
      <c r="B97" s="20" t="s">
        <v>770</v>
      </c>
      <c r="C97" s="20" t="s">
        <v>771</v>
      </c>
      <c r="D97" s="20" t="s">
        <v>172</v>
      </c>
      <c r="E97" s="20" t="s">
        <v>173</v>
      </c>
      <c r="F97" s="20">
        <v>7</v>
      </c>
      <c r="G97" s="20" t="s">
        <v>9</v>
      </c>
      <c r="H97" s="34">
        <v>45834</v>
      </c>
      <c r="I97" s="20">
        <v>16</v>
      </c>
      <c r="J97" s="20" t="s">
        <v>720</v>
      </c>
      <c r="K97" s="20" t="s">
        <v>145</v>
      </c>
      <c r="L97" s="20" t="s">
        <v>117</v>
      </c>
      <c r="M97" s="20" t="s">
        <v>118</v>
      </c>
      <c r="N97" s="20" t="s">
        <v>119</v>
      </c>
      <c r="O97" s="20">
        <v>3801</v>
      </c>
      <c r="P97" s="20"/>
      <c r="Q97" s="20">
        <v>3801</v>
      </c>
      <c r="R97" s="20"/>
      <c r="S97" s="20">
        <v>3801</v>
      </c>
      <c r="T97" s="20" t="s">
        <v>146</v>
      </c>
      <c r="U97" s="20">
        <v>5210101581</v>
      </c>
      <c r="V97" s="20" t="s">
        <v>123</v>
      </c>
      <c r="W97" s="20" t="s">
        <v>124</v>
      </c>
      <c r="X97" s="20" t="s">
        <v>123</v>
      </c>
      <c r="Y97" s="20" t="s">
        <v>124</v>
      </c>
      <c r="Z97" s="20" t="s">
        <v>147</v>
      </c>
      <c r="AA97" s="20">
        <v>0</v>
      </c>
      <c r="AB97" s="20" t="s">
        <v>126</v>
      </c>
      <c r="AC97" s="20" t="s">
        <v>148</v>
      </c>
      <c r="AD97" s="20" t="s">
        <v>149</v>
      </c>
      <c r="AE97" s="20" t="s">
        <v>150</v>
      </c>
      <c r="AF97" s="20" t="s">
        <v>151</v>
      </c>
      <c r="AG97" s="20" t="s">
        <v>131</v>
      </c>
      <c r="AH97" s="20" t="s">
        <v>132</v>
      </c>
      <c r="AI97" s="20"/>
      <c r="AJ97" s="20"/>
      <c r="AK97" s="20"/>
      <c r="AL97" s="20"/>
      <c r="AM97" s="20"/>
      <c r="AN97" s="20"/>
      <c r="AO97" s="20" t="s">
        <v>439</v>
      </c>
      <c r="AP97" s="20" t="s">
        <v>439</v>
      </c>
      <c r="AQ97" s="20"/>
      <c r="AR97" s="20"/>
      <c r="AS97" s="20"/>
      <c r="AT97" s="20" t="s">
        <v>678</v>
      </c>
      <c r="AU97" s="20"/>
      <c r="AV97" s="20" t="s">
        <v>679</v>
      </c>
      <c r="AW97" s="20"/>
      <c r="AX97" s="20">
        <v>325348896385</v>
      </c>
      <c r="AY97" s="20" t="s">
        <v>721</v>
      </c>
      <c r="AZ97" s="20"/>
      <c r="BA97" s="20"/>
      <c r="BB97" s="20"/>
      <c r="BC97" s="20"/>
      <c r="BD97" s="20"/>
      <c r="BE97" s="20"/>
      <c r="BF97" s="20"/>
      <c r="BG97" s="20"/>
      <c r="BH97" s="20">
        <v>4100</v>
      </c>
      <c r="BI97" s="20" t="s">
        <v>772</v>
      </c>
      <c r="BJ97"/>
      <c r="BK97"/>
      <c r="BL97"/>
    </row>
    <row r="98" spans="1:64" ht="14.4" x14ac:dyDescent="0.3">
      <c r="A98" s="20" t="s">
        <v>773</v>
      </c>
      <c r="B98" s="20" t="s">
        <v>774</v>
      </c>
      <c r="C98" s="20" t="s">
        <v>775</v>
      </c>
      <c r="D98" s="20" t="s">
        <v>142</v>
      </c>
      <c r="E98" s="20" t="s">
        <v>143</v>
      </c>
      <c r="F98" s="20">
        <v>7</v>
      </c>
      <c r="G98" s="20" t="s">
        <v>7</v>
      </c>
      <c r="H98" s="34">
        <v>45749</v>
      </c>
      <c r="I98" s="20">
        <v>31</v>
      </c>
      <c r="J98" s="20" t="s">
        <v>776</v>
      </c>
      <c r="K98" s="20" t="s">
        <v>145</v>
      </c>
      <c r="L98" s="20" t="s">
        <v>117</v>
      </c>
      <c r="M98" s="20" t="s">
        <v>118</v>
      </c>
      <c r="N98" s="20" t="s">
        <v>119</v>
      </c>
      <c r="O98" s="20">
        <v>3438</v>
      </c>
      <c r="P98" s="20"/>
      <c r="Q98" s="20">
        <v>3438</v>
      </c>
      <c r="R98" s="20"/>
      <c r="S98" s="20">
        <v>3438</v>
      </c>
      <c r="T98" s="20" t="s">
        <v>146</v>
      </c>
      <c r="U98" s="20">
        <v>5210101581</v>
      </c>
      <c r="V98" s="20" t="s">
        <v>123</v>
      </c>
      <c r="W98" s="20" t="s">
        <v>124</v>
      </c>
      <c r="X98" s="20" t="s">
        <v>123</v>
      </c>
      <c r="Y98" s="20" t="s">
        <v>124</v>
      </c>
      <c r="Z98" s="20" t="s">
        <v>147</v>
      </c>
      <c r="AA98" s="20">
        <v>0</v>
      </c>
      <c r="AB98" s="20" t="s">
        <v>126</v>
      </c>
      <c r="AC98" s="20" t="s">
        <v>148</v>
      </c>
      <c r="AD98" s="20" t="s">
        <v>149</v>
      </c>
      <c r="AE98" s="20" t="s">
        <v>150</v>
      </c>
      <c r="AF98" s="20" t="s">
        <v>151</v>
      </c>
      <c r="AG98" s="20" t="s">
        <v>131</v>
      </c>
      <c r="AH98" s="20" t="s">
        <v>132</v>
      </c>
      <c r="AI98" s="20"/>
      <c r="AJ98" s="20"/>
      <c r="AK98" s="20"/>
      <c r="AL98" s="20" t="s">
        <v>777</v>
      </c>
      <c r="AM98" s="20">
        <v>45748</v>
      </c>
      <c r="AN98" s="20" t="s">
        <v>778</v>
      </c>
      <c r="AO98" s="20" t="s">
        <v>39</v>
      </c>
      <c r="AP98" s="20" t="s">
        <v>39</v>
      </c>
      <c r="AQ98" s="20"/>
      <c r="AR98" s="20" t="s">
        <v>779</v>
      </c>
      <c r="AS98" s="20" t="s">
        <v>780</v>
      </c>
      <c r="AT98" s="20">
        <v>117399</v>
      </c>
      <c r="AU98" s="20" t="s">
        <v>157</v>
      </c>
      <c r="AV98" s="20">
        <v>4100</v>
      </c>
      <c r="AW98" s="20" t="s">
        <v>158</v>
      </c>
      <c r="AX98" s="20">
        <v>100066033</v>
      </c>
      <c r="AY98" s="20"/>
      <c r="AZ98" s="20"/>
      <c r="BA98" s="20"/>
      <c r="BB98" s="20"/>
      <c r="BC98" s="20"/>
      <c r="BD98" s="20"/>
      <c r="BE98" s="20"/>
      <c r="BF98" s="20"/>
      <c r="BG98" s="20"/>
      <c r="BH98" s="20"/>
      <c r="BI98" s="20" t="s">
        <v>781</v>
      </c>
      <c r="BJ98"/>
      <c r="BK98"/>
      <c r="BL98"/>
    </row>
    <row r="99" spans="1:64" ht="14.4" x14ac:dyDescent="0.3">
      <c r="A99" s="20" t="s">
        <v>782</v>
      </c>
      <c r="B99" s="20" t="s">
        <v>783</v>
      </c>
      <c r="C99" s="20" t="s">
        <v>784</v>
      </c>
      <c r="D99" s="20" t="s">
        <v>142</v>
      </c>
      <c r="E99" s="20" t="s">
        <v>143</v>
      </c>
      <c r="F99" s="20">
        <v>7</v>
      </c>
      <c r="G99" s="20" t="s">
        <v>11</v>
      </c>
      <c r="H99" s="34">
        <v>45874</v>
      </c>
      <c r="I99" s="20">
        <v>50</v>
      </c>
      <c r="J99" s="20" t="s">
        <v>785</v>
      </c>
      <c r="K99" s="20" t="s">
        <v>145</v>
      </c>
      <c r="L99" s="20" t="s">
        <v>117</v>
      </c>
      <c r="M99" s="20" t="s">
        <v>118</v>
      </c>
      <c r="N99" s="20" t="s">
        <v>119</v>
      </c>
      <c r="O99" s="20">
        <v>3289</v>
      </c>
      <c r="P99" s="20"/>
      <c r="Q99" s="20">
        <v>3289</v>
      </c>
      <c r="R99" s="20"/>
      <c r="S99" s="20">
        <v>3289</v>
      </c>
      <c r="T99" s="20" t="s">
        <v>146</v>
      </c>
      <c r="U99" s="20">
        <v>5210101581</v>
      </c>
      <c r="V99" s="20" t="s">
        <v>123</v>
      </c>
      <c r="W99" s="20" t="s">
        <v>124</v>
      </c>
      <c r="X99" s="20" t="s">
        <v>123</v>
      </c>
      <c r="Y99" s="20" t="s">
        <v>124</v>
      </c>
      <c r="Z99" s="20" t="s">
        <v>147</v>
      </c>
      <c r="AA99" s="20">
        <v>0</v>
      </c>
      <c r="AB99" s="20" t="s">
        <v>126</v>
      </c>
      <c r="AC99" s="20" t="s">
        <v>148</v>
      </c>
      <c r="AD99" s="20" t="s">
        <v>149</v>
      </c>
      <c r="AE99" s="20" t="s">
        <v>150</v>
      </c>
      <c r="AF99" s="20" t="s">
        <v>151</v>
      </c>
      <c r="AG99" s="20" t="s">
        <v>131</v>
      </c>
      <c r="AH99" s="20" t="s">
        <v>132</v>
      </c>
      <c r="AI99" s="20"/>
      <c r="AJ99" s="20"/>
      <c r="AK99" s="20"/>
      <c r="AL99" s="20" t="s">
        <v>786</v>
      </c>
      <c r="AM99" s="20">
        <v>45870</v>
      </c>
      <c r="AN99" s="20" t="s">
        <v>787</v>
      </c>
      <c r="AO99" s="20" t="s">
        <v>39</v>
      </c>
      <c r="AP99" s="20" t="s">
        <v>39</v>
      </c>
      <c r="AQ99" s="20"/>
      <c r="AR99" s="20" t="s">
        <v>788</v>
      </c>
      <c r="AS99" s="20" t="s">
        <v>789</v>
      </c>
      <c r="AT99" s="20">
        <v>117399</v>
      </c>
      <c r="AU99" s="20" t="s">
        <v>157</v>
      </c>
      <c r="AV99" s="20">
        <v>4100</v>
      </c>
      <c r="AW99" s="20" t="s">
        <v>158</v>
      </c>
      <c r="AX99" s="20">
        <v>100067793</v>
      </c>
      <c r="AY99" s="20"/>
      <c r="AZ99" s="20"/>
      <c r="BA99" s="20"/>
      <c r="BB99" s="20"/>
      <c r="BC99" s="20"/>
      <c r="BD99" s="20"/>
      <c r="BE99" s="20"/>
      <c r="BF99" s="20"/>
      <c r="BG99" s="20"/>
      <c r="BH99" s="20"/>
      <c r="BI99" s="20" t="s">
        <v>790</v>
      </c>
      <c r="BJ99"/>
      <c r="BK99"/>
      <c r="BL99"/>
    </row>
    <row r="100" spans="1:64" ht="14.4" x14ac:dyDescent="0.3">
      <c r="A100" s="20" t="s">
        <v>791</v>
      </c>
      <c r="B100" s="20" t="s">
        <v>792</v>
      </c>
      <c r="C100" s="20" t="s">
        <v>793</v>
      </c>
      <c r="D100" s="20" t="s">
        <v>142</v>
      </c>
      <c r="E100" s="20" t="s">
        <v>143</v>
      </c>
      <c r="F100" s="20">
        <v>7</v>
      </c>
      <c r="G100" s="20" t="s">
        <v>16</v>
      </c>
      <c r="H100" s="34">
        <v>46024</v>
      </c>
      <c r="I100" s="20">
        <v>80</v>
      </c>
      <c r="J100" s="20" t="s">
        <v>794</v>
      </c>
      <c r="K100" s="20" t="s">
        <v>145</v>
      </c>
      <c r="L100" s="20" t="s">
        <v>117</v>
      </c>
      <c r="M100" s="20" t="s">
        <v>118</v>
      </c>
      <c r="N100" s="20" t="s">
        <v>119</v>
      </c>
      <c r="O100" s="20">
        <v>3288</v>
      </c>
      <c r="P100" s="20"/>
      <c r="Q100" s="20">
        <v>3288</v>
      </c>
      <c r="R100" s="20"/>
      <c r="S100" s="20">
        <v>3288</v>
      </c>
      <c r="T100" s="20" t="s">
        <v>120</v>
      </c>
      <c r="U100" s="20">
        <v>5210101581</v>
      </c>
      <c r="V100" s="20" t="s">
        <v>123</v>
      </c>
      <c r="W100" s="20" t="s">
        <v>124</v>
      </c>
      <c r="X100" s="20" t="s">
        <v>123</v>
      </c>
      <c r="Y100" s="20" t="s">
        <v>124</v>
      </c>
      <c r="Z100" s="20" t="s">
        <v>147</v>
      </c>
      <c r="AA100" s="20">
        <v>0</v>
      </c>
      <c r="AB100" s="20" t="s">
        <v>126</v>
      </c>
      <c r="AC100" s="20" t="s">
        <v>148</v>
      </c>
      <c r="AD100" s="20" t="s">
        <v>149</v>
      </c>
      <c r="AE100" s="20" t="s">
        <v>150</v>
      </c>
      <c r="AF100" s="20" t="s">
        <v>151</v>
      </c>
      <c r="AG100" s="20" t="s">
        <v>131</v>
      </c>
      <c r="AH100" s="20" t="s">
        <v>132</v>
      </c>
      <c r="AI100" s="20"/>
      <c r="AJ100" s="20"/>
      <c r="AK100" s="20"/>
      <c r="AL100" s="20" t="s">
        <v>795</v>
      </c>
      <c r="AM100" s="20">
        <v>46024</v>
      </c>
      <c r="AN100" s="20" t="s">
        <v>796</v>
      </c>
      <c r="AO100" s="20" t="s">
        <v>39</v>
      </c>
      <c r="AP100" s="20" t="s">
        <v>39</v>
      </c>
      <c r="AQ100" s="20"/>
      <c r="AR100" s="20" t="s">
        <v>797</v>
      </c>
      <c r="AS100" s="20" t="s">
        <v>798</v>
      </c>
      <c r="AT100" s="20">
        <v>117399</v>
      </c>
      <c r="AU100" s="20" t="s">
        <v>157</v>
      </c>
      <c r="AV100" s="20">
        <v>4100</v>
      </c>
      <c r="AW100" s="20" t="s">
        <v>158</v>
      </c>
      <c r="AX100" s="20">
        <v>100070303</v>
      </c>
      <c r="AY100" s="20"/>
      <c r="AZ100" s="20"/>
      <c r="BA100" s="20"/>
      <c r="BB100" s="20"/>
      <c r="BC100" s="20"/>
      <c r="BD100" s="20"/>
      <c r="BE100" s="20"/>
      <c r="BF100" s="20"/>
      <c r="BG100" s="20"/>
      <c r="BH100" s="20"/>
      <c r="BI100" s="20" t="s">
        <v>799</v>
      </c>
      <c r="BJ100"/>
      <c r="BK100"/>
      <c r="BL100"/>
    </row>
    <row r="101" spans="1:64" ht="14.4" x14ac:dyDescent="0.3">
      <c r="A101" s="20" t="s">
        <v>800</v>
      </c>
      <c r="B101" s="20" t="s">
        <v>391</v>
      </c>
      <c r="C101" s="20" t="s">
        <v>801</v>
      </c>
      <c r="D101" s="20" t="s">
        <v>142</v>
      </c>
      <c r="E101" s="20" t="s">
        <v>143</v>
      </c>
      <c r="F101" s="20">
        <v>7</v>
      </c>
      <c r="G101" s="20" t="s">
        <v>14</v>
      </c>
      <c r="H101" s="34">
        <v>45985</v>
      </c>
      <c r="I101" s="20">
        <v>243</v>
      </c>
      <c r="J101" s="20" t="s">
        <v>802</v>
      </c>
      <c r="K101" s="20" t="s">
        <v>145</v>
      </c>
      <c r="L101" s="20" t="s">
        <v>117</v>
      </c>
      <c r="M101" s="20" t="s">
        <v>118</v>
      </c>
      <c r="N101" s="20" t="s">
        <v>119</v>
      </c>
      <c r="O101" s="20">
        <v>2600</v>
      </c>
      <c r="P101" s="20"/>
      <c r="Q101" s="20">
        <v>2600</v>
      </c>
      <c r="R101" s="20"/>
      <c r="S101" s="20">
        <v>2600</v>
      </c>
      <c r="T101" s="20" t="s">
        <v>146</v>
      </c>
      <c r="U101" s="20">
        <v>5210101581</v>
      </c>
      <c r="V101" s="20" t="s">
        <v>123</v>
      </c>
      <c r="W101" s="20" t="s">
        <v>124</v>
      </c>
      <c r="X101" s="20" t="s">
        <v>123</v>
      </c>
      <c r="Y101" s="20" t="s">
        <v>124</v>
      </c>
      <c r="Z101" s="20" t="s">
        <v>147</v>
      </c>
      <c r="AA101" s="20">
        <v>0</v>
      </c>
      <c r="AB101" s="20" t="s">
        <v>126</v>
      </c>
      <c r="AC101" s="20" t="s">
        <v>148</v>
      </c>
      <c r="AD101" s="20" t="s">
        <v>149</v>
      </c>
      <c r="AE101" s="20" t="s">
        <v>150</v>
      </c>
      <c r="AF101" s="20" t="s">
        <v>151</v>
      </c>
      <c r="AG101" s="20" t="s">
        <v>131</v>
      </c>
      <c r="AH101" s="20" t="s">
        <v>132</v>
      </c>
      <c r="AI101" s="20"/>
      <c r="AJ101" s="20"/>
      <c r="AK101" s="20"/>
      <c r="AL101" s="20" t="s">
        <v>803</v>
      </c>
      <c r="AM101" s="20">
        <v>45982</v>
      </c>
      <c r="AN101" s="20" t="s">
        <v>804</v>
      </c>
      <c r="AO101" s="20" t="s">
        <v>39</v>
      </c>
      <c r="AP101" s="20" t="s">
        <v>39</v>
      </c>
      <c r="AQ101" s="20"/>
      <c r="AR101" s="20" t="s">
        <v>805</v>
      </c>
      <c r="AS101" s="20" t="s">
        <v>806</v>
      </c>
      <c r="AT101" s="20">
        <v>117399</v>
      </c>
      <c r="AU101" s="20" t="s">
        <v>157</v>
      </c>
      <c r="AV101" s="20">
        <v>4100</v>
      </c>
      <c r="AW101" s="20" t="s">
        <v>158</v>
      </c>
      <c r="AX101" s="20">
        <v>100069637</v>
      </c>
      <c r="AY101" s="20"/>
      <c r="AZ101" s="20"/>
      <c r="BA101" s="20"/>
      <c r="BB101" s="20"/>
      <c r="BC101" s="20"/>
      <c r="BD101" s="20"/>
      <c r="BE101" s="20"/>
      <c r="BF101" s="20"/>
      <c r="BG101" s="20"/>
      <c r="BH101" s="20"/>
      <c r="BI101" s="20" t="s">
        <v>807</v>
      </c>
      <c r="BJ101"/>
      <c r="BK101"/>
      <c r="BL101"/>
    </row>
    <row r="102" spans="1:64" ht="14.4" x14ac:dyDescent="0.3">
      <c r="A102" s="20" t="s">
        <v>808</v>
      </c>
      <c r="B102" s="20" t="s">
        <v>688</v>
      </c>
      <c r="C102" s="20" t="s">
        <v>689</v>
      </c>
      <c r="D102" s="20" t="s">
        <v>142</v>
      </c>
      <c r="E102" s="20" t="s">
        <v>143</v>
      </c>
      <c r="F102" s="20">
        <v>7</v>
      </c>
      <c r="G102" s="20" t="s">
        <v>16</v>
      </c>
      <c r="H102" s="34">
        <v>46042</v>
      </c>
      <c r="I102" s="20">
        <v>119</v>
      </c>
      <c r="J102" s="20" t="s">
        <v>809</v>
      </c>
      <c r="K102" s="20" t="s">
        <v>145</v>
      </c>
      <c r="L102" s="20" t="s">
        <v>117</v>
      </c>
      <c r="M102" s="20" t="s">
        <v>118</v>
      </c>
      <c r="N102" s="20" t="s">
        <v>119</v>
      </c>
      <c r="O102" s="20">
        <v>2600</v>
      </c>
      <c r="P102" s="20"/>
      <c r="Q102" s="20">
        <v>2600</v>
      </c>
      <c r="R102" s="20"/>
      <c r="S102" s="20">
        <v>2600</v>
      </c>
      <c r="T102" s="20" t="s">
        <v>120</v>
      </c>
      <c r="U102" s="20">
        <v>5210101581</v>
      </c>
      <c r="V102" s="20" t="s">
        <v>123</v>
      </c>
      <c r="W102" s="20" t="s">
        <v>124</v>
      </c>
      <c r="X102" s="20" t="s">
        <v>123</v>
      </c>
      <c r="Y102" s="20" t="s">
        <v>124</v>
      </c>
      <c r="Z102" s="20" t="s">
        <v>147</v>
      </c>
      <c r="AA102" s="20">
        <v>0</v>
      </c>
      <c r="AB102" s="20" t="s">
        <v>126</v>
      </c>
      <c r="AC102" s="20" t="s">
        <v>148</v>
      </c>
      <c r="AD102" s="20" t="s">
        <v>149</v>
      </c>
      <c r="AE102" s="20" t="s">
        <v>150</v>
      </c>
      <c r="AF102" s="20" t="s">
        <v>151</v>
      </c>
      <c r="AG102" s="20" t="s">
        <v>131</v>
      </c>
      <c r="AH102" s="20" t="s">
        <v>132</v>
      </c>
      <c r="AI102" s="20"/>
      <c r="AJ102" s="20"/>
      <c r="AK102" s="20"/>
      <c r="AL102" s="20" t="s">
        <v>810</v>
      </c>
      <c r="AM102" s="20">
        <v>46042</v>
      </c>
      <c r="AN102" s="20" t="s">
        <v>811</v>
      </c>
      <c r="AO102" s="20" t="s">
        <v>39</v>
      </c>
      <c r="AP102" s="20" t="s">
        <v>39</v>
      </c>
      <c r="AQ102" s="20"/>
      <c r="AR102" s="20" t="s">
        <v>812</v>
      </c>
      <c r="AS102" s="20" t="s">
        <v>813</v>
      </c>
      <c r="AT102" s="20">
        <v>117399</v>
      </c>
      <c r="AU102" s="20" t="s">
        <v>157</v>
      </c>
      <c r="AV102" s="20">
        <v>4100</v>
      </c>
      <c r="AW102" s="20" t="s">
        <v>158</v>
      </c>
      <c r="AX102" s="20">
        <v>100070489</v>
      </c>
      <c r="AY102" s="20"/>
      <c r="AZ102" s="20"/>
      <c r="BA102" s="20"/>
      <c r="BB102" s="20"/>
      <c r="BC102" s="20"/>
      <c r="BD102" s="20"/>
      <c r="BE102" s="20"/>
      <c r="BF102" s="20"/>
      <c r="BG102" s="20"/>
      <c r="BH102" s="20"/>
      <c r="BI102" s="20" t="s">
        <v>814</v>
      </c>
      <c r="BJ102"/>
      <c r="BK102"/>
      <c r="BL102"/>
    </row>
    <row r="103" spans="1:64" ht="14.4" x14ac:dyDescent="0.3">
      <c r="A103" s="20" t="s">
        <v>815</v>
      </c>
      <c r="B103" s="20" t="s">
        <v>816</v>
      </c>
      <c r="C103" s="20" t="s">
        <v>817</v>
      </c>
      <c r="D103" s="20" t="s">
        <v>142</v>
      </c>
      <c r="E103" s="20" t="s">
        <v>143</v>
      </c>
      <c r="F103" s="20">
        <v>7</v>
      </c>
      <c r="G103" s="20" t="s">
        <v>15</v>
      </c>
      <c r="H103" s="34">
        <v>46010</v>
      </c>
      <c r="I103" s="20">
        <v>148</v>
      </c>
      <c r="J103" s="20" t="s">
        <v>818</v>
      </c>
      <c r="K103" s="20" t="s">
        <v>145</v>
      </c>
      <c r="L103" s="20" t="s">
        <v>117</v>
      </c>
      <c r="M103" s="20" t="s">
        <v>118</v>
      </c>
      <c r="N103" s="20" t="s">
        <v>119</v>
      </c>
      <c r="O103" s="20">
        <v>2100</v>
      </c>
      <c r="P103" s="20"/>
      <c r="Q103" s="20">
        <v>2100</v>
      </c>
      <c r="R103" s="20"/>
      <c r="S103" s="20">
        <v>2100</v>
      </c>
      <c r="T103" s="20" t="s">
        <v>146</v>
      </c>
      <c r="U103" s="20">
        <v>5210101581</v>
      </c>
      <c r="V103" s="20" t="s">
        <v>123</v>
      </c>
      <c r="W103" s="20" t="s">
        <v>124</v>
      </c>
      <c r="X103" s="20" t="s">
        <v>123</v>
      </c>
      <c r="Y103" s="20" t="s">
        <v>124</v>
      </c>
      <c r="Z103" s="20" t="s">
        <v>147</v>
      </c>
      <c r="AA103" s="20">
        <v>0</v>
      </c>
      <c r="AB103" s="20" t="s">
        <v>126</v>
      </c>
      <c r="AC103" s="20" t="s">
        <v>148</v>
      </c>
      <c r="AD103" s="20" t="s">
        <v>149</v>
      </c>
      <c r="AE103" s="20" t="s">
        <v>150</v>
      </c>
      <c r="AF103" s="20" t="s">
        <v>151</v>
      </c>
      <c r="AG103" s="20" t="s">
        <v>131</v>
      </c>
      <c r="AH103" s="20" t="s">
        <v>132</v>
      </c>
      <c r="AI103" s="20"/>
      <c r="AJ103" s="20"/>
      <c r="AK103" s="20"/>
      <c r="AL103" s="20" t="s">
        <v>819</v>
      </c>
      <c r="AM103" s="20">
        <v>46008</v>
      </c>
      <c r="AN103" s="20" t="s">
        <v>820</v>
      </c>
      <c r="AO103" s="20" t="s">
        <v>35</v>
      </c>
      <c r="AP103" s="20" t="s">
        <v>35</v>
      </c>
      <c r="AQ103" s="20"/>
      <c r="AR103" s="20" t="s">
        <v>821</v>
      </c>
      <c r="AS103" s="20" t="s">
        <v>822</v>
      </c>
      <c r="AT103" s="20">
        <v>117399</v>
      </c>
      <c r="AU103" s="20" t="s">
        <v>157</v>
      </c>
      <c r="AV103" s="20">
        <v>4100</v>
      </c>
      <c r="AW103" s="20" t="s">
        <v>158</v>
      </c>
      <c r="AX103" s="20">
        <v>100070167</v>
      </c>
      <c r="AY103" s="20"/>
      <c r="AZ103" s="20"/>
      <c r="BA103" s="20"/>
      <c r="BB103" s="20"/>
      <c r="BC103" s="20"/>
      <c r="BD103" s="20"/>
      <c r="BE103" s="20"/>
      <c r="BF103" s="20"/>
      <c r="BG103" s="20"/>
      <c r="BH103" s="20"/>
      <c r="BI103" s="20" t="s">
        <v>823</v>
      </c>
      <c r="BJ103"/>
      <c r="BK103"/>
      <c r="BL103"/>
    </row>
    <row r="104" spans="1:64" ht="14.4" x14ac:dyDescent="0.3">
      <c r="A104" s="20" t="s">
        <v>824</v>
      </c>
      <c r="B104" s="20" t="s">
        <v>825</v>
      </c>
      <c r="C104" s="20" t="s">
        <v>826</v>
      </c>
      <c r="D104" s="20" t="s">
        <v>172</v>
      </c>
      <c r="E104" s="20" t="s">
        <v>173</v>
      </c>
      <c r="F104" s="20">
        <v>7</v>
      </c>
      <c r="G104" s="20" t="s">
        <v>18</v>
      </c>
      <c r="H104" s="34">
        <v>46107</v>
      </c>
      <c r="I104" s="20">
        <v>19</v>
      </c>
      <c r="J104" s="38" t="s">
        <v>827</v>
      </c>
      <c r="K104" s="20" t="s">
        <v>145</v>
      </c>
      <c r="L104" s="20" t="s">
        <v>117</v>
      </c>
      <c r="M104" s="20" t="s">
        <v>118</v>
      </c>
      <c r="N104" s="20" t="s">
        <v>119</v>
      </c>
      <c r="O104" s="20">
        <v>3284</v>
      </c>
      <c r="P104" s="20"/>
      <c r="Q104" s="20">
        <v>3284</v>
      </c>
      <c r="R104" s="20"/>
      <c r="S104" s="20">
        <v>3284</v>
      </c>
      <c r="T104" s="20" t="s">
        <v>120</v>
      </c>
      <c r="U104" s="20">
        <v>5210101581</v>
      </c>
      <c r="V104" s="20" t="s">
        <v>123</v>
      </c>
      <c r="W104" s="20" t="s">
        <v>124</v>
      </c>
      <c r="X104" s="20" t="s">
        <v>123</v>
      </c>
      <c r="Y104" s="20" t="s">
        <v>124</v>
      </c>
      <c r="Z104" s="20" t="s">
        <v>147</v>
      </c>
      <c r="AA104" s="20">
        <v>0</v>
      </c>
      <c r="AB104" s="20" t="s">
        <v>126</v>
      </c>
      <c r="AC104" s="20" t="s">
        <v>148</v>
      </c>
      <c r="AD104" s="20" t="s">
        <v>149</v>
      </c>
      <c r="AE104" s="20" t="s">
        <v>150</v>
      </c>
      <c r="AF104" s="20" t="s">
        <v>151</v>
      </c>
      <c r="AG104" s="20" t="s">
        <v>131</v>
      </c>
      <c r="AH104" s="20" t="s">
        <v>132</v>
      </c>
      <c r="AI104" s="20"/>
      <c r="AJ104" s="20"/>
      <c r="AK104" s="20"/>
      <c r="AL104" s="20"/>
      <c r="AM104" s="20"/>
      <c r="AN104" s="20"/>
      <c r="AO104" s="20" t="s">
        <v>439</v>
      </c>
      <c r="AP104" s="20" t="s">
        <v>439</v>
      </c>
      <c r="AQ104" s="20"/>
      <c r="AR104" s="20"/>
      <c r="AS104" s="20"/>
      <c r="AT104" s="20"/>
      <c r="AU104" s="20"/>
      <c r="AV104" s="20" t="s">
        <v>679</v>
      </c>
      <c r="AW104" s="20"/>
      <c r="AX104" s="20">
        <v>325926902801</v>
      </c>
      <c r="AY104" s="20" t="s">
        <v>828</v>
      </c>
      <c r="AZ104" s="20"/>
      <c r="BA104" s="20"/>
      <c r="BB104" s="20"/>
      <c r="BC104" s="20"/>
      <c r="BD104" s="20"/>
      <c r="BE104" s="20"/>
      <c r="BF104" s="20"/>
      <c r="BG104" s="20"/>
      <c r="BH104" s="20">
        <v>4100</v>
      </c>
      <c r="BI104" s="20" t="s">
        <v>829</v>
      </c>
      <c r="BJ104"/>
      <c r="BK104"/>
      <c r="BL104"/>
    </row>
    <row r="105" spans="1:64" ht="14.4" x14ac:dyDescent="0.3">
      <c r="A105" s="20" t="s">
        <v>830</v>
      </c>
      <c r="B105" s="20" t="s">
        <v>696</v>
      </c>
      <c r="C105" s="20" t="s">
        <v>697</v>
      </c>
      <c r="D105" s="20" t="s">
        <v>172</v>
      </c>
      <c r="E105" s="20" t="s">
        <v>173</v>
      </c>
      <c r="F105" s="20">
        <v>7</v>
      </c>
      <c r="G105" s="20" t="s">
        <v>14</v>
      </c>
      <c r="H105" s="34">
        <v>45982</v>
      </c>
      <c r="I105" s="20">
        <v>154</v>
      </c>
      <c r="J105" s="20" t="s">
        <v>698</v>
      </c>
      <c r="K105" s="20" t="s">
        <v>699</v>
      </c>
      <c r="L105" s="20" t="s">
        <v>117</v>
      </c>
      <c r="M105" s="20" t="s">
        <v>118</v>
      </c>
      <c r="N105" s="20" t="s">
        <v>119</v>
      </c>
      <c r="O105" s="20">
        <v>1811.26</v>
      </c>
      <c r="P105" s="20"/>
      <c r="Q105" s="20">
        <v>1811.26</v>
      </c>
      <c r="R105" s="20"/>
      <c r="S105" s="20">
        <v>1811.26</v>
      </c>
      <c r="T105" s="20" t="s">
        <v>146</v>
      </c>
      <c r="U105" s="20">
        <v>5210101584</v>
      </c>
      <c r="V105" s="20" t="s">
        <v>123</v>
      </c>
      <c r="W105" s="20" t="s">
        <v>124</v>
      </c>
      <c r="X105" s="20" t="s">
        <v>123</v>
      </c>
      <c r="Y105" s="20" t="s">
        <v>124</v>
      </c>
      <c r="Z105" s="20" t="s">
        <v>700</v>
      </c>
      <c r="AA105" s="20">
        <v>0</v>
      </c>
      <c r="AB105" s="20" t="s">
        <v>126</v>
      </c>
      <c r="AC105" s="20" t="s">
        <v>127</v>
      </c>
      <c r="AD105" s="20" t="s">
        <v>128</v>
      </c>
      <c r="AE105" s="20" t="s">
        <v>150</v>
      </c>
      <c r="AF105" s="20" t="s">
        <v>151</v>
      </c>
      <c r="AG105" s="20" t="s">
        <v>131</v>
      </c>
      <c r="AH105" s="20" t="s">
        <v>132</v>
      </c>
      <c r="AI105" s="20"/>
      <c r="AJ105" s="20"/>
      <c r="AK105" s="20"/>
      <c r="AL105" s="20">
        <v>117399</v>
      </c>
      <c r="AM105" s="20"/>
      <c r="AN105" s="20"/>
      <c r="AO105" s="20" t="s">
        <v>701</v>
      </c>
      <c r="AP105" s="20" t="s">
        <v>37</v>
      </c>
      <c r="AQ105" s="20"/>
      <c r="AR105" s="20"/>
      <c r="AS105" s="20"/>
      <c r="AT105" s="20">
        <v>100064526</v>
      </c>
      <c r="AU105" s="20"/>
      <c r="AV105" s="20" t="s">
        <v>831</v>
      </c>
      <c r="AW105" s="20"/>
      <c r="AX105" s="20" t="s">
        <v>37</v>
      </c>
      <c r="AY105" s="20" t="s">
        <v>703</v>
      </c>
      <c r="AZ105" s="20"/>
      <c r="BA105" s="20"/>
      <c r="BB105" s="20"/>
      <c r="BC105" s="20"/>
      <c r="BD105" s="20"/>
      <c r="BE105" s="20"/>
      <c r="BF105" s="20"/>
      <c r="BG105" s="20"/>
      <c r="BH105" s="20">
        <v>4204</v>
      </c>
      <c r="BI105" s="20" t="s">
        <v>832</v>
      </c>
      <c r="BJ105"/>
      <c r="BK105"/>
      <c r="BL105"/>
    </row>
    <row r="106" spans="1:64" ht="14.4" x14ac:dyDescent="0.3">
      <c r="A106" s="20" t="s">
        <v>833</v>
      </c>
      <c r="B106" s="20" t="s">
        <v>834</v>
      </c>
      <c r="C106" s="20" t="s">
        <v>835</v>
      </c>
      <c r="D106" s="20" t="s">
        <v>142</v>
      </c>
      <c r="E106" s="20" t="s">
        <v>143</v>
      </c>
      <c r="F106" s="20">
        <v>7</v>
      </c>
      <c r="G106" s="20" t="s">
        <v>15</v>
      </c>
      <c r="H106" s="34">
        <v>45993</v>
      </c>
      <c r="I106" s="20">
        <v>35</v>
      </c>
      <c r="J106" s="20" t="s">
        <v>836</v>
      </c>
      <c r="K106" s="20" t="s">
        <v>145</v>
      </c>
      <c r="L106" s="20" t="s">
        <v>117</v>
      </c>
      <c r="M106" s="20" t="s">
        <v>118</v>
      </c>
      <c r="N106" s="20" t="s">
        <v>119</v>
      </c>
      <c r="O106" s="20">
        <v>1803</v>
      </c>
      <c r="P106" s="20"/>
      <c r="Q106" s="20">
        <v>1803</v>
      </c>
      <c r="R106" s="20"/>
      <c r="S106" s="20">
        <v>1803</v>
      </c>
      <c r="T106" s="20" t="s">
        <v>146</v>
      </c>
      <c r="U106" s="20">
        <v>5210101581</v>
      </c>
      <c r="V106" s="20" t="s">
        <v>123</v>
      </c>
      <c r="W106" s="20" t="s">
        <v>124</v>
      </c>
      <c r="X106" s="20" t="s">
        <v>123</v>
      </c>
      <c r="Y106" s="20" t="s">
        <v>124</v>
      </c>
      <c r="Z106" s="20" t="s">
        <v>147</v>
      </c>
      <c r="AA106" s="20">
        <v>0</v>
      </c>
      <c r="AB106" s="20" t="s">
        <v>126</v>
      </c>
      <c r="AC106" s="20" t="s">
        <v>148</v>
      </c>
      <c r="AD106" s="20" t="s">
        <v>149</v>
      </c>
      <c r="AE106" s="20" t="s">
        <v>150</v>
      </c>
      <c r="AF106" s="20" t="s">
        <v>151</v>
      </c>
      <c r="AG106" s="20" t="s">
        <v>131</v>
      </c>
      <c r="AH106" s="20" t="s">
        <v>132</v>
      </c>
      <c r="AI106" s="20"/>
      <c r="AJ106" s="20"/>
      <c r="AK106" s="20"/>
      <c r="AL106" s="20" t="s">
        <v>837</v>
      </c>
      <c r="AM106" s="20">
        <v>45992</v>
      </c>
      <c r="AN106" s="20" t="s">
        <v>838</v>
      </c>
      <c r="AO106" s="20" t="s">
        <v>39</v>
      </c>
      <c r="AP106" s="20" t="s">
        <v>39</v>
      </c>
      <c r="AQ106" s="20"/>
      <c r="AR106" s="20" t="s">
        <v>839</v>
      </c>
      <c r="AS106" s="20" t="s">
        <v>840</v>
      </c>
      <c r="AT106" s="20">
        <v>117399</v>
      </c>
      <c r="AU106" s="20" t="s">
        <v>157</v>
      </c>
      <c r="AV106" s="20">
        <v>4100</v>
      </c>
      <c r="AW106" s="20" t="s">
        <v>158</v>
      </c>
      <c r="AX106" s="20">
        <v>100069829</v>
      </c>
      <c r="AY106" s="20"/>
      <c r="AZ106" s="20"/>
      <c r="BA106" s="20"/>
      <c r="BB106" s="20"/>
      <c r="BC106" s="20"/>
      <c r="BD106" s="20"/>
      <c r="BE106" s="20"/>
      <c r="BF106" s="20"/>
      <c r="BG106" s="20"/>
      <c r="BH106" s="20"/>
      <c r="BI106" s="20" t="s">
        <v>841</v>
      </c>
      <c r="BJ106"/>
      <c r="BK106"/>
      <c r="BL106"/>
    </row>
    <row r="107" spans="1:64" ht="14.4" x14ac:dyDescent="0.3">
      <c r="A107" s="20" t="s">
        <v>842</v>
      </c>
      <c r="B107" s="20" t="s">
        <v>843</v>
      </c>
      <c r="C107" s="20" t="s">
        <v>844</v>
      </c>
      <c r="D107" s="20" t="s">
        <v>142</v>
      </c>
      <c r="E107" s="20" t="s">
        <v>143</v>
      </c>
      <c r="F107" s="20">
        <v>7</v>
      </c>
      <c r="G107" s="20" t="s">
        <v>12</v>
      </c>
      <c r="H107" s="34">
        <v>45901</v>
      </c>
      <c r="I107" s="20">
        <v>150</v>
      </c>
      <c r="J107" s="20" t="s">
        <v>845</v>
      </c>
      <c r="K107" s="20" t="s">
        <v>145</v>
      </c>
      <c r="L107" s="20" t="s">
        <v>117</v>
      </c>
      <c r="M107" s="20" t="s">
        <v>118</v>
      </c>
      <c r="N107" s="20" t="s">
        <v>119</v>
      </c>
      <c r="O107" s="20">
        <v>1513</v>
      </c>
      <c r="P107" s="20"/>
      <c r="Q107" s="20">
        <v>1513</v>
      </c>
      <c r="R107" s="20"/>
      <c r="S107" s="20">
        <v>1513</v>
      </c>
      <c r="T107" s="20" t="s">
        <v>146</v>
      </c>
      <c r="U107" s="20">
        <v>5210101581</v>
      </c>
      <c r="V107" s="20" t="s">
        <v>123</v>
      </c>
      <c r="W107" s="20" t="s">
        <v>124</v>
      </c>
      <c r="X107" s="20" t="s">
        <v>123</v>
      </c>
      <c r="Y107" s="20" t="s">
        <v>124</v>
      </c>
      <c r="Z107" s="20" t="s">
        <v>147</v>
      </c>
      <c r="AA107" s="20">
        <v>0</v>
      </c>
      <c r="AB107" s="20" t="s">
        <v>126</v>
      </c>
      <c r="AC107" s="20" t="s">
        <v>148</v>
      </c>
      <c r="AD107" s="20" t="s">
        <v>149</v>
      </c>
      <c r="AE107" s="20" t="s">
        <v>150</v>
      </c>
      <c r="AF107" s="20" t="s">
        <v>151</v>
      </c>
      <c r="AG107" s="20" t="s">
        <v>131</v>
      </c>
      <c r="AH107" s="20" t="s">
        <v>132</v>
      </c>
      <c r="AI107" s="20"/>
      <c r="AJ107" s="20"/>
      <c r="AK107" s="20"/>
      <c r="AL107" s="20" t="s">
        <v>846</v>
      </c>
      <c r="AM107" s="20">
        <v>45901</v>
      </c>
      <c r="AN107" s="20" t="s">
        <v>847</v>
      </c>
      <c r="AO107" s="20" t="s">
        <v>39</v>
      </c>
      <c r="AP107" s="20" t="s">
        <v>39</v>
      </c>
      <c r="AQ107" s="20"/>
      <c r="AR107" s="20" t="s">
        <v>848</v>
      </c>
      <c r="AS107" s="20" t="s">
        <v>849</v>
      </c>
      <c r="AT107" s="20">
        <v>117399</v>
      </c>
      <c r="AU107" s="20" t="s">
        <v>157</v>
      </c>
      <c r="AV107" s="20">
        <v>4100</v>
      </c>
      <c r="AW107" s="20" t="s">
        <v>158</v>
      </c>
      <c r="AX107" s="20">
        <v>100068174</v>
      </c>
      <c r="AY107" s="20"/>
      <c r="AZ107" s="20"/>
      <c r="BA107" s="20"/>
      <c r="BB107" s="20"/>
      <c r="BC107" s="20"/>
      <c r="BD107" s="20"/>
      <c r="BE107" s="20"/>
      <c r="BF107" s="20"/>
      <c r="BG107" s="20"/>
      <c r="BH107" s="20"/>
      <c r="BI107" s="20" t="s">
        <v>850</v>
      </c>
      <c r="BJ107"/>
      <c r="BK107"/>
      <c r="BL107"/>
    </row>
    <row r="108" spans="1:64" ht="14.4" x14ac:dyDescent="0.3">
      <c r="A108" s="20" t="s">
        <v>851</v>
      </c>
      <c r="B108" s="20" t="s">
        <v>852</v>
      </c>
      <c r="C108" s="20" t="s">
        <v>853</v>
      </c>
      <c r="D108" s="20" t="s">
        <v>142</v>
      </c>
      <c r="E108" s="20" t="s">
        <v>143</v>
      </c>
      <c r="F108" s="20">
        <v>7</v>
      </c>
      <c r="G108" s="20" t="s">
        <v>14</v>
      </c>
      <c r="H108" s="34">
        <v>45964</v>
      </c>
      <c r="I108" s="20">
        <v>187</v>
      </c>
      <c r="J108" s="20" t="s">
        <v>854</v>
      </c>
      <c r="K108" s="20" t="s">
        <v>145</v>
      </c>
      <c r="L108" s="20" t="s">
        <v>117</v>
      </c>
      <c r="M108" s="20" t="s">
        <v>118</v>
      </c>
      <c r="N108" s="20" t="s">
        <v>119</v>
      </c>
      <c r="O108" s="20">
        <v>1139</v>
      </c>
      <c r="P108" s="20"/>
      <c r="Q108" s="20">
        <v>1139</v>
      </c>
      <c r="R108" s="20"/>
      <c r="S108" s="20">
        <v>1139</v>
      </c>
      <c r="T108" s="20" t="s">
        <v>146</v>
      </c>
      <c r="U108" s="20">
        <v>5210101581</v>
      </c>
      <c r="V108" s="20" t="s">
        <v>123</v>
      </c>
      <c r="W108" s="20" t="s">
        <v>124</v>
      </c>
      <c r="X108" s="20" t="s">
        <v>123</v>
      </c>
      <c r="Y108" s="20" t="s">
        <v>124</v>
      </c>
      <c r="Z108" s="20" t="s">
        <v>147</v>
      </c>
      <c r="AA108" s="20">
        <v>0</v>
      </c>
      <c r="AB108" s="20" t="s">
        <v>126</v>
      </c>
      <c r="AC108" s="20" t="s">
        <v>148</v>
      </c>
      <c r="AD108" s="20" t="s">
        <v>149</v>
      </c>
      <c r="AE108" s="20" t="s">
        <v>150</v>
      </c>
      <c r="AF108" s="20" t="s">
        <v>151</v>
      </c>
      <c r="AG108" s="20" t="s">
        <v>131</v>
      </c>
      <c r="AH108" s="20" t="s">
        <v>132</v>
      </c>
      <c r="AI108" s="20"/>
      <c r="AJ108" s="20"/>
      <c r="AK108" s="20"/>
      <c r="AL108" s="20" t="s">
        <v>855</v>
      </c>
      <c r="AM108" s="20">
        <v>45963</v>
      </c>
      <c r="AN108" s="20" t="s">
        <v>856</v>
      </c>
      <c r="AO108" s="20" t="s">
        <v>39</v>
      </c>
      <c r="AP108" s="20" t="s">
        <v>39</v>
      </c>
      <c r="AQ108" s="20"/>
      <c r="AR108" s="20" t="s">
        <v>857</v>
      </c>
      <c r="AS108" s="20" t="s">
        <v>858</v>
      </c>
      <c r="AT108" s="20">
        <v>117399</v>
      </c>
      <c r="AU108" s="20" t="s">
        <v>157</v>
      </c>
      <c r="AV108" s="20">
        <v>4100</v>
      </c>
      <c r="AW108" s="20" t="s">
        <v>158</v>
      </c>
      <c r="AX108" s="20">
        <v>100069180</v>
      </c>
      <c r="AY108" s="20"/>
      <c r="AZ108" s="20"/>
      <c r="BA108" s="20"/>
      <c r="BB108" s="20"/>
      <c r="BC108" s="20"/>
      <c r="BD108" s="20"/>
      <c r="BE108" s="20"/>
      <c r="BF108" s="20"/>
      <c r="BG108" s="20"/>
      <c r="BH108" s="20"/>
      <c r="BI108" s="20" t="s">
        <v>859</v>
      </c>
      <c r="BJ108"/>
      <c r="BK108"/>
      <c r="BL108"/>
    </row>
    <row r="109" spans="1:64" ht="14.4" x14ac:dyDescent="0.3">
      <c r="A109" s="20" t="s">
        <v>860</v>
      </c>
      <c r="B109" s="20" t="s">
        <v>861</v>
      </c>
      <c r="C109" s="20" t="s">
        <v>862</v>
      </c>
      <c r="D109" s="20" t="s">
        <v>142</v>
      </c>
      <c r="E109" s="20" t="s">
        <v>143</v>
      </c>
      <c r="F109" s="20">
        <v>7</v>
      </c>
      <c r="G109" s="20" t="s">
        <v>8</v>
      </c>
      <c r="H109" s="34">
        <v>45782</v>
      </c>
      <c r="I109" s="20">
        <v>34</v>
      </c>
      <c r="J109" s="20" t="s">
        <v>863</v>
      </c>
      <c r="K109" s="20" t="s">
        <v>145</v>
      </c>
      <c r="L109" s="20" t="s">
        <v>117</v>
      </c>
      <c r="M109" s="20" t="s">
        <v>118</v>
      </c>
      <c r="N109" s="20" t="s">
        <v>119</v>
      </c>
      <c r="O109" s="20">
        <v>528</v>
      </c>
      <c r="P109" s="20"/>
      <c r="Q109" s="20">
        <v>528</v>
      </c>
      <c r="R109" s="20"/>
      <c r="S109" s="20">
        <v>528</v>
      </c>
      <c r="T109" s="20" t="s">
        <v>146</v>
      </c>
      <c r="U109" s="20">
        <v>5210101581</v>
      </c>
      <c r="V109" s="20" t="s">
        <v>123</v>
      </c>
      <c r="W109" s="20" t="s">
        <v>124</v>
      </c>
      <c r="X109" s="20" t="s">
        <v>123</v>
      </c>
      <c r="Y109" s="20" t="s">
        <v>124</v>
      </c>
      <c r="Z109" s="20" t="s">
        <v>147</v>
      </c>
      <c r="AA109" s="20">
        <v>0</v>
      </c>
      <c r="AB109" s="20" t="s">
        <v>126</v>
      </c>
      <c r="AC109" s="20" t="s">
        <v>148</v>
      </c>
      <c r="AD109" s="20" t="s">
        <v>149</v>
      </c>
      <c r="AE109" s="20" t="s">
        <v>150</v>
      </c>
      <c r="AF109" s="20" t="s">
        <v>151</v>
      </c>
      <c r="AG109" s="20" t="s">
        <v>131</v>
      </c>
      <c r="AH109" s="20" t="s">
        <v>132</v>
      </c>
      <c r="AI109" s="20"/>
      <c r="AJ109" s="20"/>
      <c r="AK109" s="20"/>
      <c r="AL109" s="20" t="s">
        <v>864</v>
      </c>
      <c r="AM109" s="20">
        <v>45779</v>
      </c>
      <c r="AN109" s="20" t="s">
        <v>865</v>
      </c>
      <c r="AO109" s="20" t="s">
        <v>39</v>
      </c>
      <c r="AP109" s="20" t="s">
        <v>39</v>
      </c>
      <c r="AQ109" s="20"/>
      <c r="AR109" s="20" t="s">
        <v>866</v>
      </c>
      <c r="AS109" s="20" t="s">
        <v>867</v>
      </c>
      <c r="AT109" s="20">
        <v>117399</v>
      </c>
      <c r="AU109" s="20" t="s">
        <v>157</v>
      </c>
      <c r="AV109" s="20">
        <v>4100</v>
      </c>
      <c r="AW109" s="20" t="s">
        <v>158</v>
      </c>
      <c r="AX109" s="20">
        <v>100066468</v>
      </c>
      <c r="AY109" s="20"/>
      <c r="AZ109" s="20"/>
      <c r="BA109" s="20"/>
      <c r="BB109" s="20"/>
      <c r="BC109" s="20"/>
      <c r="BD109" s="20"/>
      <c r="BE109" s="20"/>
      <c r="BF109" s="20"/>
      <c r="BG109" s="20"/>
      <c r="BH109" s="20"/>
      <c r="BI109" s="20" t="s">
        <v>868</v>
      </c>
      <c r="BJ109"/>
      <c r="BK109"/>
      <c r="BL109"/>
    </row>
    <row r="110" spans="1:64" ht="14.4" x14ac:dyDescent="0.3">
      <c r="A110" s="20" t="s">
        <v>869</v>
      </c>
      <c r="B110" s="20" t="s">
        <v>406</v>
      </c>
      <c r="C110" s="20" t="s">
        <v>870</v>
      </c>
      <c r="D110" s="20" t="s">
        <v>142</v>
      </c>
      <c r="E110" s="20" t="s">
        <v>143</v>
      </c>
      <c r="F110" s="20">
        <v>7</v>
      </c>
      <c r="G110" s="20" t="s">
        <v>10</v>
      </c>
      <c r="H110" s="34">
        <v>45841</v>
      </c>
      <c r="I110" s="20">
        <v>48</v>
      </c>
      <c r="J110" s="20" t="s">
        <v>871</v>
      </c>
      <c r="K110" s="20" t="s">
        <v>145</v>
      </c>
      <c r="L110" s="20" t="s">
        <v>117</v>
      </c>
      <c r="M110" s="20" t="s">
        <v>118</v>
      </c>
      <c r="N110" s="20" t="s">
        <v>119</v>
      </c>
      <c r="O110" s="20">
        <v>369</v>
      </c>
      <c r="P110" s="20"/>
      <c r="Q110" s="20">
        <v>369</v>
      </c>
      <c r="R110" s="20"/>
      <c r="S110" s="20">
        <v>369</v>
      </c>
      <c r="T110" s="20" t="s">
        <v>146</v>
      </c>
      <c r="U110" s="20">
        <v>5210101581</v>
      </c>
      <c r="V110" s="20" t="s">
        <v>123</v>
      </c>
      <c r="W110" s="20" t="s">
        <v>124</v>
      </c>
      <c r="X110" s="20" t="s">
        <v>123</v>
      </c>
      <c r="Y110" s="20" t="s">
        <v>124</v>
      </c>
      <c r="Z110" s="20" t="s">
        <v>147</v>
      </c>
      <c r="AA110" s="20">
        <v>0</v>
      </c>
      <c r="AB110" s="20" t="s">
        <v>126</v>
      </c>
      <c r="AC110" s="20" t="s">
        <v>148</v>
      </c>
      <c r="AD110" s="20" t="s">
        <v>149</v>
      </c>
      <c r="AE110" s="20" t="s">
        <v>150</v>
      </c>
      <c r="AF110" s="20" t="s">
        <v>151</v>
      </c>
      <c r="AG110" s="20" t="s">
        <v>131</v>
      </c>
      <c r="AH110" s="20" t="s">
        <v>132</v>
      </c>
      <c r="AI110" s="20"/>
      <c r="AJ110" s="20"/>
      <c r="AK110" s="20"/>
      <c r="AL110" s="20" t="s">
        <v>872</v>
      </c>
      <c r="AM110" s="20">
        <v>45839</v>
      </c>
      <c r="AN110" s="20" t="s">
        <v>873</v>
      </c>
      <c r="AO110" s="20" t="s">
        <v>39</v>
      </c>
      <c r="AP110" s="20" t="s">
        <v>39</v>
      </c>
      <c r="AQ110" s="20"/>
      <c r="AR110" s="20" t="s">
        <v>874</v>
      </c>
      <c r="AS110" s="20" t="s">
        <v>875</v>
      </c>
      <c r="AT110" s="20">
        <v>117399</v>
      </c>
      <c r="AU110" s="20" t="s">
        <v>157</v>
      </c>
      <c r="AV110" s="20">
        <v>4100</v>
      </c>
      <c r="AW110" s="20" t="s">
        <v>158</v>
      </c>
      <c r="AX110" s="20">
        <v>100067351</v>
      </c>
      <c r="AY110" s="20"/>
      <c r="AZ110" s="20"/>
      <c r="BA110" s="20"/>
      <c r="BB110" s="20"/>
      <c r="BC110" s="20"/>
      <c r="BD110" s="20"/>
      <c r="BE110" s="20"/>
      <c r="BF110" s="20"/>
      <c r="BG110" s="20"/>
      <c r="BH110" s="20"/>
      <c r="BI110" s="20" t="s">
        <v>876</v>
      </c>
      <c r="BJ110"/>
      <c r="BK110"/>
      <c r="BL110"/>
    </row>
    <row r="111" spans="1:64" ht="14.4" x14ac:dyDescent="0.3">
      <c r="A111" s="20" t="s">
        <v>877</v>
      </c>
      <c r="B111" s="20" t="s">
        <v>878</v>
      </c>
      <c r="C111" s="20" t="s">
        <v>879</v>
      </c>
      <c r="D111" s="20" t="s">
        <v>142</v>
      </c>
      <c r="E111" s="20" t="s">
        <v>143</v>
      </c>
      <c r="F111" s="20">
        <v>7</v>
      </c>
      <c r="G111" s="20" t="s">
        <v>13</v>
      </c>
      <c r="H111" s="34">
        <v>45932</v>
      </c>
      <c r="I111" s="20">
        <v>53</v>
      </c>
      <c r="J111" s="20" t="s">
        <v>880</v>
      </c>
      <c r="K111" s="20" t="s">
        <v>145</v>
      </c>
      <c r="L111" s="20" t="s">
        <v>117</v>
      </c>
      <c r="M111" s="20" t="s">
        <v>118</v>
      </c>
      <c r="N111" s="20" t="s">
        <v>119</v>
      </c>
      <c r="O111" s="20">
        <v>40</v>
      </c>
      <c r="P111" s="20"/>
      <c r="Q111" s="20">
        <v>40</v>
      </c>
      <c r="R111" s="20"/>
      <c r="S111" s="20">
        <v>40</v>
      </c>
      <c r="T111" s="20" t="s">
        <v>146</v>
      </c>
      <c r="U111" s="20">
        <v>5210101581</v>
      </c>
      <c r="V111" s="20" t="s">
        <v>123</v>
      </c>
      <c r="W111" s="20" t="s">
        <v>124</v>
      </c>
      <c r="X111" s="20" t="s">
        <v>123</v>
      </c>
      <c r="Y111" s="20" t="s">
        <v>124</v>
      </c>
      <c r="Z111" s="20" t="s">
        <v>147</v>
      </c>
      <c r="AA111" s="20">
        <v>0</v>
      </c>
      <c r="AB111" s="20" t="s">
        <v>126</v>
      </c>
      <c r="AC111" s="20" t="s">
        <v>148</v>
      </c>
      <c r="AD111" s="20" t="s">
        <v>149</v>
      </c>
      <c r="AE111" s="20" t="s">
        <v>150</v>
      </c>
      <c r="AF111" s="20" t="s">
        <v>151</v>
      </c>
      <c r="AG111" s="20" t="s">
        <v>131</v>
      </c>
      <c r="AH111" s="20" t="s">
        <v>132</v>
      </c>
      <c r="AI111" s="20"/>
      <c r="AJ111" s="20"/>
      <c r="AK111" s="20"/>
      <c r="AL111" s="20" t="s">
        <v>881</v>
      </c>
      <c r="AM111" s="20">
        <v>45931</v>
      </c>
      <c r="AN111" s="20" t="s">
        <v>882</v>
      </c>
      <c r="AO111" s="20" t="s">
        <v>39</v>
      </c>
      <c r="AP111" s="20" t="s">
        <v>39</v>
      </c>
      <c r="AQ111" s="20"/>
      <c r="AR111" s="20" t="s">
        <v>883</v>
      </c>
      <c r="AS111" s="20" t="s">
        <v>884</v>
      </c>
      <c r="AT111" s="20">
        <v>117399</v>
      </c>
      <c r="AU111" s="20" t="s">
        <v>157</v>
      </c>
      <c r="AV111" s="20">
        <v>4100</v>
      </c>
      <c r="AW111" s="20" t="s">
        <v>158</v>
      </c>
      <c r="AX111" s="20">
        <v>100068719</v>
      </c>
      <c r="AY111" s="20"/>
      <c r="AZ111" s="20"/>
      <c r="BA111" s="20"/>
      <c r="BB111" s="20"/>
      <c r="BC111" s="20"/>
      <c r="BD111" s="20"/>
      <c r="BE111" s="20"/>
      <c r="BF111" s="20"/>
      <c r="BG111" s="20"/>
      <c r="BH111" s="20"/>
      <c r="BI111" s="20" t="s">
        <v>885</v>
      </c>
      <c r="BJ111"/>
      <c r="BK111"/>
      <c r="BL111"/>
    </row>
    <row r="112" spans="1:64" ht="14.4" x14ac:dyDescent="0.3">
      <c r="A112" s="20" t="s">
        <v>886</v>
      </c>
      <c r="B112" s="20" t="s">
        <v>316</v>
      </c>
      <c r="C112" s="20" t="s">
        <v>887</v>
      </c>
      <c r="D112" s="20" t="s">
        <v>142</v>
      </c>
      <c r="E112" s="20" t="s">
        <v>143</v>
      </c>
      <c r="F112" s="20">
        <v>7</v>
      </c>
      <c r="G112" s="20" t="s">
        <v>14</v>
      </c>
      <c r="H112" s="34">
        <v>45979</v>
      </c>
      <c r="I112" s="20">
        <v>410</v>
      </c>
      <c r="J112" s="20" t="s">
        <v>888</v>
      </c>
      <c r="K112" s="20" t="s">
        <v>561</v>
      </c>
      <c r="L112" s="20" t="s">
        <v>117</v>
      </c>
      <c r="M112" s="20" t="s">
        <v>118</v>
      </c>
      <c r="N112" s="20" t="s">
        <v>119</v>
      </c>
      <c r="O112" s="20">
        <v>73146.240000000005</v>
      </c>
      <c r="P112" s="20"/>
      <c r="Q112" s="20">
        <v>73146.240000000005</v>
      </c>
      <c r="R112" s="20"/>
      <c r="S112" s="20">
        <v>73146.240000000005</v>
      </c>
      <c r="T112" s="20" t="s">
        <v>146</v>
      </c>
      <c r="U112" s="20">
        <v>5210101238</v>
      </c>
      <c r="V112" s="20" t="s">
        <v>121</v>
      </c>
      <c r="W112" s="20" t="s">
        <v>122</v>
      </c>
      <c r="X112" s="20" t="s">
        <v>123</v>
      </c>
      <c r="Y112" s="20" t="s">
        <v>124</v>
      </c>
      <c r="Z112" s="20" t="s">
        <v>562</v>
      </c>
      <c r="AA112" s="20">
        <v>0</v>
      </c>
      <c r="AB112" s="20" t="s">
        <v>126</v>
      </c>
      <c r="AC112" s="20" t="s">
        <v>127</v>
      </c>
      <c r="AD112" s="20" t="s">
        <v>128</v>
      </c>
      <c r="AE112" s="20" t="s">
        <v>548</v>
      </c>
      <c r="AF112" s="20" t="s">
        <v>549</v>
      </c>
      <c r="AG112" s="20" t="s">
        <v>131</v>
      </c>
      <c r="AH112" s="20" t="s">
        <v>132</v>
      </c>
      <c r="AI112" s="20"/>
      <c r="AJ112" s="20"/>
      <c r="AK112" s="20"/>
      <c r="AL112" s="20" t="s">
        <v>889</v>
      </c>
      <c r="AM112" s="20">
        <v>45948</v>
      </c>
      <c r="AN112" s="20" t="s">
        <v>890</v>
      </c>
      <c r="AO112" s="20" t="s">
        <v>24</v>
      </c>
      <c r="AP112" s="20" t="s">
        <v>24</v>
      </c>
      <c r="AQ112" s="20"/>
      <c r="AR112" s="20" t="s">
        <v>891</v>
      </c>
      <c r="AS112" s="20" t="s">
        <v>644</v>
      </c>
      <c r="AT112" s="20">
        <v>119404</v>
      </c>
      <c r="AU112" s="20" t="s">
        <v>554</v>
      </c>
      <c r="AV112" s="20">
        <v>5512</v>
      </c>
      <c r="AW112" s="20" t="s">
        <v>567</v>
      </c>
      <c r="AX112" s="20">
        <v>100064823</v>
      </c>
      <c r="AY112" s="20"/>
      <c r="AZ112" s="20"/>
      <c r="BA112" s="20"/>
      <c r="BB112" s="20"/>
      <c r="BC112" s="20"/>
      <c r="BD112" s="20"/>
      <c r="BE112" s="20"/>
      <c r="BF112" s="20"/>
      <c r="BG112" s="20"/>
      <c r="BH112" s="20"/>
      <c r="BI112" s="20" t="s">
        <v>892</v>
      </c>
      <c r="BJ112"/>
      <c r="BK112"/>
      <c r="BL112"/>
    </row>
    <row r="113" spans="1:64" ht="14.4" x14ac:dyDescent="0.3">
      <c r="A113" s="20" t="s">
        <v>893</v>
      </c>
      <c r="B113" s="20" t="s">
        <v>894</v>
      </c>
      <c r="C113" s="20" t="s">
        <v>895</v>
      </c>
      <c r="D113" s="20" t="s">
        <v>142</v>
      </c>
      <c r="E113" s="20" t="s">
        <v>143</v>
      </c>
      <c r="F113" s="20">
        <v>7</v>
      </c>
      <c r="G113" s="20" t="s">
        <v>11</v>
      </c>
      <c r="H113" s="34">
        <v>45881</v>
      </c>
      <c r="I113" s="20">
        <v>749</v>
      </c>
      <c r="J113" s="20" t="s">
        <v>896</v>
      </c>
      <c r="K113" s="20" t="s">
        <v>561</v>
      </c>
      <c r="L113" s="20" t="s">
        <v>117</v>
      </c>
      <c r="M113" s="20" t="s">
        <v>118</v>
      </c>
      <c r="N113" s="20" t="s">
        <v>119</v>
      </c>
      <c r="O113" s="20">
        <v>72558.720000000001</v>
      </c>
      <c r="P113" s="20"/>
      <c r="Q113" s="20">
        <v>72558.720000000001</v>
      </c>
      <c r="R113" s="20"/>
      <c r="S113" s="20">
        <v>72558.720000000001</v>
      </c>
      <c r="T113" s="20" t="s">
        <v>146</v>
      </c>
      <c r="U113" s="20">
        <v>5210101238</v>
      </c>
      <c r="V113" s="20" t="s">
        <v>121</v>
      </c>
      <c r="W113" s="20" t="s">
        <v>122</v>
      </c>
      <c r="X113" s="20" t="s">
        <v>123</v>
      </c>
      <c r="Y113" s="20" t="s">
        <v>124</v>
      </c>
      <c r="Z113" s="20" t="s">
        <v>562</v>
      </c>
      <c r="AA113" s="20">
        <v>0</v>
      </c>
      <c r="AB113" s="20" t="s">
        <v>126</v>
      </c>
      <c r="AC113" s="20" t="s">
        <v>127</v>
      </c>
      <c r="AD113" s="20" t="s">
        <v>128</v>
      </c>
      <c r="AE113" s="20" t="s">
        <v>548</v>
      </c>
      <c r="AF113" s="20" t="s">
        <v>549</v>
      </c>
      <c r="AG113" s="20" t="s">
        <v>131</v>
      </c>
      <c r="AH113" s="20" t="s">
        <v>132</v>
      </c>
      <c r="AI113" s="20"/>
      <c r="AJ113" s="20"/>
      <c r="AK113" s="20"/>
      <c r="AL113" s="20" t="s">
        <v>897</v>
      </c>
      <c r="AM113" s="20">
        <v>45855</v>
      </c>
      <c r="AN113" s="20" t="s">
        <v>898</v>
      </c>
      <c r="AO113" s="20" t="s">
        <v>24</v>
      </c>
      <c r="AP113" s="20" t="s">
        <v>24</v>
      </c>
      <c r="AQ113" s="20"/>
      <c r="AR113" s="20" t="s">
        <v>899</v>
      </c>
      <c r="AS113" s="20" t="s">
        <v>644</v>
      </c>
      <c r="AT113" s="20">
        <v>119404</v>
      </c>
      <c r="AU113" s="20" t="s">
        <v>554</v>
      </c>
      <c r="AV113" s="20">
        <v>5512</v>
      </c>
      <c r="AW113" s="20" t="s">
        <v>567</v>
      </c>
      <c r="AX113" s="20">
        <v>100064823</v>
      </c>
      <c r="AY113" s="20"/>
      <c r="AZ113" s="20"/>
      <c r="BA113" s="20"/>
      <c r="BB113" s="20"/>
      <c r="BC113" s="20"/>
      <c r="BD113" s="20"/>
      <c r="BE113" s="20"/>
      <c r="BF113" s="20"/>
      <c r="BG113" s="20"/>
      <c r="BH113" s="20"/>
      <c r="BI113" s="20" t="s">
        <v>900</v>
      </c>
      <c r="BJ113"/>
      <c r="BK113"/>
      <c r="BL113"/>
    </row>
    <row r="114" spans="1:64" ht="14.4" x14ac:dyDescent="0.3">
      <c r="A114" s="20" t="s">
        <v>901</v>
      </c>
      <c r="B114" s="20" t="s">
        <v>902</v>
      </c>
      <c r="C114" s="20" t="s">
        <v>903</v>
      </c>
      <c r="D114" s="20" t="s">
        <v>142</v>
      </c>
      <c r="E114" s="20" t="s">
        <v>143</v>
      </c>
      <c r="F114" s="20">
        <v>7</v>
      </c>
      <c r="G114" s="20" t="s">
        <v>14</v>
      </c>
      <c r="H114" s="34">
        <v>45974</v>
      </c>
      <c r="I114" s="20">
        <v>69</v>
      </c>
      <c r="J114" s="20" t="s">
        <v>904</v>
      </c>
      <c r="K114" s="20" t="s">
        <v>145</v>
      </c>
      <c r="L114" s="20" t="s">
        <v>117</v>
      </c>
      <c r="M114" s="20" t="s">
        <v>118</v>
      </c>
      <c r="N114" s="20" t="s">
        <v>119</v>
      </c>
      <c r="O114" s="20"/>
      <c r="P114" s="20">
        <v>6037945</v>
      </c>
      <c r="Q114" s="20"/>
      <c r="R114" s="20">
        <v>6037945</v>
      </c>
      <c r="S114" s="20">
        <v>-6037945</v>
      </c>
      <c r="T114" s="20" t="s">
        <v>146</v>
      </c>
      <c r="U114" s="20">
        <v>5210101581</v>
      </c>
      <c r="V114" s="20" t="s">
        <v>123</v>
      </c>
      <c r="W114" s="20" t="s">
        <v>124</v>
      </c>
      <c r="X114" s="20" t="s">
        <v>123</v>
      </c>
      <c r="Y114" s="20" t="s">
        <v>124</v>
      </c>
      <c r="Z114" s="20" t="s">
        <v>147</v>
      </c>
      <c r="AA114" s="20">
        <v>0</v>
      </c>
      <c r="AB114" s="20" t="s">
        <v>126</v>
      </c>
      <c r="AC114" s="20" t="s">
        <v>148</v>
      </c>
      <c r="AD114" s="20" t="s">
        <v>149</v>
      </c>
      <c r="AE114" s="20" t="s">
        <v>150</v>
      </c>
      <c r="AF114" s="20" t="s">
        <v>151</v>
      </c>
      <c r="AG114" s="20" t="s">
        <v>131</v>
      </c>
      <c r="AH114" s="20" t="s">
        <v>132</v>
      </c>
      <c r="AI114" s="20"/>
      <c r="AJ114" s="20"/>
      <c r="AK114" s="20"/>
      <c r="AL114" s="20">
        <v>716292500009</v>
      </c>
      <c r="AM114" s="20">
        <v>45929</v>
      </c>
      <c r="AN114" s="20" t="s">
        <v>905</v>
      </c>
      <c r="AO114" s="20" t="s">
        <v>154</v>
      </c>
      <c r="AP114" s="20" t="s">
        <v>154</v>
      </c>
      <c r="AQ114" s="20"/>
      <c r="AR114" s="20" t="s">
        <v>906</v>
      </c>
      <c r="AS114" s="20" t="s">
        <v>156</v>
      </c>
      <c r="AT114" s="20">
        <v>117399</v>
      </c>
      <c r="AU114" s="20" t="s">
        <v>157</v>
      </c>
      <c r="AV114" s="20">
        <v>4100</v>
      </c>
      <c r="AW114" s="20" t="s">
        <v>158</v>
      </c>
      <c r="AX114" s="20">
        <v>100065551</v>
      </c>
      <c r="AY114" s="20"/>
      <c r="AZ114" s="20"/>
      <c r="BA114" s="20"/>
      <c r="BB114" s="20"/>
      <c r="BC114" s="20"/>
      <c r="BD114" s="20"/>
      <c r="BE114" s="20"/>
      <c r="BF114" s="20"/>
      <c r="BG114" s="20"/>
      <c r="BH114" s="20"/>
      <c r="BI114" s="20" t="s">
        <v>907</v>
      </c>
      <c r="BJ114"/>
      <c r="BK114"/>
      <c r="BL114"/>
    </row>
    <row r="115" spans="1:64" ht="14.4" x14ac:dyDescent="0.3">
      <c r="A115" s="20" t="s">
        <v>908</v>
      </c>
      <c r="B115" s="20" t="s">
        <v>909</v>
      </c>
      <c r="C115" s="20" t="s">
        <v>910</v>
      </c>
      <c r="D115" s="20" t="s">
        <v>172</v>
      </c>
      <c r="E115" s="20" t="s">
        <v>190</v>
      </c>
      <c r="F115" s="20">
        <v>7</v>
      </c>
      <c r="G115" s="20" t="s">
        <v>12</v>
      </c>
      <c r="H115" s="34">
        <v>45922</v>
      </c>
      <c r="I115" s="20">
        <v>222</v>
      </c>
      <c r="J115" s="20" t="s">
        <v>191</v>
      </c>
      <c r="K115" s="20" t="s">
        <v>192</v>
      </c>
      <c r="L115" s="20" t="s">
        <v>117</v>
      </c>
      <c r="M115" s="20" t="s">
        <v>118</v>
      </c>
      <c r="N115" s="20" t="s">
        <v>119</v>
      </c>
      <c r="O115" s="20"/>
      <c r="P115" s="20">
        <v>11416020</v>
      </c>
      <c r="Q115" s="20"/>
      <c r="R115" s="20">
        <v>11416020</v>
      </c>
      <c r="S115" s="20">
        <v>-11416020</v>
      </c>
      <c r="T115" s="20" t="s">
        <v>146</v>
      </c>
      <c r="U115" s="20">
        <v>5210101581</v>
      </c>
      <c r="V115" s="20" t="s">
        <v>123</v>
      </c>
      <c r="W115" s="20" t="s">
        <v>124</v>
      </c>
      <c r="X115" s="20" t="s">
        <v>123</v>
      </c>
      <c r="Y115" s="20" t="s">
        <v>124</v>
      </c>
      <c r="Z115" s="20" t="s">
        <v>147</v>
      </c>
      <c r="AA115" s="20">
        <v>0</v>
      </c>
      <c r="AB115" s="20" t="s">
        <v>126</v>
      </c>
      <c r="AC115" s="20" t="s">
        <v>127</v>
      </c>
      <c r="AD115" s="20" t="s">
        <v>128</v>
      </c>
      <c r="AE115" s="20" t="s">
        <v>150</v>
      </c>
      <c r="AF115" s="20" t="s">
        <v>151</v>
      </c>
      <c r="AG115" s="20" t="s">
        <v>131</v>
      </c>
      <c r="AH115" s="20" t="s">
        <v>132</v>
      </c>
      <c r="AI115" s="20"/>
      <c r="AJ115" s="20"/>
      <c r="AK115" s="20"/>
      <c r="AL115" s="20"/>
      <c r="AM115" s="20"/>
      <c r="AN115" s="20"/>
      <c r="AO115" s="20" t="s">
        <v>27</v>
      </c>
      <c r="AP115" s="20" t="s">
        <v>27</v>
      </c>
      <c r="AQ115" s="20"/>
      <c r="AR115" s="20"/>
      <c r="AS115" s="20"/>
      <c r="AT115" s="20">
        <v>117399</v>
      </c>
      <c r="AU115" s="20" t="s">
        <v>157</v>
      </c>
      <c r="AV115" s="20">
        <v>4100</v>
      </c>
      <c r="AW115" s="20" t="s">
        <v>158</v>
      </c>
      <c r="AX115" s="20">
        <v>100065551</v>
      </c>
      <c r="AY115" s="20" t="s">
        <v>191</v>
      </c>
      <c r="AZ115" s="20"/>
      <c r="BA115" s="20"/>
      <c r="BB115" s="20"/>
      <c r="BC115" s="20"/>
      <c r="BD115" s="20"/>
      <c r="BE115" s="20"/>
      <c r="BF115" s="20"/>
      <c r="BG115" s="20"/>
      <c r="BH115" s="20"/>
      <c r="BI115" s="20" t="s">
        <v>911</v>
      </c>
      <c r="BJ115"/>
      <c r="BK115"/>
      <c r="BL115"/>
    </row>
    <row r="116" spans="1:64" ht="14.4" x14ac:dyDescent="0.3">
      <c r="A116" s="20" t="s">
        <v>912</v>
      </c>
      <c r="B116" s="20" t="s">
        <v>718</v>
      </c>
      <c r="C116" s="20" t="s">
        <v>719</v>
      </c>
      <c r="D116" s="20" t="s">
        <v>172</v>
      </c>
      <c r="E116" s="20" t="s">
        <v>173</v>
      </c>
      <c r="F116" s="20">
        <v>7</v>
      </c>
      <c r="G116" s="20" t="s">
        <v>10</v>
      </c>
      <c r="H116" s="34">
        <v>45862</v>
      </c>
      <c r="I116" s="20">
        <v>6</v>
      </c>
      <c r="J116" s="20" t="s">
        <v>720</v>
      </c>
      <c r="K116" s="20" t="s">
        <v>145</v>
      </c>
      <c r="L116" s="20" t="s">
        <v>117</v>
      </c>
      <c r="M116" s="20" t="s">
        <v>118</v>
      </c>
      <c r="N116" s="20" t="s">
        <v>119</v>
      </c>
      <c r="O116" s="20">
        <v>1946</v>
      </c>
      <c r="P116" s="20"/>
      <c r="Q116" s="20">
        <v>1946</v>
      </c>
      <c r="R116" s="20"/>
      <c r="S116" s="20">
        <v>1946</v>
      </c>
      <c r="T116" s="20" t="s">
        <v>146</v>
      </c>
      <c r="U116" s="20">
        <v>5210101581</v>
      </c>
      <c r="V116" s="20" t="s">
        <v>123</v>
      </c>
      <c r="W116" s="20" t="s">
        <v>124</v>
      </c>
      <c r="X116" s="20" t="s">
        <v>123</v>
      </c>
      <c r="Y116" s="20" t="s">
        <v>124</v>
      </c>
      <c r="Z116" s="20" t="s">
        <v>147</v>
      </c>
      <c r="AA116" s="20">
        <v>0</v>
      </c>
      <c r="AB116" s="20" t="s">
        <v>126</v>
      </c>
      <c r="AC116" s="20" t="s">
        <v>148</v>
      </c>
      <c r="AD116" s="20" t="s">
        <v>149</v>
      </c>
      <c r="AE116" s="20" t="s">
        <v>150</v>
      </c>
      <c r="AF116" s="20" t="s">
        <v>151</v>
      </c>
      <c r="AG116" s="20" t="s">
        <v>131</v>
      </c>
      <c r="AH116" s="20" t="s">
        <v>132</v>
      </c>
      <c r="AI116" s="20"/>
      <c r="AJ116" s="20"/>
      <c r="AK116" s="20"/>
      <c r="AL116" s="20"/>
      <c r="AM116" s="20"/>
      <c r="AN116" s="20"/>
      <c r="AO116" s="20" t="s">
        <v>439</v>
      </c>
      <c r="AP116" s="20" t="s">
        <v>439</v>
      </c>
      <c r="AQ116" s="20"/>
      <c r="AR116" s="20"/>
      <c r="AS116" s="20"/>
      <c r="AT116" s="20" t="s">
        <v>678</v>
      </c>
      <c r="AU116" s="20"/>
      <c r="AV116" s="20" t="s">
        <v>679</v>
      </c>
      <c r="AW116" s="20"/>
      <c r="AX116" s="20" t="s">
        <v>489</v>
      </c>
      <c r="AY116" s="20" t="s">
        <v>721</v>
      </c>
      <c r="AZ116" s="20"/>
      <c r="BA116" s="20"/>
      <c r="BB116" s="20"/>
      <c r="BC116" s="20"/>
      <c r="BD116" s="20"/>
      <c r="BE116" s="20"/>
      <c r="BF116" s="20"/>
      <c r="BG116" s="20"/>
      <c r="BH116" s="20">
        <v>4100</v>
      </c>
      <c r="BI116" s="20" t="s">
        <v>913</v>
      </c>
      <c r="BJ116"/>
      <c r="BK116"/>
      <c r="BL116"/>
    </row>
    <row r="117" spans="1:64" ht="14.4" x14ac:dyDescent="0.3">
      <c r="A117" s="20" t="s">
        <v>914</v>
      </c>
      <c r="B117" s="20" t="s">
        <v>591</v>
      </c>
      <c r="C117" s="20" t="s">
        <v>592</v>
      </c>
      <c r="D117" s="20" t="s">
        <v>172</v>
      </c>
      <c r="E117" s="20" t="s">
        <v>190</v>
      </c>
      <c r="F117" s="20">
        <v>7</v>
      </c>
      <c r="G117" s="20" t="s">
        <v>12</v>
      </c>
      <c r="H117" s="34">
        <v>45922</v>
      </c>
      <c r="I117" s="20">
        <v>87</v>
      </c>
      <c r="J117" s="20" t="s">
        <v>915</v>
      </c>
      <c r="K117" s="20" t="s">
        <v>192</v>
      </c>
      <c r="L117" s="20" t="s">
        <v>117</v>
      </c>
      <c r="M117" s="20" t="s">
        <v>118</v>
      </c>
      <c r="N117" s="20" t="s">
        <v>119</v>
      </c>
      <c r="O117" s="20"/>
      <c r="P117" s="20">
        <v>36542</v>
      </c>
      <c r="Q117" s="20"/>
      <c r="R117" s="20">
        <v>36542</v>
      </c>
      <c r="S117" s="20">
        <v>-36542</v>
      </c>
      <c r="T117" s="20" t="s">
        <v>146</v>
      </c>
      <c r="U117" s="20">
        <v>5210101581</v>
      </c>
      <c r="V117" s="20" t="s">
        <v>123</v>
      </c>
      <c r="W117" s="20" t="s">
        <v>124</v>
      </c>
      <c r="X117" s="20" t="s">
        <v>123</v>
      </c>
      <c r="Y117" s="20" t="s">
        <v>124</v>
      </c>
      <c r="Z117" s="20" t="s">
        <v>147</v>
      </c>
      <c r="AA117" s="20">
        <v>0</v>
      </c>
      <c r="AB117" s="20" t="s">
        <v>126</v>
      </c>
      <c r="AC117" s="20" t="s">
        <v>127</v>
      </c>
      <c r="AD117" s="20" t="s">
        <v>128</v>
      </c>
      <c r="AE117" s="20" t="s">
        <v>150</v>
      </c>
      <c r="AF117" s="20" t="s">
        <v>151</v>
      </c>
      <c r="AG117" s="20" t="s">
        <v>131</v>
      </c>
      <c r="AH117" s="20" t="s">
        <v>132</v>
      </c>
      <c r="AI117" s="20"/>
      <c r="AJ117" s="20"/>
      <c r="AK117" s="20"/>
      <c r="AL117" s="20"/>
      <c r="AM117" s="20"/>
      <c r="AN117" s="20"/>
      <c r="AO117" s="20" t="s">
        <v>439</v>
      </c>
      <c r="AP117" s="20" t="s">
        <v>439</v>
      </c>
      <c r="AQ117" s="20"/>
      <c r="AR117" s="20"/>
      <c r="AS117" s="20"/>
      <c r="AT117" s="20"/>
      <c r="AU117" s="20"/>
      <c r="AV117" s="20"/>
      <c r="AW117" s="20"/>
      <c r="AX117" s="20">
        <v>100064557</v>
      </c>
      <c r="AY117" s="20" t="s">
        <v>915</v>
      </c>
      <c r="AZ117" s="20"/>
      <c r="BA117" s="20"/>
      <c r="BB117" s="20"/>
      <c r="BC117" s="20"/>
      <c r="BD117" s="20"/>
      <c r="BE117" s="20"/>
      <c r="BF117" s="20"/>
      <c r="BG117" s="20"/>
      <c r="BH117" s="20"/>
      <c r="BI117" s="20" t="s">
        <v>916</v>
      </c>
      <c r="BJ117"/>
      <c r="BK117"/>
      <c r="BL117"/>
    </row>
    <row r="118" spans="1:64" ht="14.4" x14ac:dyDescent="0.3">
      <c r="A118" s="20" t="s">
        <v>917</v>
      </c>
      <c r="B118" s="20" t="s">
        <v>140</v>
      </c>
      <c r="C118" s="20" t="s">
        <v>466</v>
      </c>
      <c r="D118" s="20" t="s">
        <v>142</v>
      </c>
      <c r="E118" s="20" t="s">
        <v>143</v>
      </c>
      <c r="F118" s="20">
        <v>7</v>
      </c>
      <c r="G118" s="20" t="s">
        <v>8</v>
      </c>
      <c r="H118" s="34">
        <v>45789</v>
      </c>
      <c r="I118" s="20">
        <v>965</v>
      </c>
      <c r="J118" s="20" t="s">
        <v>918</v>
      </c>
      <c r="K118" s="20" t="s">
        <v>561</v>
      </c>
      <c r="L118" s="20" t="s">
        <v>117</v>
      </c>
      <c r="M118" s="20" t="s">
        <v>118</v>
      </c>
      <c r="N118" s="20" t="s">
        <v>119</v>
      </c>
      <c r="O118" s="20">
        <v>72447.740000000005</v>
      </c>
      <c r="P118" s="20"/>
      <c r="Q118" s="20">
        <v>72447.740000000005</v>
      </c>
      <c r="R118" s="20"/>
      <c r="S118" s="20">
        <v>72447.740000000005</v>
      </c>
      <c r="T118" s="20" t="s">
        <v>146</v>
      </c>
      <c r="U118" s="20">
        <v>5210101238</v>
      </c>
      <c r="V118" s="20" t="s">
        <v>121</v>
      </c>
      <c r="W118" s="20" t="s">
        <v>122</v>
      </c>
      <c r="X118" s="20" t="s">
        <v>123</v>
      </c>
      <c r="Y118" s="20" t="s">
        <v>124</v>
      </c>
      <c r="Z118" s="20" t="s">
        <v>562</v>
      </c>
      <c r="AA118" s="20">
        <v>0</v>
      </c>
      <c r="AB118" s="20" t="s">
        <v>126</v>
      </c>
      <c r="AC118" s="20" t="s">
        <v>127</v>
      </c>
      <c r="AD118" s="20" t="s">
        <v>128</v>
      </c>
      <c r="AE118" s="20" t="s">
        <v>548</v>
      </c>
      <c r="AF118" s="20" t="s">
        <v>549</v>
      </c>
      <c r="AG118" s="20" t="s">
        <v>131</v>
      </c>
      <c r="AH118" s="20" t="s">
        <v>132</v>
      </c>
      <c r="AI118" s="20"/>
      <c r="AJ118" s="20"/>
      <c r="AK118" s="20"/>
      <c r="AL118" s="20" t="s">
        <v>919</v>
      </c>
      <c r="AM118" s="20">
        <v>45765</v>
      </c>
      <c r="AN118" s="20" t="s">
        <v>920</v>
      </c>
      <c r="AO118" s="20" t="s">
        <v>24</v>
      </c>
      <c r="AP118" s="20" t="s">
        <v>24</v>
      </c>
      <c r="AQ118" s="20"/>
      <c r="AR118" s="20" t="s">
        <v>921</v>
      </c>
      <c r="AS118" s="20" t="s">
        <v>644</v>
      </c>
      <c r="AT118" s="20">
        <v>119404</v>
      </c>
      <c r="AU118" s="20" t="s">
        <v>554</v>
      </c>
      <c r="AV118" s="20">
        <v>5512</v>
      </c>
      <c r="AW118" s="20" t="s">
        <v>567</v>
      </c>
      <c r="AX118" s="20">
        <v>100064823</v>
      </c>
      <c r="AY118" s="20"/>
      <c r="AZ118" s="20"/>
      <c r="BA118" s="20"/>
      <c r="BB118" s="20"/>
      <c r="BC118" s="20"/>
      <c r="BD118" s="20"/>
      <c r="BE118" s="20"/>
      <c r="BF118" s="20"/>
      <c r="BG118" s="20"/>
      <c r="BH118" s="20"/>
      <c r="BI118" s="20" t="s">
        <v>922</v>
      </c>
      <c r="BJ118"/>
      <c r="BK118"/>
      <c r="BL118"/>
    </row>
    <row r="119" spans="1:64" ht="14.4" x14ac:dyDescent="0.3">
      <c r="A119" s="20" t="s">
        <v>923</v>
      </c>
      <c r="B119" s="20" t="s">
        <v>924</v>
      </c>
      <c r="C119" s="20" t="s">
        <v>925</v>
      </c>
      <c r="D119" s="20" t="s">
        <v>142</v>
      </c>
      <c r="E119" s="20" t="s">
        <v>143</v>
      </c>
      <c r="F119" s="20">
        <v>7</v>
      </c>
      <c r="G119" s="20" t="s">
        <v>10</v>
      </c>
      <c r="H119" s="34">
        <v>45839</v>
      </c>
      <c r="I119" s="20">
        <v>800</v>
      </c>
      <c r="J119" s="20" t="s">
        <v>926</v>
      </c>
      <c r="K119" s="20" t="s">
        <v>561</v>
      </c>
      <c r="L119" s="20" t="s">
        <v>117</v>
      </c>
      <c r="M119" s="20" t="s">
        <v>118</v>
      </c>
      <c r="N119" s="20" t="s">
        <v>119</v>
      </c>
      <c r="O119" s="20">
        <v>71775.360000000001</v>
      </c>
      <c r="P119" s="20"/>
      <c r="Q119" s="20">
        <v>71775.360000000001</v>
      </c>
      <c r="R119" s="20"/>
      <c r="S119" s="20">
        <v>71775.360000000001</v>
      </c>
      <c r="T119" s="20" t="s">
        <v>146</v>
      </c>
      <c r="U119" s="20">
        <v>5210101238</v>
      </c>
      <c r="V119" s="20" t="s">
        <v>121</v>
      </c>
      <c r="W119" s="20" t="s">
        <v>122</v>
      </c>
      <c r="X119" s="20" t="s">
        <v>123</v>
      </c>
      <c r="Y119" s="20" t="s">
        <v>124</v>
      </c>
      <c r="Z119" s="20" t="s">
        <v>562</v>
      </c>
      <c r="AA119" s="20">
        <v>0</v>
      </c>
      <c r="AB119" s="20" t="s">
        <v>126</v>
      </c>
      <c r="AC119" s="20" t="s">
        <v>127</v>
      </c>
      <c r="AD119" s="20" t="s">
        <v>128</v>
      </c>
      <c r="AE119" s="20" t="s">
        <v>548</v>
      </c>
      <c r="AF119" s="20" t="s">
        <v>549</v>
      </c>
      <c r="AG119" s="20" t="s">
        <v>131</v>
      </c>
      <c r="AH119" s="20" t="s">
        <v>132</v>
      </c>
      <c r="AI119" s="20"/>
      <c r="AJ119" s="20"/>
      <c r="AK119" s="20"/>
      <c r="AL119" s="20" t="s">
        <v>927</v>
      </c>
      <c r="AM119" s="20">
        <v>45798</v>
      </c>
      <c r="AN119" s="20" t="s">
        <v>928</v>
      </c>
      <c r="AO119" s="20" t="s">
        <v>24</v>
      </c>
      <c r="AP119" s="20" t="s">
        <v>24</v>
      </c>
      <c r="AQ119" s="20"/>
      <c r="AR119" s="20" t="s">
        <v>929</v>
      </c>
      <c r="AS119" s="20" t="s">
        <v>644</v>
      </c>
      <c r="AT119" s="20">
        <v>119404</v>
      </c>
      <c r="AU119" s="20" t="s">
        <v>554</v>
      </c>
      <c r="AV119" s="20">
        <v>5512</v>
      </c>
      <c r="AW119" s="20" t="s">
        <v>567</v>
      </c>
      <c r="AX119" s="20">
        <v>100064823</v>
      </c>
      <c r="AY119" s="20"/>
      <c r="AZ119" s="20"/>
      <c r="BA119" s="20"/>
      <c r="BB119" s="20"/>
      <c r="BC119" s="20"/>
      <c r="BD119" s="20"/>
      <c r="BE119" s="20"/>
      <c r="BF119" s="20"/>
      <c r="BG119" s="20"/>
      <c r="BH119" s="20"/>
      <c r="BI119" s="20" t="s">
        <v>930</v>
      </c>
      <c r="BJ119"/>
      <c r="BK119"/>
      <c r="BL119"/>
    </row>
    <row r="120" spans="1:64" ht="14.4" x14ac:dyDescent="0.3">
      <c r="A120" s="20" t="s">
        <v>931</v>
      </c>
      <c r="B120" s="20" t="s">
        <v>486</v>
      </c>
      <c r="C120" s="20" t="s">
        <v>487</v>
      </c>
      <c r="D120" s="20" t="s">
        <v>142</v>
      </c>
      <c r="E120" s="20" t="s">
        <v>143</v>
      </c>
      <c r="F120" s="20">
        <v>7</v>
      </c>
      <c r="G120" s="20" t="s">
        <v>9</v>
      </c>
      <c r="H120" s="34">
        <v>45821</v>
      </c>
      <c r="I120" s="20">
        <v>103</v>
      </c>
      <c r="J120" s="20" t="s">
        <v>932</v>
      </c>
      <c r="K120" s="20" t="s">
        <v>145</v>
      </c>
      <c r="L120" s="20" t="s">
        <v>117</v>
      </c>
      <c r="M120" s="20" t="s">
        <v>118</v>
      </c>
      <c r="N120" s="20" t="s">
        <v>119</v>
      </c>
      <c r="O120" s="20"/>
      <c r="P120" s="20">
        <v>2159680</v>
      </c>
      <c r="Q120" s="20"/>
      <c r="R120" s="20">
        <v>2159680</v>
      </c>
      <c r="S120" s="20">
        <v>-2159680</v>
      </c>
      <c r="T120" s="20" t="s">
        <v>146</v>
      </c>
      <c r="U120" s="20">
        <v>5210101581</v>
      </c>
      <c r="V120" s="20" t="s">
        <v>123</v>
      </c>
      <c r="W120" s="20" t="s">
        <v>124</v>
      </c>
      <c r="X120" s="20" t="s">
        <v>123</v>
      </c>
      <c r="Y120" s="20" t="s">
        <v>124</v>
      </c>
      <c r="Z120" s="20" t="s">
        <v>147</v>
      </c>
      <c r="AA120" s="20">
        <v>0</v>
      </c>
      <c r="AB120" s="20" t="s">
        <v>126</v>
      </c>
      <c r="AC120" s="20" t="s">
        <v>148</v>
      </c>
      <c r="AD120" s="20" t="s">
        <v>149</v>
      </c>
      <c r="AE120" s="20" t="s">
        <v>150</v>
      </c>
      <c r="AF120" s="20" t="s">
        <v>151</v>
      </c>
      <c r="AG120" s="20" t="s">
        <v>131</v>
      </c>
      <c r="AH120" s="20" t="s">
        <v>132</v>
      </c>
      <c r="AI120" s="20"/>
      <c r="AJ120" s="20"/>
      <c r="AK120" s="20"/>
      <c r="AL120" s="20" t="s">
        <v>933</v>
      </c>
      <c r="AM120" s="20">
        <v>45809</v>
      </c>
      <c r="AN120" s="20" t="s">
        <v>934</v>
      </c>
      <c r="AO120" s="20" t="s">
        <v>29</v>
      </c>
      <c r="AP120" s="20" t="s">
        <v>29</v>
      </c>
      <c r="AQ120" s="20"/>
      <c r="AR120" s="20" t="s">
        <v>935</v>
      </c>
      <c r="AS120" s="20" t="s">
        <v>492</v>
      </c>
      <c r="AT120" s="20">
        <v>117399</v>
      </c>
      <c r="AU120" s="20" t="s">
        <v>157</v>
      </c>
      <c r="AV120" s="20">
        <v>4100</v>
      </c>
      <c r="AW120" s="20" t="s">
        <v>158</v>
      </c>
      <c r="AX120" s="20"/>
      <c r="AY120" s="20"/>
      <c r="AZ120" s="20"/>
      <c r="BA120" s="20"/>
      <c r="BB120" s="20"/>
      <c r="BC120" s="20"/>
      <c r="BD120" s="20"/>
      <c r="BE120" s="20"/>
      <c r="BF120" s="20"/>
      <c r="BG120" s="20"/>
      <c r="BH120" s="20"/>
      <c r="BI120" s="20" t="s">
        <v>936</v>
      </c>
      <c r="BJ120"/>
      <c r="BK120"/>
      <c r="BL120"/>
    </row>
    <row r="121" spans="1:64" ht="14.4" x14ac:dyDescent="0.3">
      <c r="A121" s="20" t="s">
        <v>937</v>
      </c>
      <c r="B121" s="20" t="s">
        <v>455</v>
      </c>
      <c r="C121" s="20" t="s">
        <v>456</v>
      </c>
      <c r="D121" s="20" t="s">
        <v>172</v>
      </c>
      <c r="E121" s="20" t="s">
        <v>190</v>
      </c>
      <c r="F121" s="20">
        <v>7</v>
      </c>
      <c r="G121" s="20" t="s">
        <v>6</v>
      </c>
      <c r="H121" s="34">
        <v>46118</v>
      </c>
      <c r="I121" s="20">
        <v>69</v>
      </c>
      <c r="J121" s="20" t="s">
        <v>938</v>
      </c>
      <c r="K121" s="20" t="s">
        <v>619</v>
      </c>
      <c r="L121" s="20" t="s">
        <v>117</v>
      </c>
      <c r="M121" s="20" t="s">
        <v>118</v>
      </c>
      <c r="N121" s="20" t="s">
        <v>119</v>
      </c>
      <c r="O121" s="20">
        <v>70371</v>
      </c>
      <c r="P121" s="20"/>
      <c r="Q121" s="20">
        <v>70371</v>
      </c>
      <c r="R121" s="20"/>
      <c r="S121" s="20">
        <v>70371</v>
      </c>
      <c r="T121" s="20" t="s">
        <v>120</v>
      </c>
      <c r="U121" s="20">
        <v>5210101320</v>
      </c>
      <c r="V121" s="20" t="s">
        <v>543</v>
      </c>
      <c r="W121" s="20" t="s">
        <v>544</v>
      </c>
      <c r="X121" s="20" t="s">
        <v>123</v>
      </c>
      <c r="Y121" s="20" t="s">
        <v>124</v>
      </c>
      <c r="Z121" s="20" t="s">
        <v>545</v>
      </c>
      <c r="AA121" s="20">
        <v>0</v>
      </c>
      <c r="AB121" s="20" t="s">
        <v>126</v>
      </c>
      <c r="AC121" s="20" t="s">
        <v>127</v>
      </c>
      <c r="AD121" s="20" t="s">
        <v>128</v>
      </c>
      <c r="AE121" s="20" t="s">
        <v>548</v>
      </c>
      <c r="AF121" s="20" t="s">
        <v>549</v>
      </c>
      <c r="AG121" s="20" t="s">
        <v>131</v>
      </c>
      <c r="AH121" s="20" t="s">
        <v>132</v>
      </c>
      <c r="AI121" s="20"/>
      <c r="AJ121" s="20"/>
      <c r="AK121" s="20"/>
      <c r="AL121" s="20" t="s">
        <v>939</v>
      </c>
      <c r="AM121" s="20"/>
      <c r="AN121" s="20"/>
      <c r="AO121" s="20" t="s">
        <v>442</v>
      </c>
      <c r="AP121" s="20" t="s">
        <v>442</v>
      </c>
      <c r="AQ121" s="20"/>
      <c r="AR121" s="20"/>
      <c r="AS121" s="20"/>
      <c r="AT121" s="20"/>
      <c r="AU121" s="20"/>
      <c r="AV121" s="20"/>
      <c r="AW121" s="20"/>
      <c r="AX121" s="20">
        <v>100070570</v>
      </c>
      <c r="AY121" s="20" t="s">
        <v>940</v>
      </c>
      <c r="AZ121" s="20"/>
      <c r="BA121" s="20"/>
      <c r="BB121" s="20"/>
      <c r="BC121" s="20"/>
      <c r="BD121" s="20"/>
      <c r="BE121" s="20"/>
      <c r="BF121" s="20"/>
      <c r="BG121" s="20"/>
      <c r="BH121" s="20"/>
      <c r="BI121" s="20" t="s">
        <v>941</v>
      </c>
      <c r="BJ121"/>
      <c r="BK121" s="37"/>
      <c r="BL121" s="37"/>
    </row>
    <row r="122" spans="1:64" ht="14.4" x14ac:dyDescent="0.3">
      <c r="A122" s="20" t="s">
        <v>942</v>
      </c>
      <c r="B122" s="20" t="s">
        <v>275</v>
      </c>
      <c r="C122" s="20" t="s">
        <v>276</v>
      </c>
      <c r="D122" s="20" t="s">
        <v>142</v>
      </c>
      <c r="E122" s="20" t="s">
        <v>143</v>
      </c>
      <c r="F122" s="20">
        <v>7</v>
      </c>
      <c r="G122" s="20" t="s">
        <v>13</v>
      </c>
      <c r="H122" s="34">
        <v>45952</v>
      </c>
      <c r="I122" s="20">
        <v>28</v>
      </c>
      <c r="J122" s="20" t="s">
        <v>943</v>
      </c>
      <c r="K122" s="20" t="s">
        <v>116</v>
      </c>
      <c r="L122" s="20" t="s">
        <v>117</v>
      </c>
      <c r="M122" s="20" t="s">
        <v>118</v>
      </c>
      <c r="N122" s="20" t="s">
        <v>119</v>
      </c>
      <c r="O122" s="20">
        <v>34969.54</v>
      </c>
      <c r="P122" s="20"/>
      <c r="Q122" s="20">
        <v>34969.54</v>
      </c>
      <c r="R122" s="20"/>
      <c r="S122" s="36">
        <v>34969.54</v>
      </c>
      <c r="T122" s="20" t="s">
        <v>146</v>
      </c>
      <c r="U122" s="20">
        <v>5210101232</v>
      </c>
      <c r="V122" s="20" t="s">
        <v>121</v>
      </c>
      <c r="W122" s="20" t="s">
        <v>122</v>
      </c>
      <c r="X122" s="20" t="s">
        <v>123</v>
      </c>
      <c r="Y122" s="20" t="s">
        <v>124</v>
      </c>
      <c r="Z122" s="20" t="s">
        <v>125</v>
      </c>
      <c r="AA122" s="20">
        <v>0</v>
      </c>
      <c r="AB122" s="20" t="s">
        <v>126</v>
      </c>
      <c r="AC122" s="20" t="s">
        <v>127</v>
      </c>
      <c r="AD122" s="20" t="s">
        <v>128</v>
      </c>
      <c r="AE122" s="20" t="s">
        <v>129</v>
      </c>
      <c r="AF122" s="20" t="s">
        <v>130</v>
      </c>
      <c r="AG122" s="20" t="s">
        <v>131</v>
      </c>
      <c r="AH122" s="20" t="s">
        <v>132</v>
      </c>
      <c r="AI122" s="20"/>
      <c r="AJ122" s="20"/>
      <c r="AK122" s="20"/>
      <c r="AL122" s="20" t="s">
        <v>278</v>
      </c>
      <c r="AM122" s="20">
        <v>45903</v>
      </c>
      <c r="AN122" s="20" t="s">
        <v>279</v>
      </c>
      <c r="AO122" s="20" t="s">
        <v>24</v>
      </c>
      <c r="AP122" s="20" t="s">
        <v>24</v>
      </c>
      <c r="AQ122" s="20"/>
      <c r="AR122" s="20" t="s">
        <v>280</v>
      </c>
      <c r="AS122" s="20" t="s">
        <v>944</v>
      </c>
      <c r="AT122" s="20">
        <v>117689</v>
      </c>
      <c r="AU122" s="20" t="s">
        <v>135</v>
      </c>
      <c r="AV122" s="20">
        <v>5509</v>
      </c>
      <c r="AW122" s="20" t="s">
        <v>136</v>
      </c>
      <c r="AX122" s="20">
        <v>100064933</v>
      </c>
      <c r="AY122" s="20"/>
      <c r="AZ122" s="20"/>
      <c r="BA122" s="20"/>
      <c r="BB122" s="20"/>
      <c r="BC122" s="20"/>
      <c r="BD122" s="20"/>
      <c r="BE122" s="20"/>
      <c r="BF122" s="20"/>
      <c r="BG122" s="20"/>
      <c r="BH122" s="20"/>
      <c r="BI122" s="20" t="s">
        <v>945</v>
      </c>
      <c r="BJ122"/>
      <c r="BK122"/>
      <c r="BL122"/>
    </row>
    <row r="123" spans="1:64" ht="14.4" x14ac:dyDescent="0.3">
      <c r="A123" s="20" t="s">
        <v>946</v>
      </c>
      <c r="B123" s="20" t="s">
        <v>503</v>
      </c>
      <c r="C123" s="20" t="s">
        <v>504</v>
      </c>
      <c r="D123" s="20" t="s">
        <v>142</v>
      </c>
      <c r="E123" s="20" t="s">
        <v>143</v>
      </c>
      <c r="F123" s="20">
        <v>7</v>
      </c>
      <c r="G123" s="20" t="s">
        <v>15</v>
      </c>
      <c r="H123" s="34">
        <v>46014</v>
      </c>
      <c r="I123" s="20">
        <v>160</v>
      </c>
      <c r="J123" s="20" t="s">
        <v>515</v>
      </c>
      <c r="K123" s="20" t="s">
        <v>506</v>
      </c>
      <c r="L123" s="20" t="s">
        <v>117</v>
      </c>
      <c r="M123" s="20" t="s">
        <v>118</v>
      </c>
      <c r="N123" s="20" t="s">
        <v>119</v>
      </c>
      <c r="O123" s="20">
        <v>222603.76</v>
      </c>
      <c r="P123" s="20"/>
      <c r="Q123" s="20">
        <v>222603.76</v>
      </c>
      <c r="R123" s="20"/>
      <c r="S123" s="26">
        <v>222603.76</v>
      </c>
      <c r="T123" s="20" t="s">
        <v>146</v>
      </c>
      <c r="U123" s="20">
        <v>5210101581</v>
      </c>
      <c r="V123" s="20" t="s">
        <v>123</v>
      </c>
      <c r="W123" s="20" t="s">
        <v>124</v>
      </c>
      <c r="X123" s="20" t="s">
        <v>123</v>
      </c>
      <c r="Y123" s="20" t="s">
        <v>124</v>
      </c>
      <c r="Z123" s="20" t="s">
        <v>147</v>
      </c>
      <c r="AA123" s="20">
        <v>0</v>
      </c>
      <c r="AB123" s="20" t="s">
        <v>126</v>
      </c>
      <c r="AC123" s="20" t="s">
        <v>507</v>
      </c>
      <c r="AD123" s="20" t="s">
        <v>508</v>
      </c>
      <c r="AE123" s="20" t="s">
        <v>150</v>
      </c>
      <c r="AF123" s="20" t="s">
        <v>151</v>
      </c>
      <c r="AG123" s="20" t="s">
        <v>131</v>
      </c>
      <c r="AH123" s="20" t="s">
        <v>132</v>
      </c>
      <c r="AI123" s="20"/>
      <c r="AJ123" s="20"/>
      <c r="AK123" s="20"/>
      <c r="AL123" s="20">
        <v>7000440232</v>
      </c>
      <c r="AM123" s="20">
        <v>45994</v>
      </c>
      <c r="AN123" s="20" t="s">
        <v>516</v>
      </c>
      <c r="AO123" s="20" t="s">
        <v>34</v>
      </c>
      <c r="AP123" s="20" t="s">
        <v>34</v>
      </c>
      <c r="AQ123" s="20"/>
      <c r="AR123" s="20" t="s">
        <v>517</v>
      </c>
      <c r="AS123" s="20" t="s">
        <v>511</v>
      </c>
      <c r="AT123" s="20">
        <v>117399</v>
      </c>
      <c r="AU123" s="20" t="s">
        <v>157</v>
      </c>
      <c r="AV123" s="20">
        <v>4203</v>
      </c>
      <c r="AW123" s="20" t="s">
        <v>512</v>
      </c>
      <c r="AX123" s="20">
        <v>100064587</v>
      </c>
      <c r="AY123" s="20"/>
      <c r="AZ123" s="20"/>
      <c r="BA123" s="20"/>
      <c r="BB123" s="20"/>
      <c r="BC123" s="20"/>
      <c r="BD123" s="20"/>
      <c r="BE123" s="20"/>
      <c r="BF123" s="20"/>
      <c r="BG123" s="20"/>
      <c r="BH123" s="20"/>
      <c r="BI123" s="20" t="s">
        <v>947</v>
      </c>
      <c r="BJ123"/>
      <c r="BK123"/>
      <c r="BL123"/>
    </row>
    <row r="124" spans="1:64" ht="14.4" x14ac:dyDescent="0.3">
      <c r="A124" s="20" t="s">
        <v>948</v>
      </c>
      <c r="B124" s="20" t="s">
        <v>949</v>
      </c>
      <c r="C124" s="20" t="s">
        <v>950</v>
      </c>
      <c r="D124" s="20" t="s">
        <v>172</v>
      </c>
      <c r="E124" s="20" t="s">
        <v>173</v>
      </c>
      <c r="F124" s="20">
        <v>7</v>
      </c>
      <c r="G124" s="20" t="s">
        <v>16</v>
      </c>
      <c r="H124" s="34">
        <v>46052</v>
      </c>
      <c r="I124" s="20">
        <v>2</v>
      </c>
      <c r="J124" s="20" t="s">
        <v>613</v>
      </c>
      <c r="K124" s="20" t="s">
        <v>116</v>
      </c>
      <c r="L124" s="20" t="s">
        <v>117</v>
      </c>
      <c r="M124" s="20" t="s">
        <v>118</v>
      </c>
      <c r="N124" s="20" t="s">
        <v>119</v>
      </c>
      <c r="O124" s="20"/>
      <c r="P124" s="20">
        <v>1478240</v>
      </c>
      <c r="Q124" s="20"/>
      <c r="R124" s="20">
        <v>1478240</v>
      </c>
      <c r="S124" s="20">
        <v>-1478240</v>
      </c>
      <c r="T124" s="20" t="s">
        <v>120</v>
      </c>
      <c r="U124" s="20">
        <v>5210101232</v>
      </c>
      <c r="V124" s="20" t="s">
        <v>121</v>
      </c>
      <c r="W124" s="20" t="s">
        <v>122</v>
      </c>
      <c r="X124" s="20" t="s">
        <v>123</v>
      </c>
      <c r="Y124" s="20" t="s">
        <v>124</v>
      </c>
      <c r="Z124" s="20" t="s">
        <v>125</v>
      </c>
      <c r="AA124" s="20">
        <v>0</v>
      </c>
      <c r="AB124" s="20" t="s">
        <v>126</v>
      </c>
      <c r="AC124" s="20" t="s">
        <v>127</v>
      </c>
      <c r="AD124" s="20" t="s">
        <v>128</v>
      </c>
      <c r="AE124" s="20" t="s">
        <v>129</v>
      </c>
      <c r="AF124" s="20" t="s">
        <v>130</v>
      </c>
      <c r="AG124" s="20" t="s">
        <v>131</v>
      </c>
      <c r="AH124" s="20" t="s">
        <v>132</v>
      </c>
      <c r="AI124" s="20"/>
      <c r="AJ124" s="20"/>
      <c r="AK124" s="20"/>
      <c r="AL124" s="20" t="s">
        <v>531</v>
      </c>
      <c r="AM124" s="20"/>
      <c r="AN124" s="20"/>
      <c r="AO124" s="20" t="s">
        <v>24</v>
      </c>
      <c r="AP124" s="20" t="s">
        <v>24</v>
      </c>
      <c r="AQ124" s="20"/>
      <c r="AR124" s="20"/>
      <c r="AS124" s="20"/>
      <c r="AT124" s="20"/>
      <c r="AU124" s="20"/>
      <c r="AV124" s="20"/>
      <c r="AW124" s="20"/>
      <c r="AX124" s="20">
        <v>100070263</v>
      </c>
      <c r="AY124" s="20" t="s">
        <v>137</v>
      </c>
      <c r="AZ124" s="20"/>
      <c r="BA124" s="20"/>
      <c r="BB124" s="20"/>
      <c r="BC124" s="20"/>
      <c r="BD124" s="20"/>
      <c r="BE124" s="20"/>
      <c r="BF124" s="20"/>
      <c r="BG124" s="20"/>
      <c r="BH124" s="20"/>
      <c r="BI124" s="20" t="s">
        <v>951</v>
      </c>
      <c r="BJ124"/>
      <c r="BK124"/>
      <c r="BL124"/>
    </row>
    <row r="125" spans="1:64" ht="14.4" x14ac:dyDescent="0.3">
      <c r="A125" s="20" t="s">
        <v>952</v>
      </c>
      <c r="B125" s="20" t="s">
        <v>909</v>
      </c>
      <c r="C125" s="20" t="s">
        <v>910</v>
      </c>
      <c r="D125" s="20" t="s">
        <v>172</v>
      </c>
      <c r="E125" s="20" t="s">
        <v>190</v>
      </c>
      <c r="F125" s="20">
        <v>7</v>
      </c>
      <c r="G125" s="20" t="s">
        <v>12</v>
      </c>
      <c r="H125" s="34">
        <v>45922</v>
      </c>
      <c r="I125" s="20">
        <v>6</v>
      </c>
      <c r="J125" s="20" t="s">
        <v>289</v>
      </c>
      <c r="K125" s="20" t="s">
        <v>116</v>
      </c>
      <c r="L125" s="20" t="s">
        <v>117</v>
      </c>
      <c r="M125" s="20" t="s">
        <v>118</v>
      </c>
      <c r="N125" s="20" t="s">
        <v>119</v>
      </c>
      <c r="O125" s="20"/>
      <c r="P125" s="20">
        <v>6831393.2800000003</v>
      </c>
      <c r="Q125" s="20"/>
      <c r="R125" s="20">
        <v>6831393.2800000003</v>
      </c>
      <c r="S125" s="20">
        <v>-6831393.2800000003</v>
      </c>
      <c r="T125" s="20" t="s">
        <v>146</v>
      </c>
      <c r="U125" s="20">
        <v>5210101232</v>
      </c>
      <c r="V125" s="20" t="s">
        <v>121</v>
      </c>
      <c r="W125" s="20" t="s">
        <v>122</v>
      </c>
      <c r="X125" s="20" t="s">
        <v>123</v>
      </c>
      <c r="Y125" s="20" t="s">
        <v>124</v>
      </c>
      <c r="Z125" s="20" t="s">
        <v>125</v>
      </c>
      <c r="AA125" s="20">
        <v>0</v>
      </c>
      <c r="AB125" s="20" t="s">
        <v>126</v>
      </c>
      <c r="AC125" s="20" t="s">
        <v>127</v>
      </c>
      <c r="AD125" s="20" t="s">
        <v>128</v>
      </c>
      <c r="AE125" s="20" t="s">
        <v>129</v>
      </c>
      <c r="AF125" s="20" t="s">
        <v>130</v>
      </c>
      <c r="AG125" s="20" t="s">
        <v>131</v>
      </c>
      <c r="AH125" s="20" t="s">
        <v>132</v>
      </c>
      <c r="AI125" s="20"/>
      <c r="AJ125" s="20"/>
      <c r="AK125" s="20"/>
      <c r="AL125" s="20"/>
      <c r="AM125" s="20"/>
      <c r="AN125" s="20"/>
      <c r="AO125" s="20" t="s">
        <v>442</v>
      </c>
      <c r="AP125" s="20" t="s">
        <v>442</v>
      </c>
      <c r="AQ125" s="20"/>
      <c r="AR125" s="20"/>
      <c r="AS125" s="20"/>
      <c r="AT125" s="20">
        <v>117689</v>
      </c>
      <c r="AU125" s="20" t="s">
        <v>135</v>
      </c>
      <c r="AV125" s="20">
        <v>5509</v>
      </c>
      <c r="AW125" s="20" t="s">
        <v>136</v>
      </c>
      <c r="AX125" s="20">
        <v>100065125</v>
      </c>
      <c r="AY125" s="20" t="s">
        <v>289</v>
      </c>
      <c r="AZ125" s="20"/>
      <c r="BA125" s="20"/>
      <c r="BB125" s="20"/>
      <c r="BC125" s="20"/>
      <c r="BD125" s="20"/>
      <c r="BE125" s="20"/>
      <c r="BF125" s="20"/>
      <c r="BG125" s="20"/>
      <c r="BH125" s="20"/>
      <c r="BI125" s="20" t="s">
        <v>953</v>
      </c>
      <c r="BJ125"/>
      <c r="BK125" s="37"/>
      <c r="BL125" s="37"/>
    </row>
    <row r="126" spans="1:64" ht="14.4" x14ac:dyDescent="0.3">
      <c r="A126" s="20" t="s">
        <v>954</v>
      </c>
      <c r="B126" s="20" t="s">
        <v>949</v>
      </c>
      <c r="C126" s="20" t="s">
        <v>950</v>
      </c>
      <c r="D126" s="20" t="s">
        <v>172</v>
      </c>
      <c r="E126" s="20" t="s">
        <v>173</v>
      </c>
      <c r="F126" s="20">
        <v>7</v>
      </c>
      <c r="G126" s="20" t="s">
        <v>16</v>
      </c>
      <c r="H126" s="34">
        <v>46052</v>
      </c>
      <c r="I126" s="20">
        <v>3</v>
      </c>
      <c r="J126" s="20" t="s">
        <v>447</v>
      </c>
      <c r="K126" s="20" t="s">
        <v>116</v>
      </c>
      <c r="L126" s="20" t="s">
        <v>117</v>
      </c>
      <c r="M126" s="20" t="s">
        <v>118</v>
      </c>
      <c r="N126" s="20" t="s">
        <v>119</v>
      </c>
      <c r="O126" s="20"/>
      <c r="P126" s="20">
        <v>7540025</v>
      </c>
      <c r="Q126" s="20"/>
      <c r="R126" s="20">
        <v>7540025</v>
      </c>
      <c r="S126" s="20">
        <v>-7540025</v>
      </c>
      <c r="T126" s="20" t="s">
        <v>120</v>
      </c>
      <c r="U126" s="20">
        <v>5210101232</v>
      </c>
      <c r="V126" s="20" t="s">
        <v>121</v>
      </c>
      <c r="W126" s="20" t="s">
        <v>122</v>
      </c>
      <c r="X126" s="20" t="s">
        <v>123</v>
      </c>
      <c r="Y126" s="20" t="s">
        <v>124</v>
      </c>
      <c r="Z126" s="20" t="s">
        <v>125</v>
      </c>
      <c r="AA126" s="20">
        <v>0</v>
      </c>
      <c r="AB126" s="20" t="s">
        <v>126</v>
      </c>
      <c r="AC126" s="20" t="s">
        <v>127</v>
      </c>
      <c r="AD126" s="20" t="s">
        <v>128</v>
      </c>
      <c r="AE126" s="20" t="s">
        <v>129</v>
      </c>
      <c r="AF126" s="20" t="s">
        <v>130</v>
      </c>
      <c r="AG126" s="20" t="s">
        <v>131</v>
      </c>
      <c r="AH126" s="20" t="s">
        <v>132</v>
      </c>
      <c r="AI126" s="20"/>
      <c r="AJ126" s="20"/>
      <c r="AK126" s="20"/>
      <c r="AL126" s="20" t="s">
        <v>164</v>
      </c>
      <c r="AM126" s="20"/>
      <c r="AN126" s="20"/>
      <c r="AO126" s="20" t="s">
        <v>24</v>
      </c>
      <c r="AP126" s="20" t="s">
        <v>24</v>
      </c>
      <c r="AQ126" s="20"/>
      <c r="AR126" s="20"/>
      <c r="AS126" s="20"/>
      <c r="AT126" s="20"/>
      <c r="AU126" s="20"/>
      <c r="AV126" s="20"/>
      <c r="AW126" s="20"/>
      <c r="AX126" s="20">
        <v>100070263</v>
      </c>
      <c r="AY126" s="20" t="s">
        <v>137</v>
      </c>
      <c r="AZ126" s="20"/>
      <c r="BA126" s="20"/>
      <c r="BB126" s="20"/>
      <c r="BC126" s="20"/>
      <c r="BD126" s="20"/>
      <c r="BE126" s="20"/>
      <c r="BF126" s="20"/>
      <c r="BG126" s="20"/>
      <c r="BH126" s="20"/>
      <c r="BI126" s="20" t="s">
        <v>955</v>
      </c>
      <c r="BJ126"/>
      <c r="BK126"/>
      <c r="BL126"/>
    </row>
    <row r="127" spans="1:64" s="35" customFormat="1" ht="14.4" x14ac:dyDescent="0.3">
      <c r="A127" s="20" t="s">
        <v>956</v>
      </c>
      <c r="B127" s="20" t="s">
        <v>445</v>
      </c>
      <c r="C127" s="20" t="s">
        <v>446</v>
      </c>
      <c r="D127" s="20" t="s">
        <v>172</v>
      </c>
      <c r="E127" s="20" t="s">
        <v>173</v>
      </c>
      <c r="F127" s="20">
        <v>7</v>
      </c>
      <c r="G127" s="20" t="s">
        <v>18</v>
      </c>
      <c r="H127" s="34">
        <v>46108</v>
      </c>
      <c r="I127" s="20">
        <v>4</v>
      </c>
      <c r="J127" s="20" t="s">
        <v>115</v>
      </c>
      <c r="K127" s="20" t="s">
        <v>116</v>
      </c>
      <c r="L127" s="20" t="s">
        <v>117</v>
      </c>
      <c r="M127" s="20" t="s">
        <v>118</v>
      </c>
      <c r="N127" s="20" t="s">
        <v>119</v>
      </c>
      <c r="O127" s="20"/>
      <c r="P127" s="20">
        <v>11590858</v>
      </c>
      <c r="Q127" s="20"/>
      <c r="R127" s="20">
        <v>11590858</v>
      </c>
      <c r="S127" s="20">
        <v>-11590858</v>
      </c>
      <c r="T127" s="20" t="s">
        <v>120</v>
      </c>
      <c r="U127" s="20">
        <v>5210101232</v>
      </c>
      <c r="V127" s="20" t="s">
        <v>121</v>
      </c>
      <c r="W127" s="20" t="s">
        <v>122</v>
      </c>
      <c r="X127" s="20" t="s">
        <v>123</v>
      </c>
      <c r="Y127" s="20" t="s">
        <v>124</v>
      </c>
      <c r="Z127" s="20" t="s">
        <v>125</v>
      </c>
      <c r="AA127" s="20">
        <v>0</v>
      </c>
      <c r="AB127" s="20" t="s">
        <v>126</v>
      </c>
      <c r="AC127" s="20" t="s">
        <v>127</v>
      </c>
      <c r="AD127" s="20" t="s">
        <v>128</v>
      </c>
      <c r="AE127" s="20" t="s">
        <v>129</v>
      </c>
      <c r="AF127" s="20" t="s">
        <v>130</v>
      </c>
      <c r="AG127" s="20" t="s">
        <v>131</v>
      </c>
      <c r="AH127" s="20" t="s">
        <v>132</v>
      </c>
      <c r="AI127" s="20"/>
      <c r="AJ127" s="20"/>
      <c r="AK127" s="20"/>
      <c r="AL127" s="20" t="s">
        <v>133</v>
      </c>
      <c r="AM127" s="20"/>
      <c r="AN127" s="20"/>
      <c r="AO127" s="20" t="s">
        <v>24</v>
      </c>
      <c r="AP127" s="20" t="s">
        <v>24</v>
      </c>
      <c r="AQ127" s="20"/>
      <c r="AR127" s="20"/>
      <c r="AS127" s="20"/>
      <c r="AT127" s="20"/>
      <c r="AU127" s="20"/>
      <c r="AV127" s="20"/>
      <c r="AW127" s="20"/>
      <c r="AX127" s="20">
        <v>100070263</v>
      </c>
      <c r="AY127" s="20" t="s">
        <v>137</v>
      </c>
      <c r="AZ127" s="20"/>
      <c r="BA127" s="20"/>
      <c r="BB127" s="20"/>
      <c r="BC127" s="20"/>
      <c r="BD127" s="20"/>
      <c r="BE127" s="20"/>
      <c r="BF127" s="20"/>
      <c r="BG127" s="20"/>
      <c r="BH127" s="20"/>
      <c r="BI127" s="20" t="s">
        <v>957</v>
      </c>
      <c r="BJ127"/>
      <c r="BK127"/>
      <c r="BL127"/>
    </row>
    <row r="128" spans="1:64" ht="14.4" x14ac:dyDescent="0.3">
      <c r="A128" s="20" t="s">
        <v>958</v>
      </c>
      <c r="B128" s="20" t="s">
        <v>211</v>
      </c>
      <c r="C128" s="20" t="s">
        <v>212</v>
      </c>
      <c r="D128" s="20" t="s">
        <v>142</v>
      </c>
      <c r="E128" s="20" t="s">
        <v>143</v>
      </c>
      <c r="F128" s="20">
        <v>7</v>
      </c>
      <c r="G128" s="20" t="s">
        <v>18</v>
      </c>
      <c r="H128" s="34">
        <v>46092</v>
      </c>
      <c r="I128" s="20">
        <v>97</v>
      </c>
      <c r="J128" s="20" t="s">
        <v>959</v>
      </c>
      <c r="K128" s="20" t="s">
        <v>145</v>
      </c>
      <c r="L128" s="20" t="s">
        <v>117</v>
      </c>
      <c r="M128" s="20" t="s">
        <v>118</v>
      </c>
      <c r="N128" s="20" t="s">
        <v>119</v>
      </c>
      <c r="O128" s="20">
        <v>12100</v>
      </c>
      <c r="P128" s="20"/>
      <c r="Q128" s="20">
        <v>12100</v>
      </c>
      <c r="R128" s="20"/>
      <c r="S128" s="20">
        <v>12100</v>
      </c>
      <c r="T128" s="20" t="s">
        <v>120</v>
      </c>
      <c r="U128" s="20">
        <v>5210101581</v>
      </c>
      <c r="V128" s="20" t="s">
        <v>123</v>
      </c>
      <c r="W128" s="20" t="s">
        <v>124</v>
      </c>
      <c r="X128" s="20" t="s">
        <v>123</v>
      </c>
      <c r="Y128" s="20" t="s">
        <v>124</v>
      </c>
      <c r="Z128" s="20" t="s">
        <v>147</v>
      </c>
      <c r="AA128" s="20">
        <v>0</v>
      </c>
      <c r="AB128" s="20" t="s">
        <v>126</v>
      </c>
      <c r="AC128" s="20" t="s">
        <v>148</v>
      </c>
      <c r="AD128" s="20" t="s">
        <v>149</v>
      </c>
      <c r="AE128" s="20" t="s">
        <v>150</v>
      </c>
      <c r="AF128" s="20" t="s">
        <v>151</v>
      </c>
      <c r="AG128" s="20" t="s">
        <v>131</v>
      </c>
      <c r="AH128" s="20" t="s">
        <v>132</v>
      </c>
      <c r="AI128" s="20"/>
      <c r="AJ128" s="20"/>
      <c r="AK128" s="20"/>
      <c r="AL128" s="20" t="s">
        <v>960</v>
      </c>
      <c r="AM128" s="20">
        <v>46090</v>
      </c>
      <c r="AN128" s="20" t="s">
        <v>961</v>
      </c>
      <c r="AO128" s="20" t="s">
        <v>39</v>
      </c>
      <c r="AP128" s="20" t="s">
        <v>39</v>
      </c>
      <c r="AQ128" s="20"/>
      <c r="AR128" s="20" t="s">
        <v>962</v>
      </c>
      <c r="AS128" s="20" t="s">
        <v>963</v>
      </c>
      <c r="AT128" s="20">
        <v>117399</v>
      </c>
      <c r="AU128" s="20" t="s">
        <v>157</v>
      </c>
      <c r="AV128" s="20">
        <v>4100</v>
      </c>
      <c r="AW128" s="20" t="s">
        <v>158</v>
      </c>
      <c r="AX128" s="20">
        <v>100071180</v>
      </c>
      <c r="AY128" s="20"/>
      <c r="AZ128" s="20"/>
      <c r="BA128" s="20"/>
      <c r="BB128" s="20"/>
      <c r="BC128" s="20"/>
      <c r="BD128" s="20"/>
      <c r="BE128" s="20"/>
      <c r="BF128" s="20"/>
      <c r="BG128" s="20"/>
      <c r="BH128" s="20"/>
      <c r="BI128" s="20" t="s">
        <v>964</v>
      </c>
      <c r="BJ128"/>
      <c r="BK128"/>
      <c r="BL128"/>
    </row>
    <row r="129" spans="1:64" ht="14.4" x14ac:dyDescent="0.3">
      <c r="A129" s="20" t="s">
        <v>965</v>
      </c>
      <c r="B129" s="20" t="s">
        <v>623</v>
      </c>
      <c r="C129" s="20" t="s">
        <v>624</v>
      </c>
      <c r="D129" s="20" t="s">
        <v>142</v>
      </c>
      <c r="E129" s="20" t="s">
        <v>143</v>
      </c>
      <c r="F129" s="20">
        <v>7</v>
      </c>
      <c r="G129" s="20" t="s">
        <v>18</v>
      </c>
      <c r="H129" s="34">
        <v>46083</v>
      </c>
      <c r="I129" s="20">
        <v>316</v>
      </c>
      <c r="J129" s="20" t="s">
        <v>966</v>
      </c>
      <c r="K129" s="20" t="s">
        <v>145</v>
      </c>
      <c r="L129" s="20" t="s">
        <v>117</v>
      </c>
      <c r="M129" s="20" t="s">
        <v>118</v>
      </c>
      <c r="N129" s="20" t="s">
        <v>119</v>
      </c>
      <c r="O129" s="20">
        <v>8461</v>
      </c>
      <c r="P129" s="20"/>
      <c r="Q129" s="20">
        <v>8461</v>
      </c>
      <c r="R129" s="20"/>
      <c r="S129" s="20">
        <v>8461</v>
      </c>
      <c r="T129" s="20" t="s">
        <v>120</v>
      </c>
      <c r="U129" s="20">
        <v>5210101581</v>
      </c>
      <c r="V129" s="20" t="s">
        <v>123</v>
      </c>
      <c r="W129" s="20" t="s">
        <v>124</v>
      </c>
      <c r="X129" s="20" t="s">
        <v>123</v>
      </c>
      <c r="Y129" s="20" t="s">
        <v>124</v>
      </c>
      <c r="Z129" s="20" t="s">
        <v>147</v>
      </c>
      <c r="AA129" s="20">
        <v>0</v>
      </c>
      <c r="AB129" s="20" t="s">
        <v>126</v>
      </c>
      <c r="AC129" s="20" t="s">
        <v>148</v>
      </c>
      <c r="AD129" s="20" t="s">
        <v>149</v>
      </c>
      <c r="AE129" s="20" t="s">
        <v>150</v>
      </c>
      <c r="AF129" s="20" t="s">
        <v>151</v>
      </c>
      <c r="AG129" s="20" t="s">
        <v>131</v>
      </c>
      <c r="AH129" s="20" t="s">
        <v>132</v>
      </c>
      <c r="AI129" s="20"/>
      <c r="AJ129" s="20"/>
      <c r="AK129" s="20"/>
      <c r="AL129" s="20" t="s">
        <v>967</v>
      </c>
      <c r="AM129" s="20">
        <v>46082</v>
      </c>
      <c r="AN129" s="20" t="s">
        <v>968</v>
      </c>
      <c r="AO129" s="20" t="s">
        <v>39</v>
      </c>
      <c r="AP129" s="20" t="s">
        <v>39</v>
      </c>
      <c r="AQ129" s="20"/>
      <c r="AR129" s="20" t="s">
        <v>969</v>
      </c>
      <c r="AS129" s="20" t="s">
        <v>970</v>
      </c>
      <c r="AT129" s="20">
        <v>117399</v>
      </c>
      <c r="AU129" s="20" t="s">
        <v>157</v>
      </c>
      <c r="AV129" s="20">
        <v>4100</v>
      </c>
      <c r="AW129" s="20" t="s">
        <v>158</v>
      </c>
      <c r="AX129" s="20">
        <v>100071051</v>
      </c>
      <c r="AY129" s="20"/>
      <c r="AZ129" s="20"/>
      <c r="BA129" s="20"/>
      <c r="BB129" s="20"/>
      <c r="BC129" s="20"/>
      <c r="BD129" s="20"/>
      <c r="BE129" s="20"/>
      <c r="BF129" s="20"/>
      <c r="BG129" s="20"/>
      <c r="BH129" s="20"/>
      <c r="BI129" s="20" t="s">
        <v>971</v>
      </c>
      <c r="BJ129"/>
      <c r="BK129"/>
      <c r="BL129"/>
    </row>
    <row r="130" spans="1:64" ht="57.6" x14ac:dyDescent="0.3">
      <c r="A130" s="20" t="s">
        <v>972</v>
      </c>
      <c r="B130" s="20" t="s">
        <v>292</v>
      </c>
      <c r="C130" s="20" t="s">
        <v>293</v>
      </c>
      <c r="D130" s="20" t="s">
        <v>142</v>
      </c>
      <c r="E130" s="20" t="s">
        <v>143</v>
      </c>
      <c r="F130" s="20">
        <v>7</v>
      </c>
      <c r="G130" s="20" t="s">
        <v>18</v>
      </c>
      <c r="H130" s="34">
        <v>46093</v>
      </c>
      <c r="I130" s="20">
        <v>108</v>
      </c>
      <c r="J130" s="38" t="s">
        <v>294</v>
      </c>
      <c r="K130" s="20" t="s">
        <v>145</v>
      </c>
      <c r="L130" s="20" t="s">
        <v>117</v>
      </c>
      <c r="M130" s="20" t="s">
        <v>118</v>
      </c>
      <c r="N130" s="20" t="s">
        <v>119</v>
      </c>
      <c r="O130" s="20"/>
      <c r="P130" s="20">
        <v>4111811</v>
      </c>
      <c r="Q130" s="20"/>
      <c r="R130" s="20">
        <v>4111811</v>
      </c>
      <c r="S130" s="20">
        <v>-4111811</v>
      </c>
      <c r="T130" s="20" t="s">
        <v>120</v>
      </c>
      <c r="U130" s="20">
        <v>5210101581</v>
      </c>
      <c r="V130" s="20" t="s">
        <v>123</v>
      </c>
      <c r="W130" s="20" t="s">
        <v>124</v>
      </c>
      <c r="X130" s="20" t="s">
        <v>123</v>
      </c>
      <c r="Y130" s="20" t="s">
        <v>124</v>
      </c>
      <c r="Z130" s="20" t="s">
        <v>147</v>
      </c>
      <c r="AA130" s="20">
        <v>0</v>
      </c>
      <c r="AB130" s="20" t="s">
        <v>126</v>
      </c>
      <c r="AC130" s="20" t="s">
        <v>148</v>
      </c>
      <c r="AD130" s="20" t="s">
        <v>149</v>
      </c>
      <c r="AE130" s="20" t="s">
        <v>150</v>
      </c>
      <c r="AF130" s="20" t="s">
        <v>151</v>
      </c>
      <c r="AG130" s="20" t="s">
        <v>131</v>
      </c>
      <c r="AH130" s="20" t="s">
        <v>132</v>
      </c>
      <c r="AI130" s="20"/>
      <c r="AJ130" s="20"/>
      <c r="AK130" s="20"/>
      <c r="AL130" s="20">
        <v>325803980260</v>
      </c>
      <c r="AM130" s="20">
        <v>46082</v>
      </c>
      <c r="AN130" s="20" t="s">
        <v>295</v>
      </c>
      <c r="AO130" s="20" t="s">
        <v>29</v>
      </c>
      <c r="AP130" s="20" t="s">
        <v>29</v>
      </c>
      <c r="AQ130" s="20"/>
      <c r="AR130" s="20" t="s">
        <v>296</v>
      </c>
      <c r="AS130" s="20" t="s">
        <v>297</v>
      </c>
      <c r="AT130" s="20">
        <v>117399</v>
      </c>
      <c r="AU130" s="20" t="s">
        <v>157</v>
      </c>
      <c r="AV130" s="20">
        <v>4100</v>
      </c>
      <c r="AW130" s="20" t="s">
        <v>158</v>
      </c>
      <c r="AX130" s="20">
        <v>100070242</v>
      </c>
      <c r="AY130" s="20"/>
      <c r="AZ130" s="20"/>
      <c r="BA130" s="20"/>
      <c r="BB130" s="20"/>
      <c r="BC130" s="20"/>
      <c r="BD130" s="20"/>
      <c r="BE130" s="20"/>
      <c r="BF130" s="20"/>
      <c r="BG130" s="20"/>
      <c r="BH130" s="20"/>
      <c r="BI130" s="20" t="s">
        <v>973</v>
      </c>
      <c r="BJ130"/>
      <c r="BK130"/>
      <c r="BL130"/>
    </row>
    <row r="131" spans="1:64" ht="14.4" x14ac:dyDescent="0.3">
      <c r="A131" s="20" t="s">
        <v>974</v>
      </c>
      <c r="B131" s="20" t="s">
        <v>975</v>
      </c>
      <c r="C131" s="20" t="s">
        <v>976</v>
      </c>
      <c r="D131" s="20" t="s">
        <v>172</v>
      </c>
      <c r="E131" s="20" t="s">
        <v>190</v>
      </c>
      <c r="F131" s="20">
        <v>7</v>
      </c>
      <c r="G131" s="20" t="s">
        <v>6</v>
      </c>
      <c r="H131" s="34">
        <v>46139</v>
      </c>
      <c r="I131" s="20">
        <v>317</v>
      </c>
      <c r="J131" s="20" t="s">
        <v>977</v>
      </c>
      <c r="K131" s="20" t="s">
        <v>699</v>
      </c>
      <c r="L131" s="20" t="s">
        <v>117</v>
      </c>
      <c r="M131" s="20" t="s">
        <v>118</v>
      </c>
      <c r="N131" s="20" t="s">
        <v>119</v>
      </c>
      <c r="O131" s="20">
        <v>4325</v>
      </c>
      <c r="P131" s="20"/>
      <c r="Q131" s="20">
        <v>4325</v>
      </c>
      <c r="R131" s="20"/>
      <c r="S131" s="20">
        <v>4325</v>
      </c>
      <c r="T131" s="20" t="s">
        <v>120</v>
      </c>
      <c r="U131" s="20">
        <v>5210101584</v>
      </c>
      <c r="V131" s="20" t="s">
        <v>123</v>
      </c>
      <c r="W131" s="20" t="s">
        <v>124</v>
      </c>
      <c r="X131" s="20" t="s">
        <v>123</v>
      </c>
      <c r="Y131" s="20" t="s">
        <v>124</v>
      </c>
      <c r="Z131" s="20" t="s">
        <v>700</v>
      </c>
      <c r="AA131" s="20">
        <v>0</v>
      </c>
      <c r="AB131" s="20" t="s">
        <v>126</v>
      </c>
      <c r="AC131" s="20" t="s">
        <v>127</v>
      </c>
      <c r="AD131" s="20" t="s">
        <v>128</v>
      </c>
      <c r="AE131" s="20" t="s">
        <v>150</v>
      </c>
      <c r="AF131" s="20" t="s">
        <v>151</v>
      </c>
      <c r="AG131" s="20" t="s">
        <v>131</v>
      </c>
      <c r="AH131" s="20" t="s">
        <v>132</v>
      </c>
      <c r="AI131" s="20"/>
      <c r="AJ131" s="20"/>
      <c r="AK131" s="20"/>
      <c r="AL131" s="20" t="s">
        <v>978</v>
      </c>
      <c r="AM131" s="20"/>
      <c r="AN131" s="20"/>
      <c r="AO131" s="20" t="s">
        <v>41</v>
      </c>
      <c r="AP131" s="20" t="s">
        <v>41</v>
      </c>
      <c r="AQ131" s="20"/>
      <c r="AR131" s="20"/>
      <c r="AS131" s="20"/>
      <c r="AT131" s="20">
        <v>117399</v>
      </c>
      <c r="AU131" s="20" t="s">
        <v>157</v>
      </c>
      <c r="AV131" s="20">
        <v>4204</v>
      </c>
      <c r="AW131" s="20" t="s">
        <v>979</v>
      </c>
      <c r="AX131" s="20">
        <v>100070469</v>
      </c>
      <c r="AY131" s="20" t="s">
        <v>977</v>
      </c>
      <c r="AZ131" s="20"/>
      <c r="BA131" s="20"/>
      <c r="BB131" s="20"/>
      <c r="BC131" s="20"/>
      <c r="BD131" s="20"/>
      <c r="BE131" s="20"/>
      <c r="BF131" s="20"/>
      <c r="BG131" s="20"/>
      <c r="BH131" s="20">
        <v>46267601</v>
      </c>
      <c r="BI131" s="20" t="s">
        <v>980</v>
      </c>
      <c r="BJ131"/>
      <c r="BK131"/>
      <c r="BL131"/>
    </row>
    <row r="132" spans="1:64" ht="14.4" x14ac:dyDescent="0.3">
      <c r="A132" s="20" t="s">
        <v>981</v>
      </c>
      <c r="B132" s="20" t="s">
        <v>975</v>
      </c>
      <c r="C132" s="20" t="s">
        <v>976</v>
      </c>
      <c r="D132" s="20" t="s">
        <v>172</v>
      </c>
      <c r="E132" s="20" t="s">
        <v>190</v>
      </c>
      <c r="F132" s="20">
        <v>7</v>
      </c>
      <c r="G132" s="20" t="s">
        <v>6</v>
      </c>
      <c r="H132" s="34">
        <v>46139</v>
      </c>
      <c r="I132" s="20">
        <v>318</v>
      </c>
      <c r="J132" s="20" t="s">
        <v>701</v>
      </c>
      <c r="K132" s="20" t="s">
        <v>699</v>
      </c>
      <c r="L132" s="20" t="s">
        <v>117</v>
      </c>
      <c r="M132" s="20" t="s">
        <v>118</v>
      </c>
      <c r="N132" s="20" t="s">
        <v>119</v>
      </c>
      <c r="O132" s="20">
        <v>4600.76</v>
      </c>
      <c r="P132" s="20"/>
      <c r="Q132" s="20">
        <v>4600.76</v>
      </c>
      <c r="R132" s="20"/>
      <c r="S132" s="20">
        <v>4600.76</v>
      </c>
      <c r="T132" s="20" t="s">
        <v>120</v>
      </c>
      <c r="U132" s="20">
        <v>5210101584</v>
      </c>
      <c r="V132" s="20" t="s">
        <v>123</v>
      </c>
      <c r="W132" s="20" t="s">
        <v>124</v>
      </c>
      <c r="X132" s="20" t="s">
        <v>123</v>
      </c>
      <c r="Y132" s="20" t="s">
        <v>124</v>
      </c>
      <c r="Z132" s="20" t="s">
        <v>700</v>
      </c>
      <c r="AA132" s="20">
        <v>0</v>
      </c>
      <c r="AB132" s="20" t="s">
        <v>126</v>
      </c>
      <c r="AC132" s="20" t="s">
        <v>127</v>
      </c>
      <c r="AD132" s="20" t="s">
        <v>128</v>
      </c>
      <c r="AE132" s="20" t="s">
        <v>150</v>
      </c>
      <c r="AF132" s="20" t="s">
        <v>151</v>
      </c>
      <c r="AG132" s="20" t="s">
        <v>131</v>
      </c>
      <c r="AH132" s="20" t="s">
        <v>132</v>
      </c>
      <c r="AI132" s="20"/>
      <c r="AJ132" s="20"/>
      <c r="AK132" s="20"/>
      <c r="AL132" s="20" t="s">
        <v>982</v>
      </c>
      <c r="AM132" s="20"/>
      <c r="AN132" s="20"/>
      <c r="AO132" s="20" t="s">
        <v>37</v>
      </c>
      <c r="AP132" s="20" t="s">
        <v>37</v>
      </c>
      <c r="AQ132" s="20"/>
      <c r="AR132" s="20"/>
      <c r="AS132" s="20"/>
      <c r="AT132" s="20">
        <v>117399</v>
      </c>
      <c r="AU132" s="20" t="s">
        <v>157</v>
      </c>
      <c r="AV132" s="20">
        <v>4204</v>
      </c>
      <c r="AW132" s="20" t="s">
        <v>979</v>
      </c>
      <c r="AX132" s="20">
        <v>100070520</v>
      </c>
      <c r="AY132" s="20" t="s">
        <v>701</v>
      </c>
      <c r="AZ132" s="20"/>
      <c r="BA132" s="20"/>
      <c r="BB132" s="20"/>
      <c r="BC132" s="20"/>
      <c r="BD132" s="20"/>
      <c r="BE132" s="20"/>
      <c r="BF132" s="20"/>
      <c r="BG132" s="20"/>
      <c r="BH132" s="20">
        <v>46125260</v>
      </c>
      <c r="BI132" s="20" t="s">
        <v>983</v>
      </c>
      <c r="BJ132"/>
      <c r="BK132"/>
      <c r="BL132"/>
    </row>
    <row r="133" spans="1:64" ht="14.4" x14ac:dyDescent="0.3">
      <c r="A133" s="20" t="s">
        <v>984</v>
      </c>
      <c r="B133" s="20" t="s">
        <v>975</v>
      </c>
      <c r="C133" s="20" t="s">
        <v>976</v>
      </c>
      <c r="D133" s="20" t="s">
        <v>172</v>
      </c>
      <c r="E133" s="20" t="s">
        <v>190</v>
      </c>
      <c r="F133" s="20">
        <v>7</v>
      </c>
      <c r="G133" s="20" t="s">
        <v>6</v>
      </c>
      <c r="H133" s="34">
        <v>46139</v>
      </c>
      <c r="I133" s="20">
        <v>319</v>
      </c>
      <c r="J133" s="20" t="s">
        <v>701</v>
      </c>
      <c r="K133" s="20" t="s">
        <v>699</v>
      </c>
      <c r="L133" s="20" t="s">
        <v>117</v>
      </c>
      <c r="M133" s="20" t="s">
        <v>118</v>
      </c>
      <c r="N133" s="20" t="s">
        <v>119</v>
      </c>
      <c r="O133" s="20">
        <v>5029.5</v>
      </c>
      <c r="P133" s="20"/>
      <c r="Q133" s="20">
        <v>5029.5</v>
      </c>
      <c r="R133" s="20"/>
      <c r="S133" s="20">
        <v>5029.5</v>
      </c>
      <c r="T133" s="20" t="s">
        <v>120</v>
      </c>
      <c r="U133" s="20">
        <v>5210101584</v>
      </c>
      <c r="V133" s="20" t="s">
        <v>123</v>
      </c>
      <c r="W133" s="20" t="s">
        <v>124</v>
      </c>
      <c r="X133" s="20" t="s">
        <v>123</v>
      </c>
      <c r="Y133" s="20" t="s">
        <v>124</v>
      </c>
      <c r="Z133" s="20" t="s">
        <v>700</v>
      </c>
      <c r="AA133" s="20">
        <v>0</v>
      </c>
      <c r="AB133" s="20" t="s">
        <v>126</v>
      </c>
      <c r="AC133" s="20" t="s">
        <v>127</v>
      </c>
      <c r="AD133" s="20" t="s">
        <v>128</v>
      </c>
      <c r="AE133" s="20" t="s">
        <v>150</v>
      </c>
      <c r="AF133" s="20" t="s">
        <v>151</v>
      </c>
      <c r="AG133" s="20" t="s">
        <v>131</v>
      </c>
      <c r="AH133" s="20" t="s">
        <v>132</v>
      </c>
      <c r="AI133" s="20"/>
      <c r="AJ133" s="20"/>
      <c r="AK133" s="20"/>
      <c r="AL133" s="20" t="s">
        <v>985</v>
      </c>
      <c r="AM133" s="20"/>
      <c r="AN133" s="20"/>
      <c r="AO133" s="20" t="s">
        <v>37</v>
      </c>
      <c r="AP133" s="20" t="s">
        <v>37</v>
      </c>
      <c r="AQ133" s="20"/>
      <c r="AR133" s="20"/>
      <c r="AS133" s="20"/>
      <c r="AT133" s="20">
        <v>117399</v>
      </c>
      <c r="AU133" s="20" t="s">
        <v>157</v>
      </c>
      <c r="AV133" s="20">
        <v>4204</v>
      </c>
      <c r="AW133" s="20" t="s">
        <v>979</v>
      </c>
      <c r="AX133" s="20">
        <v>100070520</v>
      </c>
      <c r="AY133" s="20" t="s">
        <v>701</v>
      </c>
      <c r="AZ133" s="20"/>
      <c r="BA133" s="20"/>
      <c r="BB133" s="20"/>
      <c r="BC133" s="20"/>
      <c r="BD133" s="20"/>
      <c r="BE133" s="20"/>
      <c r="BF133" s="20"/>
      <c r="BG133" s="20"/>
      <c r="BH133" s="20">
        <v>46267967</v>
      </c>
      <c r="BI133" s="20" t="s">
        <v>986</v>
      </c>
      <c r="BJ133"/>
      <c r="BK133"/>
      <c r="BL133"/>
    </row>
    <row r="134" spans="1:64" ht="14.4" x14ac:dyDescent="0.3">
      <c r="A134" s="20" t="s">
        <v>987</v>
      </c>
      <c r="B134" s="20" t="s">
        <v>909</v>
      </c>
      <c r="C134" s="20" t="s">
        <v>910</v>
      </c>
      <c r="D134" s="20" t="s">
        <v>172</v>
      </c>
      <c r="E134" s="20" t="s">
        <v>190</v>
      </c>
      <c r="F134" s="20">
        <v>7</v>
      </c>
      <c r="G134" s="20" t="s">
        <v>12</v>
      </c>
      <c r="H134" s="34">
        <v>45922</v>
      </c>
      <c r="I134" s="20">
        <v>221</v>
      </c>
      <c r="J134" s="20" t="s">
        <v>915</v>
      </c>
      <c r="K134" s="20" t="s">
        <v>192</v>
      </c>
      <c r="L134" s="20" t="s">
        <v>117</v>
      </c>
      <c r="M134" s="20" t="s">
        <v>118</v>
      </c>
      <c r="N134" s="20" t="s">
        <v>119</v>
      </c>
      <c r="O134" s="20"/>
      <c r="P134" s="20">
        <v>5000000</v>
      </c>
      <c r="Q134" s="20"/>
      <c r="R134" s="20">
        <v>5000000</v>
      </c>
      <c r="S134" s="20">
        <v>-5000000</v>
      </c>
      <c r="T134" s="20" t="s">
        <v>146</v>
      </c>
      <c r="U134" s="20">
        <v>5210101581</v>
      </c>
      <c r="V134" s="20" t="s">
        <v>123</v>
      </c>
      <c r="W134" s="20" t="s">
        <v>124</v>
      </c>
      <c r="X134" s="20" t="s">
        <v>123</v>
      </c>
      <c r="Y134" s="20" t="s">
        <v>124</v>
      </c>
      <c r="Z134" s="20" t="s">
        <v>147</v>
      </c>
      <c r="AA134" s="20">
        <v>0</v>
      </c>
      <c r="AB134" s="20" t="s">
        <v>126</v>
      </c>
      <c r="AC134" s="20" t="s">
        <v>127</v>
      </c>
      <c r="AD134" s="20" t="s">
        <v>128</v>
      </c>
      <c r="AE134" s="20" t="s">
        <v>150</v>
      </c>
      <c r="AF134" s="20" t="s">
        <v>151</v>
      </c>
      <c r="AG134" s="20" t="s">
        <v>131</v>
      </c>
      <c r="AH134" s="20" t="s">
        <v>132</v>
      </c>
      <c r="AI134" s="20"/>
      <c r="AJ134" s="20"/>
      <c r="AK134" s="20"/>
      <c r="AL134" s="20"/>
      <c r="AM134" s="20"/>
      <c r="AN134" s="20"/>
      <c r="AO134" s="20" t="s">
        <v>439</v>
      </c>
      <c r="AP134" s="20" t="s">
        <v>439</v>
      </c>
      <c r="AQ134" s="20"/>
      <c r="AR134" s="20"/>
      <c r="AS134" s="20"/>
      <c r="AT134" s="20">
        <v>117399</v>
      </c>
      <c r="AU134" s="20" t="s">
        <v>157</v>
      </c>
      <c r="AV134" s="20">
        <v>4100</v>
      </c>
      <c r="AW134" s="20" t="s">
        <v>158</v>
      </c>
      <c r="AX134" s="20">
        <v>100064557</v>
      </c>
      <c r="AY134" s="20" t="s">
        <v>915</v>
      </c>
      <c r="AZ134" s="20"/>
      <c r="BA134" s="20"/>
      <c r="BB134" s="20"/>
      <c r="BC134" s="20"/>
      <c r="BD134" s="20"/>
      <c r="BE134" s="20"/>
      <c r="BF134" s="20"/>
      <c r="BG134" s="20"/>
      <c r="BH134" s="20"/>
      <c r="BI134" s="20" t="s">
        <v>988</v>
      </c>
      <c r="BJ134"/>
      <c r="BK134"/>
      <c r="BL134"/>
    </row>
    <row r="135" spans="1:64" ht="14.4"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1:64" ht="14.4"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1:64" ht="14.4"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1:64" ht="14.4"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row>
    <row r="139" spans="1:64" ht="14.4" x14ac:dyDescent="0.3">
      <c r="A139">
        <f ca="1">RANDBETWEEN(1,127)</f>
        <v>81</v>
      </c>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row>
    <row r="140" spans="1:64" ht="14.4"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row>
    <row r="141" spans="1:64" ht="14.4"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row>
    <row r="142" spans="1:64" ht="14.4"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row>
    <row r="143" spans="1:64" ht="14.4"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t="s">
        <v>989</v>
      </c>
      <c r="AZ143"/>
      <c r="BA143"/>
      <c r="BB143"/>
      <c r="BC143"/>
      <c r="BD143"/>
      <c r="BE143"/>
      <c r="BF143"/>
      <c r="BG143"/>
      <c r="BH143"/>
      <c r="BI143"/>
      <c r="BJ143"/>
      <c r="BK143"/>
      <c r="BL143"/>
    </row>
    <row r="144" spans="1:64" ht="14.4"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1:64" ht="14.4"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row>
    <row r="146" spans="1:64" ht="14.4"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row>
    <row r="147" spans="1:64" ht="14.4"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row>
  </sheetData>
  <autoFilter ref="A7:BL7" xr:uid="{1E237B38-F91E-4723-A352-B9A59014D0C7}"/>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Power fuel WP 25</vt:lpstr>
      <vt:lpstr>Power fuel WP 25 GL DUMP</vt:lpstr>
      <vt:lpstr>Power fuel WP 26</vt:lpstr>
      <vt:lpstr>POWER FUEL 26 GL Dump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2026-07-09T19:16:56Z</dcterms:created>
  <dcterms:modified xsi:type="dcterms:W3CDTF">2026-07-09T19:18:14Z</dcterms:modified>
</cp:coreProperties>
</file>