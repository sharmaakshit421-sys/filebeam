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67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<sst xmlns="http://schemas.openxmlformats.org/spreadsheetml/2006/main" count="93" uniqueCount="82">
  <si>
    <t xml:space="preserve">GE India Industrial Private Limited (GEITC)</t>
  </si>
  <si>
    <t xml:space="preserve">Audit for the Year Ended 31 March 2026</t>
  </si>
  <si>
    <t xml:space="preserve">Test of Details (TOD) - PPE Addition - Invoice to PO Matching</t>
  </si>
  <si>
    <t xml:space="preserve">Asset No: 22676</t>
  </si>
  <si>
    <t xml:space="preserve">Purpose: To trace GL/invoice amounts to the underlying Purchase Order to test occurrence, accuracy and completeness of the addition.</t>
  </si>
  <si>
    <t xml:space="preserve">Sl No</t>
  </si>
  <si>
    <t xml:space="preserve">Asset No</t>
  </si>
  <si>
    <t xml:space="preserve">Invoice Number</t>
  </si>
  <si>
    <t xml:space="preserve">Invoice Date</t>
  </si>
  <si>
    <t xml:space="preserve">Vendor</t>
  </si>
  <si>
    <t xml:space="preserve">Invoice / PO Description</t>
  </si>
  <si>
    <t xml:space="preserve">Quantity</t>
  </si>
  <si>
    <t xml:space="preserve">Taxable Value (Excl. GST)</t>
  </si>
  <si>
    <t xml:space="preserve">GST</t>
  </si>
  <si>
    <t xml:space="preserve">Invoice Amount (Incl. GST)</t>
  </si>
  <si>
    <t xml:space="preserve">PO Number</t>
  </si>
  <si>
    <t xml:space="preserve">PO Date</t>
  </si>
  <si>
    <t xml:space="preserve">PO Vendor</t>
  </si>
  <si>
    <t xml:space="preserve">PO Amount (Excl. Tax)</t>
  </si>
  <si>
    <t xml:space="preserve">Difference
(PO Amount - Taxable Value)</t>
  </si>
  <si>
    <t xml:space="preserve">Remarks</t>
  </si>
  <si>
    <t xml:space="preserve">25/26252122183</t>
  </si>
  <si>
    <t xml:space="preserve">07-Oct-2025</t>
  </si>
  <si>
    <t xml:space="preserve">Werner Finley Pvt Ltd</t>
  </si>
  <si>
    <t xml:space="preserve">Supply &amp; installation of 20TR Air-Cooled Chiller for Thermal Lab at JFWTC (2 units)</t>
  </si>
  <si>
    <t xml:space="preserve">100067322</t>
  </si>
  <si>
    <t xml:space="preserve">01-Jul-2025</t>
  </si>
  <si>
    <t xml:space="preserve">Matches PO in full.</t>
  </si>
  <si>
    <t xml:space="preserve">AEC/1351/25-26</t>
  </si>
  <si>
    <t xml:space="preserve">23-Dec-2025</t>
  </si>
  <si>
    <t xml:space="preserve">Advance Engineering Corporation</t>
  </si>
  <si>
    <t xml:space="preserve">Supply of Samson Make Control Valves - 2-Way &amp; ON/OFF (4 Nos)</t>
  </si>
  <si>
    <t xml:space="preserve">100068793</t>
  </si>
  <si>
    <t xml:space="preserve">F22526111796</t>
  </si>
  <si>
    <t xml:space="preserve">24-Oct-2025</t>
  </si>
  <si>
    <t xml:space="preserve">R. Stahl Private Limited</t>
  </si>
  <si>
    <t xml:space="preserve">Supply of Pendant Light LED (40 PC) - Explosion protected luminaires</t>
  </si>
  <si>
    <t xml:space="preserve">100068390</t>
  </si>
  <si>
    <t xml:space="preserve">15-Sep-2025</t>
  </si>
  <si>
    <t xml:space="preserve">R Stahl P Ltd</t>
  </si>
  <si>
    <t xml:space="preserve">Partial billing against PO; balance qty/value to be delivered/invoiced under same PO.</t>
  </si>
  <si>
    <t xml:space="preserve">INV503/2025-26</t>
  </si>
  <si>
    <t xml:space="preserve">12-Nov-2025</t>
  </si>
  <si>
    <t xml:space="preserve">Skytech Infinite Platform Limited</t>
  </si>
  <si>
    <t xml:space="preserve">Supply of PLC cum VFD control panel accessories, PLC control panel, SCADA, UPS, cables etc.</t>
  </si>
  <si>
    <t xml:space="preserve">100069005</t>
  </si>
  <si>
    <t xml:space="preserve">22-Oct-2025</t>
  </si>
  <si>
    <t xml:space="preserve">INV896/2025-26</t>
  </si>
  <si>
    <t xml:space="preserve">15-Mar-2026</t>
  </si>
  <si>
    <t xml:space="preserve">Supply of PLC cum VFD control panel accessories, Control Panel (Tower lamp/Purge Panel/PESO), Pressurized Purge Control Panel</t>
  </si>
  <si>
    <t xml:space="preserve">Refer Sl No 4 (combined)</t>
  </si>
  <si>
    <t xml:space="preserve">Two invoices (Sl 4 &amp; 5) raised against single PO 100069005 - PO columns merged. Combined taxable value INR 41,31,800 vs PO INR 49,70,600; balance relates to Engineer mandays (INR 1,60,000) and other line items not yet invoiced.</t>
  </si>
  <si>
    <t xml:space="preserve">KN-214/25-26</t>
  </si>
  <si>
    <t xml:space="preserve">20-Nov-2025</t>
  </si>
  <si>
    <t xml:space="preserve">Shree Commercial Interiors Pvt Ltd</t>
  </si>
  <si>
    <t xml:space="preserve">Associated Fire Partition works towards creation of BEC Thermal Lab at JFWTC (RA Bill 1, certified via COP by JLL)</t>
  </si>
  <si>
    <t xml:space="preserve">100068086</t>
  </si>
  <si>
    <t xml:space="preserve">26-Aug-2025</t>
  </si>
  <si>
    <t xml:space="preserve">RA (Running Account) Bill 1 of a services PO; certified via Certificate of Payment (COP). Retention of INR 57,365.52 withheld from this bill - net payment recommended INR 26,50,287.</t>
  </si>
  <si>
    <t xml:space="preserve">066-25-26</t>
  </si>
  <si>
    <t xml:space="preserve">15-Oct-2025</t>
  </si>
  <si>
    <t xml:space="preserve">R. K. Enterprises</t>
  </si>
  <si>
    <t xml:space="preserve">Associated structural works towards creation of BEC Thermal Lab at JFWTC (RA Bill 1, certified via COP by JLL)</t>
  </si>
  <si>
    <t xml:space="preserve">100068092</t>
  </si>
  <si>
    <t xml:space="preserve">Taxable value derived from COP GST/retention figures (source COP scan is faint/handwritten in parts) - recommend agreeing to underlying tax invoice. Retention ~INR 36,683 withheld; net payment recommended INR 16,94,787.</t>
  </si>
  <si>
    <t xml:space="preserve">RE-300409</t>
  </si>
  <si>
    <t xml:space="preserve">30-Jul-2025</t>
  </si>
  <si>
    <t xml:space="preserve">Julabo GmbH</t>
  </si>
  <si>
    <t xml:space="preserve">Supply of PRESTO W55 &amp; W56 Highly Dynamic Temperature Control Systems (import)</t>
  </si>
  <si>
    <t xml:space="preserve">100067357</t>
  </si>
  <si>
    <t xml:space="preserve">03-Jul-2025</t>
  </si>
  <si>
    <t xml:space="preserve">Foreign currency invoice - amounts in EUR, not INR. Sales tax Nil on face of invoice (export); IGST on import, if any, would be assessed separately at customs (Bill of Entry) - outside scope of this vendor invoice. Matches PO in full.</t>
  </si>
  <si>
    <t xml:space="preserve">S262808</t>
  </si>
  <si>
    <t xml:space="preserve">14-Nov-2025</t>
  </si>
  <si>
    <t xml:space="preserve">Techsol Engineers</t>
  </si>
  <si>
    <t xml:space="preserve">Supply &amp; Installation of Interlock System at Phase 3 CPP Thermal Lab (cables, raceways, gas detectors, beacon lights etc.)</t>
  </si>
  <si>
    <t xml:space="preserve">100068983</t>
  </si>
  <si>
    <t xml:space="preserve">17-Oct-2025</t>
  </si>
  <si>
    <t xml:space="preserve">Partial billing against PO; certified via COP by Lambsrock Consulting. Balance value yet to be billed under same PO.</t>
  </si>
  <si>
    <t xml:space="preserve">Total</t>
  </si>
  <si>
    <t xml:space="preserve">Exception noted:</t>
  </si>
  <si>
    <t xml:space="preserve">PO 100068796 appears in the asset 22676 PO listing but no corresponding invoice/PO document was provided in the source files for this exercise. This PO could not be traced/matched and should be followed up with the client / engagement file.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</si>
</sst>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3"/>
    <col collapsed="false" customWidth="true" hidden="false" outlineLevel="0" max="13" min="13" style="0" width="22"/>
    <col collapsed="false" customWidth="true" hidden="false" outlineLevel="0" max="15" min="14" style="0" width="16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</row>
    <row r="8" customFormat="false" ht="33.75" hidden="false" customHeight="tru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  <c r="O8" s="4" t="s">
        <v>19</v>
      </c>
      <c r="P8" s="4" t="s">
        <v>20</v>
      </c>
    </row>
    <row r="9" customFormat="false" ht="23.85" hidden="false" customHeight="false" outlineLevel="0" collapsed="false">
      <c r="A9" s="5" t="n">
        <v>1</v>
      </c>
      <c r="B9" s="5" t="n">
        <v>22676</v>
      </c>
      <c r="C9" s="5" t="s">
        <v>21</v>
      </c>
      <c r="D9" s="5" t="s">
        <v>22</v>
      </c>
      <c r="E9" s="5" t="s">
        <v>23</v>
      </c>
      <c r="F9" s="6" t="s">
        <v>24</v>
      </c>
      <c r="G9" s="5" t="n">
        <v>2</v>
      </c>
      <c r="H9" s="7" t="n">
        <v>1620000</v>
      </c>
      <c r="I9" s="7" t="n">
        <v>291600</v>
      </c>
      <c r="J9" s="7" t="n">
        <f aca="false">H9+I9</f>
        <v>1911600</v>
      </c>
      <c r="K9" s="5" t="s">
        <v>25</v>
      </c>
      <c r="L9" s="5" t="s">
        <v>26</v>
      </c>
      <c r="M9" s="5" t="s">
        <v>23</v>
      </c>
      <c r="N9" s="7" t="n">
        <v>1620000</v>
      </c>
      <c r="O9" s="7" t="n">
        <f aca="false">N9-H9</f>
        <v>0</v>
      </c>
      <c r="P9" s="6" t="s">
        <v>27</v>
      </c>
    </row>
    <row r="10" customFormat="false" ht="23.85" hidden="false" customHeight="false" outlineLevel="0" collapsed="false">
      <c r="A10" s="5" t="n">
        <v>2</v>
      </c>
      <c r="B10" s="5" t="n">
        <v>22676</v>
      </c>
      <c r="C10" s="5" t="s">
        <v>28</v>
      </c>
      <c r="D10" s="5" t="s">
        <v>29</v>
      </c>
      <c r="E10" s="5" t="s">
        <v>30</v>
      </c>
      <c r="F10" s="6" t="s">
        <v>31</v>
      </c>
      <c r="G10" s="5" t="n">
        <v>4</v>
      </c>
      <c r="H10" s="7" t="n">
        <v>1524353</v>
      </c>
      <c r="I10" s="7" t="n">
        <v>274383.54</v>
      </c>
      <c r="J10" s="7" t="n">
        <f aca="false">H10+I10</f>
        <v>1798736.54</v>
      </c>
      <c r="K10" s="5" t="s">
        <v>32</v>
      </c>
      <c r="L10" s="5" t="s">
        <v>22</v>
      </c>
      <c r="M10" s="5" t="s">
        <v>30</v>
      </c>
      <c r="N10" s="7" t="n">
        <v>1524353</v>
      </c>
      <c r="O10" s="7" t="n">
        <f aca="false">N10-H10</f>
        <v>0</v>
      </c>
      <c r="P10" s="6" t="s">
        <v>27</v>
      </c>
    </row>
    <row r="11" customFormat="false" ht="23.85" hidden="false" customHeight="false" outlineLevel="0" collapsed="false">
      <c r="A11" s="5" t="n">
        <v>3</v>
      </c>
      <c r="B11" s="5" t="n">
        <v>22676</v>
      </c>
      <c r="C11" s="5" t="s">
        <v>33</v>
      </c>
      <c r="D11" s="5" t="s">
        <v>34</v>
      </c>
      <c r="E11" s="5" t="s">
        <v>35</v>
      </c>
      <c r="F11" s="6" t="s">
        <v>36</v>
      </c>
      <c r="G11" s="5" t="n">
        <v>40</v>
      </c>
      <c r="H11" s="7" t="n">
        <v>720000</v>
      </c>
      <c r="I11" s="7" t="n">
        <v>129600</v>
      </c>
      <c r="J11" s="7" t="n">
        <f aca="false">H11+I11</f>
        <v>849600</v>
      </c>
      <c r="K11" s="5" t="s">
        <v>37</v>
      </c>
      <c r="L11" s="5" t="s">
        <v>38</v>
      </c>
      <c r="M11" s="5" t="s">
        <v>39</v>
      </c>
      <c r="N11" s="7" t="n">
        <v>3234643</v>
      </c>
      <c r="O11" s="7" t="n">
        <f aca="false">N11-H11</f>
        <v>2514643</v>
      </c>
      <c r="P11" s="6" t="s">
        <v>40</v>
      </c>
    </row>
    <row r="12" customFormat="false" ht="35.05" hidden="false" customHeight="true" outlineLevel="0" collapsed="false">
      <c r="A12" s="5" t="n">
        <v>4</v>
      </c>
      <c r="B12" s="5" t="n">
        <v>22676</v>
      </c>
      <c r="C12" s="5" t="s">
        <v>41</v>
      </c>
      <c r="D12" s="5" t="s">
        <v>42</v>
      </c>
      <c r="E12" s="5" t="s">
        <v>43</v>
      </c>
      <c r="F12" s="6" t="s">
        <v>44</v>
      </c>
      <c r="G12" s="5" t="n">
        <v>1</v>
      </c>
      <c r="H12" s="7" t="n">
        <v>1760000</v>
      </c>
      <c r="I12" s="7" t="n">
        <v>316800</v>
      </c>
      <c r="J12" s="7" t="n">
        <f aca="false">H12+I12</f>
        <v>2076800</v>
      </c>
      <c r="K12" s="5" t="s">
        <v>45</v>
      </c>
      <c r="L12" s="5" t="s">
        <v>46</v>
      </c>
      <c r="M12" s="5" t="s">
        <v>43</v>
      </c>
      <c r="N12" s="7" t="n">
        <v>4970600</v>
      </c>
      <c r="O12" s="7" t="n">
        <f aca="false">N12-(H12+H13)</f>
        <v>838800</v>
      </c>
      <c r="P12" s="6"/>
    </row>
    <row r="13" customFormat="false" ht="68.65" hidden="false" customHeight="false" outlineLevel="0" collapsed="false">
      <c r="A13" s="5" t="n">
        <v>5</v>
      </c>
      <c r="B13" s="5" t="n">
        <v>22676</v>
      </c>
      <c r="C13" s="5" t="s">
        <v>47</v>
      </c>
      <c r="D13" s="5" t="s">
        <v>48</v>
      </c>
      <c r="E13" s="5" t="s">
        <v>43</v>
      </c>
      <c r="F13" s="6" t="s">
        <v>49</v>
      </c>
      <c r="G13" s="5" t="n">
        <v>1</v>
      </c>
      <c r="H13" s="7" t="n">
        <v>2371800</v>
      </c>
      <c r="I13" s="7" t="n">
        <v>426924</v>
      </c>
      <c r="J13" s="7" t="n">
        <f aca="false">H13+I13</f>
        <v>2798724</v>
      </c>
      <c r="K13" s="5"/>
      <c r="L13" s="5"/>
      <c r="M13" s="5"/>
      <c r="N13" s="7"/>
      <c r="O13" s="7" t="s">
        <v>50</v>
      </c>
      <c r="P13" s="6" t="s">
        <v>51</v>
      </c>
    </row>
    <row r="14" customFormat="false" ht="46.25" hidden="false" customHeight="false" outlineLevel="0" collapsed="false">
      <c r="A14" s="5" t="n">
        <v>6</v>
      </c>
      <c r="B14" s="5" t="n">
        <v>22676</v>
      </c>
      <c r="C14" s="5" t="s">
        <v>52</v>
      </c>
      <c r="D14" s="5" t="s">
        <v>53</v>
      </c>
      <c r="E14" s="5" t="s">
        <v>54</v>
      </c>
      <c r="F14" s="6" t="s">
        <v>55</v>
      </c>
      <c r="G14" s="5" t="n">
        <v>1</v>
      </c>
      <c r="H14" s="7" t="n">
        <v>2294620.73</v>
      </c>
      <c r="I14" s="7" t="n">
        <v>413031.74</v>
      </c>
      <c r="J14" s="7" t="n">
        <f aca="false">H14+I14</f>
        <v>2707652.47</v>
      </c>
      <c r="K14" s="5" t="s">
        <v>56</v>
      </c>
      <c r="L14" s="5" t="s">
        <v>57</v>
      </c>
      <c r="M14" s="5" t="s">
        <v>54</v>
      </c>
      <c r="N14" s="7" t="n">
        <v>4926350</v>
      </c>
      <c r="O14" s="7" t="n">
        <f aca="false">N14-H14</f>
        <v>2631729.27</v>
      </c>
      <c r="P14" s="6" t="s">
        <v>58</v>
      </c>
    </row>
    <row r="15" customFormat="false" ht="57.45" hidden="false" customHeight="false" outlineLevel="0" collapsed="false">
      <c r="A15" s="5" t="n">
        <v>7</v>
      </c>
      <c r="B15" s="5" t="n">
        <v>22676</v>
      </c>
      <c r="C15" s="5" t="s">
        <v>59</v>
      </c>
      <c r="D15" s="5" t="s">
        <v>60</v>
      </c>
      <c r="E15" s="5" t="s">
        <v>61</v>
      </c>
      <c r="F15" s="6" t="s">
        <v>62</v>
      </c>
      <c r="G15" s="5" t="n">
        <v>1</v>
      </c>
      <c r="H15" s="7" t="n">
        <v>1467347.67</v>
      </c>
      <c r="I15" s="7" t="n">
        <v>264122.58</v>
      </c>
      <c r="J15" s="7" t="n">
        <f aca="false">H15+I15</f>
        <v>1731470.25</v>
      </c>
      <c r="K15" s="5" t="s">
        <v>63</v>
      </c>
      <c r="L15" s="5" t="s">
        <v>57</v>
      </c>
      <c r="M15" s="5" t="s">
        <v>61</v>
      </c>
      <c r="N15" s="7" t="n">
        <v>4673557</v>
      </c>
      <c r="O15" s="7" t="n">
        <f aca="false">N15-H15</f>
        <v>3206209.33</v>
      </c>
      <c r="P15" s="6" t="s">
        <v>64</v>
      </c>
    </row>
    <row r="16" customFormat="false" ht="57.45" hidden="false" customHeight="false" outlineLevel="0" collapsed="false">
      <c r="A16" s="5" t="n">
        <v>8</v>
      </c>
      <c r="B16" s="5" t="n">
        <v>22676</v>
      </c>
      <c r="C16" s="5" t="s">
        <v>65</v>
      </c>
      <c r="D16" s="5" t="s">
        <v>66</v>
      </c>
      <c r="E16" s="5" t="s">
        <v>67</v>
      </c>
      <c r="F16" s="6" t="s">
        <v>68</v>
      </c>
      <c r="G16" s="5" t="n">
        <v>2</v>
      </c>
      <c r="H16" s="7" t="n">
        <v>130911</v>
      </c>
      <c r="I16" s="7" t="n">
        <v>0</v>
      </c>
      <c r="J16" s="7" t="n">
        <f aca="false">H16+I16</f>
        <v>130911</v>
      </c>
      <c r="K16" s="5" t="s">
        <v>69</v>
      </c>
      <c r="L16" s="5" t="s">
        <v>70</v>
      </c>
      <c r="M16" s="5" t="s">
        <v>67</v>
      </c>
      <c r="N16" s="7" t="n">
        <v>130911</v>
      </c>
      <c r="O16" s="7" t="n">
        <f aca="false">N16-H16</f>
        <v>0</v>
      </c>
      <c r="P16" s="6" t="s">
        <v>71</v>
      </c>
    </row>
    <row r="17" customFormat="false" ht="35.05" hidden="false" customHeight="false" outlineLevel="0" collapsed="false">
      <c r="A17" s="5" t="n">
        <v>9</v>
      </c>
      <c r="B17" s="5" t="n">
        <v>22676</v>
      </c>
      <c r="C17" s="5" t="s">
        <v>72</v>
      </c>
      <c r="D17" s="5" t="s">
        <v>73</v>
      </c>
      <c r="E17" s="5" t="s">
        <v>74</v>
      </c>
      <c r="F17" s="6" t="s">
        <v>75</v>
      </c>
      <c r="G17" s="5" t="n">
        <v>1</v>
      </c>
      <c r="H17" s="7" t="n">
        <v>2200147</v>
      </c>
      <c r="I17" s="7" t="n">
        <v>396026.46</v>
      </c>
      <c r="J17" s="7" t="n">
        <f aca="false">H17+I17</f>
        <v>2596173.46</v>
      </c>
      <c r="K17" s="5" t="s">
        <v>76</v>
      </c>
      <c r="L17" s="5" t="s">
        <v>77</v>
      </c>
      <c r="M17" s="5" t="s">
        <v>74</v>
      </c>
      <c r="N17" s="7" t="n">
        <v>4448794</v>
      </c>
      <c r="O17" s="7" t="n">
        <f aca="false">N17-H17</f>
        <v>2248647</v>
      </c>
      <c r="P17" s="6" t="s">
        <v>78</v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6" t="s">
        <v>79</v>
      </c>
      <c r="G18" s="5"/>
      <c r="H18" s="7" t="n">
        <f aca="false">SUM(H9:H17)</f>
        <v>14089179.4</v>
      </c>
      <c r="I18" s="7" t="n">
        <f aca="false">SUM(I9:I17)</f>
        <v>2512488.32</v>
      </c>
      <c r="J18" s="7" t="n">
        <f aca="false">SUM(J9:J17)</f>
        <v>16601667.72</v>
      </c>
      <c r="K18" s="5"/>
      <c r="L18" s="5"/>
      <c r="M18" s="5"/>
      <c r="N18" s="7"/>
      <c r="O18" s="7"/>
      <c r="P18" s="6"/>
    </row>
    <row r="20" customFormat="false" ht="15" hidden="false" customHeight="false" outlineLevel="0" collapsed="false">
      <c r="A20" s="8" t="s">
        <v>80</v>
      </c>
    </row>
    <row r="21" customFormat="false" ht="15" hidden="false" customHeight="true" outlineLevel="0" collapsed="false">
      <c r="A21" s="9" t="s">
        <v>81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</sheetData>
  <mergeCells count="5">
    <mergeCell ref="K12:K13"/>
    <mergeCell ref="L12:L13"/>
    <mergeCell ref="M12:M13"/>
    <mergeCell ref="N12:N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2026-07-12T13:42:48Z</dcterms:created>
  <dc:creator>openpyxl</dc:creator>
  <dc:description/>
  <dc:language>en-US</dc:language>
  <cp:lastModifiedBy/>
  <dcterms:modified xsi:type="dcterms:W3CDTF">2026-07-12T13:42:48Z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