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codeName="ThisWorkbook" hidePivotFieldList="1" defaultThemeVersion="166925"/>
  <mc:AlternateContent xmlns:mc="http://schemas.openxmlformats.org/markup-compatibility/2006">
    <mc:Choice Requires="x15">
      <x15ac:absPath xmlns:x15ac="http://schemas.microsoft.com/office/spreadsheetml/2010/11/ac" url="C:\Users\aksharma19\Downloads\GE India\ROU &amp; Lease\"/>
    </mc:Choice>
  </mc:AlternateContent>
  <xr:revisionPtr revIDLastSave="0" documentId="13_ncr:1_{BF90877F-81EF-4F38-9C84-87F4D2E337DF}" xr6:coauthVersionLast="47" xr6:coauthVersionMax="47" xr10:uidLastSave="{00000000-0000-0000-0000-000000000000}"/>
  <bookViews>
    <workbookView xWindow="-100" yWindow="-100" windowWidth="21467" windowHeight="11443" tabRatio="1000" xr2:uid="{DBB2E752-19FC-462C-84AC-9861D5A2ABA4}"/>
  </bookViews>
  <sheets>
    <sheet name="Scope" sheetId="4" r:id="rId1"/>
    <sheet name="Notes to Account" sheetId="37" r:id="rId2"/>
    <sheet name="Summary" sheetId="41" r:id="rId3"/>
    <sheet name="Testing" sheetId="42" r:id="rId4"/>
    <sheet name="Vehicle Policy Analysis" sheetId="112" r:id="rId5"/>
    <sheet name="Details 25-26" sheetId="69" r:id="rId6"/>
    <sheet name="Rate impact" sheetId="62" r:id="rId7"/>
    <sheet name="MMF-59308" sheetId="104" r:id="rId8"/>
    <sheet name="MMF-66353" sheetId="106" r:id="rId9"/>
    <sheet name="MMF-66354" sheetId="107" r:id="rId10"/>
    <sheet name="ITC-57772" sheetId="109" r:id="rId11"/>
    <sheet name="ITC-56754" sheetId="101" r:id="rId12"/>
    <sheet name="ITC- 65449" sheetId="100" r:id="rId13"/>
    <sheet name="ITC-64802" sheetId="93" r:id="rId14"/>
    <sheet name="ITC-64753" sheetId="98" r:id="rId15"/>
    <sheet name="ITC-64754" sheetId="99" r:id="rId16"/>
    <sheet name="ITC-62007" sheetId="97" r:id="rId17"/>
    <sheet name="ITC- 60756" sheetId="96" r:id="rId18"/>
    <sheet name="ITC- 59268" sheetId="95" r:id="rId19"/>
    <sheet name="ITC- 53818" sheetId="94" r:id="rId20"/>
    <sheet name="Wind- Rent Alpha" sheetId="92" r:id="rId21"/>
    <sheet name="OCL 64418-1" sheetId="110" r:id="rId22"/>
    <sheet name="OCL 64418-2" sheetId="111" r:id="rId23"/>
    <sheet name="ITC-64807" sheetId="78" r:id="rId24"/>
    <sheet name="ITC-64806" sheetId="79" r:id="rId25"/>
    <sheet name="ITC-64797" sheetId="80" r:id="rId26"/>
    <sheet name="ITC-60014" sheetId="87" r:id="rId27"/>
    <sheet name="ITC- 63100" sheetId="86" r:id="rId28"/>
    <sheet name="ITC-62561" sheetId="88" r:id="rId29"/>
    <sheet name="Security Deposit Discounting" sheetId="85" r:id="rId30"/>
    <sheet name="G-Sec 1 Aug" sheetId="91" r:id="rId31"/>
    <sheet name="G-Sec 1 March" sheetId="90" r:id="rId32"/>
    <sheet name="G-Sec 29 Sept" sheetId="89" r:id="rId33"/>
    <sheet name="G Sec 1 Apr" sheetId="84" r:id="rId34"/>
    <sheet name="G Sec 11 Nov" sheetId="83" r:id="rId35"/>
    <sheet name="G Sec 1 July" sheetId="72" r:id="rId36"/>
    <sheet name="G Sec 1 Aug" sheetId="74" r:id="rId37"/>
    <sheet name="MUS Sample Additions" sheetId="70" state="hidden" r:id="rId38"/>
  </sheets>
  <externalReferences>
    <externalReference r:id="rId39"/>
    <externalReference r:id="rId40"/>
    <externalReference r:id="rId41"/>
    <externalReference r:id="rId42"/>
  </externalReferences>
  <definedNames>
    <definedName name="\\\" localSheetId="30" hidden="1">{"raatios",#N/A,FALSE,"A";"ratios",#N/A,FALSE,"B";"ratios",#N/A,FALSE,"C";"ratios",#N/A,FALSE,"D";"ratios",#N/A,FALSE,"F"}</definedName>
    <definedName name="\\\" localSheetId="31" hidden="1">{"raatios",#N/A,FALSE,"A";"ratios",#N/A,FALSE,"B";"ratios",#N/A,FALSE,"C";"ratios",#N/A,FALSE,"D";"ratios",#N/A,FALSE,"F"}</definedName>
    <definedName name="\\\" localSheetId="32" hidden="1">{"raatios",#N/A,FALSE,"A";"ratios",#N/A,FALSE,"B";"ratios",#N/A,FALSE,"C";"ratios",#N/A,FALSE,"D";"ratios",#N/A,FALSE,"F"}</definedName>
    <definedName name="\\\" localSheetId="10" hidden="1">{"raatios",#N/A,FALSE,"A";"ratios",#N/A,FALSE,"B";"ratios",#N/A,FALSE,"C";"ratios",#N/A,FALSE,"D";"ratios",#N/A,FALSE,"F"}</definedName>
    <definedName name="\\\" localSheetId="6" hidden="1">{"raatios",#N/A,FALSE,"A";"ratios",#N/A,FALSE,"B";"ratios",#N/A,FALSE,"C";"ratios",#N/A,FALSE,"D";"ratios",#N/A,FALSE,"F"}</definedName>
    <definedName name="\\\" hidden="1">{"raatios",#N/A,FALSE,"A";"ratios",#N/A,FALSE,"B";"ratios",#N/A,FALSE,"C";"ratios",#N/A,FALSE,"D";"ratios",#N/A,FALSE,"F"}</definedName>
    <definedName name="__________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_wip2" hidden="1">{"summary",#N/A,FALSE,"2000 vs 1999";"detail",#N/A,FALSE,"2000 vs 1999"}</definedName>
    <definedName name="_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_wip2" hidden="1">{"summary",#N/A,FALSE,"2000 vs 1999";"detail",#N/A,FALSE,"2000 vs 1999"}</definedName>
    <definedName name="_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_wip2" hidden="1">{"summary",#N/A,FALSE,"2000 vs 1999";"detail",#N/A,FALSE,"2000 vs 1999"}</definedName>
    <definedName name="_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_wip2" hidden="1">{"summary",#N/A,FALSE,"2000 vs 1999";"detail",#N/A,FALSE,"2000 vs 1999"}</definedName>
    <definedName name="_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_wip2" hidden="1">{"summary",#N/A,FALSE,"2000 vs 1999";"detail",#N/A,FALSE,"2000 vs 1999"}</definedName>
    <definedName name="_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_wip2" hidden="1">{"summary",#N/A,FALSE,"2000 vs 1999";"detail",#N/A,FALSE,"2000 vs 1999"}</definedName>
    <definedName name="_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_wip2" hidden="1">{"summary",#N/A,FALSE,"2000 vs 1999";"detail",#N/A,FALSE,"2000 vs 1999"}</definedName>
    <definedName name="_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_wip2" hidden="1">{"summary",#N/A,FALSE,"2000 vs 1999";"detail",#N/A,FALSE,"2000 vs 1999"}</definedName>
    <definedName name="_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_wip2" hidden="1">{"summary",#N/A,FALSE,"2000 vs 1999";"detail",#N/A,FALSE,"2000 vs 1999"}</definedName>
    <definedName name="_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_wip2" hidden="1">{"summary",#N/A,FALSE,"2000 vs 1999";"detail",#N/A,FALSE,"2000 vs 1999"}</definedName>
    <definedName name="_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_wip2" hidden="1">{"summary",#N/A,FALSE,"2000 vs 1999";"detail",#N/A,FALSE,"2000 vs 1999"}</definedName>
    <definedName name="_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_wip2" hidden="1">{"summary",#N/A,FALSE,"2000 vs 1999";"detail",#N/A,FALSE,"2000 vs 1999"}</definedName>
    <definedName name="_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_wip2" hidden="1">{"summary",#N/A,FALSE,"2000 vs 1999";"detail",#N/A,FALSE,"2000 vs 1999"}</definedName>
    <definedName name="_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_wip2" hidden="1">{"summary",#N/A,FALSE,"2000 vs 1999";"detail",#N/A,FALSE,"2000 vs 1999"}</definedName>
    <definedName name="_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_wip2" hidden="1">{"summary",#N/A,FALSE,"2000 vs 1999";"detail",#N/A,FALSE,"2000 vs 1999"}</definedName>
    <definedName name="________________________________________________________________________________RTS2" hidden="1">{"Summary analysis",#N/A,FALSE,"Total";"OCPH analysis",#N/A,FALSE,"Total";"detail analysis",#N/A,FALSE,"Total"}</definedName>
    <definedName name="________________________________________________________________________________wip2" hidden="1">{"summary",#N/A,FALSE,"2000 vs 1999";"detail",#N/A,FALSE,"2000 vs 1999"}</definedName>
    <definedName name="_______________________________________________________________________________RTS2" hidden="1">{"Summary analysis",#N/A,FALSE,"Total";"OCPH analysis",#N/A,FALSE,"Total";"detail analysis",#N/A,FALSE,"Total"}</definedName>
    <definedName name="_______________________________________________________________________________wip2" hidden="1">{"summary",#N/A,FALSE,"2000 vs 1999";"detail",#N/A,FALSE,"2000 vs 1999"}</definedName>
    <definedName name="______________________________________________________________________________RTS2" hidden="1">{"Summary analysis",#N/A,FALSE,"Total";"OCPH analysis",#N/A,FALSE,"Total";"detail analysis",#N/A,FALSE,"Total"}</definedName>
    <definedName name="______________________________________________________________________________wip2" hidden="1">{"summary",#N/A,FALSE,"2000 vs 1999";"detail",#N/A,FALSE,"2000 vs 1999"}</definedName>
    <definedName name="_____________________________________________________________________________RTS2" hidden="1">{"Summary analysis",#N/A,FALSE,"Total";"OCPH analysis",#N/A,FALSE,"Total";"detail analysis",#N/A,FALSE,"Total"}</definedName>
    <definedName name="_____________________________________________________________________________wip2" hidden="1">{"summary",#N/A,FALSE,"2000 vs 1999";"detail",#N/A,FALSE,"2000 vs 1999"}</definedName>
    <definedName name="____________________________________________________________________________RTS2" hidden="1">{"Summary analysis",#N/A,FALSE,"Total";"OCPH analysis",#N/A,FALSE,"Total";"detail analysis",#N/A,FALSE,"Total"}</definedName>
    <definedName name="____________________________________________________________________________wip2" hidden="1">{"summary",#N/A,FALSE,"2000 vs 1999";"detail",#N/A,FALSE,"2000 vs 1999"}</definedName>
    <definedName name="___________________________________________________________________________RTS2" hidden="1">{"Summary analysis",#N/A,FALSE,"Total";"OCPH analysis",#N/A,FALSE,"Total";"detail analysis",#N/A,FALSE,"Total"}</definedName>
    <definedName name="___________________________________________________________________________wip2" hidden="1">{"summary",#N/A,FALSE,"2000 vs 1999";"detail",#N/A,FALSE,"2000 vs 1999"}</definedName>
    <definedName name="__________________________________________________________________________RTS2" hidden="1">{"Summary analysis",#N/A,FALSE,"Total";"OCPH analysis",#N/A,FALSE,"Total";"detail analysis",#N/A,FALSE,"Total"}</definedName>
    <definedName name="__________________________________________________________________________wip2" hidden="1">{"summary",#N/A,FALSE,"2000 vs 1999";"detail",#N/A,FALSE,"2000 vs 1999"}</definedName>
    <definedName name="_________________________________________________________________________RTS2" hidden="1">{"Summary analysis",#N/A,FALSE,"Total";"OCPH analysis",#N/A,FALSE,"Total";"detail analysis",#N/A,FALSE,"Total"}</definedName>
    <definedName name="_________________________________________________________________________wip2" hidden="1">{"summary",#N/A,FALSE,"2000 vs 1999";"detail",#N/A,FALSE,"2000 vs 1999"}</definedName>
    <definedName name="________________________________________________________________________RTS2" hidden="1">{"Summary analysis",#N/A,FALSE,"Total";"OCPH analysis",#N/A,FALSE,"Total";"detail analysis",#N/A,FALSE,"Total"}</definedName>
    <definedName name="________________________________________________________________________wip2" hidden="1">{"summary",#N/A,FALSE,"2000 vs 1999";"detail",#N/A,FALSE,"2000 vs 1999"}</definedName>
    <definedName name="_______________________________________________________________________RTS2" hidden="1">{"Summary analysis",#N/A,FALSE,"Total";"OCPH analysis",#N/A,FALSE,"Total";"detail analysis",#N/A,FALSE,"Total"}</definedName>
    <definedName name="_______________________________________________________________________wip2" hidden="1">{"summary",#N/A,FALSE,"2000 vs 1999";"detail",#N/A,FALSE,"2000 vs 1999"}</definedName>
    <definedName name="______________________________________________________________________RTS2" hidden="1">{"Summary analysis",#N/A,FALSE,"Total";"OCPH analysis",#N/A,FALSE,"Total";"detail analysis",#N/A,FALSE,"Total"}</definedName>
    <definedName name="______________________________________________________________________wip2" hidden="1">{"summary",#N/A,FALSE,"2000 vs 1999";"detail",#N/A,FALSE,"2000 vs 1999"}</definedName>
    <definedName name="_____________________________________________________________________RTS2" hidden="1">{"Summary analysis",#N/A,FALSE,"Total";"OCPH analysis",#N/A,FALSE,"Total";"detail analysis",#N/A,FALSE,"Total"}</definedName>
    <definedName name="_____________________________________________________________________wip2" hidden="1">{"summary",#N/A,FALSE,"2000 vs 1999";"detail",#N/A,FALSE,"2000 vs 1999"}</definedName>
    <definedName name="____________________________________________________________________RTS2" hidden="1">{"Summary analysis",#N/A,FALSE,"Total";"OCPH analysis",#N/A,FALSE,"Total";"detail analysis",#N/A,FALSE,"Total"}</definedName>
    <definedName name="____________________________________________________________________wip2" hidden="1">{"summary",#N/A,FALSE,"2000 vs 1999";"detail",#N/A,FALSE,"2000 vs 1999"}</definedName>
    <definedName name="___________________________________________________________________RTS2" hidden="1">{"Summary analysis",#N/A,FALSE,"Total";"OCPH analysis",#N/A,FALSE,"Total";"detail analysis",#N/A,FALSE,"Total"}</definedName>
    <definedName name="___________________________________________________________________wip2" hidden="1">{"summary",#N/A,FALSE,"2000 vs 1999";"detail",#N/A,FALSE,"2000 vs 1999"}</definedName>
    <definedName name="__________________________________________________________________RTS2" hidden="1">{"Summary analysis",#N/A,FALSE,"Total";"OCPH analysis",#N/A,FALSE,"Total";"detail analysis",#N/A,FALSE,"Total"}</definedName>
    <definedName name="__________________________________________________________________wip2" hidden="1">{"summary",#N/A,FALSE,"2000 vs 1999";"detail",#N/A,FALSE,"2000 vs 1999"}</definedName>
    <definedName name="_________________________________________________________________RTS2" hidden="1">{"Summary analysis",#N/A,FALSE,"Total";"OCPH analysis",#N/A,FALSE,"Total";"detail analysis",#N/A,FALSE,"Total"}</definedName>
    <definedName name="_________________________________________________________________wip2" hidden="1">{"summary",#N/A,FALSE,"2000 vs 1999";"detail",#N/A,FALSE,"2000 vs 1999"}</definedName>
    <definedName name="________________________________________________________________RTS2" hidden="1">{"Summary analysis",#N/A,FALSE,"Total";"OCPH analysis",#N/A,FALSE,"Total";"detail analysis",#N/A,FALSE,"Total"}</definedName>
    <definedName name="________________________________________________________________wip2" hidden="1">{"summary",#N/A,FALSE,"2000 vs 1999";"detail",#N/A,FALSE,"2000 vs 1999"}</definedName>
    <definedName name="_______________________________________________________________RTS2" hidden="1">{"Summary analysis",#N/A,FALSE,"Total";"OCPH analysis",#N/A,FALSE,"Total";"detail analysis",#N/A,FALSE,"Total"}</definedName>
    <definedName name="_______________________________________________________________wip2" hidden="1">{"summary",#N/A,FALSE,"2000 vs 1999";"detail",#N/A,FALSE,"2000 vs 1999"}</definedName>
    <definedName name="______________________________________________________________RTS2" hidden="1">{"Summary analysis",#N/A,FALSE,"Total";"OCPH analysis",#N/A,FALSE,"Total";"detail analysis",#N/A,FALSE,"Total"}</definedName>
    <definedName name="______________________________________________________________wip2" hidden="1">{"summary",#N/A,FALSE,"2000 vs 1999";"detail",#N/A,FALSE,"2000 vs 1999"}</definedName>
    <definedName name="_____________________________________________________________RTS2" hidden="1">{"Summary analysis",#N/A,FALSE,"Total";"OCPH analysis",#N/A,FALSE,"Total";"detail analysis",#N/A,FALSE,"Total"}</definedName>
    <definedName name="_____________________________________________________________wip2" hidden="1">{"summary",#N/A,FALSE,"2000 vs 1999";"detail",#N/A,FALSE,"2000 vs 1999"}</definedName>
    <definedName name="____________________________________________________________RTS2" hidden="1">{"Summary analysis",#N/A,FALSE,"Total";"OCPH analysis",#N/A,FALSE,"Total";"detail analysis",#N/A,FALSE,"Total"}</definedName>
    <definedName name="____________________________________________________________wip2" hidden="1">{"summary",#N/A,FALSE,"2000 vs 1999";"detail",#N/A,FALSE,"2000 vs 1999"}</definedName>
    <definedName name="___________________________________________________________RTS2" hidden="1">{"Summary analysis",#N/A,FALSE,"Total";"OCPH analysis",#N/A,FALSE,"Total";"detail analysis",#N/A,FALSE,"Total"}</definedName>
    <definedName name="___________________________________________________________wip2" hidden="1">{"summary",#N/A,FALSE,"2000 vs 1999";"detail",#N/A,FALSE,"2000 vs 1999"}</definedName>
    <definedName name="__________________________________________________________RTS2" hidden="1">{"Summary analysis",#N/A,FALSE,"Total";"OCPH analysis",#N/A,FALSE,"Total";"detail analysis",#N/A,FALSE,"Total"}</definedName>
    <definedName name="__________________________________________________________wip2" hidden="1">{"summary",#N/A,FALSE,"2000 vs 1999";"detail",#N/A,FALSE,"2000 vs 1999"}</definedName>
    <definedName name="_________________________________________________________RTS2" hidden="1">{"Summary analysis",#N/A,FALSE,"Total";"OCPH analysis",#N/A,FALSE,"Total";"detail analysis",#N/A,FALSE,"Total"}</definedName>
    <definedName name="_________________________________________________________wip2" hidden="1">{"summary",#N/A,FALSE,"2000 vs 1999";"detail",#N/A,FALSE,"2000 vs 1999"}</definedName>
    <definedName name="________________________________________________________RTS2" hidden="1">{"Summary analysis",#N/A,FALSE,"Total";"OCPH analysis",#N/A,FALSE,"Total";"detail analysis",#N/A,FALSE,"Total"}</definedName>
    <definedName name="________________________________________________________wip2" hidden="1">{"summary",#N/A,FALSE,"2000 vs 1999";"detail",#N/A,FALSE,"2000 vs 1999"}</definedName>
    <definedName name="_______________________________________________________RTS2" hidden="1">{"Summary analysis",#N/A,FALSE,"Total";"OCPH analysis",#N/A,FALSE,"Total";"detail analysis",#N/A,FALSE,"Total"}</definedName>
    <definedName name="_______________________________________________________wip2" hidden="1">{"summary",#N/A,FALSE,"2000 vs 1999";"detail",#N/A,FALSE,"2000 vs 1999"}</definedName>
    <definedName name="______________________________________________________RTS2" hidden="1">{"Summary analysis",#N/A,FALSE,"Total";"OCPH analysis",#N/A,FALSE,"Total";"detail analysis",#N/A,FALSE,"Total"}</definedName>
    <definedName name="______________________________________________________wip2" hidden="1">{"summary",#N/A,FALSE,"2000 vs 1999";"detail",#N/A,FALSE,"2000 vs 1999"}</definedName>
    <definedName name="_____________________________________________________RTS2" hidden="1">{"Summary analysis",#N/A,FALSE,"Total";"OCPH analysis",#N/A,FALSE,"Total";"detail analysis",#N/A,FALSE,"Total"}</definedName>
    <definedName name="_____________________________________________________wip2" hidden="1">{"summary",#N/A,FALSE,"2000 vs 1999";"detail",#N/A,FALSE,"2000 vs 1999"}</definedName>
    <definedName name="____________________________________________________RTS2" hidden="1">{"Summary analysis",#N/A,FALSE,"Total";"OCPH analysis",#N/A,FALSE,"Total";"detail analysis",#N/A,FALSE,"Total"}</definedName>
    <definedName name="____________________________________________________wip2" hidden="1">{"summary",#N/A,FALSE,"2000 vs 1999";"detail",#N/A,FALSE,"2000 vs 1999"}</definedName>
    <definedName name="___________________________________________________RTS2" hidden="1">{"Summary analysis",#N/A,FALSE,"Total";"OCPH analysis",#N/A,FALSE,"Total";"detail analysis",#N/A,FALSE,"Total"}</definedName>
    <definedName name="___________________________________________________wip2" hidden="1">{"summary",#N/A,FALSE,"2000 vs 1999";"detail",#N/A,FALSE,"2000 vs 1999"}</definedName>
    <definedName name="__________________________________________________RTS2" hidden="1">{"Summary analysis",#N/A,FALSE,"Total";"OCPH analysis",#N/A,FALSE,"Total";"detail analysis",#N/A,FALSE,"Total"}</definedName>
    <definedName name="__________________________________________________wip2" hidden="1">{"summary",#N/A,FALSE,"2000 vs 1999";"detail",#N/A,FALSE,"2000 vs 1999"}</definedName>
    <definedName name="_________________________________________________RTS2" hidden="1">{"Summary analysis",#N/A,FALSE,"Total";"OCPH analysis",#N/A,FALSE,"Total";"detail analysis",#N/A,FALSE,"Total"}</definedName>
    <definedName name="_________________________________________________wip2" hidden="1">{"summary",#N/A,FALSE,"2000 vs 1999";"detail",#N/A,FALSE,"2000 vs 1999"}</definedName>
    <definedName name="________________________________________________RTS2" hidden="1">{"Summary analysis",#N/A,FALSE,"Total";"OCPH analysis",#N/A,FALSE,"Total";"detail analysis",#N/A,FALSE,"Total"}</definedName>
    <definedName name="________________________________________________wip2" hidden="1">{"summary",#N/A,FALSE,"2000 vs 1999";"detail",#N/A,FALSE,"2000 vs 1999"}</definedName>
    <definedName name="_______________________________________________RTS2" hidden="1">{"Summary analysis",#N/A,FALSE,"Total";"OCPH analysis",#N/A,FALSE,"Total";"detail analysis",#N/A,FALSE,"Total"}</definedName>
    <definedName name="_______________________________________________wip2" hidden="1">{"summary",#N/A,FALSE,"2000 vs 1999";"detail",#N/A,FALSE,"2000 vs 1999"}</definedName>
    <definedName name="______________________________________________RTS2" hidden="1">{"Summary analysis",#N/A,FALSE,"Total";"OCPH analysis",#N/A,FALSE,"Total";"detail analysis",#N/A,FALSE,"Total"}</definedName>
    <definedName name="______________________________________________wip2" hidden="1">{"summary",#N/A,FALSE,"2000 vs 1999";"detail",#N/A,FALSE,"2000 vs 1999"}</definedName>
    <definedName name="_____________________________________________RTS2" hidden="1">{"Summary analysis",#N/A,FALSE,"Total";"OCPH analysis",#N/A,FALSE,"Total";"detail analysis",#N/A,FALSE,"Total"}</definedName>
    <definedName name="_____________________________________________wip2" hidden="1">{"summary",#N/A,FALSE,"2000 vs 1999";"detail",#N/A,FALSE,"2000 vs 1999"}</definedName>
    <definedName name="____________________________________________RTS2" hidden="1">{"Summary analysis",#N/A,FALSE,"Total";"OCPH analysis",#N/A,FALSE,"Total";"detail analysis",#N/A,FALSE,"Total"}</definedName>
    <definedName name="____________________________________________wip2" hidden="1">{"summary",#N/A,FALSE,"2000 vs 1999";"detail",#N/A,FALSE,"2000 vs 1999"}</definedName>
    <definedName name="___________________________________________RTS2" hidden="1">{"Summary analysis",#N/A,FALSE,"Total";"OCPH analysis",#N/A,FALSE,"Total";"detail analysis",#N/A,FALSE,"Total"}</definedName>
    <definedName name="___________________________________________wip2" hidden="1">{"summary",#N/A,FALSE,"2000 vs 1999";"detail",#N/A,FALSE,"2000 vs 1999"}</definedName>
    <definedName name="__________________________________________RTS2" hidden="1">{"Summary analysis",#N/A,FALSE,"Total";"OCPH analysis",#N/A,FALSE,"Total";"detail analysis",#N/A,FALSE,"Total"}</definedName>
    <definedName name="__________________________________________wip2" hidden="1">{"summary",#N/A,FALSE,"2000 vs 1999";"detail",#N/A,FALSE,"2000 vs 1999"}</definedName>
    <definedName name="_________________________________________RTS2" hidden="1">{"Summary analysis",#N/A,FALSE,"Total";"OCPH analysis",#N/A,FALSE,"Total";"detail analysis",#N/A,FALSE,"Total"}</definedName>
    <definedName name="_________________________________________wip2" hidden="1">{"summary",#N/A,FALSE,"2000 vs 1999";"detail",#N/A,FALSE,"2000 vs 1999"}</definedName>
    <definedName name="________________________________________RTS2" hidden="1">{"Summary analysis",#N/A,FALSE,"Total";"OCPH analysis",#N/A,FALSE,"Total";"detail analysis",#N/A,FALSE,"Total"}</definedName>
    <definedName name="________________________________________wip2" hidden="1">{"summary",#N/A,FALSE,"2000 vs 1999";"detail",#N/A,FALSE,"2000 vs 1999"}</definedName>
    <definedName name="_______________________________________RTS2" hidden="1">{"Summary analysis",#N/A,FALSE,"Total";"OCPH analysis",#N/A,FALSE,"Total";"detail analysis",#N/A,FALSE,"Total"}</definedName>
    <definedName name="_______________________________________wip2" hidden="1">{"summary",#N/A,FALSE,"2000 vs 1999";"detail",#N/A,FALSE,"2000 vs 1999"}</definedName>
    <definedName name="______________________________________RTS2" hidden="1">{"Summary analysis",#N/A,FALSE,"Total";"OCPH analysis",#N/A,FALSE,"Total";"detail analysis",#N/A,FALSE,"Total"}</definedName>
    <definedName name="______________________________________wip2" hidden="1">{"summary",#N/A,FALSE,"2000 vs 1999";"detail",#N/A,FALSE,"2000 vs 1999"}</definedName>
    <definedName name="_____________________________________RTS2" hidden="1">{"Summary analysis",#N/A,FALSE,"Total";"OCPH analysis",#N/A,FALSE,"Total";"detail analysis",#N/A,FALSE,"Total"}</definedName>
    <definedName name="_____________________________________wip2" hidden="1">{"summary",#N/A,FALSE,"2000 vs 1999";"detail",#N/A,FALSE,"2000 vs 1999"}</definedName>
    <definedName name="____________________________________RTS2" hidden="1">{"Summary analysis",#N/A,FALSE,"Total";"OCPH analysis",#N/A,FALSE,"Total";"detail analysis",#N/A,FALSE,"Total"}</definedName>
    <definedName name="____________________________________wip2" hidden="1">{"summary",#N/A,FALSE,"2000 vs 1999";"detail",#N/A,FALSE,"2000 vs 1999"}</definedName>
    <definedName name="___________________________________RTS2" hidden="1">{"Summary analysis",#N/A,FALSE,"Total";"OCPH analysis",#N/A,FALSE,"Total";"detail analysis",#N/A,FALSE,"Total"}</definedName>
    <definedName name="___________________________________wip2" hidden="1">{"summary",#N/A,FALSE,"2000 vs 1999";"detail",#N/A,FALSE,"2000 vs 1999"}</definedName>
    <definedName name="__________________________________RTS2" hidden="1">{"Summary analysis",#N/A,FALSE,"Total";"OCPH analysis",#N/A,FALSE,"Total";"detail analysis",#N/A,FALSE,"Total"}</definedName>
    <definedName name="__________________________________wip2" hidden="1">{"summary",#N/A,FALSE,"2000 vs 1999";"detail",#N/A,FALSE,"2000 vs 1999"}</definedName>
    <definedName name="_________________________________RTS2" hidden="1">{"Summary analysis",#N/A,FALSE,"Total";"OCPH analysis",#N/A,FALSE,"Total";"detail analysis",#N/A,FALSE,"Total"}</definedName>
    <definedName name="_________________________________wip2" hidden="1">{"summary",#N/A,FALSE,"2000 vs 1999";"detail",#N/A,FALSE,"2000 vs 1999"}</definedName>
    <definedName name="________________________________RTS2" hidden="1">{"Summary analysis",#N/A,FALSE,"Total";"OCPH analysis",#N/A,FALSE,"Total";"detail analysis",#N/A,FALSE,"Total"}</definedName>
    <definedName name="________________________________wip2" hidden="1">{"summary",#N/A,FALSE,"2000 vs 1999";"detail",#N/A,FALSE,"2000 vs 1999"}</definedName>
    <definedName name="_______________________________RTS2" hidden="1">{"Summary analysis",#N/A,FALSE,"Total";"OCPH analysis",#N/A,FALSE,"Total";"detail analysis",#N/A,FALSE,"Total"}</definedName>
    <definedName name="_______________________________wip2" hidden="1">{"summary",#N/A,FALSE,"2000 vs 1999";"detail",#N/A,FALSE,"2000 vs 1999"}</definedName>
    <definedName name="______________________________RTS2" hidden="1">{"Summary analysis",#N/A,FALSE,"Total";"OCPH analysis",#N/A,FALSE,"Total";"detail analysis",#N/A,FALSE,"Total"}</definedName>
    <definedName name="______________________________wip2" hidden="1">{"summary",#N/A,FALSE,"2000 vs 1999";"detail",#N/A,FALSE,"2000 vs 1999"}</definedName>
    <definedName name="_____________________________RTS2" hidden="1">{"Summary analysis",#N/A,FALSE,"Total";"OCPH analysis",#N/A,FALSE,"Total";"detail analysis",#N/A,FALSE,"Total"}</definedName>
    <definedName name="_____________________________wip2" hidden="1">{"summary",#N/A,FALSE,"2000 vs 1999";"detail",#N/A,FALSE,"2000 vs 1999"}</definedName>
    <definedName name="____________________________RTS2" hidden="1">{"Summary analysis",#N/A,FALSE,"Total";"OCPH analysis",#N/A,FALSE,"Total";"detail analysis",#N/A,FALSE,"Total"}</definedName>
    <definedName name="____________________________wip2" hidden="1">{"summary",#N/A,FALSE,"2000 vs 1999";"detail",#N/A,FALSE,"2000 vs 1999"}</definedName>
    <definedName name="___________________________RTS2" hidden="1">{"Summary analysis",#N/A,FALSE,"Total";"OCPH analysis",#N/A,FALSE,"Total";"detail analysis",#N/A,FALSE,"Total"}</definedName>
    <definedName name="___________________________wip2" hidden="1">{"summary",#N/A,FALSE,"2000 vs 1999";"detail",#N/A,FALSE,"2000 vs 1999"}</definedName>
    <definedName name="__________________________RTS2" hidden="1">{"Summary analysis",#N/A,FALSE,"Total";"OCPH analysis",#N/A,FALSE,"Total";"detail analysis",#N/A,FALSE,"Total"}</definedName>
    <definedName name="__________________________wip2" hidden="1">{"summary",#N/A,FALSE,"2000 vs 1999";"detail",#N/A,FALSE,"2000 vs 1999"}</definedName>
    <definedName name="_________________________RTS2" hidden="1">{"Summary analysis",#N/A,FALSE,"Total";"OCPH analysis",#N/A,FALSE,"Total";"detail analysis",#N/A,FALSE,"Total"}</definedName>
    <definedName name="_________________________wip2" hidden="1">{"summary",#N/A,FALSE,"2000 vs 1999";"detail",#N/A,FALSE,"2000 vs 1999"}</definedName>
    <definedName name="________________________RTS2" hidden="1">{"Summary analysis",#N/A,FALSE,"Total";"OCPH analysis",#N/A,FALSE,"Total";"detail analysis",#N/A,FALSE,"Total"}</definedName>
    <definedName name="________________________wip2" hidden="1">{"summary",#N/A,FALSE,"2000 vs 1999";"detail",#N/A,FALSE,"2000 vs 1999"}</definedName>
    <definedName name="_______________________RTS2" hidden="1">{"Summary analysis",#N/A,FALSE,"Total";"OCPH analysis",#N/A,FALSE,"Total";"detail analysis",#N/A,FALSE,"Total"}</definedName>
    <definedName name="_______________________wip2" hidden="1">{"summary",#N/A,FALSE,"2000 vs 1999";"detail",#N/A,FALSE,"2000 vs 1999"}</definedName>
    <definedName name="______________________RTS2" hidden="1">{"Summary analysis",#N/A,FALSE,"Total";"OCPH analysis",#N/A,FALSE,"Total";"detail analysis",#N/A,FALSE,"Total"}</definedName>
    <definedName name="______________________wip2" hidden="1">{"summary",#N/A,FALSE,"2000 vs 1999";"detail",#N/A,FALSE,"2000 vs 1999"}</definedName>
    <definedName name="_____________________RTS2" hidden="1">{"Summary analysis",#N/A,FALSE,"Total";"OCPH analysis",#N/A,FALSE,"Total";"detail analysis",#N/A,FALSE,"Total"}</definedName>
    <definedName name="_____________________wip2" hidden="1">{"summary",#N/A,FALSE,"2000 vs 1999";"detail",#N/A,FALSE,"2000 vs 1999"}</definedName>
    <definedName name="____________________RTS2" hidden="1">{"Summary analysis",#N/A,FALSE,"Total";"OCPH analysis",#N/A,FALSE,"Total";"detail analysis",#N/A,FALSE,"Total"}</definedName>
    <definedName name="____________________wip2" hidden="1">{"summary",#N/A,FALSE,"2000 vs 1999";"detail",#N/A,FALSE,"2000 vs 1999"}</definedName>
    <definedName name="___________________RTS2" hidden="1">{"Summary analysis",#N/A,FALSE,"Total";"OCPH analysis",#N/A,FALSE,"Total";"detail analysis",#N/A,FALSE,"Total"}</definedName>
    <definedName name="___________________wip2" hidden="1">{"summary",#N/A,FALSE,"2000 vs 1999";"detail",#N/A,FALSE,"2000 vs 1999"}</definedName>
    <definedName name="__________________RTS2" hidden="1">{"Summary analysis",#N/A,FALSE,"Total";"OCPH analysis",#N/A,FALSE,"Total";"detail analysis",#N/A,FALSE,"Total"}</definedName>
    <definedName name="__________________wip2" hidden="1">{"summary",#N/A,FALSE,"2000 vs 1999";"detail",#N/A,FALSE,"2000 vs 1999"}</definedName>
    <definedName name="_________________RTS2" hidden="1">{"Summary analysis",#N/A,FALSE,"Total";"OCPH analysis",#N/A,FALSE,"Total";"detail analysis",#N/A,FALSE,"Total"}</definedName>
    <definedName name="_________________wip2" hidden="1">{"summary",#N/A,FALSE,"2000 vs 1999";"detail",#N/A,FALSE,"2000 vs 1999"}</definedName>
    <definedName name="________________RTS2" hidden="1">{"Summary analysis",#N/A,FALSE,"Total";"OCPH analysis",#N/A,FALSE,"Total";"detail analysis",#N/A,FALSE,"Total"}</definedName>
    <definedName name="________________wip2" hidden="1">{"summary",#N/A,FALSE,"2000 vs 1999";"detail",#N/A,FALSE,"2000 vs 1999"}</definedName>
    <definedName name="_______________RTS2" hidden="1">{"Summary analysis",#N/A,FALSE,"Total";"OCPH analysis",#N/A,FALSE,"Total";"detail analysis",#N/A,FALSE,"Total"}</definedName>
    <definedName name="_______________wip2" hidden="1">{"summary",#N/A,FALSE,"2000 vs 1999";"detail",#N/A,FALSE,"2000 vs 1999"}</definedName>
    <definedName name="______________RTS2" hidden="1">{"Summary analysis",#N/A,FALSE,"Total";"OCPH analysis",#N/A,FALSE,"Total";"detail analysis",#N/A,FALSE,"Total"}</definedName>
    <definedName name="______________wip2" hidden="1">{"summary",#N/A,FALSE,"2000 vs 1999";"detail",#N/A,FALSE,"2000 vs 1999"}</definedName>
    <definedName name="_____________a7" localSheetId="3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_______a7" localSheetId="31"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_______a7" localSheetId="32"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_______a7" localSheetId="1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_______a7" localSheetId="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______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_______RTS2" hidden="1">{"Summary analysis",#N/A,FALSE,"Total";"OCPH analysis",#N/A,FALSE,"Total";"detail analysis",#N/A,FALSE,"Total"}</definedName>
    <definedName name="_____________wip2" hidden="1">{"summary",#N/A,FALSE,"2000 vs 1999";"detail",#N/A,FALSE,"2000 vs 1999"}</definedName>
    <definedName name="____________RTS2" hidden="1">{"Summary analysis",#N/A,FALSE,"Total";"OCPH analysis",#N/A,FALSE,"Total";"detail analysis",#N/A,FALSE,"Total"}</definedName>
    <definedName name="____________wip2" hidden="1">{"summary",#N/A,FALSE,"2000 vs 1999";"detail",#N/A,FALSE,"2000 vs 1999"}</definedName>
    <definedName name="___________RTS2" hidden="1">{"Summary analysis",#N/A,FALSE,"Total";"OCPH analysis",#N/A,FALSE,"Total";"detail analysis",#N/A,FALSE,"Total"}</definedName>
    <definedName name="___________wip2" hidden="1">{"summary",#N/A,FALSE,"2000 vs 1999";"detail",#N/A,FALSE,"2000 vs 1999"}</definedName>
    <definedName name="__________RTS2" hidden="1">{"Summary analysis",#N/A,FALSE,"Total";"OCPH analysis",#N/A,FALSE,"Total";"detail analysis",#N/A,FALSE,"Total"}</definedName>
    <definedName name="__________wip2" hidden="1">{"summary",#N/A,FALSE,"2000 vs 1999";"detail",#N/A,FALSE,"2000 vs 1999"}</definedName>
    <definedName name="_________DR4"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DR4"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DR4"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DR4"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DR4"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feb00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feb00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feb00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feb00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feb00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_RTS2" hidden="1">{"Summary analysis",#N/A,FALSE,"Total";"OCPH analysis",#N/A,FALSE,"Total";"detail analysis",#N/A,FALSE,"Total"}</definedName>
    <definedName name="_________wip2" hidden="1">{"summary",#N/A,FALSE,"2000 vs 1999";"detail",#N/A,FALSE,"2000 vs 1999"}</definedName>
    <definedName name="________DR4"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DR4"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DR4"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DR4"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DR4"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feb00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feb00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feb00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feb00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feb00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_RTS2" hidden="1">{"Summary analysis",#N/A,FALSE,"Total";"OCPH analysis",#N/A,FALSE,"Total";"detail analysis",#N/A,FALSE,"Total"}</definedName>
    <definedName name="________wip2" hidden="1">{"summary",#N/A,FALSE,"2000 vs 1999";"detail",#N/A,FALSE,"2000 vs 1999"}</definedName>
    <definedName name="_______DR4"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DR4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feb00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feb00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feb00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feb00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feb00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_guv3" localSheetId="30" hidden="1">{"K GuV o. Kommentar",#N/A,FALSE,"Kaufhof"}</definedName>
    <definedName name="_______guv3" localSheetId="31" hidden="1">{"K GuV o. Kommentar",#N/A,FALSE,"Kaufhof"}</definedName>
    <definedName name="_______guv3" localSheetId="32" hidden="1">{"K GuV o. Kommentar",#N/A,FALSE,"Kaufhof"}</definedName>
    <definedName name="_______guv3" localSheetId="10" hidden="1">{"K GuV o. Kommentar",#N/A,FALSE,"Kaufhof"}</definedName>
    <definedName name="_______guv3" localSheetId="6" hidden="1">{"K GuV o. Kommentar",#N/A,FALSE,"Kaufhof"}</definedName>
    <definedName name="_______guv3" hidden="1">{"K GuV o. Kommentar",#N/A,FALSE,"Kaufhof"}</definedName>
    <definedName name="_______RTS2" hidden="1">{"Summary analysis",#N/A,FALSE,"Total";"OCPH analysis",#N/A,FALSE,"Total";"detail analysis",#N/A,FALSE,"Total"}</definedName>
    <definedName name="_______wip2" hidden="1">{"summary",#N/A,FALSE,"2000 vs 1999";"detail",#N/A,FALSE,"2000 vs 1999"}</definedName>
    <definedName name="______a7" localSheetId="3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a7" localSheetId="31"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a7" localSheetId="32"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a7" localSheetId="1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a7" localSheetId="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_DR4"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DR4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2"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2"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2"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2"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2"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feb00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_guv3" localSheetId="30" hidden="1">{"K GuV o. Kommentar",#N/A,FALSE,"Kaufhof"}</definedName>
    <definedName name="______guv3" localSheetId="31" hidden="1">{"K GuV o. Kommentar",#N/A,FALSE,"Kaufhof"}</definedName>
    <definedName name="______guv3" localSheetId="32" hidden="1">{"K GuV o. Kommentar",#N/A,FALSE,"Kaufhof"}</definedName>
    <definedName name="______guv3" localSheetId="10" hidden="1">{"K GuV o. Kommentar",#N/A,FALSE,"Kaufhof"}</definedName>
    <definedName name="______guv3" localSheetId="6" hidden="1">{"K GuV o. Kommentar",#N/A,FALSE,"Kaufhof"}</definedName>
    <definedName name="______guv3" hidden="1">{"K GuV o. Kommentar",#N/A,FALSE,"Kaufhof"}</definedName>
    <definedName name="______RTS2" hidden="1">{"Summary analysis",#N/A,FALSE,"Total";"OCPH analysis",#N/A,FALSE,"Total";"detail analysis",#N/A,FALSE,"Total"}</definedName>
    <definedName name="______VOP3" localSheetId="6" hidden="1">#REF!</definedName>
    <definedName name="______VOP3" hidden="1">#REF!</definedName>
    <definedName name="______wip2" hidden="1">{"summary",#N/A,FALSE,"2000 vs 1999";"detail",#N/A,FALSE,"2000 vs 1999"}</definedName>
    <definedName name="_____a7" localSheetId="3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a7" localSheetId="31"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a7" localSheetId="32"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a7" localSheetId="1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a7" localSheetId="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____DR4"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DR4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2"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2"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2"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2"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2"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feb00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_RTS2" hidden="1">{"Summary analysis",#N/A,FALSE,"Total";"OCPH analysis",#N/A,FALSE,"Total";"detail analysis",#N/A,FALSE,"Total"}</definedName>
    <definedName name="_____SSK1" localSheetId="30" hidden="1">{#N/A,#N/A,FALSE,"COMP"}</definedName>
    <definedName name="_____SSK1" localSheetId="31" hidden="1">{#N/A,#N/A,FALSE,"COMP"}</definedName>
    <definedName name="_____SSK1" localSheetId="32" hidden="1">{#N/A,#N/A,FALSE,"COMP"}</definedName>
    <definedName name="_____SSK1" localSheetId="10" hidden="1">{#N/A,#N/A,FALSE,"COMP"}</definedName>
    <definedName name="_____SSK1" localSheetId="1" hidden="1">{#N/A,#N/A,FALSE,"COMP"}</definedName>
    <definedName name="_____SSK1" localSheetId="6" hidden="1">{#N/A,#N/A,FALSE,"COMP"}</definedName>
    <definedName name="_____SSK1" hidden="1">{#N/A,#N/A,FALSE,"COMP"}</definedName>
    <definedName name="_____VOP3" localSheetId="6" hidden="1">#REF!</definedName>
    <definedName name="_____VOP3" hidden="1">#REF!</definedName>
    <definedName name="_____wip2" hidden="1">{"summary",#N/A,FALSE,"2000 vs 1999";"detail",#N/A,FALSE,"2000 vs 1999"}</definedName>
    <definedName name="_____xx1" localSheetId="30" hidden="1">{"'Typical Costs Estimates'!$C$158:$H$161"}</definedName>
    <definedName name="_____xx1" localSheetId="31" hidden="1">{"'Typical Costs Estimates'!$C$158:$H$161"}</definedName>
    <definedName name="_____xx1" localSheetId="32" hidden="1">{"'Typical Costs Estimates'!$C$158:$H$161"}</definedName>
    <definedName name="_____xx1" localSheetId="10" hidden="1">{"'Typical Costs Estimates'!$C$158:$H$161"}</definedName>
    <definedName name="_____xx1" hidden="1">{"'Typical Costs Estimates'!$C$158:$H$161"}</definedName>
    <definedName name="____DR4"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DR4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2"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2"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2"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2"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2"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00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_feb2" localSheetId="30" hidden="1">{#N/A,#N/A,TRUE,"KEY DATA";#N/A,#N/A,TRUE,"KEY DATA Base Case";#N/A,#N/A,TRUE,"JULY";#N/A,#N/A,TRUE,"AUG";#N/A,#N/A,TRUE,"SEPT";#N/A,#N/A,TRUE,"3Q"}</definedName>
    <definedName name="____feb2" localSheetId="31" hidden="1">{#N/A,#N/A,TRUE,"KEY DATA";#N/A,#N/A,TRUE,"KEY DATA Base Case";#N/A,#N/A,TRUE,"JULY";#N/A,#N/A,TRUE,"AUG";#N/A,#N/A,TRUE,"SEPT";#N/A,#N/A,TRUE,"3Q"}</definedName>
    <definedName name="____feb2" localSheetId="32" hidden="1">{#N/A,#N/A,TRUE,"KEY DATA";#N/A,#N/A,TRUE,"KEY DATA Base Case";#N/A,#N/A,TRUE,"JULY";#N/A,#N/A,TRUE,"AUG";#N/A,#N/A,TRUE,"SEPT";#N/A,#N/A,TRUE,"3Q"}</definedName>
    <definedName name="____feb2" localSheetId="10" hidden="1">{#N/A,#N/A,TRUE,"KEY DATA";#N/A,#N/A,TRUE,"KEY DATA Base Case";#N/A,#N/A,TRUE,"JULY";#N/A,#N/A,TRUE,"AUG";#N/A,#N/A,TRUE,"SEPT";#N/A,#N/A,TRUE,"3Q"}</definedName>
    <definedName name="____feb2" localSheetId="6" hidden="1">{#N/A,#N/A,TRUE,"KEY DATA";#N/A,#N/A,TRUE,"KEY DATA Base Case";#N/A,#N/A,TRUE,"JULY";#N/A,#N/A,TRUE,"AUG";#N/A,#N/A,TRUE,"SEPT";#N/A,#N/A,TRUE,"3Q"}</definedName>
    <definedName name="____feb2" hidden="1">{#N/A,#N/A,TRUE,"KEY DATA";#N/A,#N/A,TRUE,"KEY DATA Base Case";#N/A,#N/A,TRUE,"JULY";#N/A,#N/A,TRUE,"AUG";#N/A,#N/A,TRUE,"SEPT";#N/A,#N/A,TRUE,"3Q"}</definedName>
    <definedName name="____guv3" localSheetId="30" hidden="1">{"K GuV o. Kommentar",#N/A,FALSE,"Kaufhof"}</definedName>
    <definedName name="____guv3" localSheetId="31" hidden="1">{"K GuV o. Kommentar",#N/A,FALSE,"Kaufhof"}</definedName>
    <definedName name="____guv3" localSheetId="32" hidden="1">{"K GuV o. Kommentar",#N/A,FALSE,"Kaufhof"}</definedName>
    <definedName name="____guv3" localSheetId="10" hidden="1">{"K GuV o. Kommentar",#N/A,FALSE,"Kaufhof"}</definedName>
    <definedName name="____guv3" localSheetId="6" hidden="1">{"K GuV o. Kommentar",#N/A,FALSE,"Kaufhof"}</definedName>
    <definedName name="____guv3" hidden="1">{"K GuV o. Kommentar",#N/A,FALSE,"Kaufhof"}</definedName>
    <definedName name="____KEY2" hidden="1">#REF!</definedName>
    <definedName name="____mor1" localSheetId="6" hidden="1">#REF!</definedName>
    <definedName name="____mor1" hidden="1">#REF!</definedName>
    <definedName name="____RTS2" hidden="1">{"Summary analysis",#N/A,FALSE,"Total";"OCPH analysis",#N/A,FALSE,"Total";"detail analysis",#N/A,FALSE,"Total"}</definedName>
    <definedName name="____SSK1" localSheetId="30" hidden="1">{#N/A,#N/A,FALSE,"COMP"}</definedName>
    <definedName name="____SSK1" localSheetId="31" hidden="1">{#N/A,#N/A,FALSE,"COMP"}</definedName>
    <definedName name="____SSK1" localSheetId="32" hidden="1">{#N/A,#N/A,FALSE,"COMP"}</definedName>
    <definedName name="____SSK1" localSheetId="10" hidden="1">{#N/A,#N/A,FALSE,"COMP"}</definedName>
    <definedName name="____SSK1" localSheetId="1" hidden="1">{#N/A,#N/A,FALSE,"COMP"}</definedName>
    <definedName name="____SSK1" localSheetId="6" hidden="1">{#N/A,#N/A,FALSE,"COMP"}</definedName>
    <definedName name="____SSK1" hidden="1">{#N/A,#N/A,FALSE,"COMP"}</definedName>
    <definedName name="____VOP3" localSheetId="6" hidden="1">#REF!</definedName>
    <definedName name="____VOP3" hidden="1">#REF!</definedName>
    <definedName name="____wip2" hidden="1">{"summary",#N/A,FALSE,"2000 vs 1999";"detail",#N/A,FALSE,"2000 vs 1999"}</definedName>
    <definedName name="____xx1" localSheetId="30" hidden="1">{"'Typical Costs Estimates'!$C$158:$H$161"}</definedName>
    <definedName name="____xx1" localSheetId="31" hidden="1">{"'Typical Costs Estimates'!$C$158:$H$161"}</definedName>
    <definedName name="____xx1" localSheetId="32" hidden="1">{"'Typical Costs Estimates'!$C$158:$H$161"}</definedName>
    <definedName name="____xx1" localSheetId="10" hidden="1">{"'Typical Costs Estimates'!$C$158:$H$161"}</definedName>
    <definedName name="____xx1" hidden="1">{"'Typical Costs Estimates'!$C$158:$H$161"}</definedName>
    <definedName name="___chi9" localSheetId="30" hidden="1">{#N/A,#N/A,FALSE,"USMED 3";#N/A,#N/A,FALSE,"MARCHALLENGER 1";#N/A,#N/A,FALSE,"MARCHALLENGER 2";#N/A,#N/A,FALSE,"MARCHALLENGER 3";#N/A,#N/A,FALSE,"MARCHALLENGER 4"}</definedName>
    <definedName name="___chi9" localSheetId="31" hidden="1">{#N/A,#N/A,FALSE,"USMED 3";#N/A,#N/A,FALSE,"MARCHALLENGER 1";#N/A,#N/A,FALSE,"MARCHALLENGER 2";#N/A,#N/A,FALSE,"MARCHALLENGER 3";#N/A,#N/A,FALSE,"MARCHALLENGER 4"}</definedName>
    <definedName name="___chi9" localSheetId="32" hidden="1">{#N/A,#N/A,FALSE,"USMED 3";#N/A,#N/A,FALSE,"MARCHALLENGER 1";#N/A,#N/A,FALSE,"MARCHALLENGER 2";#N/A,#N/A,FALSE,"MARCHALLENGER 3";#N/A,#N/A,FALSE,"MARCHALLENGER 4"}</definedName>
    <definedName name="___chi9" localSheetId="10" hidden="1">{#N/A,#N/A,FALSE,"USMED 3";#N/A,#N/A,FALSE,"MARCHALLENGER 1";#N/A,#N/A,FALSE,"MARCHALLENGER 2";#N/A,#N/A,FALSE,"MARCHALLENGER 3";#N/A,#N/A,FALSE,"MARCHALLENGER 4"}</definedName>
    <definedName name="___chi9" hidden="1">{#N/A,#N/A,FALSE,"USMED 3";#N/A,#N/A,FALSE,"MARCHALLENGER 1";#N/A,#N/A,FALSE,"MARCHALLENGER 2";#N/A,#N/A,FALSE,"MARCHALLENGER 3";#N/A,#N/A,FALSE,"MARCHALLENGER 4"}</definedName>
    <definedName name="__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DR41"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DR41"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DR41"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DR41"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DR41"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DR4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2"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2"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2"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2"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2"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guv3" localSheetId="30" hidden="1">{"K GuV o. Kommentar",#N/A,FALSE,"Kaufhof"}</definedName>
    <definedName name="___guv3" localSheetId="31" hidden="1">{"K GuV o. Kommentar",#N/A,FALSE,"Kaufhof"}</definedName>
    <definedName name="___guv3" localSheetId="32" hidden="1">{"K GuV o. Kommentar",#N/A,FALSE,"Kaufhof"}</definedName>
    <definedName name="___guv3" localSheetId="10" hidden="1">{"K GuV o. Kommentar",#N/A,FALSE,"Kaufhof"}</definedName>
    <definedName name="___guv3" localSheetId="6" hidden="1">{"K GuV o. Kommentar",#N/A,FALSE,"Kaufhof"}</definedName>
    <definedName name="___guv3" hidden="1">{"K GuV o. Kommentar",#N/A,FALSE,"Kaufhof"}</definedName>
    <definedName name="___Key2" localSheetId="1" hidden="1">#REF!</definedName>
    <definedName name="___Key2" localSheetId="6" hidden="1">#REF!</definedName>
    <definedName name="___Key2" hidden="1">#REF!</definedName>
    <definedName name="___LPS2" localSheetId="30" hidden="1">{#N/A,#N/A,FALSE,"단축1";#N/A,#N/A,FALSE,"단축2";#N/A,#N/A,FALSE,"단축3";#N/A,#N/A,FALSE,"장축";#N/A,#N/A,FALSE,"4WD"}</definedName>
    <definedName name="___LPS2" localSheetId="31" hidden="1">{#N/A,#N/A,FALSE,"단축1";#N/A,#N/A,FALSE,"단축2";#N/A,#N/A,FALSE,"단축3";#N/A,#N/A,FALSE,"장축";#N/A,#N/A,FALSE,"4WD"}</definedName>
    <definedName name="___LPS2" localSheetId="32" hidden="1">{#N/A,#N/A,FALSE,"단축1";#N/A,#N/A,FALSE,"단축2";#N/A,#N/A,FALSE,"단축3";#N/A,#N/A,FALSE,"장축";#N/A,#N/A,FALSE,"4WD"}</definedName>
    <definedName name="___LPS2" localSheetId="10" hidden="1">{#N/A,#N/A,FALSE,"단축1";#N/A,#N/A,FALSE,"단축2";#N/A,#N/A,FALSE,"단축3";#N/A,#N/A,FALSE,"장축";#N/A,#N/A,FALSE,"4WD"}</definedName>
    <definedName name="___LPS2" localSheetId="1" hidden="1">{#N/A,#N/A,FALSE,"단축1";#N/A,#N/A,FALSE,"단축2";#N/A,#N/A,FALSE,"단축3";#N/A,#N/A,FALSE,"장축";#N/A,#N/A,FALSE,"4WD"}</definedName>
    <definedName name="___LPS2" localSheetId="6" hidden="1">{#N/A,#N/A,FALSE,"단축1";#N/A,#N/A,FALSE,"단축2";#N/A,#N/A,FALSE,"단축3";#N/A,#N/A,FALSE,"장축";#N/A,#N/A,FALSE,"4WD"}</definedName>
    <definedName name="___LPS2" hidden="1">{#N/A,#N/A,FALSE,"단축1";#N/A,#N/A,FALSE,"단축2";#N/A,#N/A,FALSE,"단축3";#N/A,#N/A,FALSE,"장축";#N/A,#N/A,FALSE,"4WD"}</definedName>
    <definedName name="___med7" localSheetId="30" hidden="1">{#N/A,#N/A,FALSE,"USMED 3";#N/A,#N/A,FALSE,"MARCHALLENGER 1";#N/A,#N/A,FALSE,"MARCHALLENGER 2";#N/A,#N/A,FALSE,"MARCHALLENGER 3";#N/A,#N/A,FALSE,"MARCHALLENGER 4"}</definedName>
    <definedName name="___med7" localSheetId="31" hidden="1">{#N/A,#N/A,FALSE,"USMED 3";#N/A,#N/A,FALSE,"MARCHALLENGER 1";#N/A,#N/A,FALSE,"MARCHALLENGER 2";#N/A,#N/A,FALSE,"MARCHALLENGER 3";#N/A,#N/A,FALSE,"MARCHALLENGER 4"}</definedName>
    <definedName name="___med7" localSheetId="32" hidden="1">{#N/A,#N/A,FALSE,"USMED 3";#N/A,#N/A,FALSE,"MARCHALLENGER 1";#N/A,#N/A,FALSE,"MARCHALLENGER 2";#N/A,#N/A,FALSE,"MARCHALLENGER 3";#N/A,#N/A,FALSE,"MARCHALLENGER 4"}</definedName>
    <definedName name="___med7" localSheetId="10" hidden="1">{#N/A,#N/A,FALSE,"USMED 3";#N/A,#N/A,FALSE,"MARCHALLENGER 1";#N/A,#N/A,FALSE,"MARCHALLENGER 2";#N/A,#N/A,FALSE,"MARCHALLENGER 3";#N/A,#N/A,FALSE,"MARCHALLENGER 4"}</definedName>
    <definedName name="___med7" hidden="1">{#N/A,#N/A,FALSE,"USMED 3";#N/A,#N/A,FALSE,"MARCHALLENGER 1";#N/A,#N/A,FALSE,"MARCHALLENGER 2";#N/A,#N/A,FALSE,"MARCHALLENGER 3";#N/A,#N/A,FALSE,"MARCHALLENGER 4"}</definedName>
    <definedName name="___msl3" localSheetId="30" hidden="1">{#N/A,#N/A,FALSE,"USMED 3";#N/A,#N/A,FALSE,"MARCHALLENGER 1";#N/A,#N/A,FALSE,"MARCHALLENGER 2";#N/A,#N/A,FALSE,"MARCHALLENGER 3";#N/A,#N/A,FALSE,"MARCHALLENGER 4"}</definedName>
    <definedName name="___msl3" localSheetId="31" hidden="1">{#N/A,#N/A,FALSE,"USMED 3";#N/A,#N/A,FALSE,"MARCHALLENGER 1";#N/A,#N/A,FALSE,"MARCHALLENGER 2";#N/A,#N/A,FALSE,"MARCHALLENGER 3";#N/A,#N/A,FALSE,"MARCHALLENGER 4"}</definedName>
    <definedName name="___msl3" localSheetId="32" hidden="1">{#N/A,#N/A,FALSE,"USMED 3";#N/A,#N/A,FALSE,"MARCHALLENGER 1";#N/A,#N/A,FALSE,"MARCHALLENGER 2";#N/A,#N/A,FALSE,"MARCHALLENGER 3";#N/A,#N/A,FALSE,"MARCHALLENGER 4"}</definedName>
    <definedName name="___msl3" localSheetId="10" hidden="1">{#N/A,#N/A,FALSE,"USMED 3";#N/A,#N/A,FALSE,"MARCHALLENGER 1";#N/A,#N/A,FALSE,"MARCHALLENGER 2";#N/A,#N/A,FALSE,"MARCHALLENGER 3";#N/A,#N/A,FALSE,"MARCHALLENGER 4"}</definedName>
    <definedName name="___msl3" hidden="1">{#N/A,#N/A,FALSE,"USMED 3";#N/A,#N/A,FALSE,"MARCHALLENGER 1";#N/A,#N/A,FALSE,"MARCHALLENGER 2";#N/A,#N/A,FALSE,"MARCHALLENGER 3";#N/A,#N/A,FALSE,"MARCHALLENGER 4"}</definedName>
    <definedName name="___R" localSheetId="30" hidden="1">{#N/A,#N/A,FALSE,"USMED 3";#N/A,#N/A,FALSE,"MARCHALLENGER 1";#N/A,#N/A,FALSE,"MARCHALLENGER 2";#N/A,#N/A,FALSE,"MARCHALLENGER 3";#N/A,#N/A,FALSE,"MARCHALLENGER 4"}</definedName>
    <definedName name="___R" localSheetId="31" hidden="1">{#N/A,#N/A,FALSE,"USMED 3";#N/A,#N/A,FALSE,"MARCHALLENGER 1";#N/A,#N/A,FALSE,"MARCHALLENGER 2";#N/A,#N/A,FALSE,"MARCHALLENGER 3";#N/A,#N/A,FALSE,"MARCHALLENGER 4"}</definedName>
    <definedName name="___R" localSheetId="32" hidden="1">{#N/A,#N/A,FALSE,"USMED 3";#N/A,#N/A,FALSE,"MARCHALLENGER 1";#N/A,#N/A,FALSE,"MARCHALLENGER 2";#N/A,#N/A,FALSE,"MARCHALLENGER 3";#N/A,#N/A,FALSE,"MARCHALLENGER 4"}</definedName>
    <definedName name="___R" localSheetId="10" hidden="1">{#N/A,#N/A,FALSE,"USMED 3";#N/A,#N/A,FALSE,"MARCHALLENGER 1";#N/A,#N/A,FALSE,"MARCHALLENGER 2";#N/A,#N/A,FALSE,"MARCHALLENGER 3";#N/A,#N/A,FALSE,"MARCHALLENGER 4"}</definedName>
    <definedName name="___R" hidden="1">{#N/A,#N/A,FALSE,"USMED 3";#N/A,#N/A,FALSE,"MARCHALLENGER 1";#N/A,#N/A,FALSE,"MARCHALLENGER 2";#N/A,#N/A,FALSE,"MARCHALLENGER 3";#N/A,#N/A,FALSE,"MARCHALLENGER 4"}</definedName>
    <definedName name="___RTS2" hidden="1">{"Summary analysis",#N/A,FALSE,"Total";"OCPH analysis",#N/A,FALSE,"Total";"detail analysis",#N/A,FALSE,"Total"}</definedName>
    <definedName name="___sl3" localSheetId="30" hidden="1">{#N/A,#N/A,FALSE,"USMED 3";#N/A,#N/A,FALSE,"MARCHALLENGER 1";#N/A,#N/A,FALSE,"MARCHALLENGER 2";#N/A,#N/A,FALSE,"MARCHALLENGER 3";#N/A,#N/A,FALSE,"MARCHALLENGER 4"}</definedName>
    <definedName name="___sl3" localSheetId="31" hidden="1">{#N/A,#N/A,FALSE,"USMED 3";#N/A,#N/A,FALSE,"MARCHALLENGER 1";#N/A,#N/A,FALSE,"MARCHALLENGER 2";#N/A,#N/A,FALSE,"MARCHALLENGER 3";#N/A,#N/A,FALSE,"MARCHALLENGER 4"}</definedName>
    <definedName name="___sl3" localSheetId="32" hidden="1">{#N/A,#N/A,FALSE,"USMED 3";#N/A,#N/A,FALSE,"MARCHALLENGER 1";#N/A,#N/A,FALSE,"MARCHALLENGER 2";#N/A,#N/A,FALSE,"MARCHALLENGER 3";#N/A,#N/A,FALSE,"MARCHALLENGER 4"}</definedName>
    <definedName name="___sl3" localSheetId="10" hidden="1">{#N/A,#N/A,FALSE,"USMED 3";#N/A,#N/A,FALSE,"MARCHALLENGER 1";#N/A,#N/A,FALSE,"MARCHALLENGER 2";#N/A,#N/A,FALSE,"MARCHALLENGER 3";#N/A,#N/A,FALSE,"MARCHALLENGER 4"}</definedName>
    <definedName name="___sl3" hidden="1">{#N/A,#N/A,FALSE,"USMED 3";#N/A,#N/A,FALSE,"MARCHALLENGER 1";#N/A,#N/A,FALSE,"MARCHALLENGER 2";#N/A,#N/A,FALSE,"MARCHALLENGER 3";#N/A,#N/A,FALSE,"MARCHALLENGER 4"}</definedName>
    <definedName name="___slm3" localSheetId="30" hidden="1">{#N/A,#N/A,FALSE,"USMED 3";#N/A,#N/A,FALSE,"MARCHALLENGER 1";#N/A,#N/A,FALSE,"MARCHALLENGER 2";#N/A,#N/A,FALSE,"MARCHALLENGER 3";#N/A,#N/A,FALSE,"MARCHALLENGER 4"}</definedName>
    <definedName name="___slm3" localSheetId="31" hidden="1">{#N/A,#N/A,FALSE,"USMED 3";#N/A,#N/A,FALSE,"MARCHALLENGER 1";#N/A,#N/A,FALSE,"MARCHALLENGER 2";#N/A,#N/A,FALSE,"MARCHALLENGER 3";#N/A,#N/A,FALSE,"MARCHALLENGER 4"}</definedName>
    <definedName name="___slm3" localSheetId="32" hidden="1">{#N/A,#N/A,FALSE,"USMED 3";#N/A,#N/A,FALSE,"MARCHALLENGER 1";#N/A,#N/A,FALSE,"MARCHALLENGER 2";#N/A,#N/A,FALSE,"MARCHALLENGER 3";#N/A,#N/A,FALSE,"MARCHALLENGER 4"}</definedName>
    <definedName name="___slm3" localSheetId="10" hidden="1">{#N/A,#N/A,FALSE,"USMED 3";#N/A,#N/A,FALSE,"MARCHALLENGER 1";#N/A,#N/A,FALSE,"MARCHALLENGER 2";#N/A,#N/A,FALSE,"MARCHALLENGER 3";#N/A,#N/A,FALSE,"MARCHALLENGER 4"}</definedName>
    <definedName name="___slm3" hidden="1">{#N/A,#N/A,FALSE,"USMED 3";#N/A,#N/A,FALSE,"MARCHALLENGER 1";#N/A,#N/A,FALSE,"MARCHALLENGER 2";#N/A,#N/A,FALSE,"MARCHALLENGER 3";#N/A,#N/A,FALSE,"MARCHALLENGER 4"}</definedName>
    <definedName name="___SSK1" localSheetId="30" hidden="1">{#N/A,#N/A,FALSE,"COMP"}</definedName>
    <definedName name="___SSK1" localSheetId="31" hidden="1">{#N/A,#N/A,FALSE,"COMP"}</definedName>
    <definedName name="___SSK1" localSheetId="32" hidden="1">{#N/A,#N/A,FALSE,"COMP"}</definedName>
    <definedName name="___SSK1" localSheetId="10" hidden="1">{#N/A,#N/A,FALSE,"COMP"}</definedName>
    <definedName name="___SSK1" localSheetId="1" hidden="1">{#N/A,#N/A,FALSE,"COMP"}</definedName>
    <definedName name="___SSK1" localSheetId="6" hidden="1">{#N/A,#N/A,FALSE,"COMP"}</definedName>
    <definedName name="___SSK1" hidden="1">{#N/A,#N/A,FALSE,"COMP"}</definedName>
    <definedName name="___VOP3" localSheetId="6" hidden="1">#REF!</definedName>
    <definedName name="___VOP3" hidden="1">#REF!</definedName>
    <definedName name="___wip2" hidden="1">{"summary",#N/A,FALSE,"2000 vs 1999";"detail",#N/A,FALSE,"2000 vs 1999"}</definedName>
    <definedName name="___xx1" localSheetId="30" hidden="1">{"'Typical Costs Estimates'!$C$158:$H$161"}</definedName>
    <definedName name="___xx1" localSheetId="31" hidden="1">{"'Typical Costs Estimates'!$C$158:$H$161"}</definedName>
    <definedName name="___xx1" localSheetId="32" hidden="1">{"'Typical Costs Estimates'!$C$158:$H$161"}</definedName>
    <definedName name="___xx1" localSheetId="10" hidden="1">{"'Typical Costs Estimates'!$C$158:$H$161"}</definedName>
    <definedName name="___xx1" hidden="1">{"'Typical Costs Estimates'!$C$158:$H$161"}</definedName>
    <definedName name="__123Graph_A" localSheetId="1" hidden="1">#REF!</definedName>
    <definedName name="__123Graph_A" hidden="1">#REF!</definedName>
    <definedName name="__123Graph_AChart1" hidden="1">#REF!</definedName>
    <definedName name="__123Graph_AChart2" hidden="1">#REF!</definedName>
    <definedName name="__123Graph_AChart3" hidden="1">#REF!</definedName>
    <definedName name="__123Graph_AChart4" localSheetId="6" hidden="1">#REF!</definedName>
    <definedName name="__123Graph_AChart4" hidden="1">#REF!</definedName>
    <definedName name="__123Graph_AChart5" localSheetId="6" hidden="1">#REF!</definedName>
    <definedName name="__123Graph_AChart5" hidden="1">#REF!</definedName>
    <definedName name="__123Graph_AChart6" localSheetId="6" hidden="1">#REF!</definedName>
    <definedName name="__123Graph_AChart6" hidden="1">#REF!</definedName>
    <definedName name="__123Graph_AChart7" localSheetId="6" hidden="1">#REF!</definedName>
    <definedName name="__123Graph_AChart7" hidden="1">#REF!</definedName>
    <definedName name="__123Graph_ACurrent" localSheetId="6" hidden="1">#REF!</definedName>
    <definedName name="__123Graph_ACurrent" hidden="1">#REF!</definedName>
    <definedName name="__123Graph_ADOMSAL" hidden="1">#REF!</definedName>
    <definedName name="__123Graph_AEXPSAL" hidden="1">#REF!</definedName>
    <definedName name="__123Graph_AFINANZRECHNUNG" localSheetId="6" hidden="1">#REF!</definedName>
    <definedName name="__123Graph_AFINANZRECHNUNG" hidden="1">#REF!</definedName>
    <definedName name="__123Graph_AGROSSEARN" hidden="1">#REF!</definedName>
    <definedName name="__123Graph_ANETWORTH" hidden="1">#REF!</definedName>
    <definedName name="__123Graph_AOUTPUT" localSheetId="6" hidden="1">#REF!</definedName>
    <definedName name="__123Graph_AOUTPUT" hidden="1">#REF!</definedName>
    <definedName name="__123Graph_APROFIT" hidden="1">#REF!</definedName>
    <definedName name="__123Graph_B" localSheetId="1" hidden="1">#REF!</definedName>
    <definedName name="__123Graph_B" hidden="1">#REF!</definedName>
    <definedName name="__123Graph_BChart1" hidden="1">#REF!</definedName>
    <definedName name="__123Graph_BChart2" hidden="1">#REF!</definedName>
    <definedName name="__123Graph_BChart3" hidden="1">#REF!</definedName>
    <definedName name="__123Graph_BChart4" localSheetId="6" hidden="1">#REF!</definedName>
    <definedName name="__123Graph_BChart4" hidden="1">#REF!</definedName>
    <definedName name="__123Graph_BChart5" localSheetId="6" hidden="1">#REF!</definedName>
    <definedName name="__123Graph_BChart5" hidden="1">#REF!</definedName>
    <definedName name="__123Graph_BChart6" localSheetId="6" hidden="1">#REF!</definedName>
    <definedName name="__123Graph_BChart6" hidden="1">#REF!</definedName>
    <definedName name="__123Graph_BChart7" localSheetId="6" hidden="1">#REF!</definedName>
    <definedName name="__123Graph_BChart7" hidden="1">#REF!</definedName>
    <definedName name="__123Graph_BCurrent" localSheetId="6" hidden="1">#REF!</definedName>
    <definedName name="__123Graph_BCurrent" hidden="1">#REF!</definedName>
    <definedName name="__123Graph_BFINANZRECHNUNG" localSheetId="6" hidden="1">#REF!</definedName>
    <definedName name="__123Graph_BFINANZRECHNUNG" hidden="1">#REF!</definedName>
    <definedName name="__123Graph_C" localSheetId="1" hidden="1">#REF!</definedName>
    <definedName name="__123Graph_C" localSheetId="6" hidden="1">#REF!</definedName>
    <definedName name="__123Graph_C" localSheetId="3" hidden="1">#REF!</definedName>
    <definedName name="__123Graph_C" hidden="1">#REF!</definedName>
    <definedName name="__123Graph_CChart1" localSheetId="6" hidden="1">#REF!</definedName>
    <definedName name="__123Graph_CChart1" hidden="1">#REF!</definedName>
    <definedName name="__123Graph_CChart2" localSheetId="6" hidden="1">#REF!</definedName>
    <definedName name="__123Graph_CChart2" hidden="1">#REF!</definedName>
    <definedName name="__123Graph_CChart3" localSheetId="6" hidden="1">#REF!</definedName>
    <definedName name="__123Graph_CChart3" hidden="1">#REF!</definedName>
    <definedName name="__123Graph_CChart4" localSheetId="6" hidden="1">#REF!</definedName>
    <definedName name="__123Graph_CChart4" hidden="1">#REF!</definedName>
    <definedName name="__123Graph_CChart5" localSheetId="6" hidden="1">#REF!</definedName>
    <definedName name="__123Graph_CChart5" hidden="1">#REF!</definedName>
    <definedName name="__123Graph_CChart6" localSheetId="6" hidden="1">#REF!</definedName>
    <definedName name="__123Graph_CChart6" hidden="1">#REF!</definedName>
    <definedName name="__123Graph_CChart7" localSheetId="6" hidden="1">#REF!</definedName>
    <definedName name="__123Graph_CChart7" hidden="1">#REF!</definedName>
    <definedName name="__123Graph_CCurrent" localSheetId="6" hidden="1">#REF!</definedName>
    <definedName name="__123Graph_CCurrent" hidden="1">#REF!</definedName>
    <definedName name="__123Graph_CFINANZRECHNUNG" localSheetId="6" hidden="1">#REF!</definedName>
    <definedName name="__123Graph_CFINANZRECHNUNG" hidden="1">#REF!</definedName>
    <definedName name="__123Graph_D" localSheetId="1" hidden="1">#REF!</definedName>
    <definedName name="__123Graph_D" localSheetId="6" hidden="1">#REF!</definedName>
    <definedName name="__123Graph_D" localSheetId="3" hidden="1">#REF!</definedName>
    <definedName name="__123Graph_D" hidden="1">#REF!</definedName>
    <definedName name="__123Graph_DChart1" localSheetId="6" hidden="1">#REF!</definedName>
    <definedName name="__123Graph_DChart1" hidden="1">#REF!</definedName>
    <definedName name="__123Graph_DChart2" localSheetId="6" hidden="1">#REF!</definedName>
    <definedName name="__123Graph_DChart2" hidden="1">#REF!</definedName>
    <definedName name="__123Graph_DChart3" localSheetId="6" hidden="1">#REF!</definedName>
    <definedName name="__123Graph_DChart3" hidden="1">#REF!</definedName>
    <definedName name="__123Graph_DChart4" localSheetId="6" hidden="1">#REF!</definedName>
    <definedName name="__123Graph_DChart4" hidden="1">#REF!</definedName>
    <definedName name="__123Graph_DChart5" localSheetId="6" hidden="1">#REF!</definedName>
    <definedName name="__123Graph_DChart5" hidden="1">#REF!</definedName>
    <definedName name="__123Graph_DChart6" localSheetId="6" hidden="1">#REF!</definedName>
    <definedName name="__123Graph_DChart6" hidden="1">#REF!</definedName>
    <definedName name="__123Graph_DChart7" localSheetId="6" hidden="1">#REF!</definedName>
    <definedName name="__123Graph_DChart7" hidden="1">#REF!</definedName>
    <definedName name="__123Graph_DCurrent" localSheetId="6" hidden="1">#REF!</definedName>
    <definedName name="__123Graph_DCurrent" hidden="1">#REF!</definedName>
    <definedName name="__123Graph_DFINANZRECHNUNG" localSheetId="6" hidden="1">#REF!</definedName>
    <definedName name="__123Graph_DFINANZRECHNUNG" hidden="1">#REF!</definedName>
    <definedName name="__123Graph_DOUTPUT" localSheetId="6" hidden="1">#REF!</definedName>
    <definedName name="__123Graph_DOUTPUT" hidden="1">#REF!</definedName>
    <definedName name="__123Graph_E" localSheetId="1" hidden="1">#REF!</definedName>
    <definedName name="__123Graph_E" hidden="1">#REF!</definedName>
    <definedName name="__123Graph_EChart1" hidden="1">#REF!</definedName>
    <definedName name="__123Graph_EChart2" hidden="1">#REF!</definedName>
    <definedName name="__123Graph_EChart3" hidden="1">#REF!</definedName>
    <definedName name="__123Graph_EChart4" localSheetId="6" hidden="1">#REF!</definedName>
    <definedName name="__123Graph_EChart4" hidden="1">#REF!</definedName>
    <definedName name="__123Graph_EChart5" localSheetId="6" hidden="1">#REF!</definedName>
    <definedName name="__123Graph_EChart5" hidden="1">#REF!</definedName>
    <definedName name="__123Graph_EChart6" localSheetId="6" hidden="1">#REF!</definedName>
    <definedName name="__123Graph_EChart6" hidden="1">#REF!</definedName>
    <definedName name="__123Graph_EChart7" localSheetId="6" hidden="1">#REF!</definedName>
    <definedName name="__123Graph_EChart7" hidden="1">#REF!</definedName>
    <definedName name="__123Graph_ECurrent" localSheetId="6" hidden="1">#REF!</definedName>
    <definedName name="__123Graph_ECurrent" hidden="1">#REF!</definedName>
    <definedName name="__123Graph_EOUTPUT" localSheetId="6" hidden="1">#REF!</definedName>
    <definedName name="__123Graph_EOUTPUT" hidden="1">#REF!</definedName>
    <definedName name="__123Graph_F" localSheetId="6" hidden="1">#REF!</definedName>
    <definedName name="__123Graph_F" hidden="1">#REF!</definedName>
    <definedName name="__123Graph_LBL_A" hidden="1">#REF!</definedName>
    <definedName name="__123Graph_LBL_ADOMSAL" hidden="1">#REF!</definedName>
    <definedName name="__123Graph_LBL_AEXPSAL" hidden="1">#REF!</definedName>
    <definedName name="__123Graph_LBL_AGROSSEARN" hidden="1">#REF!</definedName>
    <definedName name="__123Graph_LBL_ANETWORTH" hidden="1">#REF!</definedName>
    <definedName name="__123Graph_LBL_AOUTPUT" localSheetId="6" hidden="1">#REF!</definedName>
    <definedName name="__123Graph_LBL_AOUTPUT" hidden="1">#REF!</definedName>
    <definedName name="__123Graph_LBL_APROFIT" hidden="1">#REF!</definedName>
    <definedName name="__123Graph_LBL_B" hidden="1">#REF!</definedName>
    <definedName name="__123Graph_LBL_C" hidden="1">#REF!</definedName>
    <definedName name="__123Graph_LBL_D" hidden="1">#REF!</definedName>
    <definedName name="__123Graph_LBL_DOUTPUT" localSheetId="6" hidden="1">#REF!</definedName>
    <definedName name="__123Graph_LBL_DOUTPUT" hidden="1">#REF!</definedName>
    <definedName name="__123Graph_LBL_E" hidden="1">#REF!</definedName>
    <definedName name="__123Graph_X" localSheetId="1" hidden="1">#REF!</definedName>
    <definedName name="__123Graph_X" hidden="1">#REF!</definedName>
    <definedName name="__123Graph_XChart1" hidden="1">#REF!</definedName>
    <definedName name="__123Graph_XChart2" hidden="1">#REF!</definedName>
    <definedName name="__123Graph_XChart3" hidden="1">#REF!</definedName>
    <definedName name="__123Graph_XChart4" localSheetId="6" hidden="1">#REF!</definedName>
    <definedName name="__123Graph_XChart4" hidden="1">#REF!</definedName>
    <definedName name="__123Graph_XChart5" localSheetId="6" hidden="1">#REF!</definedName>
    <definedName name="__123Graph_XChart5" hidden="1">#REF!</definedName>
    <definedName name="__123Graph_XChart6" localSheetId="6" hidden="1">#REF!</definedName>
    <definedName name="__123Graph_XChart6" hidden="1">#REF!</definedName>
    <definedName name="__123Graph_XChart7" localSheetId="6" hidden="1">#REF!</definedName>
    <definedName name="__123Graph_XChart7" hidden="1">#REF!</definedName>
    <definedName name="__123Graph_XCurrent" localSheetId="6" hidden="1">#REF!</definedName>
    <definedName name="__123Graph_XCurrent" hidden="1">#REF!</definedName>
    <definedName name="__123Graph_XDOMSAL" hidden="1">#REF!</definedName>
    <definedName name="__123Graph_XEXPSAL" hidden="1">#REF!</definedName>
    <definedName name="__123Graph_XGROSSEARN" hidden="1">#REF!</definedName>
    <definedName name="__123Graph_XIRG" hidden="1">#REF!</definedName>
    <definedName name="__123Graph_XNETWORTH" hidden="1">#REF!</definedName>
    <definedName name="__123Graph_XOUTPUT" localSheetId="6" hidden="1">#REF!</definedName>
    <definedName name="__123Graph_XOUTPUT" hidden="1">#REF!</definedName>
    <definedName name="__123Graph_XPROFIT" hidden="1">#REF!</definedName>
    <definedName name="__chi9" localSheetId="30" hidden="1">{#N/A,#N/A,FALSE,"USMED 3";#N/A,#N/A,FALSE,"MARCHALLENGER 1";#N/A,#N/A,FALSE,"MARCHALLENGER 2";#N/A,#N/A,FALSE,"MARCHALLENGER 3";#N/A,#N/A,FALSE,"MARCHALLENGER 4"}</definedName>
    <definedName name="__chi9" localSheetId="31" hidden="1">{#N/A,#N/A,FALSE,"USMED 3";#N/A,#N/A,FALSE,"MARCHALLENGER 1";#N/A,#N/A,FALSE,"MARCHALLENGER 2";#N/A,#N/A,FALSE,"MARCHALLENGER 3";#N/A,#N/A,FALSE,"MARCHALLENGER 4"}</definedName>
    <definedName name="__chi9" localSheetId="32" hidden="1">{#N/A,#N/A,FALSE,"USMED 3";#N/A,#N/A,FALSE,"MARCHALLENGER 1";#N/A,#N/A,FALSE,"MARCHALLENGER 2";#N/A,#N/A,FALSE,"MARCHALLENGER 3";#N/A,#N/A,FALSE,"MARCHALLENGER 4"}</definedName>
    <definedName name="__chi9" localSheetId="10" hidden="1">{#N/A,#N/A,FALSE,"USMED 3";#N/A,#N/A,FALSE,"MARCHALLENGER 1";#N/A,#N/A,FALSE,"MARCHALLENGER 2";#N/A,#N/A,FALSE,"MARCHALLENGER 3";#N/A,#N/A,FALSE,"MARCHALLENGER 4"}</definedName>
    <definedName name="__chi9" hidden="1">{#N/A,#N/A,FALSE,"USMED 3";#N/A,#N/A,FALSE,"MARCHALLENGER 1";#N/A,#N/A,FALSE,"MARCHALLENGER 2";#N/A,#N/A,FALSE,"MARCHALLENGER 3";#N/A,#N/A,FALSE,"MARCHALLENGER 4"}</definedName>
    <definedName name="_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DR4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EdFJsKAA" localSheetId="27" hidden="1">#REF!</definedName>
    <definedName name="__EdFJsKAA" localSheetId="26" hidden="1">#REF!</definedName>
    <definedName name="__EdFJsKAA" localSheetId="25" hidden="1">#REF!</definedName>
    <definedName name="__EdFJsKAA" localSheetId="24" hidden="1">#REF!</definedName>
    <definedName name="__EdFJsKAA" localSheetId="23" hidden="1">#REF!</definedName>
    <definedName name="__EdFJsKAA" localSheetId="21" hidden="1">#REF!</definedName>
    <definedName name="__EdFJsKAA" localSheetId="22" hidden="1">#REF!</definedName>
    <definedName name="__EdFJsKAA" localSheetId="6" hidden="1">#REF!</definedName>
    <definedName name="__EdFJsKAA" hidden="1">#REF!</definedName>
    <definedName name="__fa1" localSheetId="30" hidden="1">{"plansummary",#N/A,FALSE,"PlanSummary";"sales",#N/A,FALSE,"Sales Rec";"productivity",#N/A,FALSE,"Productivity Rec";"capitalspending",#N/A,FALSE,"Capital Spending"}</definedName>
    <definedName name="__fa1" localSheetId="31" hidden="1">{"plansummary",#N/A,FALSE,"PlanSummary";"sales",#N/A,FALSE,"Sales Rec";"productivity",#N/A,FALSE,"Productivity Rec";"capitalspending",#N/A,FALSE,"Capital Spending"}</definedName>
    <definedName name="__fa1" localSheetId="32" hidden="1">{"plansummary",#N/A,FALSE,"PlanSummary";"sales",#N/A,FALSE,"Sales Rec";"productivity",#N/A,FALSE,"Productivity Rec";"capitalspending",#N/A,FALSE,"Capital Spending"}</definedName>
    <definedName name="__fa1" localSheetId="10" hidden="1">{"plansummary",#N/A,FALSE,"PlanSummary";"sales",#N/A,FALSE,"Sales Rec";"productivity",#N/A,FALSE,"Productivity Rec";"capitalspending",#N/A,FALSE,"Capital Spending"}</definedName>
    <definedName name="__fa1" localSheetId="1" hidden="1">{"plansummary",#N/A,FALSE,"PlanSummary";"sales",#N/A,FALSE,"Sales Rec";"productivity",#N/A,FALSE,"Productivity Rec";"capitalspending",#N/A,FALSE,"Capital Spending"}</definedName>
    <definedName name="__fa1" localSheetId="6" hidden="1">{"plansummary",#N/A,FALSE,"PlanSummary";"sales",#N/A,FALSE,"Sales Rec";"productivity",#N/A,FALSE,"Productivity Rec";"capitalspending",#N/A,FALSE,"Capital Spending"}</definedName>
    <definedName name="__fa1" hidden="1">{"plansummary",#N/A,FALSE,"PlanSummary";"sales",#N/A,FALSE,"Sales Rec";"productivity",#N/A,FALSE,"Productivity Rec";"capitalspending",#N/A,FALSE,"Capital Spending"}</definedName>
    <definedName name="__fa2" localSheetId="30" hidden="1">{"plansummary",#N/A,FALSE,"PlanSummary";"sales",#N/A,FALSE,"Sales Rec";"productivity",#N/A,FALSE,"Productivity Rec";"capitalspending",#N/A,FALSE,"Capital Spending"}</definedName>
    <definedName name="__fa2" localSheetId="31" hidden="1">{"plansummary",#N/A,FALSE,"PlanSummary";"sales",#N/A,FALSE,"Sales Rec";"productivity",#N/A,FALSE,"Productivity Rec";"capitalspending",#N/A,FALSE,"Capital Spending"}</definedName>
    <definedName name="__fa2" localSheetId="32" hidden="1">{"plansummary",#N/A,FALSE,"PlanSummary";"sales",#N/A,FALSE,"Sales Rec";"productivity",#N/A,FALSE,"Productivity Rec";"capitalspending",#N/A,FALSE,"Capital Spending"}</definedName>
    <definedName name="__fa2" localSheetId="10" hidden="1">{"plansummary",#N/A,FALSE,"PlanSummary";"sales",#N/A,FALSE,"Sales Rec";"productivity",#N/A,FALSE,"Productivity Rec";"capitalspending",#N/A,FALSE,"Capital Spending"}</definedName>
    <definedName name="__fa2" localSheetId="1" hidden="1">{"plansummary",#N/A,FALSE,"PlanSummary";"sales",#N/A,FALSE,"Sales Rec";"productivity",#N/A,FALSE,"Productivity Rec";"capitalspending",#N/A,FALSE,"Capital Spending"}</definedName>
    <definedName name="__fa2" localSheetId="6" hidden="1">{"plansummary",#N/A,FALSE,"PlanSummary";"sales",#N/A,FALSE,"Sales Rec";"productivity",#N/A,FALSE,"Productivity Rec";"capitalspending",#N/A,FALSE,"Capital Spending"}</definedName>
    <definedName name="__fa2" hidden="1">{"plansummary",#N/A,FALSE,"PlanSummary";"sales",#N/A,FALSE,"Sales Rec";"productivity",#N/A,FALSE,"Productivity Rec";"capitalspending",#N/A,FALSE,"Capital Spending"}</definedName>
    <definedName name="__fa3" localSheetId="30" hidden="1">{"plansummary",#N/A,FALSE,"PlanSummary";"sales",#N/A,FALSE,"Sales Rec";"productivity",#N/A,FALSE,"Productivity Rec";"capitalspending",#N/A,FALSE,"Capital Spending"}</definedName>
    <definedName name="__fa3" localSheetId="31" hidden="1">{"plansummary",#N/A,FALSE,"PlanSummary";"sales",#N/A,FALSE,"Sales Rec";"productivity",#N/A,FALSE,"Productivity Rec";"capitalspending",#N/A,FALSE,"Capital Spending"}</definedName>
    <definedName name="__fa3" localSheetId="32" hidden="1">{"plansummary",#N/A,FALSE,"PlanSummary";"sales",#N/A,FALSE,"Sales Rec";"productivity",#N/A,FALSE,"Productivity Rec";"capitalspending",#N/A,FALSE,"Capital Spending"}</definedName>
    <definedName name="__fa3" localSheetId="10" hidden="1">{"plansummary",#N/A,FALSE,"PlanSummary";"sales",#N/A,FALSE,"Sales Rec";"productivity",#N/A,FALSE,"Productivity Rec";"capitalspending",#N/A,FALSE,"Capital Spending"}</definedName>
    <definedName name="__fa3" localSheetId="1" hidden="1">{"plansummary",#N/A,FALSE,"PlanSummary";"sales",#N/A,FALSE,"Sales Rec";"productivity",#N/A,FALSE,"Productivity Rec";"capitalspending",#N/A,FALSE,"Capital Spending"}</definedName>
    <definedName name="__fa3" localSheetId="6" hidden="1">{"plansummary",#N/A,FALSE,"PlanSummary";"sales",#N/A,FALSE,"Sales Rec";"productivity",#N/A,FALSE,"Productivity Rec";"capitalspending",#N/A,FALSE,"Capital Spending"}</definedName>
    <definedName name="__fa3" hidden="1">{"plansummary",#N/A,FALSE,"PlanSummary";"sales",#N/A,FALSE,"Sales Rec";"productivity",#N/A,FALSE,"Productivity Rec";"capitalspending",#N/A,FALSE,"Capital Spending"}</definedName>
    <definedName name="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2" localSheetId="30" hidden="1">{#N/A,#N/A,TRUE,"KEY DATA";#N/A,#N/A,TRUE,"KEY DATA Base Case";#N/A,#N/A,TRUE,"JULY";#N/A,#N/A,TRUE,"AUG";#N/A,#N/A,TRUE,"SEPT";#N/A,#N/A,TRUE,"3Q"}</definedName>
    <definedName name="__feb2" localSheetId="31" hidden="1">{#N/A,#N/A,TRUE,"KEY DATA";#N/A,#N/A,TRUE,"KEY DATA Base Case";#N/A,#N/A,TRUE,"JULY";#N/A,#N/A,TRUE,"AUG";#N/A,#N/A,TRUE,"SEPT";#N/A,#N/A,TRUE,"3Q"}</definedName>
    <definedName name="__feb2" localSheetId="32" hidden="1">{#N/A,#N/A,TRUE,"KEY DATA";#N/A,#N/A,TRUE,"KEY DATA Base Case";#N/A,#N/A,TRUE,"JULY";#N/A,#N/A,TRUE,"AUG";#N/A,#N/A,TRUE,"SEPT";#N/A,#N/A,TRUE,"3Q"}</definedName>
    <definedName name="__feb2" localSheetId="10" hidden="1">{#N/A,#N/A,TRUE,"KEY DATA";#N/A,#N/A,TRUE,"KEY DATA Base Case";#N/A,#N/A,TRUE,"JULY";#N/A,#N/A,TRUE,"AUG";#N/A,#N/A,TRUE,"SEPT";#N/A,#N/A,TRUE,"3Q"}</definedName>
    <definedName name="__feb2" localSheetId="6" hidden="1">{#N/A,#N/A,TRUE,"KEY DATA";#N/A,#N/A,TRUE,"KEY DATA Base Case";#N/A,#N/A,TRUE,"JULY";#N/A,#N/A,TRUE,"AUG";#N/A,#N/A,TRUE,"SEPT";#N/A,#N/A,TRUE,"3Q"}</definedName>
    <definedName name="__feb2" hidden="1">{#N/A,#N/A,TRUE,"KEY DATA";#N/A,#N/A,TRUE,"KEY DATA Base Case";#N/A,#N/A,TRUE,"JULY";#N/A,#N/A,TRUE,"AUG";#N/A,#N/A,TRUE,"SEPT";#N/A,#N/A,TRUE,"3Q"}</definedName>
    <definedName name="__guv3" localSheetId="30" hidden="1">{"K GuV o. Kommentar",#N/A,FALSE,"Kaufhof"}</definedName>
    <definedName name="__guv3" localSheetId="31" hidden="1">{"K GuV o. Kommentar",#N/A,FALSE,"Kaufhof"}</definedName>
    <definedName name="__guv3" localSheetId="32" hidden="1">{"K GuV o. Kommentar",#N/A,FALSE,"Kaufhof"}</definedName>
    <definedName name="__guv3" localSheetId="10" hidden="1">{"K GuV o. Kommentar",#N/A,FALSE,"Kaufhof"}</definedName>
    <definedName name="__guv3" localSheetId="6" hidden="1">{"K GuV o. Kommentar",#N/A,FALSE,"Kaufhof"}</definedName>
    <definedName name="__guv3" hidden="1">{"K GuV o. Kommentar",#N/A,FALSE,"Kaufhof"}</definedName>
    <definedName name="__IntlFixup" localSheetId="10" hidden="1">TRUE()</definedName>
    <definedName name="__IntlFixup" hidden="1">TRUE</definedName>
    <definedName name="__IntlFixupTable" localSheetId="1" hidden="1">#REF!</definedName>
    <definedName name="__IntlFixupTable" localSheetId="6" hidden="1">#REF!</definedName>
    <definedName name="__IntlFixupTable" hidden="1">#REF!</definedName>
    <definedName name="__Key2" localSheetId="1" hidden="1">#REF!</definedName>
    <definedName name="__Key2" localSheetId="6" hidden="1">#REF!</definedName>
    <definedName name="__Key2" hidden="1">#REF!</definedName>
    <definedName name="__LPS2" localSheetId="30" hidden="1">{#N/A,#N/A,FALSE,"단축1";#N/A,#N/A,FALSE,"단축2";#N/A,#N/A,FALSE,"단축3";#N/A,#N/A,FALSE,"장축";#N/A,#N/A,FALSE,"4WD"}</definedName>
    <definedName name="__LPS2" localSheetId="31" hidden="1">{#N/A,#N/A,FALSE,"단축1";#N/A,#N/A,FALSE,"단축2";#N/A,#N/A,FALSE,"단축3";#N/A,#N/A,FALSE,"장축";#N/A,#N/A,FALSE,"4WD"}</definedName>
    <definedName name="__LPS2" localSheetId="32" hidden="1">{#N/A,#N/A,FALSE,"단축1";#N/A,#N/A,FALSE,"단축2";#N/A,#N/A,FALSE,"단축3";#N/A,#N/A,FALSE,"장축";#N/A,#N/A,FALSE,"4WD"}</definedName>
    <definedName name="__LPS2" localSheetId="10" hidden="1">{#N/A,#N/A,FALSE,"단축1";#N/A,#N/A,FALSE,"단축2";#N/A,#N/A,FALSE,"단축3";#N/A,#N/A,FALSE,"장축";#N/A,#N/A,FALSE,"4WD"}</definedName>
    <definedName name="__LPS2" localSheetId="1" hidden="1">{#N/A,#N/A,FALSE,"단축1";#N/A,#N/A,FALSE,"단축2";#N/A,#N/A,FALSE,"단축3";#N/A,#N/A,FALSE,"장축";#N/A,#N/A,FALSE,"4WD"}</definedName>
    <definedName name="__LPS2" localSheetId="6" hidden="1">{#N/A,#N/A,FALSE,"단축1";#N/A,#N/A,FALSE,"단축2";#N/A,#N/A,FALSE,"단축3";#N/A,#N/A,FALSE,"장축";#N/A,#N/A,FALSE,"4WD"}</definedName>
    <definedName name="__LPS2" hidden="1">{#N/A,#N/A,FALSE,"단축1";#N/A,#N/A,FALSE,"단축2";#N/A,#N/A,FALSE,"단축3";#N/A,#N/A,FALSE,"장축";#N/A,#N/A,FALSE,"4WD"}</definedName>
    <definedName name="__med7" localSheetId="30" hidden="1">{#N/A,#N/A,FALSE,"USMED 3";#N/A,#N/A,FALSE,"MARCHALLENGER 1";#N/A,#N/A,FALSE,"MARCHALLENGER 2";#N/A,#N/A,FALSE,"MARCHALLENGER 3";#N/A,#N/A,FALSE,"MARCHALLENGER 4"}</definedName>
    <definedName name="__med7" localSheetId="31" hidden="1">{#N/A,#N/A,FALSE,"USMED 3";#N/A,#N/A,FALSE,"MARCHALLENGER 1";#N/A,#N/A,FALSE,"MARCHALLENGER 2";#N/A,#N/A,FALSE,"MARCHALLENGER 3";#N/A,#N/A,FALSE,"MARCHALLENGER 4"}</definedName>
    <definedName name="__med7" localSheetId="32" hidden="1">{#N/A,#N/A,FALSE,"USMED 3";#N/A,#N/A,FALSE,"MARCHALLENGER 1";#N/A,#N/A,FALSE,"MARCHALLENGER 2";#N/A,#N/A,FALSE,"MARCHALLENGER 3";#N/A,#N/A,FALSE,"MARCHALLENGER 4"}</definedName>
    <definedName name="__med7" localSheetId="10" hidden="1">{#N/A,#N/A,FALSE,"USMED 3";#N/A,#N/A,FALSE,"MARCHALLENGER 1";#N/A,#N/A,FALSE,"MARCHALLENGER 2";#N/A,#N/A,FALSE,"MARCHALLENGER 3";#N/A,#N/A,FALSE,"MARCHALLENGER 4"}</definedName>
    <definedName name="__med7" hidden="1">{#N/A,#N/A,FALSE,"USMED 3";#N/A,#N/A,FALSE,"MARCHALLENGER 1";#N/A,#N/A,FALSE,"MARCHALLENGER 2";#N/A,#N/A,FALSE,"MARCHALLENGER 3";#N/A,#N/A,FALSE,"MARCHALLENGER 4"}</definedName>
    <definedName name="__Mix1" localSheetId="1" hidden="1">#REF!</definedName>
    <definedName name="__Mix1" localSheetId="6" hidden="1">#REF!</definedName>
    <definedName name="__Mix1" hidden="1">#REF!</definedName>
    <definedName name="__msl3" localSheetId="30" hidden="1">{#N/A,#N/A,FALSE,"USMED 3";#N/A,#N/A,FALSE,"MARCHALLENGER 1";#N/A,#N/A,FALSE,"MARCHALLENGER 2";#N/A,#N/A,FALSE,"MARCHALLENGER 3";#N/A,#N/A,FALSE,"MARCHALLENGER 4"}</definedName>
    <definedName name="__msl3" localSheetId="31" hidden="1">{#N/A,#N/A,FALSE,"USMED 3";#N/A,#N/A,FALSE,"MARCHALLENGER 1";#N/A,#N/A,FALSE,"MARCHALLENGER 2";#N/A,#N/A,FALSE,"MARCHALLENGER 3";#N/A,#N/A,FALSE,"MARCHALLENGER 4"}</definedName>
    <definedName name="__msl3" localSheetId="32" hidden="1">{#N/A,#N/A,FALSE,"USMED 3";#N/A,#N/A,FALSE,"MARCHALLENGER 1";#N/A,#N/A,FALSE,"MARCHALLENGER 2";#N/A,#N/A,FALSE,"MARCHALLENGER 3";#N/A,#N/A,FALSE,"MARCHALLENGER 4"}</definedName>
    <definedName name="__msl3" localSheetId="10" hidden="1">{#N/A,#N/A,FALSE,"USMED 3";#N/A,#N/A,FALSE,"MARCHALLENGER 1";#N/A,#N/A,FALSE,"MARCHALLENGER 2";#N/A,#N/A,FALSE,"MARCHALLENGER 3";#N/A,#N/A,FALSE,"MARCHALLENGER 4"}</definedName>
    <definedName name="__msl3" hidden="1">{#N/A,#N/A,FALSE,"USMED 3";#N/A,#N/A,FALSE,"MARCHALLENGER 1";#N/A,#N/A,FALSE,"MARCHALLENGER 2";#N/A,#N/A,FALSE,"MARCHALLENGER 3";#N/A,#N/A,FALSE,"MARCHALLENGER 4"}</definedName>
    <definedName name="__R" localSheetId="30" hidden="1">{#N/A,#N/A,FALSE,"USMED 3";#N/A,#N/A,FALSE,"MARCHALLENGER 1";#N/A,#N/A,FALSE,"MARCHALLENGER 2";#N/A,#N/A,FALSE,"MARCHALLENGER 3";#N/A,#N/A,FALSE,"MARCHALLENGER 4"}</definedName>
    <definedName name="__R" localSheetId="31" hidden="1">{#N/A,#N/A,FALSE,"USMED 3";#N/A,#N/A,FALSE,"MARCHALLENGER 1";#N/A,#N/A,FALSE,"MARCHALLENGER 2";#N/A,#N/A,FALSE,"MARCHALLENGER 3";#N/A,#N/A,FALSE,"MARCHALLENGER 4"}</definedName>
    <definedName name="__R" localSheetId="32" hidden="1">{#N/A,#N/A,FALSE,"USMED 3";#N/A,#N/A,FALSE,"MARCHALLENGER 1";#N/A,#N/A,FALSE,"MARCHALLENGER 2";#N/A,#N/A,FALSE,"MARCHALLENGER 3";#N/A,#N/A,FALSE,"MARCHALLENGER 4"}</definedName>
    <definedName name="__R" localSheetId="10" hidden="1">{#N/A,#N/A,FALSE,"USMED 3";#N/A,#N/A,FALSE,"MARCHALLENGER 1";#N/A,#N/A,FALSE,"MARCHALLENGER 2";#N/A,#N/A,FALSE,"MARCHALLENGER 3";#N/A,#N/A,FALSE,"MARCHALLENGER 4"}</definedName>
    <definedName name="__R" hidden="1">{#N/A,#N/A,FALSE,"USMED 3";#N/A,#N/A,FALSE,"MARCHALLENGER 1";#N/A,#N/A,FALSE,"MARCHALLENGER 2";#N/A,#N/A,FALSE,"MARCHALLENGER 3";#N/A,#N/A,FALSE,"MARCHALLENGER 4"}</definedName>
    <definedName name="__Ram1" localSheetId="30" hidden="1">{#N/A,#N/A,TRUE,"BALSCH";#N/A,#N/A,TRUE,"COMICRO";#N/A,#N/A,TRUE,"CHECKS";#N/A,#N/A,TRUE,"GLASS";#N/A,#N/A,TRUE,"DEPRE";#N/A,#N/A,TRUE,"A&amp;MCUR";#N/A,#N/A,TRUE,"AGEANAlysis";#N/A,#N/A,TRUE,"CHECKS"}</definedName>
    <definedName name="__Ram1" localSheetId="31" hidden="1">{#N/A,#N/A,TRUE,"BALSCH";#N/A,#N/A,TRUE,"COMICRO";#N/A,#N/A,TRUE,"CHECKS";#N/A,#N/A,TRUE,"GLASS";#N/A,#N/A,TRUE,"DEPRE";#N/A,#N/A,TRUE,"A&amp;MCUR";#N/A,#N/A,TRUE,"AGEANAlysis";#N/A,#N/A,TRUE,"CHECKS"}</definedName>
    <definedName name="__Ram1" localSheetId="32" hidden="1">{#N/A,#N/A,TRUE,"BALSCH";#N/A,#N/A,TRUE,"COMICRO";#N/A,#N/A,TRUE,"CHECKS";#N/A,#N/A,TRUE,"GLASS";#N/A,#N/A,TRUE,"DEPRE";#N/A,#N/A,TRUE,"A&amp;MCUR";#N/A,#N/A,TRUE,"AGEANAlysis";#N/A,#N/A,TRUE,"CHECKS"}</definedName>
    <definedName name="__Ram1" localSheetId="10" hidden="1">{#N/A,#N/A,TRUE,"BALSCH";#N/A,#N/A,TRUE,"COMICRO";#N/A,#N/A,TRUE,"CHECKS";#N/A,#N/A,TRUE,"GLASS";#N/A,#N/A,TRUE,"DEPRE";#N/A,#N/A,TRUE,"A&amp;MCUR";#N/A,#N/A,TRUE,"AGEANAlysis";#N/A,#N/A,TRUE,"CHECKS"}</definedName>
    <definedName name="__Ram1" localSheetId="1" hidden="1">{#N/A,#N/A,TRUE,"BALSCH";#N/A,#N/A,TRUE,"COMICRO";#N/A,#N/A,TRUE,"CHECKS";#N/A,#N/A,TRUE,"GLASS";#N/A,#N/A,TRUE,"DEPRE";#N/A,#N/A,TRUE,"A&amp;MCUR";#N/A,#N/A,TRUE,"AGEANAlysis";#N/A,#N/A,TRUE,"CHECKS"}</definedName>
    <definedName name="__Ram1" localSheetId="6" hidden="1">{#N/A,#N/A,TRUE,"BALSCH";#N/A,#N/A,TRUE,"COMICRO";#N/A,#N/A,TRUE,"CHECKS";#N/A,#N/A,TRUE,"GLASS";#N/A,#N/A,TRUE,"DEPRE";#N/A,#N/A,TRUE,"A&amp;MCUR";#N/A,#N/A,TRUE,"AGEANAlysis";#N/A,#N/A,TRUE,"CHECKS"}</definedName>
    <definedName name="__Ram1" hidden="1">{#N/A,#N/A,TRUE,"BALSCH";#N/A,#N/A,TRUE,"COMICRO";#N/A,#N/A,TRUE,"CHECKS";#N/A,#N/A,TRUE,"GLASS";#N/A,#N/A,TRUE,"DEPRE";#N/A,#N/A,TRUE,"A&amp;MCUR";#N/A,#N/A,TRUE,"AGEANAlysis";#N/A,#N/A,TRUE,"CHECKS"}</definedName>
    <definedName name="__RTS2" hidden="1">{"Summary analysis",#N/A,FALSE,"Total";"OCPH analysis",#N/A,FALSE,"Total";"detail analysis",#N/A,FALSE,"Total"}</definedName>
    <definedName name="__s3" localSheetId="30" hidden="1">{#N/A,#N/A,TRUE,"CONTENTS";#N/A,#N/A,TRUE,"M2";#N/A,#N/A,TRUE,"M2a";#N/A,#N/A,TRUE,"M2b";#N/A,#N/A,TRUE,"M3";#N/A,#N/A,TRUE,"M3a";#N/A,#N/A,TRUE,"M4-P";#N/A,#N/A,TRUE,"M5";#N/A,#N/A,TRUE,"M6";#N/A,#N/A,TRUE,"M7";#N/A,#N/A,TRUE,"M8";#N/A,#N/A,TRUE,"M9";#N/A,#N/A,TRUE,"M10";#N/A,#N/A,TRUE,"M11";#N/A,#N/A,TRUE,"M13";#N/A,#N/A,TRUE,"M14";#N/A,#N/A,TRUE,"M15";#N/A,#N/A,TRUE,"K1"}</definedName>
    <definedName name="__s3" localSheetId="31" hidden="1">{#N/A,#N/A,TRUE,"CONTENTS";#N/A,#N/A,TRUE,"M2";#N/A,#N/A,TRUE,"M2a";#N/A,#N/A,TRUE,"M2b";#N/A,#N/A,TRUE,"M3";#N/A,#N/A,TRUE,"M3a";#N/A,#N/A,TRUE,"M4-P";#N/A,#N/A,TRUE,"M5";#N/A,#N/A,TRUE,"M6";#N/A,#N/A,TRUE,"M7";#N/A,#N/A,TRUE,"M8";#N/A,#N/A,TRUE,"M9";#N/A,#N/A,TRUE,"M10";#N/A,#N/A,TRUE,"M11";#N/A,#N/A,TRUE,"M13";#N/A,#N/A,TRUE,"M14";#N/A,#N/A,TRUE,"M15";#N/A,#N/A,TRUE,"K1"}</definedName>
    <definedName name="__s3" localSheetId="32" hidden="1">{#N/A,#N/A,TRUE,"CONTENTS";#N/A,#N/A,TRUE,"M2";#N/A,#N/A,TRUE,"M2a";#N/A,#N/A,TRUE,"M2b";#N/A,#N/A,TRUE,"M3";#N/A,#N/A,TRUE,"M3a";#N/A,#N/A,TRUE,"M4-P";#N/A,#N/A,TRUE,"M5";#N/A,#N/A,TRUE,"M6";#N/A,#N/A,TRUE,"M7";#N/A,#N/A,TRUE,"M8";#N/A,#N/A,TRUE,"M9";#N/A,#N/A,TRUE,"M10";#N/A,#N/A,TRUE,"M11";#N/A,#N/A,TRUE,"M13";#N/A,#N/A,TRUE,"M14";#N/A,#N/A,TRUE,"M15";#N/A,#N/A,TRUE,"K1"}</definedName>
    <definedName name="__s3" localSheetId="10" hidden="1">{#N/A,#N/A,TRUE,"CONTENTS";#N/A,#N/A,TRUE,"M2";#N/A,#N/A,TRUE,"M2a";#N/A,#N/A,TRUE,"M2b";#N/A,#N/A,TRUE,"M3";#N/A,#N/A,TRUE,"M3a";#N/A,#N/A,TRUE,"M4-P";#N/A,#N/A,TRUE,"M5";#N/A,#N/A,TRUE,"M6";#N/A,#N/A,TRUE,"M7";#N/A,#N/A,TRUE,"M8";#N/A,#N/A,TRUE,"M9";#N/A,#N/A,TRUE,"M10";#N/A,#N/A,TRUE,"M11";#N/A,#N/A,TRUE,"M13";#N/A,#N/A,TRUE,"M14";#N/A,#N/A,TRUE,"M15";#N/A,#N/A,TRUE,"K1"}</definedName>
    <definedName name="__s3" localSheetId="6" hidden="1">{#N/A,#N/A,TRUE,"CONTENTS";#N/A,#N/A,TRUE,"M2";#N/A,#N/A,TRUE,"M2a";#N/A,#N/A,TRUE,"M2b";#N/A,#N/A,TRUE,"M3";#N/A,#N/A,TRUE,"M3a";#N/A,#N/A,TRUE,"M4-P";#N/A,#N/A,TRUE,"M5";#N/A,#N/A,TRUE,"M6";#N/A,#N/A,TRUE,"M7";#N/A,#N/A,TRUE,"M8";#N/A,#N/A,TRUE,"M9";#N/A,#N/A,TRUE,"M10";#N/A,#N/A,TRUE,"M11";#N/A,#N/A,TRUE,"M13";#N/A,#N/A,TRUE,"M14";#N/A,#N/A,TRUE,"M15";#N/A,#N/A,TRUE,"K1"}</definedName>
    <definedName name="__s3" hidden="1">{#N/A,#N/A,TRUE,"CONTENTS";#N/A,#N/A,TRUE,"M2";#N/A,#N/A,TRUE,"M2a";#N/A,#N/A,TRUE,"M2b";#N/A,#N/A,TRUE,"M3";#N/A,#N/A,TRUE,"M3a";#N/A,#N/A,TRUE,"M4-P";#N/A,#N/A,TRUE,"M5";#N/A,#N/A,TRUE,"M6";#N/A,#N/A,TRUE,"M7";#N/A,#N/A,TRUE,"M8";#N/A,#N/A,TRUE,"M9";#N/A,#N/A,TRUE,"M10";#N/A,#N/A,TRUE,"M11";#N/A,#N/A,TRUE,"M13";#N/A,#N/A,TRUE,"M14";#N/A,#N/A,TRUE,"M15";#N/A,#N/A,TRUE,"K1"}</definedName>
    <definedName name="__sl3" localSheetId="30" hidden="1">{#N/A,#N/A,FALSE,"USMED 3";#N/A,#N/A,FALSE,"MARCHALLENGER 1";#N/A,#N/A,FALSE,"MARCHALLENGER 2";#N/A,#N/A,FALSE,"MARCHALLENGER 3";#N/A,#N/A,FALSE,"MARCHALLENGER 4"}</definedName>
    <definedName name="__sl3" localSheetId="31" hidden="1">{#N/A,#N/A,FALSE,"USMED 3";#N/A,#N/A,FALSE,"MARCHALLENGER 1";#N/A,#N/A,FALSE,"MARCHALLENGER 2";#N/A,#N/A,FALSE,"MARCHALLENGER 3";#N/A,#N/A,FALSE,"MARCHALLENGER 4"}</definedName>
    <definedName name="__sl3" localSheetId="32" hidden="1">{#N/A,#N/A,FALSE,"USMED 3";#N/A,#N/A,FALSE,"MARCHALLENGER 1";#N/A,#N/A,FALSE,"MARCHALLENGER 2";#N/A,#N/A,FALSE,"MARCHALLENGER 3";#N/A,#N/A,FALSE,"MARCHALLENGER 4"}</definedName>
    <definedName name="__sl3" localSheetId="10" hidden="1">{#N/A,#N/A,FALSE,"USMED 3";#N/A,#N/A,FALSE,"MARCHALLENGER 1";#N/A,#N/A,FALSE,"MARCHALLENGER 2";#N/A,#N/A,FALSE,"MARCHALLENGER 3";#N/A,#N/A,FALSE,"MARCHALLENGER 4"}</definedName>
    <definedName name="__sl3" hidden="1">{#N/A,#N/A,FALSE,"USMED 3";#N/A,#N/A,FALSE,"MARCHALLENGER 1";#N/A,#N/A,FALSE,"MARCHALLENGER 2";#N/A,#N/A,FALSE,"MARCHALLENGER 3";#N/A,#N/A,FALSE,"MARCHALLENGER 4"}</definedName>
    <definedName name="__slm3" localSheetId="30" hidden="1">{#N/A,#N/A,FALSE,"USMED 3";#N/A,#N/A,FALSE,"MARCHALLENGER 1";#N/A,#N/A,FALSE,"MARCHALLENGER 2";#N/A,#N/A,FALSE,"MARCHALLENGER 3";#N/A,#N/A,FALSE,"MARCHALLENGER 4"}</definedName>
    <definedName name="__slm3" localSheetId="31" hidden="1">{#N/A,#N/A,FALSE,"USMED 3";#N/A,#N/A,FALSE,"MARCHALLENGER 1";#N/A,#N/A,FALSE,"MARCHALLENGER 2";#N/A,#N/A,FALSE,"MARCHALLENGER 3";#N/A,#N/A,FALSE,"MARCHALLENGER 4"}</definedName>
    <definedName name="__slm3" localSheetId="32" hidden="1">{#N/A,#N/A,FALSE,"USMED 3";#N/A,#N/A,FALSE,"MARCHALLENGER 1";#N/A,#N/A,FALSE,"MARCHALLENGER 2";#N/A,#N/A,FALSE,"MARCHALLENGER 3";#N/A,#N/A,FALSE,"MARCHALLENGER 4"}</definedName>
    <definedName name="__slm3" localSheetId="10" hidden="1">{#N/A,#N/A,FALSE,"USMED 3";#N/A,#N/A,FALSE,"MARCHALLENGER 1";#N/A,#N/A,FALSE,"MARCHALLENGER 2";#N/A,#N/A,FALSE,"MARCHALLENGER 3";#N/A,#N/A,FALSE,"MARCHALLENGER 4"}</definedName>
    <definedName name="__slm3" hidden="1">{#N/A,#N/A,FALSE,"USMED 3";#N/A,#N/A,FALSE,"MARCHALLENGER 1";#N/A,#N/A,FALSE,"MARCHALLENGER 2";#N/A,#N/A,FALSE,"MARCHALLENGER 3";#N/A,#N/A,FALSE,"MARCHALLENGER 4"}</definedName>
    <definedName name="__SSK1" localSheetId="30" hidden="1">{#N/A,#N/A,FALSE,"COMP"}</definedName>
    <definedName name="__SSK1" localSheetId="31" hidden="1">{#N/A,#N/A,FALSE,"COMP"}</definedName>
    <definedName name="__SSK1" localSheetId="32" hidden="1">{#N/A,#N/A,FALSE,"COMP"}</definedName>
    <definedName name="__SSK1" localSheetId="10" hidden="1">{#N/A,#N/A,FALSE,"COMP"}</definedName>
    <definedName name="__SSK1" localSheetId="1" hidden="1">{#N/A,#N/A,FALSE,"COMP"}</definedName>
    <definedName name="__SSK1" localSheetId="6" hidden="1">{#N/A,#N/A,FALSE,"COMP"}</definedName>
    <definedName name="__SSK1" hidden="1">{#N/A,#N/A,FALSE,"COMP"}</definedName>
    <definedName name="__VOP3" localSheetId="6" hidden="1">#REF!</definedName>
    <definedName name="__VOP3" hidden="1">#REF!</definedName>
    <definedName name="__wip2" hidden="1">{"summary",#N/A,FALSE,"2000 vs 1999";"detail",#N/A,FALSE,"2000 vs 1999"}</definedName>
    <definedName name="__xx1" localSheetId="30" hidden="1">{"'Typical Costs Estimates'!$C$158:$H$161"}</definedName>
    <definedName name="__xx1" localSheetId="31" hidden="1">{"'Typical Costs Estimates'!$C$158:$H$161"}</definedName>
    <definedName name="__xx1" localSheetId="32" hidden="1">{"'Typical Costs Estimates'!$C$158:$H$161"}</definedName>
    <definedName name="__xx1" localSheetId="10" hidden="1">{"'Typical Costs Estimates'!$C$158:$H$161"}</definedName>
    <definedName name="__xx1" hidden="1">{"'Typical Costs Estimates'!$C$158:$H$161"}</definedName>
    <definedName name="_1__123Graph_ACHART_4" localSheetId="6" hidden="1">#REF!</definedName>
    <definedName name="_1__123Graph_ACHART_4" hidden="1">#REF!</definedName>
    <definedName name="_1_0__123Grap" localSheetId="6" hidden="1">#REF!</definedName>
    <definedName name="_1_0__123Grap" hidden="1">#REF!</definedName>
    <definedName name="_1_0_0_K" localSheetId="6" hidden="1">#REF!</definedName>
    <definedName name="_1_0_0_K" hidden="1">#REF!</definedName>
    <definedName name="_10__123Graph_BCHART_4" localSheetId="6" hidden="1">#REF!</definedName>
    <definedName name="_10__123Graph_BCHART_4" hidden="1">#REF!</definedName>
    <definedName name="_10__123Graph_CChart_1A" localSheetId="6" hidden="1">#REF!</definedName>
    <definedName name="_10__123Graph_CChart_1A" hidden="1">#REF!</definedName>
    <definedName name="_108__123Graph_XCHART_4" localSheetId="6" hidden="1">#REF!</definedName>
    <definedName name="_108__123Graph_XCHART_4" hidden="1">#REF!</definedName>
    <definedName name="_11__123Graph_DChart_1A" localSheetId="6" hidden="1">#REF!</definedName>
    <definedName name="_11__123Graph_DChart_1A" hidden="1">#REF!</definedName>
    <definedName name="_12__123Graph_BCHART_111" localSheetId="6" hidden="1">#REF!</definedName>
    <definedName name="_12__123Graph_BCHART_111" hidden="1">#REF!</definedName>
    <definedName name="_12__123Graph_BCHART_3" localSheetId="6" hidden="1">#REF!</definedName>
    <definedName name="_12__123Graph_BCHART_3" hidden="1">#REF!</definedName>
    <definedName name="_12__123Graph_EChart_1A" localSheetId="6" hidden="1">#REF!</definedName>
    <definedName name="_12__123Graph_EChart_1A" hidden="1">#REF!</definedName>
    <definedName name="_12__123Graph_XCHART_4" localSheetId="6" hidden="1">#REF!</definedName>
    <definedName name="_12__123Graph_XCHART_4" hidden="1">#REF!</definedName>
    <definedName name="_123Graph_B" localSheetId="6" hidden="1">#REF!</definedName>
    <definedName name="_123Graph_B" hidden="1">#REF!</definedName>
    <definedName name="_123Graph_xchart5" localSheetId="6" hidden="1">#REF!</definedName>
    <definedName name="_123Graph_xchart5" hidden="1">#REF!</definedName>
    <definedName name="_13__123Graph_BCHART_112" localSheetId="6" hidden="1">#REF!</definedName>
    <definedName name="_13__123Graph_BCHART_112" hidden="1">#REF!</definedName>
    <definedName name="_13__123Graph_XChart_1A" localSheetId="6" hidden="1">#REF!</definedName>
    <definedName name="_13__123Graph_XChart_1A" hidden="1">#REF!</definedName>
    <definedName name="_14__123Graph_BCHART_26" localSheetId="6" hidden="1">#REF!</definedName>
    <definedName name="_14__123Graph_BCHART_26" hidden="1">#REF!</definedName>
    <definedName name="_14__0_S" localSheetId="1" hidden="1">#REF!</definedName>
    <definedName name="_14__0_S" localSheetId="6" hidden="1">#REF!</definedName>
    <definedName name="_14__0_S" hidden="1">#REF!</definedName>
    <definedName name="_15__123Graph_BCHART_4" localSheetId="6" hidden="1">#REF!</definedName>
    <definedName name="_15__123Graph_BCHART_4" hidden="1">#REF!</definedName>
    <definedName name="_15__0_S" localSheetId="6" hidden="1">#REF!</definedName>
    <definedName name="_15__0_S" hidden="1">#REF!</definedName>
    <definedName name="_16__123Graph_ACHART_4" localSheetId="6" hidden="1">#REF!</definedName>
    <definedName name="_16__123Graph_ACHART_4" hidden="1">#REF!</definedName>
    <definedName name="_18__123Graph_ACHART_4" localSheetId="6" hidden="1">#REF!</definedName>
    <definedName name="_18__123Graph_ACHART_4" hidden="1">#REF!</definedName>
    <definedName name="_18__123Graph_XCHART_4" localSheetId="6" hidden="1">#REF!</definedName>
    <definedName name="_18__123Graph_XCHART_4" hidden="1">#REF!</definedName>
    <definedName name="_19__123Graph_CCHART_111" localSheetId="6" hidden="1">#REF!</definedName>
    <definedName name="_19__123Graph_CCHART_111" hidden="1">#REF!</definedName>
    <definedName name="_1ITAMEMC" localSheetId="30" hidden="1">{#N/A,#N/A,FALSE,"USMED 3";#N/A,#N/A,FALSE,"MARCHALLENGER 1";#N/A,#N/A,FALSE,"MARCHALLENGER 2";#N/A,#N/A,FALSE,"MARCHALLENGER 3";#N/A,#N/A,FALSE,"MARCHALLENGER 4"}</definedName>
    <definedName name="_1ITAMEMC" localSheetId="31" hidden="1">{#N/A,#N/A,FALSE,"USMED 3";#N/A,#N/A,FALSE,"MARCHALLENGER 1";#N/A,#N/A,FALSE,"MARCHALLENGER 2";#N/A,#N/A,FALSE,"MARCHALLENGER 3";#N/A,#N/A,FALSE,"MARCHALLENGER 4"}</definedName>
    <definedName name="_1ITAMEMC" localSheetId="32" hidden="1">{#N/A,#N/A,FALSE,"USMED 3";#N/A,#N/A,FALSE,"MARCHALLENGER 1";#N/A,#N/A,FALSE,"MARCHALLENGER 2";#N/A,#N/A,FALSE,"MARCHALLENGER 3";#N/A,#N/A,FALSE,"MARCHALLENGER 4"}</definedName>
    <definedName name="_1ITAMEMC" localSheetId="10" hidden="1">{#N/A,#N/A,FALSE,"USMED 3";#N/A,#N/A,FALSE,"MARCHALLENGER 1";#N/A,#N/A,FALSE,"MARCHALLENGER 2";#N/A,#N/A,FALSE,"MARCHALLENGER 3";#N/A,#N/A,FALSE,"MARCHALLENGER 4"}</definedName>
    <definedName name="_1ITAMEMC" hidden="1">{#N/A,#N/A,FALSE,"USMED 3";#N/A,#N/A,FALSE,"MARCHALLENGER 1";#N/A,#N/A,FALSE,"MARCHALLENGER 2";#N/A,#N/A,FALSE,"MARCHALLENGER 3";#N/A,#N/A,FALSE,"MARCHALLENGER 4"}</definedName>
    <definedName name="_2__123Graph_ACHART_111" localSheetId="6" hidden="1">#REF!</definedName>
    <definedName name="_2__123Graph_ACHART_111" hidden="1">#REF!</definedName>
    <definedName name="_2__123Graph_ACHART_4" localSheetId="6" hidden="1">#REF!</definedName>
    <definedName name="_2__123Graph_ACHART_4" hidden="1">#REF!</definedName>
    <definedName name="_2__123Graph_BCHART_1" localSheetId="6" hidden="1">#REF!</definedName>
    <definedName name="_2__123Graph_BCHART_1" hidden="1">#REF!</definedName>
    <definedName name="_2_0_0_S" localSheetId="6" hidden="1">#REF!</definedName>
    <definedName name="_2_0_0_S" hidden="1">#REF!</definedName>
    <definedName name="_20__123Graph_CCHART_112" localSheetId="6" hidden="1">#REF!</definedName>
    <definedName name="_20__123Graph_CCHART_112" hidden="1">#REF!</definedName>
    <definedName name="_21__123Graph_CCHART_26" localSheetId="6" hidden="1">#REF!</definedName>
    <definedName name="_21__123Graph_CCHART_26" hidden="1">#REF!</definedName>
    <definedName name="_22__123Graph_CCHART_30" localSheetId="6" hidden="1">#REF!</definedName>
    <definedName name="_22__123Graph_CCHART_30" hidden="1">#REF!</definedName>
    <definedName name="_25__123Graph_DCHART_112" localSheetId="6" hidden="1">#REF!</definedName>
    <definedName name="_25__123Graph_DCHART_112" hidden="1">#REF!</definedName>
    <definedName name="_28__123Graph_XCHART_112" localSheetId="6" hidden="1">#REF!</definedName>
    <definedName name="_28__123Graph_XCHART_112" hidden="1">#REF!</definedName>
    <definedName name="_3__123Graph_ACHART_112" localSheetId="6" hidden="1">#REF!</definedName>
    <definedName name="_3__123Graph_ACHART_112" hidden="1">#REF!</definedName>
    <definedName name="_3__123Graph_ACHART_4" localSheetId="6" hidden="1">#REF!</definedName>
    <definedName name="_3__123Graph_ACHART_4" hidden="1">#REF!</definedName>
    <definedName name="_3__123Graph_BCHART_2" localSheetId="6" hidden="1">#REF!</definedName>
    <definedName name="_3__123Graph_BCHART_2" hidden="1">#REF!</definedName>
    <definedName name="_31__123Graph_XCHART_30" localSheetId="6" hidden="1">#REF!</definedName>
    <definedName name="_31__123Graph_XCHART_30" hidden="1">#REF!</definedName>
    <definedName name="_32__123Graph_BCHART_1" localSheetId="6" hidden="1">#REF!</definedName>
    <definedName name="_32__123Graph_BCHART_1" hidden="1">#REF!</definedName>
    <definedName name="_36__123Graph_BCHART_1" localSheetId="6" hidden="1">#REF!</definedName>
    <definedName name="_36__123Graph_BCHART_1" hidden="1">#REF!</definedName>
    <definedName name="_4__123Graph_BCHART_1" localSheetId="6" hidden="1">#REF!</definedName>
    <definedName name="_4__123Graph_BCHART_1" hidden="1">#REF!</definedName>
    <definedName name="_4__123Graph_BCHART_3" localSheetId="6" hidden="1">#REF!</definedName>
    <definedName name="_4__123Graph_BCHART_3" hidden="1">#REF!</definedName>
    <definedName name="_48__123Graph_BCHART_2" localSheetId="6" hidden="1">#REF!</definedName>
    <definedName name="_48__123Graph_BCHART_2" hidden="1">#REF!</definedName>
    <definedName name="_5__123Graph_ACHART_26" localSheetId="6" hidden="1">#REF!</definedName>
    <definedName name="_5__123Graph_ACHART_26" hidden="1">#REF!</definedName>
    <definedName name="_5__123Graph_BCHART_4" localSheetId="6" hidden="1">#REF!</definedName>
    <definedName name="_5__123Graph_BCHART_4" hidden="1">#REF!</definedName>
    <definedName name="_54__123Graph_BCHART_2" localSheetId="6" hidden="1">#REF!</definedName>
    <definedName name="_54__123Graph_BCHART_2" hidden="1">#REF!</definedName>
    <definedName name="_6__123Graph_BCHART_1" localSheetId="6" hidden="1">#REF!</definedName>
    <definedName name="_6__123Graph_BCHART_1" hidden="1">#REF!</definedName>
    <definedName name="_6__123Graph_BCHART_2" localSheetId="6" hidden="1">#REF!</definedName>
    <definedName name="_6__123Graph_BCHART_2" hidden="1">#REF!</definedName>
    <definedName name="_6__123Graph_XCHART_4" localSheetId="6" hidden="1">#REF!</definedName>
    <definedName name="_6__123Graph_XCHART_4" hidden="1">#REF!</definedName>
    <definedName name="_64__123Graph_BCHART_3" localSheetId="6" hidden="1">#REF!</definedName>
    <definedName name="_64__123Graph_BCHART_3" hidden="1">#REF!</definedName>
    <definedName name="_72__123Graph_BCHART_3" localSheetId="6" hidden="1">#REF!</definedName>
    <definedName name="_72__123Graph_BCHART_3" hidden="1">#REF!</definedName>
    <definedName name="_8__123Graph_AChart_1A" localSheetId="6" hidden="1">#REF!</definedName>
    <definedName name="_8__123Graph_AChart_1A" hidden="1">#REF!</definedName>
    <definedName name="_8__123Graph_ACHART_30" localSheetId="6" hidden="1">#REF!</definedName>
    <definedName name="_8__123Graph_ACHART_30" hidden="1">#REF!</definedName>
    <definedName name="_8__123Graph_BCHART_3" localSheetId="6" hidden="1">#REF!</definedName>
    <definedName name="_8__123Graph_BCHART_3" hidden="1">#REF!</definedName>
    <definedName name="_80__123Graph_BCHART_4" localSheetId="6" hidden="1">#REF!</definedName>
    <definedName name="_80__123Graph_BCHART_4" hidden="1">#REF!</definedName>
    <definedName name="_9__123Graph_BChart_1A" localSheetId="6" hidden="1">#REF!</definedName>
    <definedName name="_9__123Graph_BChart_1A" hidden="1">#REF!</definedName>
    <definedName name="_9__123Graph_BCHART_2" localSheetId="6" hidden="1">#REF!</definedName>
    <definedName name="_9__123Graph_BCHART_2" hidden="1">#REF!</definedName>
    <definedName name="_90__123Graph_BCHART_4" localSheetId="6" hidden="1">#REF!</definedName>
    <definedName name="_90__123Graph_BCHART_4" hidden="1">#REF!</definedName>
    <definedName name="_96__123Graph_XCHART_4" localSheetId="6" hidden="1">#REF!</definedName>
    <definedName name="_96__123Graph_XCHART_4" hidden="1">#REF!</definedName>
    <definedName name="_a1" localSheetId="30" hidden="1">{#N/A,#N/A,FALSE,"Synth";"parc_DC",#N/A,FALSE,"parc";#N/A,#N/A,FALSE,"CA prest";#N/A,#N/A,FALSE,"Ratio CA";#N/A,#N/A,FALSE,"Trafic";"CR_GSM_acté_DC",#N/A,FALSE,"CR GSM_acté";#N/A,#N/A,FALSE,"Abonnés";#N/A,#N/A,FALSE,"Créances";#N/A,#N/A,FALSE,"Effectifs"}</definedName>
    <definedName name="_a1" localSheetId="31" hidden="1">{#N/A,#N/A,FALSE,"Synth";"parc_DC",#N/A,FALSE,"parc";#N/A,#N/A,FALSE,"CA prest";#N/A,#N/A,FALSE,"Ratio CA";#N/A,#N/A,FALSE,"Trafic";"CR_GSM_acté_DC",#N/A,FALSE,"CR GSM_acté";#N/A,#N/A,FALSE,"Abonnés";#N/A,#N/A,FALSE,"Créances";#N/A,#N/A,FALSE,"Effectifs"}</definedName>
    <definedName name="_a1" localSheetId="32" hidden="1">{#N/A,#N/A,FALSE,"Synth";"parc_DC",#N/A,FALSE,"parc";#N/A,#N/A,FALSE,"CA prest";#N/A,#N/A,FALSE,"Ratio CA";#N/A,#N/A,FALSE,"Trafic";"CR_GSM_acté_DC",#N/A,FALSE,"CR GSM_acté";#N/A,#N/A,FALSE,"Abonnés";#N/A,#N/A,FALSE,"Créances";#N/A,#N/A,FALSE,"Effectifs"}</definedName>
    <definedName name="_a1" localSheetId="10" hidden="1">{#N/A,#N/A,FALSE,"Synth";"parc_DC",#N/A,FALSE,"parc";#N/A,#N/A,FALSE,"CA prest";#N/A,#N/A,FALSE,"Ratio CA";#N/A,#N/A,FALSE,"Trafic";"CR_GSM_acté_DC",#N/A,FALSE,"CR GSM_acté";#N/A,#N/A,FALSE,"Abonnés";#N/A,#N/A,FALSE,"Créances";#N/A,#N/A,FALSE,"Effectifs"}</definedName>
    <definedName name="_a1" localSheetId="6" hidden="1">{#N/A,#N/A,FALSE,"Synth";"parc_DC",#N/A,FALSE,"parc";#N/A,#N/A,FALSE,"CA prest";#N/A,#N/A,FALSE,"Ratio CA";#N/A,#N/A,FALSE,"Trafic";"CR_GSM_acté_DC",#N/A,FALSE,"CR GSM_acté";#N/A,#N/A,FALSE,"Abonnés";#N/A,#N/A,FALSE,"Créances";#N/A,#N/A,FALSE,"Effectifs"}</definedName>
    <definedName name="_a1" hidden="1">{#N/A,#N/A,FALSE,"Synth";"parc_DC",#N/A,FALSE,"parc";#N/A,#N/A,FALSE,"CA prest";#N/A,#N/A,FALSE,"Ratio CA";#N/A,#N/A,FALSE,"Trafic";"CR_GSM_acté_DC",#N/A,FALSE,"CR GSM_acté";#N/A,#N/A,FALSE,"Abonnés";#N/A,#N/A,FALSE,"Créances";#N/A,#N/A,FALSE,"Effectifs"}</definedName>
    <definedName name="_a7" localSheetId="3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7" localSheetId="31"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7" localSheetId="32"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7" localSheetId="1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7" localSheetId="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ge1" localSheetId="30" hidden="1">{"'Mach'!$A$1:$D$39"}</definedName>
    <definedName name="_age1" localSheetId="31" hidden="1">{"'Mach'!$A$1:$D$39"}</definedName>
    <definedName name="_age1" localSheetId="32" hidden="1">{"'Mach'!$A$1:$D$39"}</definedName>
    <definedName name="_age1" localSheetId="10" hidden="1">{"'Mach'!$A$1:$D$39"}</definedName>
    <definedName name="_age1" localSheetId="1" hidden="1">{"'Mach'!$A$1:$D$39"}</definedName>
    <definedName name="_age1" localSheetId="6" hidden="1">{"'Mach'!$A$1:$D$39"}</definedName>
    <definedName name="_age1" hidden="1">{"'Mach'!$A$1:$D$39"}</definedName>
    <definedName name="_BQ4.1" hidden="1">#REF!</definedName>
    <definedName name="_BQ4.10" localSheetId="6" hidden="1">#REF!</definedName>
    <definedName name="_BQ4.10" hidden="1">#REF!</definedName>
    <definedName name="_BQ4.11" hidden="1">#REF!</definedName>
    <definedName name="_BQ4.12" hidden="1">#REF!</definedName>
    <definedName name="_BQ4.13" hidden="1">#REF!</definedName>
    <definedName name="_BQ4.14" hidden="1">#REF!</definedName>
    <definedName name="_BQ4.16" hidden="1">#REF!</definedName>
    <definedName name="_BQ4.17" hidden="1">#REF!</definedName>
    <definedName name="_BQ4.2" hidden="1">#REF!</definedName>
    <definedName name="_BQ4.4" hidden="1">#REF!</definedName>
    <definedName name="_BQ4.5" hidden="1">#REF!</definedName>
    <definedName name="_BQ4.6" localSheetId="6" hidden="1">#REF!</definedName>
    <definedName name="_BQ4.6" hidden="1">#REF!</definedName>
    <definedName name="_BQ4.8" localSheetId="6" hidden="1">#REF!</definedName>
    <definedName name="_BQ4.8" hidden="1">#REF!</definedName>
    <definedName name="_BQ4.9" localSheetId="6" hidden="1">#REF!</definedName>
    <definedName name="_BQ4.9" hidden="1">#REF!</definedName>
    <definedName name="_chi9" localSheetId="30" hidden="1">{#N/A,#N/A,FALSE,"USMED 3";#N/A,#N/A,FALSE,"MARCHALLENGER 1";#N/A,#N/A,FALSE,"MARCHALLENGER 2";#N/A,#N/A,FALSE,"MARCHALLENGER 3";#N/A,#N/A,FALSE,"MARCHALLENGER 4"}</definedName>
    <definedName name="_chi9" localSheetId="31" hidden="1">{#N/A,#N/A,FALSE,"USMED 3";#N/A,#N/A,FALSE,"MARCHALLENGER 1";#N/A,#N/A,FALSE,"MARCHALLENGER 2";#N/A,#N/A,FALSE,"MARCHALLENGER 3";#N/A,#N/A,FALSE,"MARCHALLENGER 4"}</definedName>
    <definedName name="_chi9" localSheetId="32" hidden="1">{#N/A,#N/A,FALSE,"USMED 3";#N/A,#N/A,FALSE,"MARCHALLENGER 1";#N/A,#N/A,FALSE,"MARCHALLENGER 2";#N/A,#N/A,FALSE,"MARCHALLENGER 3";#N/A,#N/A,FALSE,"MARCHALLENGER 4"}</definedName>
    <definedName name="_chi9" localSheetId="10" hidden="1">{#N/A,#N/A,FALSE,"USMED 3";#N/A,#N/A,FALSE,"MARCHALLENGER 1";#N/A,#N/A,FALSE,"MARCHALLENGER 2";#N/A,#N/A,FALSE,"MARCHALLENGER 3";#N/A,#N/A,FALSE,"MARCHALLENGER 4"}</definedName>
    <definedName name="_chi9" hidden="1">{#N/A,#N/A,FALSE,"USMED 3";#N/A,#N/A,FALSE,"MARCHALLENGER 1";#N/A,#N/A,FALSE,"MARCHALLENGER 2";#N/A,#N/A,FALSE,"MARCHALLENGER 3";#N/A,#N/A,FALSE,"MARCHALLENGER 4"}</definedName>
    <definedName name="_Dist_Bin" localSheetId="1" hidden="1">#REF!</definedName>
    <definedName name="_Dist_Bin" localSheetId="6" hidden="1">#REF!</definedName>
    <definedName name="_Dist_Bin" hidden="1">#REF!</definedName>
    <definedName name="_Dist_Values" localSheetId="6" hidden="1">#REF!</definedName>
    <definedName name="_Dist_Values" hidden="1">#REF!</definedName>
    <definedName name="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R4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E1" localSheetId="30" hidden="1">{#N/A,#N/A,FALSE,"Graficos    ( 9 )"}</definedName>
    <definedName name="_E1" localSheetId="31" hidden="1">{#N/A,#N/A,FALSE,"Graficos    ( 9 )"}</definedName>
    <definedName name="_E1" localSheetId="32" hidden="1">{#N/A,#N/A,FALSE,"Graficos    ( 9 )"}</definedName>
    <definedName name="_E1" localSheetId="10" hidden="1">{#N/A,#N/A,FALSE,"Graficos    ( 9 )"}</definedName>
    <definedName name="_E1" localSheetId="6" hidden="1">{#N/A,#N/A,FALSE,"Graficos    ( 9 )"}</definedName>
    <definedName name="_E1" hidden="1">{#N/A,#N/A,FALSE,"Graficos    ( 9 )"}</definedName>
    <definedName name="_E2" localSheetId="30" hidden="1">{#N/A,#N/A,FALSE,"1321";#N/A,#N/A,FALSE,"1324";#N/A,#N/A,FALSE,"1333";#N/A,#N/A,FALSE,"1371"}</definedName>
    <definedName name="_E2" localSheetId="31" hidden="1">{#N/A,#N/A,FALSE,"1321";#N/A,#N/A,FALSE,"1324";#N/A,#N/A,FALSE,"1333";#N/A,#N/A,FALSE,"1371"}</definedName>
    <definedName name="_E2" localSheetId="32" hidden="1">{#N/A,#N/A,FALSE,"1321";#N/A,#N/A,FALSE,"1324";#N/A,#N/A,FALSE,"1333";#N/A,#N/A,FALSE,"1371"}</definedName>
    <definedName name="_E2" localSheetId="10" hidden="1">{#N/A,#N/A,FALSE,"1321";#N/A,#N/A,FALSE,"1324";#N/A,#N/A,FALSE,"1333";#N/A,#N/A,FALSE,"1371"}</definedName>
    <definedName name="_E2" localSheetId="6" hidden="1">{#N/A,#N/A,FALSE,"1321";#N/A,#N/A,FALSE,"1324";#N/A,#N/A,FALSE,"1333";#N/A,#N/A,FALSE,"1371"}</definedName>
    <definedName name="_E2" hidden="1">{#N/A,#N/A,FALSE,"1321";#N/A,#N/A,FALSE,"1324";#N/A,#N/A,FALSE,"1333";#N/A,#N/A,FALSE,"1371"}</definedName>
    <definedName name="_fa1" localSheetId="30" hidden="1">{"plansummary",#N/A,FALSE,"PlanSummary";"sales",#N/A,FALSE,"Sales Rec";"productivity",#N/A,FALSE,"Productivity Rec";"capitalspending",#N/A,FALSE,"Capital Spending"}</definedName>
    <definedName name="_fa1" localSheetId="31" hidden="1">{"plansummary",#N/A,FALSE,"PlanSummary";"sales",#N/A,FALSE,"Sales Rec";"productivity",#N/A,FALSE,"Productivity Rec";"capitalspending",#N/A,FALSE,"Capital Spending"}</definedName>
    <definedName name="_fa1" localSheetId="32" hidden="1">{"plansummary",#N/A,FALSE,"PlanSummary";"sales",#N/A,FALSE,"Sales Rec";"productivity",#N/A,FALSE,"Productivity Rec";"capitalspending",#N/A,FALSE,"Capital Spending"}</definedName>
    <definedName name="_fa1" localSheetId="10" hidden="1">{"plansummary",#N/A,FALSE,"PlanSummary";"sales",#N/A,FALSE,"Sales Rec";"productivity",#N/A,FALSE,"Productivity Rec";"capitalspending",#N/A,FALSE,"Capital Spending"}</definedName>
    <definedName name="_fa1" localSheetId="1" hidden="1">{"plansummary",#N/A,FALSE,"PlanSummary";"sales",#N/A,FALSE,"Sales Rec";"productivity",#N/A,FALSE,"Productivity Rec";"capitalspending",#N/A,FALSE,"Capital Spending"}</definedName>
    <definedName name="_fa1" localSheetId="6" hidden="1">{"plansummary",#N/A,FALSE,"PlanSummary";"sales",#N/A,FALSE,"Sales Rec";"productivity",#N/A,FALSE,"Productivity Rec";"capitalspending",#N/A,FALSE,"Capital Spending"}</definedName>
    <definedName name="_fa1" localSheetId="3" hidden="1">{"plansummary",#N/A,FALSE,"PlanSummary";"sales",#N/A,FALSE,"Sales Rec";"productivity",#N/A,FALSE,"Productivity Rec";"capitalspending",#N/A,FALSE,"Capital Spending"}</definedName>
    <definedName name="_fa1" hidden="1">{"plansummary",#N/A,FALSE,"PlanSummary";"sales",#N/A,FALSE,"Sales Rec";"productivity",#N/A,FALSE,"Productivity Rec";"capitalspending",#N/A,FALSE,"Capital Spending"}</definedName>
    <definedName name="_fa2" localSheetId="30" hidden="1">{"plansummary",#N/A,FALSE,"PlanSummary";"sales",#N/A,FALSE,"Sales Rec";"productivity",#N/A,FALSE,"Productivity Rec";"capitalspending",#N/A,FALSE,"Capital Spending"}</definedName>
    <definedName name="_fa2" localSheetId="31" hidden="1">{"plansummary",#N/A,FALSE,"PlanSummary";"sales",#N/A,FALSE,"Sales Rec";"productivity",#N/A,FALSE,"Productivity Rec";"capitalspending",#N/A,FALSE,"Capital Spending"}</definedName>
    <definedName name="_fa2" localSheetId="32" hidden="1">{"plansummary",#N/A,FALSE,"PlanSummary";"sales",#N/A,FALSE,"Sales Rec";"productivity",#N/A,FALSE,"Productivity Rec";"capitalspending",#N/A,FALSE,"Capital Spending"}</definedName>
    <definedName name="_fa2" localSheetId="10" hidden="1">{"plansummary",#N/A,FALSE,"PlanSummary";"sales",#N/A,FALSE,"Sales Rec";"productivity",#N/A,FALSE,"Productivity Rec";"capitalspending",#N/A,FALSE,"Capital Spending"}</definedName>
    <definedName name="_fa2" localSheetId="1" hidden="1">{"plansummary",#N/A,FALSE,"PlanSummary";"sales",#N/A,FALSE,"Sales Rec";"productivity",#N/A,FALSE,"Productivity Rec";"capitalspending",#N/A,FALSE,"Capital Spending"}</definedName>
    <definedName name="_fa2" localSheetId="6" hidden="1">{"plansummary",#N/A,FALSE,"PlanSummary";"sales",#N/A,FALSE,"Sales Rec";"productivity",#N/A,FALSE,"Productivity Rec";"capitalspending",#N/A,FALSE,"Capital Spending"}</definedName>
    <definedName name="_fa2" localSheetId="3" hidden="1">{"plansummary",#N/A,FALSE,"PlanSummary";"sales",#N/A,FALSE,"Sales Rec";"productivity",#N/A,FALSE,"Productivity Rec";"capitalspending",#N/A,FALSE,"Capital Spending"}</definedName>
    <definedName name="_fa2" hidden="1">{"plansummary",#N/A,FALSE,"PlanSummary";"sales",#N/A,FALSE,"Sales Rec";"productivity",#N/A,FALSE,"Productivity Rec";"capitalspending",#N/A,FALSE,"Capital Spending"}</definedName>
    <definedName name="_fa3" localSheetId="30" hidden="1">{"plansummary",#N/A,FALSE,"PlanSummary";"sales",#N/A,FALSE,"Sales Rec";"productivity",#N/A,FALSE,"Productivity Rec";"capitalspending",#N/A,FALSE,"Capital Spending"}</definedName>
    <definedName name="_fa3" localSheetId="31" hidden="1">{"plansummary",#N/A,FALSE,"PlanSummary";"sales",#N/A,FALSE,"Sales Rec";"productivity",#N/A,FALSE,"Productivity Rec";"capitalspending",#N/A,FALSE,"Capital Spending"}</definedName>
    <definedName name="_fa3" localSheetId="32" hidden="1">{"plansummary",#N/A,FALSE,"PlanSummary";"sales",#N/A,FALSE,"Sales Rec";"productivity",#N/A,FALSE,"Productivity Rec";"capitalspending",#N/A,FALSE,"Capital Spending"}</definedName>
    <definedName name="_fa3" localSheetId="10" hidden="1">{"plansummary",#N/A,FALSE,"PlanSummary";"sales",#N/A,FALSE,"Sales Rec";"productivity",#N/A,FALSE,"Productivity Rec";"capitalspending",#N/A,FALSE,"Capital Spending"}</definedName>
    <definedName name="_fa3" localSheetId="1" hidden="1">{"plansummary",#N/A,FALSE,"PlanSummary";"sales",#N/A,FALSE,"Sales Rec";"productivity",#N/A,FALSE,"Productivity Rec";"capitalspending",#N/A,FALSE,"Capital Spending"}</definedName>
    <definedName name="_fa3" localSheetId="6" hidden="1">{"plansummary",#N/A,FALSE,"PlanSummary";"sales",#N/A,FALSE,"Sales Rec";"productivity",#N/A,FALSE,"Productivity Rec";"capitalspending",#N/A,FALSE,"Capital Spending"}</definedName>
    <definedName name="_fa3" localSheetId="3" hidden="1">{"plansummary",#N/A,FALSE,"PlanSummary";"sales",#N/A,FALSE,"Sales Rec";"productivity",#N/A,FALSE,"Productivity Rec";"capitalspending",#N/A,FALSE,"Capital Spending"}</definedName>
    <definedName name="_fa3" hidden="1">{"plansummary",#N/A,FALSE,"PlanSummary";"sales",#N/A,FALSE,"Sales Rec";"productivity",#N/A,FALSE,"Productivity Rec";"capitalspending",#N/A,FALSE,"Capital Spending"}</definedName>
    <definedName name="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ill" localSheetId="1" hidden="1">#REF!</definedName>
    <definedName name="_Fill" hidden="1">#REF!</definedName>
    <definedName name="_xlnm._FilterDatabase" localSheetId="5" hidden="1">'Details 25-26'!$A$10:$V$310</definedName>
    <definedName name="_xlnm._FilterDatabase" localSheetId="1" hidden="1">#REF!</definedName>
    <definedName name="_xlnm._FilterDatabase" localSheetId="6" hidden="1">'Rate impact'!$A$21:$AB$29</definedName>
    <definedName name="_xlnm._FilterDatabase" localSheetId="3" hidden="1">Testing!$A$10:$M$32</definedName>
    <definedName name="_xlnm._FilterDatabase" hidden="1">#REF!</definedName>
    <definedName name="_GSRATES_1" hidden="1">"CT300001Latest          "</definedName>
    <definedName name="_GSRATES_2" hidden="1">"CT30000120040521        "</definedName>
    <definedName name="_GSRATES_COUNT" hidden="1">2</definedName>
    <definedName name="_GSRATESR_1" hidden="1">#REF!</definedName>
    <definedName name="_GSRATESR_2" localSheetId="6" hidden="1">#REF!</definedName>
    <definedName name="_GSRATESR_2" hidden="1">#REF!</definedName>
    <definedName name="_Key1" localSheetId="1" hidden="1">#REF!</definedName>
    <definedName name="_Key1" hidden="1">#REF!</definedName>
    <definedName name="_Key2" localSheetId="1" hidden="1">#REF!</definedName>
    <definedName name="_Key2" hidden="1">#REF!</definedName>
    <definedName name="_LPS2" localSheetId="30" hidden="1">{#N/A,#N/A,FALSE,"단축1";#N/A,#N/A,FALSE,"단축2";#N/A,#N/A,FALSE,"단축3";#N/A,#N/A,FALSE,"장축";#N/A,#N/A,FALSE,"4WD"}</definedName>
    <definedName name="_LPS2" localSheetId="31" hidden="1">{#N/A,#N/A,FALSE,"단축1";#N/A,#N/A,FALSE,"단축2";#N/A,#N/A,FALSE,"단축3";#N/A,#N/A,FALSE,"장축";#N/A,#N/A,FALSE,"4WD"}</definedName>
    <definedName name="_LPS2" localSheetId="32" hidden="1">{#N/A,#N/A,FALSE,"단축1";#N/A,#N/A,FALSE,"단축2";#N/A,#N/A,FALSE,"단축3";#N/A,#N/A,FALSE,"장축";#N/A,#N/A,FALSE,"4WD"}</definedName>
    <definedName name="_LPS2" localSheetId="10" hidden="1">{#N/A,#N/A,FALSE,"단축1";#N/A,#N/A,FALSE,"단축2";#N/A,#N/A,FALSE,"단축3";#N/A,#N/A,FALSE,"장축";#N/A,#N/A,FALSE,"4WD"}</definedName>
    <definedName name="_LPS2" localSheetId="1" hidden="1">{#N/A,#N/A,FALSE,"단축1";#N/A,#N/A,FALSE,"단축2";#N/A,#N/A,FALSE,"단축3";#N/A,#N/A,FALSE,"장축";#N/A,#N/A,FALSE,"4WD"}</definedName>
    <definedName name="_LPS2" localSheetId="6" hidden="1">{#N/A,#N/A,FALSE,"단축1";#N/A,#N/A,FALSE,"단축2";#N/A,#N/A,FALSE,"단축3";#N/A,#N/A,FALSE,"장축";#N/A,#N/A,FALSE,"4WD"}</definedName>
    <definedName name="_LPS2" hidden="1">{#N/A,#N/A,FALSE,"단축1";#N/A,#N/A,FALSE,"단축2";#N/A,#N/A,FALSE,"단축3";#N/A,#N/A,FALSE,"장축";#N/A,#N/A,FALSE,"4WD"}</definedName>
    <definedName name="_med7" localSheetId="30" hidden="1">{#N/A,#N/A,FALSE,"USMED 3";#N/A,#N/A,FALSE,"MARCHALLENGER 1";#N/A,#N/A,FALSE,"MARCHALLENGER 2";#N/A,#N/A,FALSE,"MARCHALLENGER 3";#N/A,#N/A,FALSE,"MARCHALLENGER 4"}</definedName>
    <definedName name="_med7" localSheetId="31" hidden="1">{#N/A,#N/A,FALSE,"USMED 3";#N/A,#N/A,FALSE,"MARCHALLENGER 1";#N/A,#N/A,FALSE,"MARCHALLENGER 2";#N/A,#N/A,FALSE,"MARCHALLENGER 3";#N/A,#N/A,FALSE,"MARCHALLENGER 4"}</definedName>
    <definedName name="_med7" localSheetId="32" hidden="1">{#N/A,#N/A,FALSE,"USMED 3";#N/A,#N/A,FALSE,"MARCHALLENGER 1";#N/A,#N/A,FALSE,"MARCHALLENGER 2";#N/A,#N/A,FALSE,"MARCHALLENGER 3";#N/A,#N/A,FALSE,"MARCHALLENGER 4"}</definedName>
    <definedName name="_med7" localSheetId="10" hidden="1">{#N/A,#N/A,FALSE,"USMED 3";#N/A,#N/A,FALSE,"MARCHALLENGER 1";#N/A,#N/A,FALSE,"MARCHALLENGER 2";#N/A,#N/A,FALSE,"MARCHALLENGER 3";#N/A,#N/A,FALSE,"MARCHALLENGER 4"}</definedName>
    <definedName name="_med7" hidden="1">{#N/A,#N/A,FALSE,"USMED 3";#N/A,#N/A,FALSE,"MARCHALLENGER 1";#N/A,#N/A,FALSE,"MARCHALLENGER 2";#N/A,#N/A,FALSE,"MARCHALLENGER 3";#N/A,#N/A,FALSE,"MARCHALLENGER 4"}</definedName>
    <definedName name="_Mix1" localSheetId="1" hidden="1">#REF!</definedName>
    <definedName name="_Mix1" localSheetId="6" hidden="1">#REF!</definedName>
    <definedName name="_Mix1" hidden="1">#REF!</definedName>
    <definedName name="_mor1" localSheetId="6" hidden="1">#REF!</definedName>
    <definedName name="_mor1" hidden="1">#REF!</definedName>
    <definedName name="_msl3" localSheetId="30" hidden="1">{#N/A,#N/A,FALSE,"USMED 3";#N/A,#N/A,FALSE,"MARCHALLENGER 1";#N/A,#N/A,FALSE,"MARCHALLENGER 2";#N/A,#N/A,FALSE,"MARCHALLENGER 3";#N/A,#N/A,FALSE,"MARCHALLENGER 4"}</definedName>
    <definedName name="_msl3" localSheetId="31" hidden="1">{#N/A,#N/A,FALSE,"USMED 3";#N/A,#N/A,FALSE,"MARCHALLENGER 1";#N/A,#N/A,FALSE,"MARCHALLENGER 2";#N/A,#N/A,FALSE,"MARCHALLENGER 3";#N/A,#N/A,FALSE,"MARCHALLENGER 4"}</definedName>
    <definedName name="_msl3" localSheetId="32" hidden="1">{#N/A,#N/A,FALSE,"USMED 3";#N/A,#N/A,FALSE,"MARCHALLENGER 1";#N/A,#N/A,FALSE,"MARCHALLENGER 2";#N/A,#N/A,FALSE,"MARCHALLENGER 3";#N/A,#N/A,FALSE,"MARCHALLENGER 4"}</definedName>
    <definedName name="_msl3" localSheetId="10" hidden="1">{#N/A,#N/A,FALSE,"USMED 3";#N/A,#N/A,FALSE,"MARCHALLENGER 1";#N/A,#N/A,FALSE,"MARCHALLENGER 2";#N/A,#N/A,FALSE,"MARCHALLENGER 3";#N/A,#N/A,FALSE,"MARCHALLENGER 4"}</definedName>
    <definedName name="_msl3" hidden="1">{#N/A,#N/A,FALSE,"USMED 3";#N/A,#N/A,FALSE,"MARCHALLENGER 1";#N/A,#N/A,FALSE,"MARCHALLENGER 2";#N/A,#N/A,FALSE,"MARCHALLENGER 3";#N/A,#N/A,FALSE,"MARCHALLENGER 4"}</definedName>
    <definedName name="_new2" localSheetId="30" hidden="1">{#N/A,#N/A,FALSE,"3";#N/A,#N/A,FALSE,"5";#N/A,#N/A,FALSE,"6";#N/A,#N/A,FALSE,"8";#N/A,#N/A,FALSE,"10";#N/A,#N/A,FALSE,"13";#N/A,#N/A,FALSE,"14";#N/A,#N/A,FALSE,"15";#N/A,#N/A,FALSE,"16"}</definedName>
    <definedName name="_new2" localSheetId="31" hidden="1">{#N/A,#N/A,FALSE,"3";#N/A,#N/A,FALSE,"5";#N/A,#N/A,FALSE,"6";#N/A,#N/A,FALSE,"8";#N/A,#N/A,FALSE,"10";#N/A,#N/A,FALSE,"13";#N/A,#N/A,FALSE,"14";#N/A,#N/A,FALSE,"15";#N/A,#N/A,FALSE,"16"}</definedName>
    <definedName name="_new2" localSheetId="32" hidden="1">{#N/A,#N/A,FALSE,"3";#N/A,#N/A,FALSE,"5";#N/A,#N/A,FALSE,"6";#N/A,#N/A,FALSE,"8";#N/A,#N/A,FALSE,"10";#N/A,#N/A,FALSE,"13";#N/A,#N/A,FALSE,"14";#N/A,#N/A,FALSE,"15";#N/A,#N/A,FALSE,"16"}</definedName>
    <definedName name="_new2" localSheetId="10" hidden="1">{#N/A,#N/A,FALSE,"3";#N/A,#N/A,FALSE,"5";#N/A,#N/A,FALSE,"6";#N/A,#N/A,FALSE,"8";#N/A,#N/A,FALSE,"10";#N/A,#N/A,FALSE,"13";#N/A,#N/A,FALSE,"14";#N/A,#N/A,FALSE,"15";#N/A,#N/A,FALSE,"16"}</definedName>
    <definedName name="_new2" localSheetId="6" hidden="1">{#N/A,#N/A,FALSE,"3";#N/A,#N/A,FALSE,"5";#N/A,#N/A,FALSE,"6";#N/A,#N/A,FALSE,"8";#N/A,#N/A,FALSE,"10";#N/A,#N/A,FALSE,"13";#N/A,#N/A,FALSE,"14";#N/A,#N/A,FALSE,"15";#N/A,#N/A,FALSE,"16"}</definedName>
    <definedName name="_new2" hidden="1">{#N/A,#N/A,FALSE,"3";#N/A,#N/A,FALSE,"5";#N/A,#N/A,FALSE,"6";#N/A,#N/A,FALSE,"8";#N/A,#N/A,FALSE,"10";#N/A,#N/A,FALSE,"13";#N/A,#N/A,FALSE,"14";#N/A,#N/A,FALSE,"15";#N/A,#N/A,FALSE,"16"}</definedName>
    <definedName name="_new3" localSheetId="30" hidden="1">{#N/A,#N/A,FALSE,"3";#N/A,#N/A,FALSE,"5";#N/A,#N/A,FALSE,"6";#N/A,#N/A,FALSE,"8";#N/A,#N/A,FALSE,"10";#N/A,#N/A,FALSE,"13";#N/A,#N/A,FALSE,"14";#N/A,#N/A,FALSE,"15";#N/A,#N/A,FALSE,"16"}</definedName>
    <definedName name="_new3" localSheetId="31" hidden="1">{#N/A,#N/A,FALSE,"3";#N/A,#N/A,FALSE,"5";#N/A,#N/A,FALSE,"6";#N/A,#N/A,FALSE,"8";#N/A,#N/A,FALSE,"10";#N/A,#N/A,FALSE,"13";#N/A,#N/A,FALSE,"14";#N/A,#N/A,FALSE,"15";#N/A,#N/A,FALSE,"16"}</definedName>
    <definedName name="_new3" localSheetId="32" hidden="1">{#N/A,#N/A,FALSE,"3";#N/A,#N/A,FALSE,"5";#N/A,#N/A,FALSE,"6";#N/A,#N/A,FALSE,"8";#N/A,#N/A,FALSE,"10";#N/A,#N/A,FALSE,"13";#N/A,#N/A,FALSE,"14";#N/A,#N/A,FALSE,"15";#N/A,#N/A,FALSE,"16"}</definedName>
    <definedName name="_new3" localSheetId="10" hidden="1">{#N/A,#N/A,FALSE,"3";#N/A,#N/A,FALSE,"5";#N/A,#N/A,FALSE,"6";#N/A,#N/A,FALSE,"8";#N/A,#N/A,FALSE,"10";#N/A,#N/A,FALSE,"13";#N/A,#N/A,FALSE,"14";#N/A,#N/A,FALSE,"15";#N/A,#N/A,FALSE,"16"}</definedName>
    <definedName name="_new3" localSheetId="6" hidden="1">{#N/A,#N/A,FALSE,"3";#N/A,#N/A,FALSE,"5";#N/A,#N/A,FALSE,"6";#N/A,#N/A,FALSE,"8";#N/A,#N/A,FALSE,"10";#N/A,#N/A,FALSE,"13";#N/A,#N/A,FALSE,"14";#N/A,#N/A,FALSE,"15";#N/A,#N/A,FALSE,"16"}</definedName>
    <definedName name="_new3" hidden="1">{#N/A,#N/A,FALSE,"3";#N/A,#N/A,FALSE,"5";#N/A,#N/A,FALSE,"6";#N/A,#N/A,FALSE,"8";#N/A,#N/A,FALSE,"10";#N/A,#N/A,FALSE,"13";#N/A,#N/A,FALSE,"14";#N/A,#N/A,FALSE,"15";#N/A,#N/A,FALSE,"16"}</definedName>
    <definedName name="_new4" localSheetId="30" hidden="1">{#N/A,#N/A,FALSE,"3";#N/A,#N/A,FALSE,"5";#N/A,#N/A,FALSE,"6";#N/A,#N/A,FALSE,"8";#N/A,#N/A,FALSE,"10";#N/A,#N/A,FALSE,"13";#N/A,#N/A,FALSE,"14";#N/A,#N/A,FALSE,"15";#N/A,#N/A,FALSE,"16"}</definedName>
    <definedName name="_new4" localSheetId="31" hidden="1">{#N/A,#N/A,FALSE,"3";#N/A,#N/A,FALSE,"5";#N/A,#N/A,FALSE,"6";#N/A,#N/A,FALSE,"8";#N/A,#N/A,FALSE,"10";#N/A,#N/A,FALSE,"13";#N/A,#N/A,FALSE,"14";#N/A,#N/A,FALSE,"15";#N/A,#N/A,FALSE,"16"}</definedName>
    <definedName name="_new4" localSheetId="32" hidden="1">{#N/A,#N/A,FALSE,"3";#N/A,#N/A,FALSE,"5";#N/A,#N/A,FALSE,"6";#N/A,#N/A,FALSE,"8";#N/A,#N/A,FALSE,"10";#N/A,#N/A,FALSE,"13";#N/A,#N/A,FALSE,"14";#N/A,#N/A,FALSE,"15";#N/A,#N/A,FALSE,"16"}</definedName>
    <definedName name="_new4" localSheetId="10" hidden="1">{#N/A,#N/A,FALSE,"3";#N/A,#N/A,FALSE,"5";#N/A,#N/A,FALSE,"6";#N/A,#N/A,FALSE,"8";#N/A,#N/A,FALSE,"10";#N/A,#N/A,FALSE,"13";#N/A,#N/A,FALSE,"14";#N/A,#N/A,FALSE,"15";#N/A,#N/A,FALSE,"16"}</definedName>
    <definedName name="_new4" localSheetId="6" hidden="1">{#N/A,#N/A,FALSE,"3";#N/A,#N/A,FALSE,"5";#N/A,#N/A,FALSE,"6";#N/A,#N/A,FALSE,"8";#N/A,#N/A,FALSE,"10";#N/A,#N/A,FALSE,"13";#N/A,#N/A,FALSE,"14";#N/A,#N/A,FALSE,"15";#N/A,#N/A,FALSE,"16"}</definedName>
    <definedName name="_new4" hidden="1">{#N/A,#N/A,FALSE,"3";#N/A,#N/A,FALSE,"5";#N/A,#N/A,FALSE,"6";#N/A,#N/A,FALSE,"8";#N/A,#N/A,FALSE,"10";#N/A,#N/A,FALSE,"13";#N/A,#N/A,FALSE,"14";#N/A,#N/A,FALSE,"15";#N/A,#N/A,FALSE,"16"}</definedName>
    <definedName name="_new5" localSheetId="30" hidden="1">{#N/A,#N/A,FALSE,"3";#N/A,#N/A,FALSE,"5";#N/A,#N/A,FALSE,"6";#N/A,#N/A,FALSE,"8";#N/A,#N/A,FALSE,"10";#N/A,#N/A,FALSE,"13";#N/A,#N/A,FALSE,"14";#N/A,#N/A,FALSE,"15";#N/A,#N/A,FALSE,"16"}</definedName>
    <definedName name="_new5" localSheetId="31" hidden="1">{#N/A,#N/A,FALSE,"3";#N/A,#N/A,FALSE,"5";#N/A,#N/A,FALSE,"6";#N/A,#N/A,FALSE,"8";#N/A,#N/A,FALSE,"10";#N/A,#N/A,FALSE,"13";#N/A,#N/A,FALSE,"14";#N/A,#N/A,FALSE,"15";#N/A,#N/A,FALSE,"16"}</definedName>
    <definedName name="_new5" localSheetId="32" hidden="1">{#N/A,#N/A,FALSE,"3";#N/A,#N/A,FALSE,"5";#N/A,#N/A,FALSE,"6";#N/A,#N/A,FALSE,"8";#N/A,#N/A,FALSE,"10";#N/A,#N/A,FALSE,"13";#N/A,#N/A,FALSE,"14";#N/A,#N/A,FALSE,"15";#N/A,#N/A,FALSE,"16"}</definedName>
    <definedName name="_new5" localSheetId="10" hidden="1">{#N/A,#N/A,FALSE,"3";#N/A,#N/A,FALSE,"5";#N/A,#N/A,FALSE,"6";#N/A,#N/A,FALSE,"8";#N/A,#N/A,FALSE,"10";#N/A,#N/A,FALSE,"13";#N/A,#N/A,FALSE,"14";#N/A,#N/A,FALSE,"15";#N/A,#N/A,FALSE,"16"}</definedName>
    <definedName name="_new5" localSheetId="6" hidden="1">{#N/A,#N/A,FALSE,"3";#N/A,#N/A,FALSE,"5";#N/A,#N/A,FALSE,"6";#N/A,#N/A,FALSE,"8";#N/A,#N/A,FALSE,"10";#N/A,#N/A,FALSE,"13";#N/A,#N/A,FALSE,"14";#N/A,#N/A,FALSE,"15";#N/A,#N/A,FALSE,"16"}</definedName>
    <definedName name="_new5" hidden="1">{#N/A,#N/A,FALSE,"3";#N/A,#N/A,FALSE,"5";#N/A,#N/A,FALSE,"6";#N/A,#N/A,FALSE,"8";#N/A,#N/A,FALSE,"10";#N/A,#N/A,FALSE,"13";#N/A,#N/A,FALSE,"14";#N/A,#N/A,FALSE,"15";#N/A,#N/A,FALSE,"16"}</definedName>
    <definedName name="_Order1" hidden="1">255</definedName>
    <definedName name="_Order2" hidden="1">255</definedName>
    <definedName name="_Parse_In" localSheetId="1" hidden="1">#REF!</definedName>
    <definedName name="_Parse_In" hidden="1">#REF!</definedName>
    <definedName name="_Parse_Out" localSheetId="1" hidden="1">#REF!</definedName>
    <definedName name="_Parse_Out" hidden="1">#REF!</definedName>
    <definedName name="_R" localSheetId="30" hidden="1">{#N/A,#N/A,FALSE,"USMED 3";#N/A,#N/A,FALSE,"MARCHALLENGER 1";#N/A,#N/A,FALSE,"MARCHALLENGER 2";#N/A,#N/A,FALSE,"MARCHALLENGER 3";#N/A,#N/A,FALSE,"MARCHALLENGER 4"}</definedName>
    <definedName name="_R" localSheetId="31" hidden="1">{#N/A,#N/A,FALSE,"USMED 3";#N/A,#N/A,FALSE,"MARCHALLENGER 1";#N/A,#N/A,FALSE,"MARCHALLENGER 2";#N/A,#N/A,FALSE,"MARCHALLENGER 3";#N/A,#N/A,FALSE,"MARCHALLENGER 4"}</definedName>
    <definedName name="_R" localSheetId="32" hidden="1">{#N/A,#N/A,FALSE,"USMED 3";#N/A,#N/A,FALSE,"MARCHALLENGER 1";#N/A,#N/A,FALSE,"MARCHALLENGER 2";#N/A,#N/A,FALSE,"MARCHALLENGER 3";#N/A,#N/A,FALSE,"MARCHALLENGER 4"}</definedName>
    <definedName name="_R" localSheetId="10" hidden="1">{#N/A,#N/A,FALSE,"USMED 3";#N/A,#N/A,FALSE,"MARCHALLENGER 1";#N/A,#N/A,FALSE,"MARCHALLENGER 2";#N/A,#N/A,FALSE,"MARCHALLENGER 3";#N/A,#N/A,FALSE,"MARCHALLENGER 4"}</definedName>
    <definedName name="_R" hidden="1">{#N/A,#N/A,FALSE,"USMED 3";#N/A,#N/A,FALSE,"MARCHALLENGER 1";#N/A,#N/A,FALSE,"MARCHALLENGER 2";#N/A,#N/A,FALSE,"MARCHALLENGER 3";#N/A,#N/A,FALSE,"MARCHALLENGER 4"}</definedName>
    <definedName name="_Ram1" localSheetId="30" hidden="1">{#N/A,#N/A,TRUE,"BALSCH";#N/A,#N/A,TRUE,"COMICRO";#N/A,#N/A,TRUE,"CHECKS";#N/A,#N/A,TRUE,"GLASS";#N/A,#N/A,TRUE,"DEPRE";#N/A,#N/A,TRUE,"A&amp;MCUR";#N/A,#N/A,TRUE,"AGEANAlysis";#N/A,#N/A,TRUE,"CHECKS"}</definedName>
    <definedName name="_Ram1" localSheetId="31" hidden="1">{#N/A,#N/A,TRUE,"BALSCH";#N/A,#N/A,TRUE,"COMICRO";#N/A,#N/A,TRUE,"CHECKS";#N/A,#N/A,TRUE,"GLASS";#N/A,#N/A,TRUE,"DEPRE";#N/A,#N/A,TRUE,"A&amp;MCUR";#N/A,#N/A,TRUE,"AGEANAlysis";#N/A,#N/A,TRUE,"CHECKS"}</definedName>
    <definedName name="_Ram1" localSheetId="32" hidden="1">{#N/A,#N/A,TRUE,"BALSCH";#N/A,#N/A,TRUE,"COMICRO";#N/A,#N/A,TRUE,"CHECKS";#N/A,#N/A,TRUE,"GLASS";#N/A,#N/A,TRUE,"DEPRE";#N/A,#N/A,TRUE,"A&amp;MCUR";#N/A,#N/A,TRUE,"AGEANAlysis";#N/A,#N/A,TRUE,"CHECKS"}</definedName>
    <definedName name="_Ram1" localSheetId="10" hidden="1">{#N/A,#N/A,TRUE,"BALSCH";#N/A,#N/A,TRUE,"COMICRO";#N/A,#N/A,TRUE,"CHECKS";#N/A,#N/A,TRUE,"GLASS";#N/A,#N/A,TRUE,"DEPRE";#N/A,#N/A,TRUE,"A&amp;MCUR";#N/A,#N/A,TRUE,"AGEANAlysis";#N/A,#N/A,TRUE,"CHECKS"}</definedName>
    <definedName name="_Ram1" localSheetId="1" hidden="1">{#N/A,#N/A,TRUE,"BALSCH";#N/A,#N/A,TRUE,"COMICRO";#N/A,#N/A,TRUE,"CHECKS";#N/A,#N/A,TRUE,"GLASS";#N/A,#N/A,TRUE,"DEPRE";#N/A,#N/A,TRUE,"A&amp;MCUR";#N/A,#N/A,TRUE,"AGEANAlysis";#N/A,#N/A,TRUE,"CHECKS"}</definedName>
    <definedName name="_Ram1" localSheetId="6" hidden="1">{#N/A,#N/A,TRUE,"BALSCH";#N/A,#N/A,TRUE,"COMICRO";#N/A,#N/A,TRUE,"CHECKS";#N/A,#N/A,TRUE,"GLASS";#N/A,#N/A,TRUE,"DEPRE";#N/A,#N/A,TRUE,"A&amp;MCUR";#N/A,#N/A,TRUE,"AGEANAlysis";#N/A,#N/A,TRUE,"CHECKS"}</definedName>
    <definedName name="_Ram1" hidden="1">{#N/A,#N/A,TRUE,"BALSCH";#N/A,#N/A,TRUE,"COMICRO";#N/A,#N/A,TRUE,"CHECKS";#N/A,#N/A,TRUE,"GLASS";#N/A,#N/A,TRUE,"DEPRE";#N/A,#N/A,TRUE,"A&amp;MCUR";#N/A,#N/A,TRUE,"AGEANAlysis";#N/A,#N/A,TRUE,"CHECKS"}</definedName>
    <definedName name="_Regression_Int" hidden="1">1</definedName>
    <definedName name="_Regression_X" localSheetId="6" hidden="1">#REF!</definedName>
    <definedName name="_Regression_X" hidden="1">#REF!</definedName>
    <definedName name="_RTS2" hidden="1">{"Summary analysis",#N/A,FALSE,"Total";"OCPH analysis",#N/A,FALSE,"Total";"detail analysis",#N/A,FALSE,"Total"}</definedName>
    <definedName name="_s3" localSheetId="30" hidden="1">{#N/A,#N/A,TRUE,"CONTENTS";#N/A,#N/A,TRUE,"M2";#N/A,#N/A,TRUE,"M2a";#N/A,#N/A,TRUE,"M2b";#N/A,#N/A,TRUE,"M3";#N/A,#N/A,TRUE,"M3a";#N/A,#N/A,TRUE,"M4-P";#N/A,#N/A,TRUE,"M5";#N/A,#N/A,TRUE,"M6";#N/A,#N/A,TRUE,"M7";#N/A,#N/A,TRUE,"M8";#N/A,#N/A,TRUE,"M9";#N/A,#N/A,TRUE,"M10";#N/A,#N/A,TRUE,"M11";#N/A,#N/A,TRUE,"M13";#N/A,#N/A,TRUE,"M14";#N/A,#N/A,TRUE,"M15";#N/A,#N/A,TRUE,"K1"}</definedName>
    <definedName name="_s3" localSheetId="31" hidden="1">{#N/A,#N/A,TRUE,"CONTENTS";#N/A,#N/A,TRUE,"M2";#N/A,#N/A,TRUE,"M2a";#N/A,#N/A,TRUE,"M2b";#N/A,#N/A,TRUE,"M3";#N/A,#N/A,TRUE,"M3a";#N/A,#N/A,TRUE,"M4-P";#N/A,#N/A,TRUE,"M5";#N/A,#N/A,TRUE,"M6";#N/A,#N/A,TRUE,"M7";#N/A,#N/A,TRUE,"M8";#N/A,#N/A,TRUE,"M9";#N/A,#N/A,TRUE,"M10";#N/A,#N/A,TRUE,"M11";#N/A,#N/A,TRUE,"M13";#N/A,#N/A,TRUE,"M14";#N/A,#N/A,TRUE,"M15";#N/A,#N/A,TRUE,"K1"}</definedName>
    <definedName name="_s3" localSheetId="32" hidden="1">{#N/A,#N/A,TRUE,"CONTENTS";#N/A,#N/A,TRUE,"M2";#N/A,#N/A,TRUE,"M2a";#N/A,#N/A,TRUE,"M2b";#N/A,#N/A,TRUE,"M3";#N/A,#N/A,TRUE,"M3a";#N/A,#N/A,TRUE,"M4-P";#N/A,#N/A,TRUE,"M5";#N/A,#N/A,TRUE,"M6";#N/A,#N/A,TRUE,"M7";#N/A,#N/A,TRUE,"M8";#N/A,#N/A,TRUE,"M9";#N/A,#N/A,TRUE,"M10";#N/A,#N/A,TRUE,"M11";#N/A,#N/A,TRUE,"M13";#N/A,#N/A,TRUE,"M14";#N/A,#N/A,TRUE,"M15";#N/A,#N/A,TRUE,"K1"}</definedName>
    <definedName name="_s3" localSheetId="10" hidden="1">{#N/A,#N/A,TRUE,"CONTENTS";#N/A,#N/A,TRUE,"M2";#N/A,#N/A,TRUE,"M2a";#N/A,#N/A,TRUE,"M2b";#N/A,#N/A,TRUE,"M3";#N/A,#N/A,TRUE,"M3a";#N/A,#N/A,TRUE,"M4-P";#N/A,#N/A,TRUE,"M5";#N/A,#N/A,TRUE,"M6";#N/A,#N/A,TRUE,"M7";#N/A,#N/A,TRUE,"M8";#N/A,#N/A,TRUE,"M9";#N/A,#N/A,TRUE,"M10";#N/A,#N/A,TRUE,"M11";#N/A,#N/A,TRUE,"M13";#N/A,#N/A,TRUE,"M14";#N/A,#N/A,TRUE,"M15";#N/A,#N/A,TRUE,"K1"}</definedName>
    <definedName name="_s3" localSheetId="6" hidden="1">{#N/A,#N/A,TRUE,"CONTENTS";#N/A,#N/A,TRUE,"M2";#N/A,#N/A,TRUE,"M2a";#N/A,#N/A,TRUE,"M2b";#N/A,#N/A,TRUE,"M3";#N/A,#N/A,TRUE,"M3a";#N/A,#N/A,TRUE,"M4-P";#N/A,#N/A,TRUE,"M5";#N/A,#N/A,TRUE,"M6";#N/A,#N/A,TRUE,"M7";#N/A,#N/A,TRUE,"M8";#N/A,#N/A,TRUE,"M9";#N/A,#N/A,TRUE,"M10";#N/A,#N/A,TRUE,"M11";#N/A,#N/A,TRUE,"M13";#N/A,#N/A,TRUE,"M14";#N/A,#N/A,TRUE,"M15";#N/A,#N/A,TRUE,"K1"}</definedName>
    <definedName name="_s3" hidden="1">{#N/A,#N/A,TRUE,"CONTENTS";#N/A,#N/A,TRUE,"M2";#N/A,#N/A,TRUE,"M2a";#N/A,#N/A,TRUE,"M2b";#N/A,#N/A,TRUE,"M3";#N/A,#N/A,TRUE,"M3a";#N/A,#N/A,TRUE,"M4-P";#N/A,#N/A,TRUE,"M5";#N/A,#N/A,TRUE,"M6";#N/A,#N/A,TRUE,"M7";#N/A,#N/A,TRUE,"M8";#N/A,#N/A,TRUE,"M9";#N/A,#N/A,TRUE,"M10";#N/A,#N/A,TRUE,"M11";#N/A,#N/A,TRUE,"M13";#N/A,#N/A,TRUE,"M14";#N/A,#N/A,TRUE,"M15";#N/A,#N/A,TRUE,"K1"}</definedName>
    <definedName name="_sga" hidden="1">#REF!</definedName>
    <definedName name="_sl3" localSheetId="30" hidden="1">{#N/A,#N/A,FALSE,"USMED 3";#N/A,#N/A,FALSE,"MARCHALLENGER 1";#N/A,#N/A,FALSE,"MARCHALLENGER 2";#N/A,#N/A,FALSE,"MARCHALLENGER 3";#N/A,#N/A,FALSE,"MARCHALLENGER 4"}</definedName>
    <definedName name="_sl3" localSheetId="31" hidden="1">{#N/A,#N/A,FALSE,"USMED 3";#N/A,#N/A,FALSE,"MARCHALLENGER 1";#N/A,#N/A,FALSE,"MARCHALLENGER 2";#N/A,#N/A,FALSE,"MARCHALLENGER 3";#N/A,#N/A,FALSE,"MARCHALLENGER 4"}</definedName>
    <definedName name="_sl3" localSheetId="32" hidden="1">{#N/A,#N/A,FALSE,"USMED 3";#N/A,#N/A,FALSE,"MARCHALLENGER 1";#N/A,#N/A,FALSE,"MARCHALLENGER 2";#N/A,#N/A,FALSE,"MARCHALLENGER 3";#N/A,#N/A,FALSE,"MARCHALLENGER 4"}</definedName>
    <definedName name="_sl3" localSheetId="10" hidden="1">{#N/A,#N/A,FALSE,"USMED 3";#N/A,#N/A,FALSE,"MARCHALLENGER 1";#N/A,#N/A,FALSE,"MARCHALLENGER 2";#N/A,#N/A,FALSE,"MARCHALLENGER 3";#N/A,#N/A,FALSE,"MARCHALLENGER 4"}</definedName>
    <definedName name="_sl3" hidden="1">{#N/A,#N/A,FALSE,"USMED 3";#N/A,#N/A,FALSE,"MARCHALLENGER 1";#N/A,#N/A,FALSE,"MARCHALLENGER 2";#N/A,#N/A,FALSE,"MARCHALLENGER 3";#N/A,#N/A,FALSE,"MARCHALLENGER 4"}</definedName>
    <definedName name="_slm3" localSheetId="30" hidden="1">{#N/A,#N/A,FALSE,"USMED 3";#N/A,#N/A,FALSE,"MARCHALLENGER 1";#N/A,#N/A,FALSE,"MARCHALLENGER 2";#N/A,#N/A,FALSE,"MARCHALLENGER 3";#N/A,#N/A,FALSE,"MARCHALLENGER 4"}</definedName>
    <definedName name="_slm3" localSheetId="31" hidden="1">{#N/A,#N/A,FALSE,"USMED 3";#N/A,#N/A,FALSE,"MARCHALLENGER 1";#N/A,#N/A,FALSE,"MARCHALLENGER 2";#N/A,#N/A,FALSE,"MARCHALLENGER 3";#N/A,#N/A,FALSE,"MARCHALLENGER 4"}</definedName>
    <definedName name="_slm3" localSheetId="32" hidden="1">{#N/A,#N/A,FALSE,"USMED 3";#N/A,#N/A,FALSE,"MARCHALLENGER 1";#N/A,#N/A,FALSE,"MARCHALLENGER 2";#N/A,#N/A,FALSE,"MARCHALLENGER 3";#N/A,#N/A,FALSE,"MARCHALLENGER 4"}</definedName>
    <definedName name="_slm3" localSheetId="10" hidden="1">{#N/A,#N/A,FALSE,"USMED 3";#N/A,#N/A,FALSE,"MARCHALLENGER 1";#N/A,#N/A,FALSE,"MARCHALLENGER 2";#N/A,#N/A,FALSE,"MARCHALLENGER 3";#N/A,#N/A,FALSE,"MARCHALLENGER 4"}</definedName>
    <definedName name="_slm3" hidden="1">{#N/A,#N/A,FALSE,"USMED 3";#N/A,#N/A,FALSE,"MARCHALLENGER 1";#N/A,#N/A,FALSE,"MARCHALLENGER 2";#N/A,#N/A,FALSE,"MARCHALLENGER 3";#N/A,#N/A,FALSE,"MARCHALLENGER 4"}</definedName>
    <definedName name="_Sort" localSheetId="1" hidden="1">#REF!</definedName>
    <definedName name="_Sort" hidden="1">#REF!</definedName>
    <definedName name="_sorte" localSheetId="6" hidden="1">#REF!</definedName>
    <definedName name="_sorte" hidden="1">#REF!</definedName>
    <definedName name="_SSK1" localSheetId="30" hidden="1">{#N/A,#N/A,FALSE,"COMP"}</definedName>
    <definedName name="_SSK1" localSheetId="31" hidden="1">{#N/A,#N/A,FALSE,"COMP"}</definedName>
    <definedName name="_SSK1" localSheetId="32" hidden="1">{#N/A,#N/A,FALSE,"COMP"}</definedName>
    <definedName name="_SSK1" localSheetId="10" hidden="1">{#N/A,#N/A,FALSE,"COMP"}</definedName>
    <definedName name="_SSK1" localSheetId="1" hidden="1">{#N/A,#N/A,FALSE,"COMP"}</definedName>
    <definedName name="_SSK1" localSheetId="6" hidden="1">{#N/A,#N/A,FALSE,"COMP"}</definedName>
    <definedName name="_SSK1" hidden="1">{#N/A,#N/A,FALSE,"COMP"}</definedName>
    <definedName name="_T2" localSheetId="30" hidden="1">{#N/A,#N/A,FALSE,"1321";#N/A,#N/A,FALSE,"1324";#N/A,#N/A,FALSE,"1333";#N/A,#N/A,FALSE,"1371"}</definedName>
    <definedName name="_T2" localSheetId="31" hidden="1">{#N/A,#N/A,FALSE,"1321";#N/A,#N/A,FALSE,"1324";#N/A,#N/A,FALSE,"1333";#N/A,#N/A,FALSE,"1371"}</definedName>
    <definedName name="_T2" localSheetId="32" hidden="1">{#N/A,#N/A,FALSE,"1321";#N/A,#N/A,FALSE,"1324";#N/A,#N/A,FALSE,"1333";#N/A,#N/A,FALSE,"1371"}</definedName>
    <definedName name="_T2" localSheetId="10" hidden="1">{#N/A,#N/A,FALSE,"1321";#N/A,#N/A,FALSE,"1324";#N/A,#N/A,FALSE,"1333";#N/A,#N/A,FALSE,"1371"}</definedName>
    <definedName name="_T2" localSheetId="6" hidden="1">{#N/A,#N/A,FALSE,"1321";#N/A,#N/A,FALSE,"1324";#N/A,#N/A,FALSE,"1333";#N/A,#N/A,FALSE,"1371"}</definedName>
    <definedName name="_T2" hidden="1">{#N/A,#N/A,FALSE,"1321";#N/A,#N/A,FALSE,"1324";#N/A,#N/A,FALSE,"1333";#N/A,#N/A,FALSE,"1371"}</definedName>
    <definedName name="_Table1_In1" localSheetId="1" hidden="1">#REF!</definedName>
    <definedName name="_Table1_In1" hidden="1">#REF!</definedName>
    <definedName name="_Table1_Out" localSheetId="1" hidden="1">#REF!</definedName>
    <definedName name="_Table1_Out" hidden="1">#REF!</definedName>
    <definedName name="_Table2_In1" localSheetId="6" hidden="1">#REF!</definedName>
    <definedName name="_Table2_In1" hidden="1">#REF!</definedName>
    <definedName name="_Table2_In2" localSheetId="6" hidden="1">#REF!</definedName>
    <definedName name="_Table2_In2" hidden="1">#REF!</definedName>
    <definedName name="_Table2_Out" hidden="1">#REF!</definedName>
    <definedName name="_tft2" localSheetId="30" hidden="1">{#N/A,#N/A,FALSE,"3";#N/A,#N/A,FALSE,"5";#N/A,#N/A,FALSE,"6";#N/A,#N/A,FALSE,"8";#N/A,#N/A,FALSE,"10";#N/A,#N/A,FALSE,"13";#N/A,#N/A,FALSE,"14";#N/A,#N/A,FALSE,"15";#N/A,#N/A,FALSE,"16"}</definedName>
    <definedName name="_tft2" localSheetId="31" hidden="1">{#N/A,#N/A,FALSE,"3";#N/A,#N/A,FALSE,"5";#N/A,#N/A,FALSE,"6";#N/A,#N/A,FALSE,"8";#N/A,#N/A,FALSE,"10";#N/A,#N/A,FALSE,"13";#N/A,#N/A,FALSE,"14";#N/A,#N/A,FALSE,"15";#N/A,#N/A,FALSE,"16"}</definedName>
    <definedName name="_tft2" localSheetId="32" hidden="1">{#N/A,#N/A,FALSE,"3";#N/A,#N/A,FALSE,"5";#N/A,#N/A,FALSE,"6";#N/A,#N/A,FALSE,"8";#N/A,#N/A,FALSE,"10";#N/A,#N/A,FALSE,"13";#N/A,#N/A,FALSE,"14";#N/A,#N/A,FALSE,"15";#N/A,#N/A,FALSE,"16"}</definedName>
    <definedName name="_tft2" localSheetId="10" hidden="1">{#N/A,#N/A,FALSE,"3";#N/A,#N/A,FALSE,"5";#N/A,#N/A,FALSE,"6";#N/A,#N/A,FALSE,"8";#N/A,#N/A,FALSE,"10";#N/A,#N/A,FALSE,"13";#N/A,#N/A,FALSE,"14";#N/A,#N/A,FALSE,"15";#N/A,#N/A,FALSE,"16"}</definedName>
    <definedName name="_tft2" localSheetId="6" hidden="1">{#N/A,#N/A,FALSE,"3";#N/A,#N/A,FALSE,"5";#N/A,#N/A,FALSE,"6";#N/A,#N/A,FALSE,"8";#N/A,#N/A,FALSE,"10";#N/A,#N/A,FALSE,"13";#N/A,#N/A,FALSE,"14";#N/A,#N/A,FALSE,"15";#N/A,#N/A,FALSE,"16"}</definedName>
    <definedName name="_tft2" hidden="1">{#N/A,#N/A,FALSE,"3";#N/A,#N/A,FALSE,"5";#N/A,#N/A,FALSE,"6";#N/A,#N/A,FALSE,"8";#N/A,#N/A,FALSE,"10";#N/A,#N/A,FALSE,"13";#N/A,#N/A,FALSE,"14";#N/A,#N/A,FALSE,"15";#N/A,#N/A,FALSE,"16"}</definedName>
    <definedName name="_UNDO31X31X_" hidden="1">#REF!</definedName>
    <definedName name="_VOP3" localSheetId="6" hidden="1">#REF!</definedName>
    <definedName name="_VOP3" hidden="1">#REF!</definedName>
    <definedName name="_wip2" hidden="1">{"summary",#N/A,FALSE,"2000 vs 1999";"detail",#N/A,FALSE,"2000 vs 1999"}</definedName>
    <definedName name="_x2" localSheetId="30" hidden="1">{#N/A,#N/A,FALSE,"3";#N/A,#N/A,FALSE,"5";#N/A,#N/A,FALSE,"6";#N/A,#N/A,FALSE,"8";#N/A,#N/A,FALSE,"10";#N/A,#N/A,FALSE,"13";#N/A,#N/A,FALSE,"14";#N/A,#N/A,FALSE,"15";#N/A,#N/A,FALSE,"16"}</definedName>
    <definedName name="_x2" localSheetId="31" hidden="1">{#N/A,#N/A,FALSE,"3";#N/A,#N/A,FALSE,"5";#N/A,#N/A,FALSE,"6";#N/A,#N/A,FALSE,"8";#N/A,#N/A,FALSE,"10";#N/A,#N/A,FALSE,"13";#N/A,#N/A,FALSE,"14";#N/A,#N/A,FALSE,"15";#N/A,#N/A,FALSE,"16"}</definedName>
    <definedName name="_x2" localSheetId="32" hidden="1">{#N/A,#N/A,FALSE,"3";#N/A,#N/A,FALSE,"5";#N/A,#N/A,FALSE,"6";#N/A,#N/A,FALSE,"8";#N/A,#N/A,FALSE,"10";#N/A,#N/A,FALSE,"13";#N/A,#N/A,FALSE,"14";#N/A,#N/A,FALSE,"15";#N/A,#N/A,FALSE,"16"}</definedName>
    <definedName name="_x2" localSheetId="10" hidden="1">{#N/A,#N/A,FALSE,"3";#N/A,#N/A,FALSE,"5";#N/A,#N/A,FALSE,"6";#N/A,#N/A,FALSE,"8";#N/A,#N/A,FALSE,"10";#N/A,#N/A,FALSE,"13";#N/A,#N/A,FALSE,"14";#N/A,#N/A,FALSE,"15";#N/A,#N/A,FALSE,"16"}</definedName>
    <definedName name="_x2" localSheetId="6" hidden="1">{#N/A,#N/A,FALSE,"3";#N/A,#N/A,FALSE,"5";#N/A,#N/A,FALSE,"6";#N/A,#N/A,FALSE,"8";#N/A,#N/A,FALSE,"10";#N/A,#N/A,FALSE,"13";#N/A,#N/A,FALSE,"14";#N/A,#N/A,FALSE,"15";#N/A,#N/A,FALSE,"16"}</definedName>
    <definedName name="_x2" hidden="1">{#N/A,#N/A,FALSE,"3";#N/A,#N/A,FALSE,"5";#N/A,#N/A,FALSE,"6";#N/A,#N/A,FALSE,"8";#N/A,#N/A,FALSE,"10";#N/A,#N/A,FALSE,"13";#N/A,#N/A,FALSE,"14";#N/A,#N/A,FALSE,"15";#N/A,#N/A,FALSE,"16"}</definedName>
    <definedName name="_xlcn.GekoppeldeTabel_Tabel11" localSheetId="6" hidden="1">#REF!</definedName>
    <definedName name="_xlcn.GekoppeldeTabel_Tabel11" hidden="1">#REF!</definedName>
    <definedName name="_xx1" localSheetId="30" hidden="1">{"'Typical Costs Estimates'!$C$158:$H$161"}</definedName>
    <definedName name="_xx1" localSheetId="31" hidden="1">{"'Typical Costs Estimates'!$C$158:$H$161"}</definedName>
    <definedName name="_xx1" localSheetId="32" hidden="1">{"'Typical Costs Estimates'!$C$158:$H$161"}</definedName>
    <definedName name="_xx1" localSheetId="10" hidden="1">{"'Typical Costs Estimates'!$C$158:$H$161"}</definedName>
    <definedName name="_xx1" hidden="1">{"'Typical Costs Estimates'!$C$158:$H$161"}</definedName>
    <definedName name="a" hidden="1">{"summary",#N/A,FALSE,"2000 vs 1999";"detail",#N/A,FALSE,"2000 vs 1999"}</definedName>
    <definedName name="a." localSheetId="30" hidden="1">{#N/A,#N/A,TRUE,"KEY DATA";#N/A,#N/A,TRUE,"KEY DATA Base Case";#N/A,#N/A,TRUE,"JULY";#N/A,#N/A,TRUE,"AUG";#N/A,#N/A,TRUE,"SEPT";#N/A,#N/A,TRUE,"3Q"}</definedName>
    <definedName name="a." localSheetId="31" hidden="1">{#N/A,#N/A,TRUE,"KEY DATA";#N/A,#N/A,TRUE,"KEY DATA Base Case";#N/A,#N/A,TRUE,"JULY";#N/A,#N/A,TRUE,"AUG";#N/A,#N/A,TRUE,"SEPT";#N/A,#N/A,TRUE,"3Q"}</definedName>
    <definedName name="a." localSheetId="32" hidden="1">{#N/A,#N/A,TRUE,"KEY DATA";#N/A,#N/A,TRUE,"KEY DATA Base Case";#N/A,#N/A,TRUE,"JULY";#N/A,#N/A,TRUE,"AUG";#N/A,#N/A,TRUE,"SEPT";#N/A,#N/A,TRUE,"3Q"}</definedName>
    <definedName name="a." localSheetId="10" hidden="1">{#N/A,#N/A,TRUE,"KEY DATA";#N/A,#N/A,TRUE,"KEY DATA Base Case";#N/A,#N/A,TRUE,"JULY";#N/A,#N/A,TRUE,"AUG";#N/A,#N/A,TRUE,"SEPT";#N/A,#N/A,TRUE,"3Q"}</definedName>
    <definedName name="a." localSheetId="6" hidden="1">{#N/A,#N/A,TRUE,"KEY DATA";#N/A,#N/A,TRUE,"KEY DATA Base Case";#N/A,#N/A,TRUE,"JULY";#N/A,#N/A,TRUE,"AUG";#N/A,#N/A,TRUE,"SEPT";#N/A,#N/A,TRUE,"3Q"}</definedName>
    <definedName name="a." hidden="1">{#N/A,#N/A,TRUE,"KEY DATA";#N/A,#N/A,TRUE,"KEY DATA Base Case";#N/A,#N/A,TRUE,"JULY";#N/A,#N/A,TRUE,"AUG";#N/A,#N/A,TRUE,"SEPT";#N/A,#N/A,TRUE,"3Q"}</definedName>
    <definedName name="A.." localSheetId="30" hidden="1">{#N/A,#N/A,TRUE,"KEY DATA";#N/A,#N/A,TRUE,"KEY DATA Base Case";#N/A,#N/A,TRUE,"JULY";#N/A,#N/A,TRUE,"AUG";#N/A,#N/A,TRUE,"SEPT";#N/A,#N/A,TRUE,"3Q"}</definedName>
    <definedName name="A.." localSheetId="31" hidden="1">{#N/A,#N/A,TRUE,"KEY DATA";#N/A,#N/A,TRUE,"KEY DATA Base Case";#N/A,#N/A,TRUE,"JULY";#N/A,#N/A,TRUE,"AUG";#N/A,#N/A,TRUE,"SEPT";#N/A,#N/A,TRUE,"3Q"}</definedName>
    <definedName name="A.." localSheetId="32" hidden="1">{#N/A,#N/A,TRUE,"KEY DATA";#N/A,#N/A,TRUE,"KEY DATA Base Case";#N/A,#N/A,TRUE,"JULY";#N/A,#N/A,TRUE,"AUG";#N/A,#N/A,TRUE,"SEPT";#N/A,#N/A,TRUE,"3Q"}</definedName>
    <definedName name="A.." localSheetId="10" hidden="1">{#N/A,#N/A,TRUE,"KEY DATA";#N/A,#N/A,TRUE,"KEY DATA Base Case";#N/A,#N/A,TRUE,"JULY";#N/A,#N/A,TRUE,"AUG";#N/A,#N/A,TRUE,"SEPT";#N/A,#N/A,TRUE,"3Q"}</definedName>
    <definedName name="A.." localSheetId="6" hidden="1">{#N/A,#N/A,TRUE,"KEY DATA";#N/A,#N/A,TRUE,"KEY DATA Base Case";#N/A,#N/A,TRUE,"JULY";#N/A,#N/A,TRUE,"AUG";#N/A,#N/A,TRUE,"SEPT";#N/A,#N/A,TRUE,"3Q"}</definedName>
    <definedName name="A.." hidden="1">{#N/A,#N/A,TRUE,"KEY DATA";#N/A,#N/A,TRUE,"KEY DATA Base Case";#N/A,#N/A,TRUE,"JULY";#N/A,#N/A,TRUE,"AUG";#N/A,#N/A,TRUE,"SEPT";#N/A,#N/A,TRUE,"3Q"}</definedName>
    <definedName name="AA" hidden="1">#REF!</definedName>
    <definedName name="aaa" localSheetId="3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 localSheetId="3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 localSheetId="3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 localSheetId="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 localSheetI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 localSheetI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 localSheetId="3" hidden="1">#REF!</definedName>
    <definedName name="aa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 localSheetId="30" hidden="1">{#N/A,#N/A,TRUE,"KEY DATA";#N/A,#N/A,TRUE,"KEY DATA Base Case";#N/A,#N/A,TRUE,"JULY";#N/A,#N/A,TRUE,"AUG";#N/A,#N/A,TRUE,"SEPT";#N/A,#N/A,TRUE,"3Q"}</definedName>
    <definedName name="aaa." localSheetId="31" hidden="1">{#N/A,#N/A,TRUE,"KEY DATA";#N/A,#N/A,TRUE,"KEY DATA Base Case";#N/A,#N/A,TRUE,"JULY";#N/A,#N/A,TRUE,"AUG";#N/A,#N/A,TRUE,"SEPT";#N/A,#N/A,TRUE,"3Q"}</definedName>
    <definedName name="aaa." localSheetId="32" hidden="1">{#N/A,#N/A,TRUE,"KEY DATA";#N/A,#N/A,TRUE,"KEY DATA Base Case";#N/A,#N/A,TRUE,"JULY";#N/A,#N/A,TRUE,"AUG";#N/A,#N/A,TRUE,"SEPT";#N/A,#N/A,TRUE,"3Q"}</definedName>
    <definedName name="aaa." localSheetId="10" hidden="1">{#N/A,#N/A,TRUE,"KEY DATA";#N/A,#N/A,TRUE,"KEY DATA Base Case";#N/A,#N/A,TRUE,"JULY";#N/A,#N/A,TRUE,"AUG";#N/A,#N/A,TRUE,"SEPT";#N/A,#N/A,TRUE,"3Q"}</definedName>
    <definedName name="aaa." localSheetId="6" hidden="1">{#N/A,#N/A,TRUE,"KEY DATA";#N/A,#N/A,TRUE,"KEY DATA Base Case";#N/A,#N/A,TRUE,"JULY";#N/A,#N/A,TRUE,"AUG";#N/A,#N/A,TRUE,"SEPT";#N/A,#N/A,TRUE,"3Q"}</definedName>
    <definedName name="aaa." hidden="1">{#N/A,#N/A,TRUE,"KEY DATA";#N/A,#N/A,TRUE,"KEY DATA Base Case";#N/A,#N/A,TRUE,"JULY";#N/A,#N/A,TRUE,"AUG";#N/A,#N/A,TRUE,"SEPT";#N/A,#N/A,TRUE,"3Q"}</definedName>
    <definedName name="AAA_DOCTOPS" hidden="1">"AAA_SET"</definedName>
    <definedName name="AAA_duser" hidden="1">"OFF"</definedName>
    <definedName name="aaaaaaaaa.aaaa." localSheetId="30" hidden="1">{#N/A,#N/A,TRUE,"BALSCH";#N/A,#N/A,TRUE,"COMICRO";#N/A,#N/A,TRUE,"CHECKS";#N/A,#N/A,TRUE,"GLASS";#N/A,#N/A,TRUE,"DEPRE";#N/A,#N/A,TRUE,"A&amp;MCUR";#N/A,#N/A,TRUE,"AGEANAlysis";#N/A,#N/A,TRUE,"CHECKS"}</definedName>
    <definedName name="aaaaaaaaa.aaaa." localSheetId="31" hidden="1">{#N/A,#N/A,TRUE,"BALSCH";#N/A,#N/A,TRUE,"COMICRO";#N/A,#N/A,TRUE,"CHECKS";#N/A,#N/A,TRUE,"GLASS";#N/A,#N/A,TRUE,"DEPRE";#N/A,#N/A,TRUE,"A&amp;MCUR";#N/A,#N/A,TRUE,"AGEANAlysis";#N/A,#N/A,TRUE,"CHECKS"}</definedName>
    <definedName name="aaaaaaaaa.aaaa." localSheetId="32" hidden="1">{#N/A,#N/A,TRUE,"BALSCH";#N/A,#N/A,TRUE,"COMICRO";#N/A,#N/A,TRUE,"CHECKS";#N/A,#N/A,TRUE,"GLASS";#N/A,#N/A,TRUE,"DEPRE";#N/A,#N/A,TRUE,"A&amp;MCUR";#N/A,#N/A,TRUE,"AGEANAlysis";#N/A,#N/A,TRUE,"CHECKS"}</definedName>
    <definedName name="aaaaaaaaa.aaaa." localSheetId="10" hidden="1">{#N/A,#N/A,TRUE,"BALSCH";#N/A,#N/A,TRUE,"COMICRO";#N/A,#N/A,TRUE,"CHECKS";#N/A,#N/A,TRUE,"GLASS";#N/A,#N/A,TRUE,"DEPRE";#N/A,#N/A,TRUE,"A&amp;MCUR";#N/A,#N/A,TRUE,"AGEANAlysis";#N/A,#N/A,TRUE,"CHECKS"}</definedName>
    <definedName name="aaaaaaaaa.aaaa." localSheetId="1" hidden="1">{#N/A,#N/A,TRUE,"BALSCH";#N/A,#N/A,TRUE,"COMICRO";#N/A,#N/A,TRUE,"CHECKS";#N/A,#N/A,TRUE,"GLASS";#N/A,#N/A,TRUE,"DEPRE";#N/A,#N/A,TRUE,"A&amp;MCUR";#N/A,#N/A,TRUE,"AGEANAlysis";#N/A,#N/A,TRUE,"CHECKS"}</definedName>
    <definedName name="aaaaaaaaa.aaaa." localSheetId="6" hidden="1">{#N/A,#N/A,TRUE,"BALSCH";#N/A,#N/A,TRUE,"COMICRO";#N/A,#N/A,TRUE,"CHECKS";#N/A,#N/A,TRUE,"GLASS";#N/A,#N/A,TRUE,"DEPRE";#N/A,#N/A,TRUE,"A&amp;MCUR";#N/A,#N/A,TRUE,"AGEANAlysis";#N/A,#N/A,TRUE,"CHECKS"}</definedName>
    <definedName name="aaaaaaaaa.aaaa." hidden="1">{#N/A,#N/A,TRUE,"BALSCH";#N/A,#N/A,TRUE,"COMICRO";#N/A,#N/A,TRUE,"CHECKS";#N/A,#N/A,TRUE,"GLASS";#N/A,#N/A,TRUE,"DEPRE";#N/A,#N/A,TRUE,"A&amp;MCUR";#N/A,#N/A,TRUE,"AGEANAlysis";#N/A,#N/A,TRUE,"CHECKS"}</definedName>
    <definedName name="AAAAAAAAAAAAAAAAAAAAAAAAAAAAAAAAAAAAAA" localSheetId="30" hidden="1">{#N/A,#N/A,FALSE,"USMED 3";#N/A,#N/A,FALSE,"MARCHALLENGER 1";#N/A,#N/A,FALSE,"MARCHALLENGER 2";#N/A,#N/A,FALSE,"MARCHALLENGER 3";#N/A,#N/A,FALSE,"MARCHALLENGER 4"}</definedName>
    <definedName name="AAAAAAAAAAAAAAAAAAAAAAAAAAAAAAAAAAAAAA" localSheetId="31" hidden="1">{#N/A,#N/A,FALSE,"USMED 3";#N/A,#N/A,FALSE,"MARCHALLENGER 1";#N/A,#N/A,FALSE,"MARCHALLENGER 2";#N/A,#N/A,FALSE,"MARCHALLENGER 3";#N/A,#N/A,FALSE,"MARCHALLENGER 4"}</definedName>
    <definedName name="AAAAAAAAAAAAAAAAAAAAAAAAAAAAAAAAAAAAAA" localSheetId="32" hidden="1">{#N/A,#N/A,FALSE,"USMED 3";#N/A,#N/A,FALSE,"MARCHALLENGER 1";#N/A,#N/A,FALSE,"MARCHALLENGER 2";#N/A,#N/A,FALSE,"MARCHALLENGER 3";#N/A,#N/A,FALSE,"MARCHALLENGER 4"}</definedName>
    <definedName name="AAAAAAAAAAAAAAAAAAAAAAAAAAAAAAAAAAAAAA" localSheetId="10" hidden="1">{#N/A,#N/A,FALSE,"USMED 3";#N/A,#N/A,FALSE,"MARCHALLENGER 1";#N/A,#N/A,FALSE,"MARCHALLENGER 2";#N/A,#N/A,FALSE,"MARCHALLENGER 3";#N/A,#N/A,FALSE,"MARCHALLENGER 4"}</definedName>
    <definedName name="AAAAAAAAAAAAAAAAAAAAAAAAAAAAAAAAAAAAAA" hidden="1">{#N/A,#N/A,FALSE,"USMED 3";#N/A,#N/A,FALSE,"MARCHALLENGER 1";#N/A,#N/A,FALSE,"MARCHALLENGER 2";#N/A,#N/A,FALSE,"MARCHALLENGER 3";#N/A,#N/A,FALSE,"MARCHALLENGER 4"}</definedName>
    <definedName name="aaaasdf" localSheetId="30" hidden="1">{#N/A,#N/A,TRUE,"GEM Total";#N/A,#N/A,TRUE,"Final Assembly";#N/A,#N/A,TRUE,"Cleaning";#N/A,#N/A,TRUE,"Schooping,Clearing";#N/A,#N/A,TRUE,"Winding"}</definedName>
    <definedName name="aaaasdf" localSheetId="31" hidden="1">{#N/A,#N/A,TRUE,"GEM Total";#N/A,#N/A,TRUE,"Final Assembly";#N/A,#N/A,TRUE,"Cleaning";#N/A,#N/A,TRUE,"Schooping,Clearing";#N/A,#N/A,TRUE,"Winding"}</definedName>
    <definedName name="aaaasdf" localSheetId="32" hidden="1">{#N/A,#N/A,TRUE,"GEM Total";#N/A,#N/A,TRUE,"Final Assembly";#N/A,#N/A,TRUE,"Cleaning";#N/A,#N/A,TRUE,"Schooping,Clearing";#N/A,#N/A,TRUE,"Winding"}</definedName>
    <definedName name="aaaasdf" localSheetId="10" hidden="1">{#N/A,#N/A,TRUE,"GEM Total";#N/A,#N/A,TRUE,"Final Assembly";#N/A,#N/A,TRUE,"Cleaning";#N/A,#N/A,TRUE,"Schooping,Clearing";#N/A,#N/A,TRUE,"Winding"}</definedName>
    <definedName name="aaaasdf" localSheetId="6" hidden="1">{#N/A,#N/A,TRUE,"GEM Total";#N/A,#N/A,TRUE,"Final Assembly";#N/A,#N/A,TRUE,"Cleaning";#N/A,#N/A,TRUE,"Schooping,Clearing";#N/A,#N/A,TRUE,"Winding"}</definedName>
    <definedName name="aaaasdf" hidden="1">{#N/A,#N/A,TRUE,"GEM Total";#N/A,#N/A,TRUE,"Final Assembly";#N/A,#N/A,TRUE,"Cleaning";#N/A,#N/A,TRUE,"Schooping,Clearing";#N/A,#N/A,TRUE,"Winding"}</definedName>
    <definedName name="aaaassss" localSheetId="30" hidden="1">{#N/A,#N/A,TRUE,"GEM Total";#N/A,#N/A,TRUE,"Final Assembly";#N/A,#N/A,TRUE,"Cleaning";#N/A,#N/A,TRUE,"Schooping,Clearing";#N/A,#N/A,TRUE,"Winding"}</definedName>
    <definedName name="aaaassss" localSheetId="31" hidden="1">{#N/A,#N/A,TRUE,"GEM Total";#N/A,#N/A,TRUE,"Final Assembly";#N/A,#N/A,TRUE,"Cleaning";#N/A,#N/A,TRUE,"Schooping,Clearing";#N/A,#N/A,TRUE,"Winding"}</definedName>
    <definedName name="aaaassss" localSheetId="32" hidden="1">{#N/A,#N/A,TRUE,"GEM Total";#N/A,#N/A,TRUE,"Final Assembly";#N/A,#N/A,TRUE,"Cleaning";#N/A,#N/A,TRUE,"Schooping,Clearing";#N/A,#N/A,TRUE,"Winding"}</definedName>
    <definedName name="aaaassss" localSheetId="10" hidden="1">{#N/A,#N/A,TRUE,"GEM Total";#N/A,#N/A,TRUE,"Final Assembly";#N/A,#N/A,TRUE,"Cleaning";#N/A,#N/A,TRUE,"Schooping,Clearing";#N/A,#N/A,TRUE,"Winding"}</definedName>
    <definedName name="aaaassss" localSheetId="6" hidden="1">{#N/A,#N/A,TRUE,"GEM Total";#N/A,#N/A,TRUE,"Final Assembly";#N/A,#N/A,TRUE,"Cleaning";#N/A,#N/A,TRUE,"Schooping,Clearing";#N/A,#N/A,TRUE,"Winding"}</definedName>
    <definedName name="aaaassss" hidden="1">{#N/A,#N/A,TRUE,"GEM Total";#N/A,#N/A,TRUE,"Final Assembly";#N/A,#N/A,TRUE,"Cleaning";#N/A,#N/A,TRUE,"Schooping,Clearing";#N/A,#N/A,TRUE,"Winding"}</definedName>
    <definedName name="aab" localSheetId="30" hidden="1">{"'Mach'!$A$1:$D$39"}</definedName>
    <definedName name="aab" localSheetId="31" hidden="1">{"'Mach'!$A$1:$D$39"}</definedName>
    <definedName name="aab" localSheetId="32" hidden="1">{"'Mach'!$A$1:$D$39"}</definedName>
    <definedName name="aab" localSheetId="10" hidden="1">{"'Mach'!$A$1:$D$39"}</definedName>
    <definedName name="aab" localSheetId="1" hidden="1">{"'Mach'!$A$1:$D$39"}</definedName>
    <definedName name="aab" localSheetId="6" hidden="1">{"'Mach'!$A$1:$D$39"}</definedName>
    <definedName name="aab" hidden="1">{"'Mach'!$A$1:$D$39"}</definedName>
    <definedName name="AAB_Addin5" hidden="1">"AAB_Description for addin 5,Description for addin 5,Description for addin 5,Description for addin 5,Description for addin 5,Description for addin 5"</definedName>
    <definedName name="Aan" hidden="1">2</definedName>
    <definedName name="aasasasASasASasASasASasASAsAa" localSheetId="30" hidden="1">{#N/A,#N/A,TRUE,"BALSCH";#N/A,#N/A,TRUE,"COMICRO";#N/A,#N/A,TRUE,"CHECKS";#N/A,#N/A,TRUE,"GLASS";#N/A,#N/A,TRUE,"DEPRE";#N/A,#N/A,TRUE,"A&amp;MCUR";#N/A,#N/A,TRUE,"AGEANAlysis";#N/A,#N/A,TRUE,"CHECKS"}</definedName>
    <definedName name="aasasasASasASasASasASasASAsAa" localSheetId="31" hidden="1">{#N/A,#N/A,TRUE,"BALSCH";#N/A,#N/A,TRUE,"COMICRO";#N/A,#N/A,TRUE,"CHECKS";#N/A,#N/A,TRUE,"GLASS";#N/A,#N/A,TRUE,"DEPRE";#N/A,#N/A,TRUE,"A&amp;MCUR";#N/A,#N/A,TRUE,"AGEANAlysis";#N/A,#N/A,TRUE,"CHECKS"}</definedName>
    <definedName name="aasasasASasASasASasASasASAsAa" localSheetId="32" hidden="1">{#N/A,#N/A,TRUE,"BALSCH";#N/A,#N/A,TRUE,"COMICRO";#N/A,#N/A,TRUE,"CHECKS";#N/A,#N/A,TRUE,"GLASS";#N/A,#N/A,TRUE,"DEPRE";#N/A,#N/A,TRUE,"A&amp;MCUR";#N/A,#N/A,TRUE,"AGEANAlysis";#N/A,#N/A,TRUE,"CHECKS"}</definedName>
    <definedName name="aasasasASasASasASasASasASAsAa" localSheetId="10" hidden="1">{#N/A,#N/A,TRUE,"BALSCH";#N/A,#N/A,TRUE,"COMICRO";#N/A,#N/A,TRUE,"CHECKS";#N/A,#N/A,TRUE,"GLASS";#N/A,#N/A,TRUE,"DEPRE";#N/A,#N/A,TRUE,"A&amp;MCUR";#N/A,#N/A,TRUE,"AGEANAlysis";#N/A,#N/A,TRUE,"CHECKS"}</definedName>
    <definedName name="aasasasASasASasASasASasASAsAa" localSheetId="1" hidden="1">{#N/A,#N/A,TRUE,"BALSCH";#N/A,#N/A,TRUE,"COMICRO";#N/A,#N/A,TRUE,"CHECKS";#N/A,#N/A,TRUE,"GLASS";#N/A,#N/A,TRUE,"DEPRE";#N/A,#N/A,TRUE,"A&amp;MCUR";#N/A,#N/A,TRUE,"AGEANAlysis";#N/A,#N/A,TRUE,"CHECKS"}</definedName>
    <definedName name="aasasasASasASasASasASasASAsAa" localSheetId="6" hidden="1">{#N/A,#N/A,TRUE,"BALSCH";#N/A,#N/A,TRUE,"COMICRO";#N/A,#N/A,TRUE,"CHECKS";#N/A,#N/A,TRUE,"GLASS";#N/A,#N/A,TRUE,"DEPRE";#N/A,#N/A,TRUE,"A&amp;MCUR";#N/A,#N/A,TRUE,"AGEANAlysis";#N/A,#N/A,TRUE,"CHECKS"}</definedName>
    <definedName name="aasasasASasASasASasASasASAsAa" hidden="1">{#N/A,#N/A,TRUE,"BALSCH";#N/A,#N/A,TRUE,"COMICRO";#N/A,#N/A,TRUE,"CHECKS";#N/A,#N/A,TRUE,"GLASS";#N/A,#N/A,TRUE,"DEPRE";#N/A,#N/A,TRUE,"A&amp;MCUR";#N/A,#N/A,TRUE,"AGEANAlysis";#N/A,#N/A,TRUE,"CHECKS"}</definedName>
    <definedName name="aASASD" localSheetId="30" hidden="1">{#N/A,#N/A,TRUE,"Summary";#N/A,#N/A,TRUE,"IS";#N/A,#N/A,TRUE,"Adj";#N/A,#N/A,TRUE,"BS";#N/A,#N/A,TRUE,"CF";#N/A,#N/A,TRUE,"Debt";#N/A,#N/A,TRUE,"IRR"}</definedName>
    <definedName name="aASASD" localSheetId="31" hidden="1">{#N/A,#N/A,TRUE,"Summary";#N/A,#N/A,TRUE,"IS";#N/A,#N/A,TRUE,"Adj";#N/A,#N/A,TRUE,"BS";#N/A,#N/A,TRUE,"CF";#N/A,#N/A,TRUE,"Debt";#N/A,#N/A,TRUE,"IRR"}</definedName>
    <definedName name="aASASD" localSheetId="32" hidden="1">{#N/A,#N/A,TRUE,"Summary";#N/A,#N/A,TRUE,"IS";#N/A,#N/A,TRUE,"Adj";#N/A,#N/A,TRUE,"BS";#N/A,#N/A,TRUE,"CF";#N/A,#N/A,TRUE,"Debt";#N/A,#N/A,TRUE,"IRR"}</definedName>
    <definedName name="aASASD" localSheetId="10" hidden="1">{#N/A,#N/A,TRUE,"Summary";#N/A,#N/A,TRUE,"IS";#N/A,#N/A,TRUE,"Adj";#N/A,#N/A,TRUE,"BS";#N/A,#N/A,TRUE,"CF";#N/A,#N/A,TRUE,"Debt";#N/A,#N/A,TRUE,"IRR"}</definedName>
    <definedName name="aASASD" localSheetId="1" hidden="1">{#N/A,#N/A,TRUE,"Summary";#N/A,#N/A,TRUE,"IS";#N/A,#N/A,TRUE,"Adj";#N/A,#N/A,TRUE,"BS";#N/A,#N/A,TRUE,"CF";#N/A,#N/A,TRUE,"Debt";#N/A,#N/A,TRUE,"IRR"}</definedName>
    <definedName name="aASASD" localSheetId="6" hidden="1">{#N/A,#N/A,TRUE,"Summary";#N/A,#N/A,TRUE,"IS";#N/A,#N/A,TRUE,"Adj";#N/A,#N/A,TRUE,"BS";#N/A,#N/A,TRUE,"CF";#N/A,#N/A,TRUE,"Debt";#N/A,#N/A,TRUE,"IRR"}</definedName>
    <definedName name="aASASD" hidden="1">{#N/A,#N/A,TRUE,"Summary";#N/A,#N/A,TRUE,"IS";#N/A,#N/A,TRUE,"Adj";#N/A,#N/A,TRUE,"BS";#N/A,#N/A,TRUE,"CF";#N/A,#N/A,TRUE,"Debt";#N/A,#N/A,TRUE,"IRR"}</definedName>
    <definedName name="AASD" hidden="1">{"summary",#N/A,FALSE,"2000 vs 1999";"detail",#N/A,FALSE,"2000 vs 1999"}</definedName>
    <definedName name="ab" hidden="1">{"summary",#N/A,FALSE,"2000 vs 1999";"detail",#N/A,FALSE,"2000 vs 1999"}</definedName>
    <definedName name="ababsd" hidden="1">{"summary",#N/A,FALSE,"2000 vs 1999";"detail",#N/A,FALSE,"2000 vs 1999"}</definedName>
    <definedName name="abc.doc" localSheetId="30" hidden="1">{"'Income Statement'!$D$96:$E$101"}</definedName>
    <definedName name="abc.doc" localSheetId="31" hidden="1">{"'Income Statement'!$D$96:$E$101"}</definedName>
    <definedName name="abc.doc" localSheetId="32" hidden="1">{"'Income Statement'!$D$96:$E$101"}</definedName>
    <definedName name="abc.doc" localSheetId="10" hidden="1">{"'Income Statement'!$D$96:$E$101"}</definedName>
    <definedName name="abc.doc" localSheetId="1" hidden="1">{"'Income Statement'!$D$96:$E$101"}</definedName>
    <definedName name="abc.doc" localSheetId="6" hidden="1">{"'Income Statement'!$D$96:$E$101"}</definedName>
    <definedName name="abc.doc" hidden="1">{"'Income Statement'!$D$96:$E$101"}</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"C:\accts\AUD97_98.mdb"</definedName>
    <definedName name="actual" localSheetId="30" hidden="1">{#N/A,#N/A,FALSE,"Cash Flows";#N/A,#N/A,FALSE,"Fixed Assets";#N/A,#N/A,FALSE,"Balance Sheet";#N/A,#N/A,FALSE,"P &amp; L"}</definedName>
    <definedName name="actual" localSheetId="31" hidden="1">{#N/A,#N/A,FALSE,"Cash Flows";#N/A,#N/A,FALSE,"Fixed Assets";#N/A,#N/A,FALSE,"Balance Sheet";#N/A,#N/A,FALSE,"P &amp; L"}</definedName>
    <definedName name="actual" localSheetId="32" hidden="1">{#N/A,#N/A,FALSE,"Cash Flows";#N/A,#N/A,FALSE,"Fixed Assets";#N/A,#N/A,FALSE,"Balance Sheet";#N/A,#N/A,FALSE,"P &amp; L"}</definedName>
    <definedName name="actual" localSheetId="10" hidden="1">{#N/A,#N/A,FALSE,"Cash Flows";#N/A,#N/A,FALSE,"Fixed Assets";#N/A,#N/A,FALSE,"Balance Sheet";#N/A,#N/A,FALSE,"P &amp; L"}</definedName>
    <definedName name="actual" hidden="1">{#N/A,#N/A,FALSE,"Cash Flows";#N/A,#N/A,FALSE,"Fixed Assets";#N/A,#N/A,FALSE,"Balance Sheet";#N/A,#N/A,FALSE,"P &amp; L"}</definedName>
    <definedName name="ad" hidden="1">{"summary",#N/A,FALSE,"2000 vs 1999";"detail",#N/A,FALSE,"2000 vs 1999"}</definedName>
    <definedName name="ada" localSheetId="30" hidden="1">{#N/A,#N/A,FALSE,"3";#N/A,#N/A,FALSE,"5";#N/A,#N/A,FALSE,"6";#N/A,#N/A,FALSE,"8";#N/A,#N/A,FALSE,"10";#N/A,#N/A,FALSE,"13";#N/A,#N/A,FALSE,"14";#N/A,#N/A,FALSE,"15";#N/A,#N/A,FALSE,"16"}</definedName>
    <definedName name="ada" localSheetId="31" hidden="1">{#N/A,#N/A,FALSE,"3";#N/A,#N/A,FALSE,"5";#N/A,#N/A,FALSE,"6";#N/A,#N/A,FALSE,"8";#N/A,#N/A,FALSE,"10";#N/A,#N/A,FALSE,"13";#N/A,#N/A,FALSE,"14";#N/A,#N/A,FALSE,"15";#N/A,#N/A,FALSE,"16"}</definedName>
    <definedName name="ada" localSheetId="32" hidden="1">{#N/A,#N/A,FALSE,"3";#N/A,#N/A,FALSE,"5";#N/A,#N/A,FALSE,"6";#N/A,#N/A,FALSE,"8";#N/A,#N/A,FALSE,"10";#N/A,#N/A,FALSE,"13";#N/A,#N/A,FALSE,"14";#N/A,#N/A,FALSE,"15";#N/A,#N/A,FALSE,"16"}</definedName>
    <definedName name="ada" localSheetId="10" hidden="1">{#N/A,#N/A,FALSE,"3";#N/A,#N/A,FALSE,"5";#N/A,#N/A,FALSE,"6";#N/A,#N/A,FALSE,"8";#N/A,#N/A,FALSE,"10";#N/A,#N/A,FALSE,"13";#N/A,#N/A,FALSE,"14";#N/A,#N/A,FALSE,"15";#N/A,#N/A,FALSE,"16"}</definedName>
    <definedName name="ada" localSheetId="6" hidden="1">{#N/A,#N/A,FALSE,"3";#N/A,#N/A,FALSE,"5";#N/A,#N/A,FALSE,"6";#N/A,#N/A,FALSE,"8";#N/A,#N/A,FALSE,"10";#N/A,#N/A,FALSE,"13";#N/A,#N/A,FALSE,"14";#N/A,#N/A,FALSE,"15";#N/A,#N/A,FALSE,"16"}</definedName>
    <definedName name="ada" hidden="1">{#N/A,#N/A,FALSE,"3";#N/A,#N/A,FALSE,"5";#N/A,#N/A,FALSE,"6";#N/A,#N/A,FALSE,"8";#N/A,#N/A,FALSE,"10";#N/A,#N/A,FALSE,"13";#N/A,#N/A,FALSE,"14";#N/A,#N/A,FALSE,"15";#N/A,#N/A,FALSE,"16"}</definedName>
    <definedName name="adasa" hidden="1">{"summary",#N/A,FALSE,"2000 vs 1999";"detail",#N/A,FALSE,"2000 vs 1999"}</definedName>
    <definedName name="add" localSheetId="30" hidden="1">{"Inputs",#N/A,FALSE,"Data Reduction";"Outputs",#N/A,FALSE,"Data Reduction";"Cycle Deck Comparison",#N/A,FALSE,"Data Reduction"}</definedName>
    <definedName name="add" localSheetId="31" hidden="1">{"Inputs",#N/A,FALSE,"Data Reduction";"Outputs",#N/A,FALSE,"Data Reduction";"Cycle Deck Comparison",#N/A,FALSE,"Data Reduction"}</definedName>
    <definedName name="add" localSheetId="32" hidden="1">{"Inputs",#N/A,FALSE,"Data Reduction";"Outputs",#N/A,FALSE,"Data Reduction";"Cycle Deck Comparison",#N/A,FALSE,"Data Reduction"}</definedName>
    <definedName name="add" localSheetId="10" hidden="1">{"Inputs",#N/A,FALSE,"Data Reduction";"Outputs",#N/A,FALSE,"Data Reduction";"Cycle Deck Comparison",#N/A,FALSE,"Data Reduction"}</definedName>
    <definedName name="add" localSheetId="6" hidden="1">{"Inputs",#N/A,FALSE,"Data Reduction";"Outputs",#N/A,FALSE,"Data Reduction";"Cycle Deck Comparison",#N/A,FALSE,"Data Reduction"}</definedName>
    <definedName name="add" hidden="1">{"Inputs",#N/A,FALSE,"Data Reduction";"Outputs",#N/A,FALSE,"Data Reduction";"Cycle Deck Comparison",#N/A,FALSE,"Data Reduction"}</definedName>
    <definedName name="additions" localSheetId="30" hidden="1">{#N/A,#N/A,FALSE,"COMP"}</definedName>
    <definedName name="additions" localSheetId="31" hidden="1">{#N/A,#N/A,FALSE,"COMP"}</definedName>
    <definedName name="additions" localSheetId="32" hidden="1">{#N/A,#N/A,FALSE,"COMP"}</definedName>
    <definedName name="additions" localSheetId="10" hidden="1">{#N/A,#N/A,FALSE,"COMP"}</definedName>
    <definedName name="additions" localSheetId="1" hidden="1">{#N/A,#N/A,FALSE,"COMP"}</definedName>
    <definedName name="additions" localSheetId="6" hidden="1">{#N/A,#N/A,FALSE,"COMP"}</definedName>
    <definedName name="additions" hidden="1">{#N/A,#N/A,FALSE,"COMP"}</definedName>
    <definedName name="ads\" localSheetId="6" hidden="1">#REF!</definedName>
    <definedName name="ads\" hidden="1">#REF!</definedName>
    <definedName name="af" hidden="1">{"summary",#N/A,FALSE,"2000 vs 1999";"detail",#N/A,FALSE,"2000 vs 1999"}</definedName>
    <definedName name="afasf" localSheetId="30" hidden="1">{#N/A,#N/A,FALSE,"3";#N/A,#N/A,FALSE,"5";#N/A,#N/A,FALSE,"6";#N/A,#N/A,FALSE,"8";#N/A,#N/A,FALSE,"10";#N/A,#N/A,FALSE,"13";#N/A,#N/A,FALSE,"14";#N/A,#N/A,FALSE,"15";#N/A,#N/A,FALSE,"16"}</definedName>
    <definedName name="afasf" localSheetId="31" hidden="1">{#N/A,#N/A,FALSE,"3";#N/A,#N/A,FALSE,"5";#N/A,#N/A,FALSE,"6";#N/A,#N/A,FALSE,"8";#N/A,#N/A,FALSE,"10";#N/A,#N/A,FALSE,"13";#N/A,#N/A,FALSE,"14";#N/A,#N/A,FALSE,"15";#N/A,#N/A,FALSE,"16"}</definedName>
    <definedName name="afasf" localSheetId="32" hidden="1">{#N/A,#N/A,FALSE,"3";#N/A,#N/A,FALSE,"5";#N/A,#N/A,FALSE,"6";#N/A,#N/A,FALSE,"8";#N/A,#N/A,FALSE,"10";#N/A,#N/A,FALSE,"13";#N/A,#N/A,FALSE,"14";#N/A,#N/A,FALSE,"15";#N/A,#N/A,FALSE,"16"}</definedName>
    <definedName name="afasf" localSheetId="10" hidden="1">{#N/A,#N/A,FALSE,"3";#N/A,#N/A,FALSE,"5";#N/A,#N/A,FALSE,"6";#N/A,#N/A,FALSE,"8";#N/A,#N/A,FALSE,"10";#N/A,#N/A,FALSE,"13";#N/A,#N/A,FALSE,"14";#N/A,#N/A,FALSE,"15";#N/A,#N/A,FALSE,"16"}</definedName>
    <definedName name="afasf" localSheetId="6" hidden="1">{#N/A,#N/A,FALSE,"3";#N/A,#N/A,FALSE,"5";#N/A,#N/A,FALSE,"6";#N/A,#N/A,FALSE,"8";#N/A,#N/A,FALSE,"10";#N/A,#N/A,FALSE,"13";#N/A,#N/A,FALSE,"14";#N/A,#N/A,FALSE,"15";#N/A,#N/A,FALSE,"16"}</definedName>
    <definedName name="afasf" hidden="1">{#N/A,#N/A,FALSE,"3";#N/A,#N/A,FALSE,"5";#N/A,#N/A,FALSE,"6";#N/A,#N/A,FALSE,"8";#N/A,#N/A,FALSE,"10";#N/A,#N/A,FALSE,"13";#N/A,#N/A,FALSE,"14";#N/A,#N/A,FALSE,"15";#N/A,#N/A,FALSE,"16"}</definedName>
    <definedName name="age" localSheetId="30" hidden="1">{#N/A,#N/A,FALSE,"Aging Summary";#N/A,#N/A,FALSE,"Ratio Analysis";#N/A,#N/A,FALSE,"Test 120 Day Accts";#N/A,#N/A,FALSE,"Tickmarks"}</definedName>
    <definedName name="age" localSheetId="31" hidden="1">{#N/A,#N/A,FALSE,"Aging Summary";#N/A,#N/A,FALSE,"Ratio Analysis";#N/A,#N/A,FALSE,"Test 120 Day Accts";#N/A,#N/A,FALSE,"Tickmarks"}</definedName>
    <definedName name="age" localSheetId="32" hidden="1">{#N/A,#N/A,FALSE,"Aging Summary";#N/A,#N/A,FALSE,"Ratio Analysis";#N/A,#N/A,FALSE,"Test 120 Day Accts";#N/A,#N/A,FALSE,"Tickmarks"}</definedName>
    <definedName name="age" localSheetId="10" hidden="1">{#N/A,#N/A,FALSE,"Aging Summary";#N/A,#N/A,FALSE,"Ratio Analysis";#N/A,#N/A,FALSE,"Test 120 Day Accts";#N/A,#N/A,FALSE,"Tickmarks"}</definedName>
    <definedName name="age" localSheetId="1" hidden="1">{#N/A,#N/A,FALSE,"Aging Summary";#N/A,#N/A,FALSE,"Ratio Analysis";#N/A,#N/A,FALSE,"Test 120 Day Accts";#N/A,#N/A,FALSE,"Tickmarks"}</definedName>
    <definedName name="age" localSheetId="6" hidden="1">{#N/A,#N/A,FALSE,"Aging Summary";#N/A,#N/A,FALSE,"Ratio Analysis";#N/A,#N/A,FALSE,"Test 120 Day Accts";#N/A,#N/A,FALSE,"Tickmarks"}</definedName>
    <definedName name="age" hidden="1">{#N/A,#N/A,FALSE,"Aging Summary";#N/A,#N/A,FALSE,"Ratio Analysis";#N/A,#N/A,FALSE,"Test 120 Day Accts";#N/A,#N/A,FALSE,"Tickmarks"}</definedName>
    <definedName name="Ahdhdhd" localSheetId="30" hidden="1">{"Inputs",#N/A,FALSE,"Data Reduction";"Outputs",#N/A,FALSE,"Data Reduction";"Cycle Deck Comparison",#N/A,FALSE,"Data Reduction"}</definedName>
    <definedName name="Ahdhdhd" localSheetId="31" hidden="1">{"Inputs",#N/A,FALSE,"Data Reduction";"Outputs",#N/A,FALSE,"Data Reduction";"Cycle Deck Comparison",#N/A,FALSE,"Data Reduction"}</definedName>
    <definedName name="Ahdhdhd" localSheetId="32" hidden="1">{"Inputs",#N/A,FALSE,"Data Reduction";"Outputs",#N/A,FALSE,"Data Reduction";"Cycle Deck Comparison",#N/A,FALSE,"Data Reduction"}</definedName>
    <definedName name="Ahdhdhd" localSheetId="10" hidden="1">{"Inputs",#N/A,FALSE,"Data Reduction";"Outputs",#N/A,FALSE,"Data Reduction";"Cycle Deck Comparison",#N/A,FALSE,"Data Reduction"}</definedName>
    <definedName name="Ahdhdhd" localSheetId="6" hidden="1">{"Inputs",#N/A,FALSE,"Data Reduction";"Outputs",#N/A,FALSE,"Data Reduction";"Cycle Deck Comparison",#N/A,FALSE,"Data Reduction"}</definedName>
    <definedName name="Ahdhdhd" hidden="1">{"Inputs",#N/A,FALSE,"Data Reduction";"Outputs",#N/A,FALSE,"Data Reduction";"Cycle Deck Comparison",#N/A,FALSE,"Data Reduction"}</definedName>
    <definedName name="ALN" hidden="1">#REF!</definedName>
    <definedName name="ANNUITY" localSheetId="30" hidden="1">{"'Typical Costs Estimates'!$C$158:$H$161"}</definedName>
    <definedName name="ANNUITY" localSheetId="31" hidden="1">{"'Typical Costs Estimates'!$C$158:$H$161"}</definedName>
    <definedName name="ANNUITY" localSheetId="32" hidden="1">{"'Typical Costs Estimates'!$C$158:$H$161"}</definedName>
    <definedName name="ANNUITY" localSheetId="10" hidden="1">{"'Typical Costs Estimates'!$C$158:$H$161"}</definedName>
    <definedName name="ANNUITY" hidden="1">{"'Typical Costs Estimates'!$C$158:$H$161"}</definedName>
    <definedName name="anscount" hidden="1">3</definedName>
    <definedName name="APC" hidden="1">{"Summary analysis",#N/A,FALSE,"Total";"OCPH analysis",#N/A,FALSE,"Total";"detail analysis",#N/A,FALSE,"Total"}</definedName>
    <definedName name="apdpapdejdmdl" hidden="1">{"summary",#N/A,FALSE,"2000 vs 1999";"detail",#N/A,FALSE,"2000 vs 1999"}</definedName>
    <definedName name="App" hidden="1">#REF!</definedName>
    <definedName name="April" hidden="1">{"summary",#N/A,FALSE,"2000 vs 1999";"detail",#N/A,FALSE,"2000 vs 1999"}</definedName>
    <definedName name="AR" hidden="1">{"summary",#N/A,FALSE,"2000 vs 1999";"detail",#N/A,FALSE,"2000 vs 1999"}</definedName>
    <definedName name="arfaef" hidden="1">#N/A</definedName>
    <definedName name="as" hidden="1">#REF!</definedName>
    <definedName name="AS2DocOpenMode" hidden="1">"AS2DocumentEdit"</definedName>
    <definedName name="AS2HasNoAutoHeaderFooter" hidden="1">" "</definedName>
    <definedName name="AS2LinkLS" hidden="1">#REF!</definedName>
    <definedName name="AS2NamedRange" localSheetId="1" hidden="1">5</definedName>
    <definedName name="AS2NamedRange" hidden="1">4</definedName>
    <definedName name="AS2ReportLS" hidden="1">1</definedName>
    <definedName name="AS2StaticLS" localSheetId="1" hidden="1">#REF!</definedName>
    <definedName name="AS2StaticLS" localSheetId="6" hidden="1">#REF!</definedName>
    <definedName name="AS2StaticLS" localSheetId="3" hidden="1">#REF!</definedName>
    <definedName name="AS2StaticLS" hidden="1">#REF!</definedName>
    <definedName name="AS2SyncStepLS" hidden="1">0</definedName>
    <definedName name="AS2TickmarkLS" localSheetId="1" hidden="1">#REF!</definedName>
    <definedName name="AS2TickmarkLS" localSheetId="6" hidden="1">#REF!</definedName>
    <definedName name="AS2TickmarkLS" localSheetId="3" hidden="1">#REF!</definedName>
    <definedName name="AS2TickmarkLS" hidden="1">#REF!</definedName>
    <definedName name="AS2VersionLS" hidden="1">300</definedName>
    <definedName name="asas" localSheetId="30" hidden="1">{#N/A,#N/A,TRUE,"BALSCH";#N/A,#N/A,TRUE,"COMICRO";#N/A,#N/A,TRUE,"CHECKS";#N/A,#N/A,TRUE,"GLASS";#N/A,#N/A,TRUE,"DEPRE";#N/A,#N/A,TRUE,"A&amp;MCUR";#N/A,#N/A,TRUE,"AGEANAlysis";#N/A,#N/A,TRUE,"CHECKS"}</definedName>
    <definedName name="asas" localSheetId="31" hidden="1">{#N/A,#N/A,TRUE,"BALSCH";#N/A,#N/A,TRUE,"COMICRO";#N/A,#N/A,TRUE,"CHECKS";#N/A,#N/A,TRUE,"GLASS";#N/A,#N/A,TRUE,"DEPRE";#N/A,#N/A,TRUE,"A&amp;MCUR";#N/A,#N/A,TRUE,"AGEANAlysis";#N/A,#N/A,TRUE,"CHECKS"}</definedName>
    <definedName name="asas" localSheetId="32" hidden="1">{#N/A,#N/A,TRUE,"BALSCH";#N/A,#N/A,TRUE,"COMICRO";#N/A,#N/A,TRUE,"CHECKS";#N/A,#N/A,TRUE,"GLASS";#N/A,#N/A,TRUE,"DEPRE";#N/A,#N/A,TRUE,"A&amp;MCUR";#N/A,#N/A,TRUE,"AGEANAlysis";#N/A,#N/A,TRUE,"CHECKS"}</definedName>
    <definedName name="asas" localSheetId="10" hidden="1">{#N/A,#N/A,TRUE,"BALSCH";#N/A,#N/A,TRUE,"COMICRO";#N/A,#N/A,TRUE,"CHECKS";#N/A,#N/A,TRUE,"GLASS";#N/A,#N/A,TRUE,"DEPRE";#N/A,#N/A,TRUE,"A&amp;MCUR";#N/A,#N/A,TRUE,"AGEANAlysis";#N/A,#N/A,TRUE,"CHECKS"}</definedName>
    <definedName name="asas" localSheetId="1" hidden="1">{#N/A,#N/A,TRUE,"BALSCH";#N/A,#N/A,TRUE,"COMICRO";#N/A,#N/A,TRUE,"CHECKS";#N/A,#N/A,TRUE,"GLASS";#N/A,#N/A,TRUE,"DEPRE";#N/A,#N/A,TRUE,"A&amp;MCUR";#N/A,#N/A,TRUE,"AGEANAlysis";#N/A,#N/A,TRUE,"CHECKS"}</definedName>
    <definedName name="asas" localSheetId="6" hidden="1">{#N/A,#N/A,TRUE,"BALSCH";#N/A,#N/A,TRUE,"COMICRO";#N/A,#N/A,TRUE,"CHECKS";#N/A,#N/A,TRUE,"GLASS";#N/A,#N/A,TRUE,"DEPRE";#N/A,#N/A,TRUE,"A&amp;MCUR";#N/A,#N/A,TRUE,"AGEANAlysis";#N/A,#N/A,TRUE,"CHECKS"}</definedName>
    <definedName name="asas" hidden="1">{#N/A,#N/A,TRUE,"BALSCH";#N/A,#N/A,TRUE,"COMICRO";#N/A,#N/A,TRUE,"CHECKS";#N/A,#N/A,TRUE,"GLASS";#N/A,#N/A,TRUE,"DEPRE";#N/A,#N/A,TRUE,"A&amp;MCUR";#N/A,#N/A,TRUE,"AGEANAlysis";#N/A,#N/A,TRUE,"CHECKS"}</definedName>
    <definedName name="asb" localSheetId="3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sb" localSheetId="3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sb" localSheetId="3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sb" localSheetId="1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sb" localSheetId="6"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sb"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sbdfk" localSheetId="30" hidden="1">{#N/A,#N/A,FALSE,"10"}</definedName>
    <definedName name="asbdfk" localSheetId="31" hidden="1">{#N/A,#N/A,FALSE,"10"}</definedName>
    <definedName name="asbdfk" localSheetId="32" hidden="1">{#N/A,#N/A,FALSE,"10"}</definedName>
    <definedName name="asbdfk" localSheetId="10" hidden="1">{#N/A,#N/A,FALSE,"10"}</definedName>
    <definedName name="asbdfk" hidden="1">{#N/A,#N/A,FALSE,"10"}</definedName>
    <definedName name="asdasdasd" localSheetId="30" hidden="1">{#N/A,#N/A,FALSE,"COMP"}</definedName>
    <definedName name="asdasdasd" localSheetId="31" hidden="1">{#N/A,#N/A,FALSE,"COMP"}</definedName>
    <definedName name="asdasdasd" localSheetId="32" hidden="1">{#N/A,#N/A,FALSE,"COMP"}</definedName>
    <definedName name="asdasdasd" localSheetId="10" hidden="1">{#N/A,#N/A,FALSE,"COMP"}</definedName>
    <definedName name="asdasdasd" localSheetId="1" hidden="1">{#N/A,#N/A,FALSE,"COMP"}</definedName>
    <definedName name="asdasdasd" localSheetId="6" hidden="1">{#N/A,#N/A,FALSE,"COMP"}</definedName>
    <definedName name="asdasdasd" hidden="1">{#N/A,#N/A,FALSE,"COMP"}</definedName>
    <definedName name="asdf" localSheetId="30" hidden="1">{#N/A,#N/A,FALSE,"CDA Plan"}</definedName>
    <definedName name="asdf" localSheetId="31" hidden="1">{#N/A,#N/A,FALSE,"CDA Plan"}</definedName>
    <definedName name="asdf" localSheetId="32" hidden="1">{#N/A,#N/A,FALSE,"CDA Plan"}</definedName>
    <definedName name="asdf" localSheetId="10" hidden="1">{#N/A,#N/A,FALSE,"CDA Plan"}</definedName>
    <definedName name="asdf" localSheetId="1" hidden="1">{#N/A,#N/A,FALSE,"CDA Plan"}</definedName>
    <definedName name="asdf" localSheetId="6" hidden="1">{#N/A,#N/A,FALSE,"CDA Plan"}</definedName>
    <definedName name="asdf" hidden="1">{#N/A,#N/A,FALSE,"CDA Plan"}</definedName>
    <definedName name="asdfg" localSheetId="30" hidden="1">{#N/A,#N/A,TRUE,"KEY DATA";#N/A,#N/A,TRUE,"KEY DATA Base Case";#N/A,#N/A,TRUE,"JULY";#N/A,#N/A,TRUE,"AUG";#N/A,#N/A,TRUE,"SEPT";#N/A,#N/A,TRUE,"3Q"}</definedName>
    <definedName name="asdfg" localSheetId="31" hidden="1">{#N/A,#N/A,TRUE,"KEY DATA";#N/A,#N/A,TRUE,"KEY DATA Base Case";#N/A,#N/A,TRUE,"JULY";#N/A,#N/A,TRUE,"AUG";#N/A,#N/A,TRUE,"SEPT";#N/A,#N/A,TRUE,"3Q"}</definedName>
    <definedName name="asdfg" localSheetId="32" hidden="1">{#N/A,#N/A,TRUE,"KEY DATA";#N/A,#N/A,TRUE,"KEY DATA Base Case";#N/A,#N/A,TRUE,"JULY";#N/A,#N/A,TRUE,"AUG";#N/A,#N/A,TRUE,"SEPT";#N/A,#N/A,TRUE,"3Q"}</definedName>
    <definedName name="asdfg" localSheetId="10" hidden="1">{#N/A,#N/A,TRUE,"KEY DATA";#N/A,#N/A,TRUE,"KEY DATA Base Case";#N/A,#N/A,TRUE,"JULY";#N/A,#N/A,TRUE,"AUG";#N/A,#N/A,TRUE,"SEPT";#N/A,#N/A,TRUE,"3Q"}</definedName>
    <definedName name="asdfg" localSheetId="6" hidden="1">{#N/A,#N/A,TRUE,"KEY DATA";#N/A,#N/A,TRUE,"KEY DATA Base Case";#N/A,#N/A,TRUE,"JULY";#N/A,#N/A,TRUE,"AUG";#N/A,#N/A,TRUE,"SEPT";#N/A,#N/A,TRUE,"3Q"}</definedName>
    <definedName name="asdfg" hidden="1">{#N/A,#N/A,TRUE,"KEY DATA";#N/A,#N/A,TRUE,"KEY DATA Base Case";#N/A,#N/A,TRUE,"JULY";#N/A,#N/A,TRUE,"AUG";#N/A,#N/A,TRUE,"SEPT";#N/A,#N/A,TRUE,"3Q"}</definedName>
    <definedName name="asefdswedg" hidden="1">{"summary",#N/A,FALSE,"2000 vs 1999";"detail",#N/A,FALSE,"2000 vs 1999"}</definedName>
    <definedName name="asfd" hidden="1">{"Summary analysis",#N/A,FALSE,"Total";"OCPH analysis",#N/A,FALSE,"Total";"detail analysis",#N/A,FALSE,"Total"}</definedName>
    <definedName name="asfsdf" localSheetId="30" hidden="1">{#N/A,#N/A,FALSE,"COMP"}</definedName>
    <definedName name="asfsdf" localSheetId="31" hidden="1">{#N/A,#N/A,FALSE,"COMP"}</definedName>
    <definedName name="asfsdf" localSheetId="32" hidden="1">{#N/A,#N/A,FALSE,"COMP"}</definedName>
    <definedName name="asfsdf" localSheetId="10" hidden="1">{#N/A,#N/A,FALSE,"COMP"}</definedName>
    <definedName name="asfsdf" localSheetId="1" hidden="1">{#N/A,#N/A,FALSE,"COMP"}</definedName>
    <definedName name="asfsdf" localSheetId="6" hidden="1">{#N/A,#N/A,FALSE,"COMP"}</definedName>
    <definedName name="asfsdf" hidden="1">{#N/A,#N/A,FALSE,"COMP"}</definedName>
    <definedName name="asfsf" localSheetId="30" hidden="1">{#N/A,#N/A,FALSE,"3";#N/A,#N/A,FALSE,"5";#N/A,#N/A,FALSE,"6";#N/A,#N/A,FALSE,"8";#N/A,#N/A,FALSE,"10";#N/A,#N/A,FALSE,"13";#N/A,#N/A,FALSE,"14";#N/A,#N/A,FALSE,"15";#N/A,#N/A,FALSE,"16"}</definedName>
    <definedName name="asfsf" localSheetId="31" hidden="1">{#N/A,#N/A,FALSE,"3";#N/A,#N/A,FALSE,"5";#N/A,#N/A,FALSE,"6";#N/A,#N/A,FALSE,"8";#N/A,#N/A,FALSE,"10";#N/A,#N/A,FALSE,"13";#N/A,#N/A,FALSE,"14";#N/A,#N/A,FALSE,"15";#N/A,#N/A,FALSE,"16"}</definedName>
    <definedName name="asfsf" localSheetId="32" hidden="1">{#N/A,#N/A,FALSE,"3";#N/A,#N/A,FALSE,"5";#N/A,#N/A,FALSE,"6";#N/A,#N/A,FALSE,"8";#N/A,#N/A,FALSE,"10";#N/A,#N/A,FALSE,"13";#N/A,#N/A,FALSE,"14";#N/A,#N/A,FALSE,"15";#N/A,#N/A,FALSE,"16"}</definedName>
    <definedName name="asfsf" localSheetId="10" hidden="1">{#N/A,#N/A,FALSE,"3";#N/A,#N/A,FALSE,"5";#N/A,#N/A,FALSE,"6";#N/A,#N/A,FALSE,"8";#N/A,#N/A,FALSE,"10";#N/A,#N/A,FALSE,"13";#N/A,#N/A,FALSE,"14";#N/A,#N/A,FALSE,"15";#N/A,#N/A,FALSE,"16"}</definedName>
    <definedName name="asfsf" localSheetId="6" hidden="1">{#N/A,#N/A,FALSE,"3";#N/A,#N/A,FALSE,"5";#N/A,#N/A,FALSE,"6";#N/A,#N/A,FALSE,"8";#N/A,#N/A,FALSE,"10";#N/A,#N/A,FALSE,"13";#N/A,#N/A,FALSE,"14";#N/A,#N/A,FALSE,"15";#N/A,#N/A,FALSE,"16"}</definedName>
    <definedName name="asfsf" hidden="1">{#N/A,#N/A,FALSE,"3";#N/A,#N/A,FALSE,"5";#N/A,#N/A,FALSE,"6";#N/A,#N/A,FALSE,"8";#N/A,#N/A,FALSE,"10";#N/A,#N/A,FALSE,"13";#N/A,#N/A,FALSE,"14";#N/A,#N/A,FALSE,"15";#N/A,#N/A,FALSE,"16"}</definedName>
    <definedName name="ashis" localSheetId="30" hidden="1">{#N/A,#N/A,FALSE,"8"}</definedName>
    <definedName name="ashis" localSheetId="31" hidden="1">{#N/A,#N/A,FALSE,"8"}</definedName>
    <definedName name="ashis" localSheetId="32" hidden="1">{#N/A,#N/A,FALSE,"8"}</definedName>
    <definedName name="ashis" localSheetId="10" hidden="1">{#N/A,#N/A,FALSE,"8"}</definedName>
    <definedName name="ashis" hidden="1">{#N/A,#N/A,FALSE,"8"}</definedName>
    <definedName name="ashish" localSheetId="30" hidden="1">{#N/A,#N/A,FALSE,"11"}</definedName>
    <definedName name="ashish" localSheetId="31" hidden="1">{#N/A,#N/A,FALSE,"11"}</definedName>
    <definedName name="ashish" localSheetId="32" hidden="1">{#N/A,#N/A,FALSE,"11"}</definedName>
    <definedName name="ashish" localSheetId="10" hidden="1">{#N/A,#N/A,FALSE,"11"}</definedName>
    <definedName name="ashish" hidden="1">{#N/A,#N/A,FALSE,"11"}</definedName>
    <definedName name="asset" localSheetId="30" hidden="1">{"'Mach'!$A$1:$D$39"}</definedName>
    <definedName name="asset" localSheetId="31" hidden="1">{"'Mach'!$A$1:$D$39"}</definedName>
    <definedName name="asset" localSheetId="32" hidden="1">{"'Mach'!$A$1:$D$39"}</definedName>
    <definedName name="asset" localSheetId="10" hidden="1">{"'Mach'!$A$1:$D$39"}</definedName>
    <definedName name="asset" localSheetId="1" hidden="1">{"'Mach'!$A$1:$D$39"}</definedName>
    <definedName name="asset" localSheetId="6" hidden="1">{"'Mach'!$A$1:$D$39"}</definedName>
    <definedName name="asset" localSheetId="3" hidden="1">{"'Typical Costs Estimates'!$C$158:$H$161"}</definedName>
    <definedName name="asset" hidden="1">{"'Mach'!$A$1:$D$39"}</definedName>
    <definedName name="atish" localSheetId="3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3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3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localSheetI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ckup" localSheetId="30" hidden="1">{#N/A,#N/A,TRUE,"KEY DATA";#N/A,#N/A,TRUE,"KEY DATA Base Case";#N/A,#N/A,TRUE,"JULY";#N/A,#N/A,TRUE,"AUG";#N/A,#N/A,TRUE,"SEPT";#N/A,#N/A,TRUE,"3Q"}</definedName>
    <definedName name="backup" localSheetId="31" hidden="1">{#N/A,#N/A,TRUE,"KEY DATA";#N/A,#N/A,TRUE,"KEY DATA Base Case";#N/A,#N/A,TRUE,"JULY";#N/A,#N/A,TRUE,"AUG";#N/A,#N/A,TRUE,"SEPT";#N/A,#N/A,TRUE,"3Q"}</definedName>
    <definedName name="backup" localSheetId="32" hidden="1">{#N/A,#N/A,TRUE,"KEY DATA";#N/A,#N/A,TRUE,"KEY DATA Base Case";#N/A,#N/A,TRUE,"JULY";#N/A,#N/A,TRUE,"AUG";#N/A,#N/A,TRUE,"SEPT";#N/A,#N/A,TRUE,"3Q"}</definedName>
    <definedName name="backup" localSheetId="10" hidden="1">{#N/A,#N/A,TRUE,"KEY DATA";#N/A,#N/A,TRUE,"KEY DATA Base Case";#N/A,#N/A,TRUE,"JULY";#N/A,#N/A,TRUE,"AUG";#N/A,#N/A,TRUE,"SEPT";#N/A,#N/A,TRUE,"3Q"}</definedName>
    <definedName name="backup" localSheetId="6" hidden="1">{#N/A,#N/A,TRUE,"KEY DATA";#N/A,#N/A,TRUE,"KEY DATA Base Case";#N/A,#N/A,TRUE,"JULY";#N/A,#N/A,TRUE,"AUG";#N/A,#N/A,TRUE,"SEPT";#N/A,#N/A,TRUE,"3Q"}</definedName>
    <definedName name="backup" hidden="1">{#N/A,#N/A,TRUE,"KEY DATA";#N/A,#N/A,TRUE,"KEY DATA Base Case";#N/A,#N/A,TRUE,"JULY";#N/A,#N/A,TRUE,"AUG";#N/A,#N/A,TRUE,"SEPT";#N/A,#N/A,TRUE,"3Q"}</definedName>
    <definedName name="backup." localSheetId="30" hidden="1">{#N/A,#N/A,TRUE,"KEY DATA";#N/A,#N/A,TRUE,"KEY DATA Base Case";#N/A,#N/A,TRUE,"JULY";#N/A,#N/A,TRUE,"AUG";#N/A,#N/A,TRUE,"SEPT";#N/A,#N/A,TRUE,"3Q"}</definedName>
    <definedName name="backup." localSheetId="31" hidden="1">{#N/A,#N/A,TRUE,"KEY DATA";#N/A,#N/A,TRUE,"KEY DATA Base Case";#N/A,#N/A,TRUE,"JULY";#N/A,#N/A,TRUE,"AUG";#N/A,#N/A,TRUE,"SEPT";#N/A,#N/A,TRUE,"3Q"}</definedName>
    <definedName name="backup." localSheetId="32" hidden="1">{#N/A,#N/A,TRUE,"KEY DATA";#N/A,#N/A,TRUE,"KEY DATA Base Case";#N/A,#N/A,TRUE,"JULY";#N/A,#N/A,TRUE,"AUG";#N/A,#N/A,TRUE,"SEPT";#N/A,#N/A,TRUE,"3Q"}</definedName>
    <definedName name="backup." localSheetId="10" hidden="1">{#N/A,#N/A,TRUE,"KEY DATA";#N/A,#N/A,TRUE,"KEY DATA Base Case";#N/A,#N/A,TRUE,"JULY";#N/A,#N/A,TRUE,"AUG";#N/A,#N/A,TRUE,"SEPT";#N/A,#N/A,TRUE,"3Q"}</definedName>
    <definedName name="backup." localSheetId="6" hidden="1">{#N/A,#N/A,TRUE,"KEY DATA";#N/A,#N/A,TRUE,"KEY DATA Base Case";#N/A,#N/A,TRUE,"JULY";#N/A,#N/A,TRUE,"AUG";#N/A,#N/A,TRUE,"SEPT";#N/A,#N/A,TRUE,"3Q"}</definedName>
    <definedName name="backup." hidden="1">{#N/A,#N/A,TRUE,"KEY DATA";#N/A,#N/A,TRUE,"KEY DATA Base Case";#N/A,#N/A,TRUE,"JULY";#N/A,#N/A,TRUE,"AUG";#N/A,#N/A,TRUE,"SEPT";#N/A,#N/A,TRUE,"3Q"}</definedName>
    <definedName name="Bari" localSheetId="30" hidden="1">{"inventory",#N/A,FALSE,"Inven. Turns 97 Rep";"sales",#N/A,FALSE,"Inven. Turns 97 Rep";"turns",#N/A,FALSE,"Inven. Turns 97 Rep";"days",#N/A,FALSE,"Inven. Turns 97 Rep"}</definedName>
    <definedName name="Bari" localSheetId="31" hidden="1">{"inventory",#N/A,FALSE,"Inven. Turns 97 Rep";"sales",#N/A,FALSE,"Inven. Turns 97 Rep";"turns",#N/A,FALSE,"Inven. Turns 97 Rep";"days",#N/A,FALSE,"Inven. Turns 97 Rep"}</definedName>
    <definedName name="Bari" localSheetId="32" hidden="1">{"inventory",#N/A,FALSE,"Inven. Turns 97 Rep";"sales",#N/A,FALSE,"Inven. Turns 97 Rep";"turns",#N/A,FALSE,"Inven. Turns 97 Rep";"days",#N/A,FALSE,"Inven. Turns 97 Rep"}</definedName>
    <definedName name="Bari" localSheetId="10" hidden="1">{"inventory",#N/A,FALSE,"Inven. Turns 97 Rep";"sales",#N/A,FALSE,"Inven. Turns 97 Rep";"turns",#N/A,FALSE,"Inven. Turns 97 Rep";"days",#N/A,FALSE,"Inven. Turns 97 Rep"}</definedName>
    <definedName name="Bari" localSheetId="6" hidden="1">{"inventory",#N/A,FALSE,"Inven. Turns 97 Rep";"sales",#N/A,FALSE,"Inven. Turns 97 Rep";"turns",#N/A,FALSE,"Inven. Turns 97 Rep";"days",#N/A,FALSE,"Inven. Turns 97 Rep"}</definedName>
    <definedName name="Bari" hidden="1">{"inventory",#N/A,FALSE,"Inven. Turns 97 Rep";"sales",#N/A,FALSE,"Inven. Turns 97 Rep";"turns",#N/A,FALSE,"Inven. Turns 97 Rep";"days",#N/A,FALSE,"Inven. Turns 97 Rep"}</definedName>
    <definedName name="Bari." localSheetId="30" hidden="1">{"Inventory",#N/A,TRUE,"Inven. Turns 1996";"sales",#N/A,TRUE,"Inven. Turns 1996";"Turns",#N/A,TRUE,"Inven. Turns 1996";"days",#N/A,TRUE,"Inven. Turns 1996"}</definedName>
    <definedName name="Bari." localSheetId="31" hidden="1">{"Inventory",#N/A,TRUE,"Inven. Turns 1996";"sales",#N/A,TRUE,"Inven. Turns 1996";"Turns",#N/A,TRUE,"Inven. Turns 1996";"days",#N/A,TRUE,"Inven. Turns 1996"}</definedName>
    <definedName name="Bari." localSheetId="32" hidden="1">{"Inventory",#N/A,TRUE,"Inven. Turns 1996";"sales",#N/A,TRUE,"Inven. Turns 1996";"Turns",#N/A,TRUE,"Inven. Turns 1996";"days",#N/A,TRUE,"Inven. Turns 1996"}</definedName>
    <definedName name="Bari." localSheetId="10" hidden="1">{"Inventory",#N/A,TRUE,"Inven. Turns 1996";"sales",#N/A,TRUE,"Inven. Turns 1996";"Turns",#N/A,TRUE,"Inven. Turns 1996";"days",#N/A,TRUE,"Inven. Turns 1996"}</definedName>
    <definedName name="Bari." localSheetId="6" hidden="1">{"Inventory",#N/A,TRUE,"Inven. Turns 1996";"sales",#N/A,TRUE,"Inven. Turns 1996";"Turns",#N/A,TRUE,"Inven. Turns 1996";"days",#N/A,TRUE,"Inven. Turns 1996"}</definedName>
    <definedName name="Bari." hidden="1">{"Inventory",#N/A,TRUE,"Inven. Turns 1996";"sales",#N/A,TRUE,"Inven. Turns 1996";"Turns",#N/A,TRUE,"Inven. Turns 1996";"days",#N/A,TRUE,"Inven. Turns 1996"}</definedName>
    <definedName name="bbbbbbbbbbbbbb" hidden="1">#REF!</definedName>
    <definedName name="bcb" localSheetId="30" hidden="1">{#N/A,#N/A,FALSE,"3";#N/A,#N/A,FALSE,"5";#N/A,#N/A,FALSE,"6";#N/A,#N/A,FALSE,"8";#N/A,#N/A,FALSE,"10";#N/A,#N/A,FALSE,"13";#N/A,#N/A,FALSE,"14";#N/A,#N/A,FALSE,"15";#N/A,#N/A,FALSE,"16"}</definedName>
    <definedName name="bcb" localSheetId="31" hidden="1">{#N/A,#N/A,FALSE,"3";#N/A,#N/A,FALSE,"5";#N/A,#N/A,FALSE,"6";#N/A,#N/A,FALSE,"8";#N/A,#N/A,FALSE,"10";#N/A,#N/A,FALSE,"13";#N/A,#N/A,FALSE,"14";#N/A,#N/A,FALSE,"15";#N/A,#N/A,FALSE,"16"}</definedName>
    <definedName name="bcb" localSheetId="32" hidden="1">{#N/A,#N/A,FALSE,"3";#N/A,#N/A,FALSE,"5";#N/A,#N/A,FALSE,"6";#N/A,#N/A,FALSE,"8";#N/A,#N/A,FALSE,"10";#N/A,#N/A,FALSE,"13";#N/A,#N/A,FALSE,"14";#N/A,#N/A,FALSE,"15";#N/A,#N/A,FALSE,"16"}</definedName>
    <definedName name="bcb" localSheetId="10" hidden="1">{#N/A,#N/A,FALSE,"3";#N/A,#N/A,FALSE,"5";#N/A,#N/A,FALSE,"6";#N/A,#N/A,FALSE,"8";#N/A,#N/A,FALSE,"10";#N/A,#N/A,FALSE,"13";#N/A,#N/A,FALSE,"14";#N/A,#N/A,FALSE,"15";#N/A,#N/A,FALSE,"16"}</definedName>
    <definedName name="bcb" localSheetId="6" hidden="1">{#N/A,#N/A,FALSE,"3";#N/A,#N/A,FALSE,"5";#N/A,#N/A,FALSE,"6";#N/A,#N/A,FALSE,"8";#N/A,#N/A,FALSE,"10";#N/A,#N/A,FALSE,"13";#N/A,#N/A,FALSE,"14";#N/A,#N/A,FALSE,"15";#N/A,#N/A,FALSE,"16"}</definedName>
    <definedName name="bcb" hidden="1">{#N/A,#N/A,FALSE,"3";#N/A,#N/A,FALSE,"5";#N/A,#N/A,FALSE,"6";#N/A,#N/A,FALSE,"8";#N/A,#N/A,FALSE,"10";#N/A,#N/A,FALSE,"13";#N/A,#N/A,FALSE,"14";#N/A,#N/A,FALSE,"15";#N/A,#N/A,FALSE,"16"}</definedName>
    <definedName name="BCHART" localSheetId="6" hidden="1">#REF!</definedName>
    <definedName name="BCHART" hidden="1">#REF!</definedName>
    <definedName name="bcvb" localSheetId="30" hidden="1">{#N/A,#N/A,FALSE,"3";#N/A,#N/A,FALSE,"5";#N/A,#N/A,FALSE,"6";#N/A,#N/A,FALSE,"8";#N/A,#N/A,FALSE,"10";#N/A,#N/A,FALSE,"13";#N/A,#N/A,FALSE,"14";#N/A,#N/A,FALSE,"15";#N/A,#N/A,FALSE,"16"}</definedName>
    <definedName name="bcvb" localSheetId="31" hidden="1">{#N/A,#N/A,FALSE,"3";#N/A,#N/A,FALSE,"5";#N/A,#N/A,FALSE,"6";#N/A,#N/A,FALSE,"8";#N/A,#N/A,FALSE,"10";#N/A,#N/A,FALSE,"13";#N/A,#N/A,FALSE,"14";#N/A,#N/A,FALSE,"15";#N/A,#N/A,FALSE,"16"}</definedName>
    <definedName name="bcvb" localSheetId="32" hidden="1">{#N/A,#N/A,FALSE,"3";#N/A,#N/A,FALSE,"5";#N/A,#N/A,FALSE,"6";#N/A,#N/A,FALSE,"8";#N/A,#N/A,FALSE,"10";#N/A,#N/A,FALSE,"13";#N/A,#N/A,FALSE,"14";#N/A,#N/A,FALSE,"15";#N/A,#N/A,FALSE,"16"}</definedName>
    <definedName name="bcvb" localSheetId="10" hidden="1">{#N/A,#N/A,FALSE,"3";#N/A,#N/A,FALSE,"5";#N/A,#N/A,FALSE,"6";#N/A,#N/A,FALSE,"8";#N/A,#N/A,FALSE,"10";#N/A,#N/A,FALSE,"13";#N/A,#N/A,FALSE,"14";#N/A,#N/A,FALSE,"15";#N/A,#N/A,FALSE,"16"}</definedName>
    <definedName name="bcvb" localSheetId="6" hidden="1">{#N/A,#N/A,FALSE,"3";#N/A,#N/A,FALSE,"5";#N/A,#N/A,FALSE,"6";#N/A,#N/A,FALSE,"8";#N/A,#N/A,FALSE,"10";#N/A,#N/A,FALSE,"13";#N/A,#N/A,FALSE,"14";#N/A,#N/A,FALSE,"15";#N/A,#N/A,FALSE,"16"}</definedName>
    <definedName name="bcvb" hidden="1">{#N/A,#N/A,FALSE,"3";#N/A,#N/A,FALSE,"5";#N/A,#N/A,FALSE,"6";#N/A,#N/A,FALSE,"8";#N/A,#N/A,FALSE,"10";#N/A,#N/A,FALSE,"13";#N/A,#N/A,FALSE,"14";#N/A,#N/A,FALSE,"15";#N/A,#N/A,FALSE,"16"}</definedName>
    <definedName name="bdk" localSheetId="30" hidden="1">{"Inputs",#N/A,FALSE,"Data Reduction";"Outputs",#N/A,FALSE,"Data Reduction";"Cycle Deck Comparison",#N/A,FALSE,"Data Reduction"}</definedName>
    <definedName name="bdk" localSheetId="31" hidden="1">{"Inputs",#N/A,FALSE,"Data Reduction";"Outputs",#N/A,FALSE,"Data Reduction";"Cycle Deck Comparison",#N/A,FALSE,"Data Reduction"}</definedName>
    <definedName name="bdk" localSheetId="32" hidden="1">{"Inputs",#N/A,FALSE,"Data Reduction";"Outputs",#N/A,FALSE,"Data Reduction";"Cycle Deck Comparison",#N/A,FALSE,"Data Reduction"}</definedName>
    <definedName name="bdk" localSheetId="10" hidden="1">{"Inputs",#N/A,FALSE,"Data Reduction";"Outputs",#N/A,FALSE,"Data Reduction";"Cycle Deck Comparison",#N/A,FALSE,"Data Reduction"}</definedName>
    <definedName name="bdk" localSheetId="6" hidden="1">{"Inputs",#N/A,FALSE,"Data Reduction";"Outputs",#N/A,FALSE,"Data Reduction";"Cycle Deck Comparison",#N/A,FALSE,"Data Reduction"}</definedName>
    <definedName name="bdk" hidden="1">{"Inputs",#N/A,FALSE,"Data Reduction";"Outputs",#N/A,FALSE,"Data Reduction";"Cycle Deck Comparison",#N/A,FALSE,"Data Reduction"}</definedName>
    <definedName name="BG_Del" hidden="1">15</definedName>
    <definedName name="BG_Ins" hidden="1">4</definedName>
    <definedName name="BG_Mod" hidden="1">6</definedName>
    <definedName name="bilan4" localSheetId="30" hidden="1">{"K Bilanz o. Kommentar",#N/A,FALSE,"Kaufhof"}</definedName>
    <definedName name="bilan4" localSheetId="31" hidden="1">{"K Bilanz o. Kommentar",#N/A,FALSE,"Kaufhof"}</definedName>
    <definedName name="bilan4" localSheetId="32" hidden="1">{"K Bilanz o. Kommentar",#N/A,FALSE,"Kaufhof"}</definedName>
    <definedName name="bilan4" localSheetId="10" hidden="1">{"K Bilanz o. Kommentar",#N/A,FALSE,"Kaufhof"}</definedName>
    <definedName name="bilan4" localSheetId="6" hidden="1">{"K Bilanz o. Kommentar",#N/A,FALSE,"Kaufhof"}</definedName>
    <definedName name="bilan4" hidden="1">{"K Bilanz o. Kommentar",#N/A,FALSE,"Kaufhof"}</definedName>
    <definedName name="BLPB10" hidden="1">#REF!</definedName>
    <definedName name="BLPB11" localSheetId="6" hidden="1">#REF!</definedName>
    <definedName name="BLPB11" hidden="1">#REF!</definedName>
    <definedName name="BLPB6" localSheetId="6" hidden="1">#REF!</definedName>
    <definedName name="BLPB6" hidden="1">#REF!</definedName>
    <definedName name="BLPB7" localSheetId="6" hidden="1">#REF!</definedName>
    <definedName name="BLPB7" hidden="1">#REF!</definedName>
    <definedName name="BLPB8" localSheetId="6" hidden="1">#REF!</definedName>
    <definedName name="BLPB8" hidden="1">#REF!</definedName>
    <definedName name="BLPB9" localSheetId="6" hidden="1">#REF!</definedName>
    <definedName name="BLPB9" hidden="1">#REF!</definedName>
    <definedName name="BLPH1" localSheetId="6" hidden="1">#REF!</definedName>
    <definedName name="BLPH1" hidden="1">#REF!</definedName>
    <definedName name="BLPH10" localSheetId="6" hidden="1">#REF!</definedName>
    <definedName name="BLPH10" hidden="1">#REF!</definedName>
    <definedName name="BLPH11" localSheetId="6" hidden="1">#REF!</definedName>
    <definedName name="BLPH11" hidden="1">#REF!</definedName>
    <definedName name="BLPH12" localSheetId="6" hidden="1">#REF!</definedName>
    <definedName name="BLPH12" hidden="1">#REF!</definedName>
    <definedName name="BLPH13" localSheetId="6" hidden="1">#REF!</definedName>
    <definedName name="BLPH13" hidden="1">#REF!</definedName>
    <definedName name="BLPH14" localSheetId="6" hidden="1">#REF!</definedName>
    <definedName name="BLPH14" hidden="1">#REF!</definedName>
    <definedName name="BLPH15" localSheetId="6" hidden="1">#REF!</definedName>
    <definedName name="BLPH15" hidden="1">#REF!</definedName>
    <definedName name="BLPH16" localSheetId="6" hidden="1">#REF!</definedName>
    <definedName name="BLPH16" hidden="1">#REF!</definedName>
    <definedName name="BLPH17" localSheetId="6" hidden="1">#REF!</definedName>
    <definedName name="BLPH17" hidden="1">#REF!</definedName>
    <definedName name="BLPH18" localSheetId="6" hidden="1">#REF!</definedName>
    <definedName name="BLPH18" hidden="1">#REF!</definedName>
    <definedName name="BLPH19" localSheetId="6" hidden="1">#REF!</definedName>
    <definedName name="BLPH19" hidden="1">#REF!</definedName>
    <definedName name="BLPH2" localSheetId="6" hidden="1">#REF!</definedName>
    <definedName name="BLPH2" hidden="1">#REF!</definedName>
    <definedName name="BLPH20" localSheetId="6" hidden="1">#REF!</definedName>
    <definedName name="BLPH20" hidden="1">#REF!</definedName>
    <definedName name="BLPH200001" localSheetId="6" hidden="1">#REF!</definedName>
    <definedName name="BLPH200001" hidden="1">#REF!</definedName>
    <definedName name="BLPH3" localSheetId="6" hidden="1">#REF!</definedName>
    <definedName name="BLPH3" hidden="1">#REF!</definedName>
    <definedName name="BLPH4" localSheetId="6" hidden="1">#REF!</definedName>
    <definedName name="BLPH4" hidden="1">#REF!</definedName>
    <definedName name="BLPH5" localSheetId="6" hidden="1">#REF!</definedName>
    <definedName name="BLPH5" hidden="1">#REF!</definedName>
    <definedName name="BLPH6" localSheetId="6" hidden="1">#REF!</definedName>
    <definedName name="BLPH6" hidden="1">#REF!</definedName>
    <definedName name="BNE_MESSAGES_HIDDEN" hidden="1">#REF!</definedName>
    <definedName name="bs" hidden="1">{"Summary analysis",#N/A,FALSE,"Total";"OCPH analysis",#N/A,FALSE,"Total";"detail analysis",#N/A,FALSE,"Total"}</definedName>
    <definedName name="BSDPL" localSheetId="30" hidden="1">{#N/A,#N/A,FALSE,"CDA Plan"}</definedName>
    <definedName name="BSDPL" localSheetId="31" hidden="1">{#N/A,#N/A,FALSE,"CDA Plan"}</definedName>
    <definedName name="BSDPL" localSheetId="32" hidden="1">{#N/A,#N/A,FALSE,"CDA Plan"}</definedName>
    <definedName name="BSDPL" localSheetId="10" hidden="1">{#N/A,#N/A,FALSE,"CDA Plan"}</definedName>
    <definedName name="BSDPL" localSheetId="1" hidden="1">{#N/A,#N/A,FALSE,"CDA Plan"}</definedName>
    <definedName name="BSDPL" localSheetId="6" hidden="1">{#N/A,#N/A,FALSE,"CDA Plan"}</definedName>
    <definedName name="BSDPL" hidden="1">{#N/A,#N/A,FALSE,"CDA Plan"}</definedName>
    <definedName name="BWFINANCIALS" localSheetId="30" hidden="1">{"'CQ1-4'!$B$1:$L$49"}</definedName>
    <definedName name="BWFINANCIALS" localSheetId="31" hidden="1">{"'CQ1-4'!$B$1:$L$49"}</definedName>
    <definedName name="BWFINANCIALS" localSheetId="32" hidden="1">{"'CQ1-4'!$B$1:$L$49"}</definedName>
    <definedName name="BWFINANCIALS" localSheetId="10" hidden="1">{"'CQ1-4'!$B$1:$L$49"}</definedName>
    <definedName name="BWFINANCIALS" localSheetId="1" hidden="1">{"'CQ1-4'!$B$1:$L$49"}</definedName>
    <definedName name="BWFINANCIALS" localSheetId="6" hidden="1">{"'CQ1-4'!$B$1:$L$49"}</definedName>
    <definedName name="BWFINANCIALS" hidden="1">{"'CQ1-4'!$B$1:$L$49"}</definedName>
    <definedName name="cancel" localSheetId="30" hidden="1">{#N/A,#N/A,TRUE,"KEY DATA";#N/A,#N/A,TRUE,"KEY DATA Base Case";#N/A,#N/A,TRUE,"JULY";#N/A,#N/A,TRUE,"AUG";#N/A,#N/A,TRUE,"SEPT";#N/A,#N/A,TRUE,"3Q"}</definedName>
    <definedName name="cancel" localSheetId="31" hidden="1">{#N/A,#N/A,TRUE,"KEY DATA";#N/A,#N/A,TRUE,"KEY DATA Base Case";#N/A,#N/A,TRUE,"JULY";#N/A,#N/A,TRUE,"AUG";#N/A,#N/A,TRUE,"SEPT";#N/A,#N/A,TRUE,"3Q"}</definedName>
    <definedName name="cancel" localSheetId="32" hidden="1">{#N/A,#N/A,TRUE,"KEY DATA";#N/A,#N/A,TRUE,"KEY DATA Base Case";#N/A,#N/A,TRUE,"JULY";#N/A,#N/A,TRUE,"AUG";#N/A,#N/A,TRUE,"SEPT";#N/A,#N/A,TRUE,"3Q"}</definedName>
    <definedName name="cancel" localSheetId="10" hidden="1">{#N/A,#N/A,TRUE,"KEY DATA";#N/A,#N/A,TRUE,"KEY DATA Base Case";#N/A,#N/A,TRUE,"JULY";#N/A,#N/A,TRUE,"AUG";#N/A,#N/A,TRUE,"SEPT";#N/A,#N/A,TRUE,"3Q"}</definedName>
    <definedName name="cancel" localSheetId="6" hidden="1">{#N/A,#N/A,TRUE,"KEY DATA";#N/A,#N/A,TRUE,"KEY DATA Base Case";#N/A,#N/A,TRUE,"JULY";#N/A,#N/A,TRUE,"AUG";#N/A,#N/A,TRUE,"SEPT";#N/A,#N/A,TRUE,"3Q"}</definedName>
    <definedName name="cancel" hidden="1">{#N/A,#N/A,TRUE,"KEY DATA";#N/A,#N/A,TRUE,"KEY DATA Base Case";#N/A,#N/A,TRUE,"JULY";#N/A,#N/A,TRUE,"AUG";#N/A,#N/A,TRUE,"SEPT";#N/A,#N/A,TRUE,"3Q"}</definedName>
    <definedName name="cas" localSheetId="30" hidden="1">{#N/A,#N/A,FALSE,"10"}</definedName>
    <definedName name="cas" localSheetId="31" hidden="1">{#N/A,#N/A,FALSE,"10"}</definedName>
    <definedName name="cas" localSheetId="32" hidden="1">{#N/A,#N/A,FALSE,"10"}</definedName>
    <definedName name="cas" localSheetId="10" hidden="1">{#N/A,#N/A,FALSE,"10"}</definedName>
    <definedName name="cas" hidden="1">{#N/A,#N/A,FALSE,"10"}</definedName>
    <definedName name="cashflow2" localSheetId="30" hidden="1">{#N/A,#N/A,FALSE,"10"}</definedName>
    <definedName name="cashflow2" localSheetId="31" hidden="1">{#N/A,#N/A,FALSE,"10"}</definedName>
    <definedName name="cashflow2" localSheetId="32" hidden="1">{#N/A,#N/A,FALSE,"10"}</definedName>
    <definedName name="cashflow2" localSheetId="10" hidden="1">{#N/A,#N/A,FALSE,"10"}</definedName>
    <definedName name="cashflow2" hidden="1">{#N/A,#N/A,FALSE,"10"}</definedName>
    <definedName name="CBL" localSheetId="6" hidden="1">#REF!</definedName>
    <definedName name="CBL" hidden="1">#REF!</definedName>
    <definedName name="cen" localSheetId="30" hidden="1">{#N/A,#N/A,FALSE,"COMICRO";#N/A,#N/A,FALSE,"BALSCH";#N/A,#N/A,FALSE,"GLASS";#N/A,#N/A,FALSE,"DEPRE";#N/A,#N/A,FALSE,"A&amp;MCUR";#N/A,#N/A,FALSE,"AGEANAlysis";#N/A,#N/A,FALSE,"CHECKS";#N/A,#N/A,FALSE,"CHECKS"}</definedName>
    <definedName name="cen" localSheetId="31" hidden="1">{#N/A,#N/A,FALSE,"COMICRO";#N/A,#N/A,FALSE,"BALSCH";#N/A,#N/A,FALSE,"GLASS";#N/A,#N/A,FALSE,"DEPRE";#N/A,#N/A,FALSE,"A&amp;MCUR";#N/A,#N/A,FALSE,"AGEANAlysis";#N/A,#N/A,FALSE,"CHECKS";#N/A,#N/A,FALSE,"CHECKS"}</definedName>
    <definedName name="cen" localSheetId="32" hidden="1">{#N/A,#N/A,FALSE,"COMICRO";#N/A,#N/A,FALSE,"BALSCH";#N/A,#N/A,FALSE,"GLASS";#N/A,#N/A,FALSE,"DEPRE";#N/A,#N/A,FALSE,"A&amp;MCUR";#N/A,#N/A,FALSE,"AGEANAlysis";#N/A,#N/A,FALSE,"CHECKS";#N/A,#N/A,FALSE,"CHECKS"}</definedName>
    <definedName name="cen" localSheetId="10" hidden="1">{#N/A,#N/A,FALSE,"COMICRO";#N/A,#N/A,FALSE,"BALSCH";#N/A,#N/A,FALSE,"GLASS";#N/A,#N/A,FALSE,"DEPRE";#N/A,#N/A,FALSE,"A&amp;MCUR";#N/A,#N/A,FALSE,"AGEANAlysis";#N/A,#N/A,FALSE,"CHECKS";#N/A,#N/A,FALSE,"CHECKS"}</definedName>
    <definedName name="cen" localSheetId="1" hidden="1">{#N/A,#N/A,FALSE,"COMICRO";#N/A,#N/A,FALSE,"BALSCH";#N/A,#N/A,FALSE,"GLASS";#N/A,#N/A,FALSE,"DEPRE";#N/A,#N/A,FALSE,"A&amp;MCUR";#N/A,#N/A,FALSE,"AGEANAlysis";#N/A,#N/A,FALSE,"CHECKS";#N/A,#N/A,FALSE,"CHECKS"}</definedName>
    <definedName name="cen" localSheetId="6" hidden="1">{#N/A,#N/A,FALSE,"COMICRO";#N/A,#N/A,FALSE,"BALSCH";#N/A,#N/A,FALSE,"GLASS";#N/A,#N/A,FALSE,"DEPRE";#N/A,#N/A,FALSE,"A&amp;MCUR";#N/A,#N/A,FALSE,"AGEANAlysis";#N/A,#N/A,FALSE,"CHECKS";#N/A,#N/A,FALSE,"CHECKS"}</definedName>
    <definedName name="cen" hidden="1">{#N/A,#N/A,FALSE,"COMICRO";#N/A,#N/A,FALSE,"BALSCH";#N/A,#N/A,FALSE,"GLASS";#N/A,#N/A,FALSE,"DEPRE";#N/A,#N/A,FALSE,"A&amp;MCUR";#N/A,#N/A,FALSE,"AGEANAlysis";#N/A,#N/A,FALSE,"CHECKS";#N/A,#N/A,FALSE,"CHECKS"}</definedName>
    <definedName name="cenvat" localSheetId="30" hidden="1">{#N/A,#N/A,TRUE,"BALSCH";#N/A,#N/A,TRUE,"COMICRO";#N/A,#N/A,TRUE,"CHECKS";#N/A,#N/A,TRUE,"GLASS";#N/A,#N/A,TRUE,"DEPRE";#N/A,#N/A,TRUE,"A&amp;MCUR";#N/A,#N/A,TRUE,"AGEANAlysis";#N/A,#N/A,TRUE,"CHECKS"}</definedName>
    <definedName name="cenvat" localSheetId="31" hidden="1">{#N/A,#N/A,TRUE,"BALSCH";#N/A,#N/A,TRUE,"COMICRO";#N/A,#N/A,TRUE,"CHECKS";#N/A,#N/A,TRUE,"GLASS";#N/A,#N/A,TRUE,"DEPRE";#N/A,#N/A,TRUE,"A&amp;MCUR";#N/A,#N/A,TRUE,"AGEANAlysis";#N/A,#N/A,TRUE,"CHECKS"}</definedName>
    <definedName name="cenvat" localSheetId="32" hidden="1">{#N/A,#N/A,TRUE,"BALSCH";#N/A,#N/A,TRUE,"COMICRO";#N/A,#N/A,TRUE,"CHECKS";#N/A,#N/A,TRUE,"GLASS";#N/A,#N/A,TRUE,"DEPRE";#N/A,#N/A,TRUE,"A&amp;MCUR";#N/A,#N/A,TRUE,"AGEANAlysis";#N/A,#N/A,TRUE,"CHECKS"}</definedName>
    <definedName name="cenvat" localSheetId="10" hidden="1">{#N/A,#N/A,TRUE,"BALSCH";#N/A,#N/A,TRUE,"COMICRO";#N/A,#N/A,TRUE,"CHECKS";#N/A,#N/A,TRUE,"GLASS";#N/A,#N/A,TRUE,"DEPRE";#N/A,#N/A,TRUE,"A&amp;MCUR";#N/A,#N/A,TRUE,"AGEANAlysis";#N/A,#N/A,TRUE,"CHECKS"}</definedName>
    <definedName name="cenvat" localSheetId="1" hidden="1">{#N/A,#N/A,TRUE,"BALSCH";#N/A,#N/A,TRUE,"COMICRO";#N/A,#N/A,TRUE,"CHECKS";#N/A,#N/A,TRUE,"GLASS";#N/A,#N/A,TRUE,"DEPRE";#N/A,#N/A,TRUE,"A&amp;MCUR";#N/A,#N/A,TRUE,"AGEANAlysis";#N/A,#N/A,TRUE,"CHECKS"}</definedName>
    <definedName name="cenvat" localSheetId="6" hidden="1">{#N/A,#N/A,TRUE,"BALSCH";#N/A,#N/A,TRUE,"COMICRO";#N/A,#N/A,TRUE,"CHECKS";#N/A,#N/A,TRUE,"GLASS";#N/A,#N/A,TRUE,"DEPRE";#N/A,#N/A,TRUE,"A&amp;MCUR";#N/A,#N/A,TRUE,"AGEANAlysis";#N/A,#N/A,TRUE,"CHECKS"}</definedName>
    <definedName name="cenvat" hidden="1">{#N/A,#N/A,TRUE,"BALSCH";#N/A,#N/A,TRUE,"COMICRO";#N/A,#N/A,TRUE,"CHECKS";#N/A,#N/A,TRUE,"GLASS";#N/A,#N/A,TRUE,"DEPRE";#N/A,#N/A,TRUE,"A&amp;MCUR";#N/A,#N/A,TRUE,"AGEANAlysis";#N/A,#N/A,TRUE,"CHECKS"}</definedName>
    <definedName name="CHECKING" localSheetId="30" hidden="1">{#N/A,#N/A,TRUE,"Summary";#N/A,#N/A,TRUE,"IS";#N/A,#N/A,TRUE,"Adj";#N/A,#N/A,TRUE,"BS";#N/A,#N/A,TRUE,"CF";#N/A,#N/A,TRUE,"Debt";#N/A,#N/A,TRUE,"IRR"}</definedName>
    <definedName name="CHECKING" localSheetId="31" hidden="1">{#N/A,#N/A,TRUE,"Summary";#N/A,#N/A,TRUE,"IS";#N/A,#N/A,TRUE,"Adj";#N/A,#N/A,TRUE,"BS";#N/A,#N/A,TRUE,"CF";#N/A,#N/A,TRUE,"Debt";#N/A,#N/A,TRUE,"IRR"}</definedName>
    <definedName name="CHECKING" localSheetId="32" hidden="1">{#N/A,#N/A,TRUE,"Summary";#N/A,#N/A,TRUE,"IS";#N/A,#N/A,TRUE,"Adj";#N/A,#N/A,TRUE,"BS";#N/A,#N/A,TRUE,"CF";#N/A,#N/A,TRUE,"Debt";#N/A,#N/A,TRUE,"IRR"}</definedName>
    <definedName name="CHECKING" localSheetId="10" hidden="1">{#N/A,#N/A,TRUE,"Summary";#N/A,#N/A,TRUE,"IS";#N/A,#N/A,TRUE,"Adj";#N/A,#N/A,TRUE,"BS";#N/A,#N/A,TRUE,"CF";#N/A,#N/A,TRUE,"Debt";#N/A,#N/A,TRUE,"IRR"}</definedName>
    <definedName name="CHECKING" localSheetId="1" hidden="1">{#N/A,#N/A,TRUE,"Summary";#N/A,#N/A,TRUE,"IS";#N/A,#N/A,TRUE,"Adj";#N/A,#N/A,TRUE,"BS";#N/A,#N/A,TRUE,"CF";#N/A,#N/A,TRUE,"Debt";#N/A,#N/A,TRUE,"IRR"}</definedName>
    <definedName name="CHECKING" localSheetId="6" hidden="1">{#N/A,#N/A,TRUE,"Summary";#N/A,#N/A,TRUE,"IS";#N/A,#N/A,TRUE,"Adj";#N/A,#N/A,TRUE,"BS";#N/A,#N/A,TRUE,"CF";#N/A,#N/A,TRUE,"Debt";#N/A,#N/A,TRUE,"IRR"}</definedName>
    <definedName name="CHECKING" hidden="1">{#N/A,#N/A,TRUE,"Summary";#N/A,#N/A,TRUE,"IS";#N/A,#N/A,TRUE,"Adj";#N/A,#N/A,TRUE,"BS";#N/A,#N/A,TRUE,"CF";#N/A,#N/A,TRUE,"Debt";#N/A,#N/A,TRUE,"IRR"}</definedName>
    <definedName name="Checksumm" localSheetId="30" hidden="1">{#N/A,#N/A,FALSE,"COMICRO";#N/A,#N/A,FALSE,"BALSCH";#N/A,#N/A,FALSE,"GLASS";#N/A,#N/A,FALSE,"DEPRE";#N/A,#N/A,FALSE,"A&amp;MCUR";#N/A,#N/A,FALSE,"AGEANAlysis";#N/A,#N/A,FALSE,"CHECKS";#N/A,#N/A,FALSE,"CHECKS"}</definedName>
    <definedName name="Checksumm" localSheetId="31" hidden="1">{#N/A,#N/A,FALSE,"COMICRO";#N/A,#N/A,FALSE,"BALSCH";#N/A,#N/A,FALSE,"GLASS";#N/A,#N/A,FALSE,"DEPRE";#N/A,#N/A,FALSE,"A&amp;MCUR";#N/A,#N/A,FALSE,"AGEANAlysis";#N/A,#N/A,FALSE,"CHECKS";#N/A,#N/A,FALSE,"CHECKS"}</definedName>
    <definedName name="Checksumm" localSheetId="32" hidden="1">{#N/A,#N/A,FALSE,"COMICRO";#N/A,#N/A,FALSE,"BALSCH";#N/A,#N/A,FALSE,"GLASS";#N/A,#N/A,FALSE,"DEPRE";#N/A,#N/A,FALSE,"A&amp;MCUR";#N/A,#N/A,FALSE,"AGEANAlysis";#N/A,#N/A,FALSE,"CHECKS";#N/A,#N/A,FALSE,"CHECKS"}</definedName>
    <definedName name="Checksumm" localSheetId="10" hidden="1">{#N/A,#N/A,FALSE,"COMICRO";#N/A,#N/A,FALSE,"BALSCH";#N/A,#N/A,FALSE,"GLASS";#N/A,#N/A,FALSE,"DEPRE";#N/A,#N/A,FALSE,"A&amp;MCUR";#N/A,#N/A,FALSE,"AGEANAlysis";#N/A,#N/A,FALSE,"CHECKS";#N/A,#N/A,FALSE,"CHECKS"}</definedName>
    <definedName name="Checksumm" localSheetId="1" hidden="1">{#N/A,#N/A,FALSE,"COMICRO";#N/A,#N/A,FALSE,"BALSCH";#N/A,#N/A,FALSE,"GLASS";#N/A,#N/A,FALSE,"DEPRE";#N/A,#N/A,FALSE,"A&amp;MCUR";#N/A,#N/A,FALSE,"AGEANAlysis";#N/A,#N/A,FALSE,"CHECKS";#N/A,#N/A,FALSE,"CHECKS"}</definedName>
    <definedName name="Checksumm" localSheetId="6" hidden="1">{#N/A,#N/A,FALSE,"COMICRO";#N/A,#N/A,FALSE,"BALSCH";#N/A,#N/A,FALSE,"GLASS";#N/A,#N/A,FALSE,"DEPRE";#N/A,#N/A,FALSE,"A&amp;MCUR";#N/A,#N/A,FALSE,"AGEANAlysis";#N/A,#N/A,FALSE,"CHECKS";#N/A,#N/A,FALSE,"CHECKS"}</definedName>
    <definedName name="Checksumm" hidden="1">{#N/A,#N/A,FALSE,"COMICRO";#N/A,#N/A,FALSE,"BALSCH";#N/A,#N/A,FALSE,"GLASS";#N/A,#N/A,FALSE,"DEPRE";#N/A,#N/A,FALSE,"A&amp;MCUR";#N/A,#N/A,FALSE,"AGEANAlysis";#N/A,#N/A,FALSE,"CHECKS";#N/A,#N/A,FALSE,"CHECKS"}</definedName>
    <definedName name="CHENNAI1" localSheetId="30" hidden="1">{#N/A,#N/A,FALSE,"Aging Summary";#N/A,#N/A,FALSE,"Ratio Analysis";#N/A,#N/A,FALSE,"Test 120 Day Accts";#N/A,#N/A,FALSE,"Tickmarks"}</definedName>
    <definedName name="CHENNAI1" localSheetId="31" hidden="1">{#N/A,#N/A,FALSE,"Aging Summary";#N/A,#N/A,FALSE,"Ratio Analysis";#N/A,#N/A,FALSE,"Test 120 Day Accts";#N/A,#N/A,FALSE,"Tickmarks"}</definedName>
    <definedName name="CHENNAI1" localSheetId="32" hidden="1">{#N/A,#N/A,FALSE,"Aging Summary";#N/A,#N/A,FALSE,"Ratio Analysis";#N/A,#N/A,FALSE,"Test 120 Day Accts";#N/A,#N/A,FALSE,"Tickmarks"}</definedName>
    <definedName name="CHENNAI1" localSheetId="10" hidden="1">{#N/A,#N/A,FALSE,"Aging Summary";#N/A,#N/A,FALSE,"Ratio Analysis";#N/A,#N/A,FALSE,"Test 120 Day Accts";#N/A,#N/A,FALSE,"Tickmarks"}</definedName>
    <definedName name="CHENNAI1" localSheetId="1" hidden="1">{#N/A,#N/A,FALSE,"Aging Summary";#N/A,#N/A,FALSE,"Ratio Analysis";#N/A,#N/A,FALSE,"Test 120 Day Accts";#N/A,#N/A,FALSE,"Tickmarks"}</definedName>
    <definedName name="CHENNAI1" localSheetId="6" hidden="1">{#N/A,#N/A,FALSE,"Aging Summary";#N/A,#N/A,FALSE,"Ratio Analysis";#N/A,#N/A,FALSE,"Test 120 Day Accts";#N/A,#N/A,FALSE,"Tickmarks"}</definedName>
    <definedName name="CHENNAI1" hidden="1">{#N/A,#N/A,FALSE,"Aging Summary";#N/A,#N/A,FALSE,"Ratio Analysis";#N/A,#N/A,FALSE,"Test 120 Day Accts";#N/A,#N/A,FALSE,"Tickmarks"}</definedName>
    <definedName name="christine" localSheetId="30" hidden="1">{#N/A,#N/A,FALSE,"3";#N/A,#N/A,FALSE,"5";#N/A,#N/A,FALSE,"6";#N/A,#N/A,FALSE,"8";#N/A,#N/A,FALSE,"10";#N/A,#N/A,FALSE,"13";#N/A,#N/A,FALSE,"14";#N/A,#N/A,FALSE,"15";#N/A,#N/A,FALSE,"16"}</definedName>
    <definedName name="christine" localSheetId="31" hidden="1">{#N/A,#N/A,FALSE,"3";#N/A,#N/A,FALSE,"5";#N/A,#N/A,FALSE,"6";#N/A,#N/A,FALSE,"8";#N/A,#N/A,FALSE,"10";#N/A,#N/A,FALSE,"13";#N/A,#N/A,FALSE,"14";#N/A,#N/A,FALSE,"15";#N/A,#N/A,FALSE,"16"}</definedName>
    <definedName name="christine" localSheetId="32" hidden="1">{#N/A,#N/A,FALSE,"3";#N/A,#N/A,FALSE,"5";#N/A,#N/A,FALSE,"6";#N/A,#N/A,FALSE,"8";#N/A,#N/A,FALSE,"10";#N/A,#N/A,FALSE,"13";#N/A,#N/A,FALSE,"14";#N/A,#N/A,FALSE,"15";#N/A,#N/A,FALSE,"16"}</definedName>
    <definedName name="christine" localSheetId="10" hidden="1">{#N/A,#N/A,FALSE,"3";#N/A,#N/A,FALSE,"5";#N/A,#N/A,FALSE,"6";#N/A,#N/A,FALSE,"8";#N/A,#N/A,FALSE,"10";#N/A,#N/A,FALSE,"13";#N/A,#N/A,FALSE,"14";#N/A,#N/A,FALSE,"15";#N/A,#N/A,FALSE,"16"}</definedName>
    <definedName name="christine" localSheetId="6" hidden="1">{#N/A,#N/A,FALSE,"3";#N/A,#N/A,FALSE,"5";#N/A,#N/A,FALSE,"6";#N/A,#N/A,FALSE,"8";#N/A,#N/A,FALSE,"10";#N/A,#N/A,FALSE,"13";#N/A,#N/A,FALSE,"14";#N/A,#N/A,FALSE,"15";#N/A,#N/A,FALSE,"16"}</definedName>
    <definedName name="christine" hidden="1">{#N/A,#N/A,FALSE,"3";#N/A,#N/A,FALSE,"5";#N/A,#N/A,FALSE,"6";#N/A,#N/A,FALSE,"8";#N/A,#N/A,FALSE,"10";#N/A,#N/A,FALSE,"13";#N/A,#N/A,FALSE,"14";#N/A,#N/A,FALSE,"15";#N/A,#N/A,FALSE,"16"}</definedName>
    <definedName name="Christinea" localSheetId="30" hidden="1">{#N/A,#N/A,FALSE,"3";#N/A,#N/A,FALSE,"5";#N/A,#N/A,FALSE,"6";#N/A,#N/A,FALSE,"8";#N/A,#N/A,FALSE,"10";#N/A,#N/A,FALSE,"13";#N/A,#N/A,FALSE,"14";#N/A,#N/A,FALSE,"15";#N/A,#N/A,FALSE,"16"}</definedName>
    <definedName name="Christinea" localSheetId="31" hidden="1">{#N/A,#N/A,FALSE,"3";#N/A,#N/A,FALSE,"5";#N/A,#N/A,FALSE,"6";#N/A,#N/A,FALSE,"8";#N/A,#N/A,FALSE,"10";#N/A,#N/A,FALSE,"13";#N/A,#N/A,FALSE,"14";#N/A,#N/A,FALSE,"15";#N/A,#N/A,FALSE,"16"}</definedName>
    <definedName name="Christinea" localSheetId="32" hidden="1">{#N/A,#N/A,FALSE,"3";#N/A,#N/A,FALSE,"5";#N/A,#N/A,FALSE,"6";#N/A,#N/A,FALSE,"8";#N/A,#N/A,FALSE,"10";#N/A,#N/A,FALSE,"13";#N/A,#N/A,FALSE,"14";#N/A,#N/A,FALSE,"15";#N/A,#N/A,FALSE,"16"}</definedName>
    <definedName name="Christinea" localSheetId="10" hidden="1">{#N/A,#N/A,FALSE,"3";#N/A,#N/A,FALSE,"5";#N/A,#N/A,FALSE,"6";#N/A,#N/A,FALSE,"8";#N/A,#N/A,FALSE,"10";#N/A,#N/A,FALSE,"13";#N/A,#N/A,FALSE,"14";#N/A,#N/A,FALSE,"15";#N/A,#N/A,FALSE,"16"}</definedName>
    <definedName name="Christinea" localSheetId="6" hidden="1">{#N/A,#N/A,FALSE,"3";#N/A,#N/A,FALSE,"5";#N/A,#N/A,FALSE,"6";#N/A,#N/A,FALSE,"8";#N/A,#N/A,FALSE,"10";#N/A,#N/A,FALSE,"13";#N/A,#N/A,FALSE,"14";#N/A,#N/A,FALSE,"15";#N/A,#N/A,FALSE,"16"}</definedName>
    <definedName name="Christinea" hidden="1">{#N/A,#N/A,FALSE,"3";#N/A,#N/A,FALSE,"5";#N/A,#N/A,FALSE,"6";#N/A,#N/A,FALSE,"8";#N/A,#N/A,FALSE,"10";#N/A,#N/A,FALSE,"13";#N/A,#N/A,FALSE,"14";#N/A,#N/A,FALSE,"15";#N/A,#N/A,FALSE,"16"}</definedName>
    <definedName name="CIQWBGuid" hidden="1">"2fb921ca-4928-48de-9e0a-468d9c32e7ed"</definedName>
    <definedName name="ClubMed" localSheetId="30" hidden="1">{"inventory",#N/A,FALSE,"Inven. Turns 97 Rep";"sales",#N/A,FALSE,"Inven. Turns 97 Rep";"turns",#N/A,FALSE,"Inven. Turns 97 Rep";"days",#N/A,FALSE,"Inven. Turns 97 Rep"}</definedName>
    <definedName name="ClubMed" localSheetId="31" hidden="1">{"inventory",#N/A,FALSE,"Inven. Turns 97 Rep";"sales",#N/A,FALSE,"Inven. Turns 97 Rep";"turns",#N/A,FALSE,"Inven. Turns 97 Rep";"days",#N/A,FALSE,"Inven. Turns 97 Rep"}</definedName>
    <definedName name="ClubMed" localSheetId="32" hidden="1">{"inventory",#N/A,FALSE,"Inven. Turns 97 Rep";"sales",#N/A,FALSE,"Inven. Turns 97 Rep";"turns",#N/A,FALSE,"Inven. Turns 97 Rep";"days",#N/A,FALSE,"Inven. Turns 97 Rep"}</definedName>
    <definedName name="ClubMed" localSheetId="10" hidden="1">{"inventory",#N/A,FALSE,"Inven. Turns 97 Rep";"sales",#N/A,FALSE,"Inven. Turns 97 Rep";"turns",#N/A,FALSE,"Inven. Turns 97 Rep";"days",#N/A,FALSE,"Inven. Turns 97 Rep"}</definedName>
    <definedName name="ClubMed" localSheetId="6" hidden="1">{"inventory",#N/A,FALSE,"Inven. Turns 97 Rep";"sales",#N/A,FALSE,"Inven. Turns 97 Rep";"turns",#N/A,FALSE,"Inven. Turns 97 Rep";"days",#N/A,FALSE,"Inven. Turns 97 Rep"}</definedName>
    <definedName name="ClubMed" hidden="1">{"inventory",#N/A,FALSE,"Inven. Turns 97 Rep";"sales",#N/A,FALSE,"Inven. Turns 97 Rep";"turns",#N/A,FALSE,"Inven. Turns 97 Rep";"days",#N/A,FALSE,"Inven. Turns 97 Rep"}</definedName>
    <definedName name="Code" localSheetId="1" hidden="1">#REF!</definedName>
    <definedName name="Code" localSheetId="6" hidden="1">#REF!</definedName>
    <definedName name="Code" localSheetId="3" hidden="1">#REF!</definedName>
    <definedName name="Code" hidden="1">#REF!</definedName>
    <definedName name="COL" localSheetId="1" hidden="1">#REF!</definedName>
    <definedName name="COL" localSheetId="6" hidden="1">#REF!</definedName>
    <definedName name="COL" hidden="1">#REF!</definedName>
    <definedName name="COMM" localSheetId="30" hidden="1">{"'Mach'!$A$1:$D$39"}</definedName>
    <definedName name="COMM" localSheetId="31" hidden="1">{"'Mach'!$A$1:$D$39"}</definedName>
    <definedName name="COMM" localSheetId="32" hidden="1">{"'Mach'!$A$1:$D$39"}</definedName>
    <definedName name="COMM" localSheetId="10" hidden="1">{"'Mach'!$A$1:$D$39"}</definedName>
    <definedName name="COMM" localSheetId="1" hidden="1">{"'Mach'!$A$1:$D$39"}</definedName>
    <definedName name="COMM" localSheetId="6" hidden="1">{"'Mach'!$A$1:$D$39"}</definedName>
    <definedName name="COMM" hidden="1">{"'Mach'!$A$1:$D$39"}</definedName>
    <definedName name="conflicr" localSheetId="30" hidden="1">{#N/A,#N/A,TRUE,"GEM Total";#N/A,#N/A,TRUE,"Final Assembly";#N/A,#N/A,TRUE,"Cleaning";#N/A,#N/A,TRUE,"Schooping,Clearing";#N/A,#N/A,TRUE,"Winding"}</definedName>
    <definedName name="conflicr" localSheetId="31" hidden="1">{#N/A,#N/A,TRUE,"GEM Total";#N/A,#N/A,TRUE,"Final Assembly";#N/A,#N/A,TRUE,"Cleaning";#N/A,#N/A,TRUE,"Schooping,Clearing";#N/A,#N/A,TRUE,"Winding"}</definedName>
    <definedName name="conflicr" localSheetId="32" hidden="1">{#N/A,#N/A,TRUE,"GEM Total";#N/A,#N/A,TRUE,"Final Assembly";#N/A,#N/A,TRUE,"Cleaning";#N/A,#N/A,TRUE,"Schooping,Clearing";#N/A,#N/A,TRUE,"Winding"}</definedName>
    <definedName name="conflicr" localSheetId="10" hidden="1">{#N/A,#N/A,TRUE,"GEM Total";#N/A,#N/A,TRUE,"Final Assembly";#N/A,#N/A,TRUE,"Cleaning";#N/A,#N/A,TRUE,"Schooping,Clearing";#N/A,#N/A,TRUE,"Winding"}</definedName>
    <definedName name="conflicr" localSheetId="6" hidden="1">{#N/A,#N/A,TRUE,"GEM Total";#N/A,#N/A,TRUE,"Final Assembly";#N/A,#N/A,TRUE,"Cleaning";#N/A,#N/A,TRUE,"Schooping,Clearing";#N/A,#N/A,TRUE,"Winding"}</definedName>
    <definedName name="conflicr" hidden="1">{#N/A,#N/A,TRUE,"GEM Total";#N/A,#N/A,TRUE,"Final Assembly";#N/A,#N/A,TRUE,"Cleaning";#N/A,#N/A,TRUE,"Schooping,Clearing";#N/A,#N/A,TRUE,"Winding"}</definedName>
    <definedName name="CONT02092000.4" localSheetId="30" hidden="1">{#N/A,#N/A,FALSE,"1321";#N/A,#N/A,FALSE,"1324";#N/A,#N/A,FALSE,"1333";#N/A,#N/A,FALSE,"1371"}</definedName>
    <definedName name="CONT02092000.4" localSheetId="31" hidden="1">{#N/A,#N/A,FALSE,"1321";#N/A,#N/A,FALSE,"1324";#N/A,#N/A,FALSE,"1333";#N/A,#N/A,FALSE,"1371"}</definedName>
    <definedName name="CONT02092000.4" localSheetId="32" hidden="1">{#N/A,#N/A,FALSE,"1321";#N/A,#N/A,FALSE,"1324";#N/A,#N/A,FALSE,"1333";#N/A,#N/A,FALSE,"1371"}</definedName>
    <definedName name="CONT02092000.4" localSheetId="10" hidden="1">{#N/A,#N/A,FALSE,"1321";#N/A,#N/A,FALSE,"1324";#N/A,#N/A,FALSE,"1333";#N/A,#N/A,FALSE,"1371"}</definedName>
    <definedName name="CONT02092000.4" localSheetId="6" hidden="1">{#N/A,#N/A,FALSE,"1321";#N/A,#N/A,FALSE,"1324";#N/A,#N/A,FALSE,"1333";#N/A,#N/A,FALSE,"1371"}</definedName>
    <definedName name="CONT02092000.4" hidden="1">{#N/A,#N/A,FALSE,"1321";#N/A,#N/A,FALSE,"1324";#N/A,#N/A,FALSE,"1333";#N/A,#N/A,FALSE,"1371"}</definedName>
    <definedName name="Continu" hidden="1">1</definedName>
    <definedName name="cristina" localSheetId="30" hidden="1">{"Inputs",#N/A,FALSE,"Data Reduction";"Outputs",#N/A,FALSE,"Data Reduction";"Cycle Deck Comparison",#N/A,FALSE,"Data Reduction"}</definedName>
    <definedName name="cristina" localSheetId="31" hidden="1">{"Inputs",#N/A,FALSE,"Data Reduction";"Outputs",#N/A,FALSE,"Data Reduction";"Cycle Deck Comparison",#N/A,FALSE,"Data Reduction"}</definedName>
    <definedName name="cristina" localSheetId="32" hidden="1">{"Inputs",#N/A,FALSE,"Data Reduction";"Outputs",#N/A,FALSE,"Data Reduction";"Cycle Deck Comparison",#N/A,FALSE,"Data Reduction"}</definedName>
    <definedName name="cristina" localSheetId="10" hidden="1">{"Inputs",#N/A,FALSE,"Data Reduction";"Outputs",#N/A,FALSE,"Data Reduction";"Cycle Deck Comparison",#N/A,FALSE,"Data Reduction"}</definedName>
    <definedName name="cristina" localSheetId="6" hidden="1">{"Inputs",#N/A,FALSE,"Data Reduction";"Outputs",#N/A,FALSE,"Data Reduction";"Cycle Deck Comparison",#N/A,FALSE,"Data Reduction"}</definedName>
    <definedName name="cristina" hidden="1">{"Inputs",#N/A,FALSE,"Data Reduction";"Outputs",#N/A,FALSE,"Data Reduction";"Cycle Deck Comparison",#N/A,FALSE,"Data Reduction"}</definedName>
    <definedName name="crs_31.03.02" localSheetId="1" hidden="1">#REF!</definedName>
    <definedName name="crs_31.03.02" localSheetId="6" hidden="1">#REF!</definedName>
    <definedName name="crs_31.03.02" hidden="1">#REF!</definedName>
    <definedName name="csfsfsf" localSheetId="30" hidden="1">{#N/A,#N/A,FALSE,"Ventilation";#N/A,#N/A,FALSE,"Courbe1";#N/A,#N/A,FALSE,"Courbe2"}</definedName>
    <definedName name="csfsfsf" localSheetId="31" hidden="1">{#N/A,#N/A,FALSE,"Ventilation";#N/A,#N/A,FALSE,"Courbe1";#N/A,#N/A,FALSE,"Courbe2"}</definedName>
    <definedName name="csfsfsf" localSheetId="32" hidden="1">{#N/A,#N/A,FALSE,"Ventilation";#N/A,#N/A,FALSE,"Courbe1";#N/A,#N/A,FALSE,"Courbe2"}</definedName>
    <definedName name="csfsfsf" localSheetId="10" hidden="1">{#N/A,#N/A,FALSE,"Ventilation";#N/A,#N/A,FALSE,"Courbe1";#N/A,#N/A,FALSE,"Courbe2"}</definedName>
    <definedName name="csfsfsf" localSheetId="6" hidden="1">{#N/A,#N/A,FALSE,"Ventilation";#N/A,#N/A,FALSE,"Courbe1";#N/A,#N/A,FALSE,"Courbe2"}</definedName>
    <definedName name="csfsfsf" hidden="1">{#N/A,#N/A,FALSE,"Ventilation";#N/A,#N/A,FALSE,"Courbe1";#N/A,#N/A,FALSE,"Courbe2"}</definedName>
    <definedName name="d" hidden="1">#REF!</definedName>
    <definedName name="DA_3337388674700002280" hidden="1">#REF!</definedName>
    <definedName name="DA_3337388674700002286" hidden="1">#REF!</definedName>
    <definedName name="DA_3337388674700002292" hidden="1">#REF!</definedName>
    <definedName name="DA_3337388674700002298" hidden="1">#REF!</definedName>
    <definedName name="DA_3337388674700002304" hidden="1">#REF!</definedName>
    <definedName name="DA_3337388674700002306" hidden="1">#REF!</definedName>
    <definedName name="DA_3337388674700002312" hidden="1">#REF!</definedName>
    <definedName name="DA_3337388674700002318" hidden="1">#REF!</definedName>
    <definedName name="DA_3337388674700002334" hidden="1">#REF!</definedName>
    <definedName name="DA_4038951086900001248" localSheetId="6" hidden="1">#REF!</definedName>
    <definedName name="DA_4038951086900001248" hidden="1">#REF!</definedName>
    <definedName name="DA_4038951086900001249" localSheetId="6" hidden="1">#REF!</definedName>
    <definedName name="DA_4038951086900001249" hidden="1">#REF!</definedName>
    <definedName name="DA_4038951086900001253" localSheetId="6" hidden="1">#REF!</definedName>
    <definedName name="DA_4038951086900001253" hidden="1">#REF!</definedName>
    <definedName name="DA_4038951086900001254" localSheetId="6" hidden="1">#REF!</definedName>
    <definedName name="DA_4038951086900001254" hidden="1">#REF!</definedName>
    <definedName name="DA_4038951086900001263" localSheetId="6" hidden="1">#REF!</definedName>
    <definedName name="DA_4038951086900001263" hidden="1">#REF!</definedName>
    <definedName name="DA_4038951086900001264" localSheetId="6" hidden="1">#REF!</definedName>
    <definedName name="DA_4038951086900001264" hidden="1">#REF!</definedName>
    <definedName name="DA_4038951086900001268" localSheetId="6" hidden="1">#REF!</definedName>
    <definedName name="DA_4038951086900001268" hidden="1">#REF!</definedName>
    <definedName name="DA_4038951086900001269" localSheetId="6" hidden="1">#REF!</definedName>
    <definedName name="DA_4038951086900001269" hidden="1">#REF!</definedName>
    <definedName name="DA_4038951086900001273" localSheetId="6" hidden="1">#REF!</definedName>
    <definedName name="DA_4038951086900001273" hidden="1">#REF!</definedName>
    <definedName name="DA_4038951086900001274" localSheetId="6" hidden="1">#REF!</definedName>
    <definedName name="DA_4038951086900001274" hidden="1">#REF!</definedName>
    <definedName name="DA_4038951086900001278" localSheetId="6" hidden="1">#REF!</definedName>
    <definedName name="DA_4038951086900001278" hidden="1">#REF!</definedName>
    <definedName name="DA_4038951086900001279" localSheetId="6" hidden="1">#REF!</definedName>
    <definedName name="DA_4038951086900001279" hidden="1">#REF!</definedName>
    <definedName name="DA_4038951086900001283" localSheetId="6" hidden="1">#REF!</definedName>
    <definedName name="DA_4038951086900001283" hidden="1">#REF!</definedName>
    <definedName name="DA_4038951086900001284" localSheetId="6" hidden="1">#REF!</definedName>
    <definedName name="DA_4038951086900001284" hidden="1">#REF!</definedName>
    <definedName name="DA_4038951086900001288" localSheetId="6" hidden="1">#REF!</definedName>
    <definedName name="DA_4038951086900001288" hidden="1">#REF!</definedName>
    <definedName name="DA_4038951086900001289" localSheetId="6" hidden="1">#REF!</definedName>
    <definedName name="DA_4038951086900001289" hidden="1">#REF!</definedName>
    <definedName name="DA_4038951086900001293" localSheetId="6" hidden="1">#REF!</definedName>
    <definedName name="DA_4038951086900001293" hidden="1">#REF!</definedName>
    <definedName name="DA_4038951086900001294" localSheetId="6" hidden="1">#REF!</definedName>
    <definedName name="DA_4038951086900001294" hidden="1">#REF!</definedName>
    <definedName name="DA_4038951086900001298" localSheetId="6" hidden="1">#REF!</definedName>
    <definedName name="DA_4038951086900001298" hidden="1">#REF!</definedName>
    <definedName name="DA_4038951086900001299" localSheetId="6" hidden="1">#REF!</definedName>
    <definedName name="DA_4038951086900001299" hidden="1">#REF!</definedName>
    <definedName name="DA_4038951086900001303" localSheetId="6" hidden="1">#REF!</definedName>
    <definedName name="DA_4038951086900001303" hidden="1">#REF!</definedName>
    <definedName name="DA_4038951086900001304" localSheetId="6" hidden="1">#REF!</definedName>
    <definedName name="DA_4038951086900001304" hidden="1">#REF!</definedName>
    <definedName name="DA_4038951086900001308" localSheetId="6" hidden="1">#REF!</definedName>
    <definedName name="DA_4038951086900001308" hidden="1">#REF!</definedName>
    <definedName name="DA_4038951086900001309" localSheetId="6" hidden="1">#REF!</definedName>
    <definedName name="DA_4038951086900001309" hidden="1">#REF!</definedName>
    <definedName name="DA_4038951086900001313" localSheetId="6" hidden="1">#REF!</definedName>
    <definedName name="DA_4038951086900001313" hidden="1">#REF!</definedName>
    <definedName name="DA_4038951086900001314" localSheetId="6" hidden="1">#REF!</definedName>
    <definedName name="DA_4038951086900001314" hidden="1">#REF!</definedName>
    <definedName name="DA_4038951086900001318" localSheetId="6" hidden="1">#REF!</definedName>
    <definedName name="DA_4038951086900001318" hidden="1">#REF!</definedName>
    <definedName name="DA_4038951086900001319" localSheetId="6" hidden="1">#REF!</definedName>
    <definedName name="DA_4038951086900001319" hidden="1">#REF!</definedName>
    <definedName name="DA_4038951086900001475" localSheetId="6" hidden="1">#REF!</definedName>
    <definedName name="DA_4038951086900001475" hidden="1">#REF!</definedName>
    <definedName name="DA_4038951086900001476" localSheetId="6" hidden="1">#REF!</definedName>
    <definedName name="DA_4038951086900001476" hidden="1">#REF!</definedName>
    <definedName name="DA_4038951086900001480" localSheetId="6" hidden="1">#REF!</definedName>
    <definedName name="DA_4038951086900001480" hidden="1">#REF!</definedName>
    <definedName name="DA_4038951086900001481" localSheetId="6" hidden="1">#REF!</definedName>
    <definedName name="DA_4038951086900001481" hidden="1">#REF!</definedName>
    <definedName name="DA_4044149571400005879" localSheetId="6" hidden="1">#REF!</definedName>
    <definedName name="DA_4044149571400005879" hidden="1">#REF!</definedName>
    <definedName name="DA_4044149571400006117" localSheetId="6" hidden="1">#REF!</definedName>
    <definedName name="DA_4044149571400006117" hidden="1">#REF!</definedName>
    <definedName name="DA_4084077185500003539" localSheetId="6" hidden="1">#REF!</definedName>
    <definedName name="DA_4084077185500003539" hidden="1">#REF!</definedName>
    <definedName name="DA_4084077185500003552" localSheetId="6" hidden="1">#REF!</definedName>
    <definedName name="DA_4084077185500003552" hidden="1">#REF!</definedName>
    <definedName name="DA_4089215025200003709" localSheetId="6" hidden="1">#REF!</definedName>
    <definedName name="DA_4089215025200003709" hidden="1">#REF!</definedName>
    <definedName name="DA_4089215025200003719" localSheetId="6" hidden="1">#REF!</definedName>
    <definedName name="DA_4089215025200003719" hidden="1">#REF!</definedName>
    <definedName name="DA_4089215025200003728" localSheetId="6" hidden="1">#REF!</definedName>
    <definedName name="DA_4089215025200003728" hidden="1">#REF!</definedName>
    <definedName name="DA_4089215025200003910" hidden="1">#REF!</definedName>
    <definedName name="dada" localSheetId="30" hidden="1">{#N/A,#N/A,FALSE,"3";#N/A,#N/A,FALSE,"5";#N/A,#N/A,FALSE,"6";#N/A,#N/A,FALSE,"8";#N/A,#N/A,FALSE,"10";#N/A,#N/A,FALSE,"13";#N/A,#N/A,FALSE,"14";#N/A,#N/A,FALSE,"15";#N/A,#N/A,FALSE,"16"}</definedName>
    <definedName name="dada" localSheetId="31" hidden="1">{#N/A,#N/A,FALSE,"3";#N/A,#N/A,FALSE,"5";#N/A,#N/A,FALSE,"6";#N/A,#N/A,FALSE,"8";#N/A,#N/A,FALSE,"10";#N/A,#N/A,FALSE,"13";#N/A,#N/A,FALSE,"14";#N/A,#N/A,FALSE,"15";#N/A,#N/A,FALSE,"16"}</definedName>
    <definedName name="dada" localSheetId="32" hidden="1">{#N/A,#N/A,FALSE,"3";#N/A,#N/A,FALSE,"5";#N/A,#N/A,FALSE,"6";#N/A,#N/A,FALSE,"8";#N/A,#N/A,FALSE,"10";#N/A,#N/A,FALSE,"13";#N/A,#N/A,FALSE,"14";#N/A,#N/A,FALSE,"15";#N/A,#N/A,FALSE,"16"}</definedName>
    <definedName name="dada" localSheetId="10" hidden="1">{#N/A,#N/A,FALSE,"3";#N/A,#N/A,FALSE,"5";#N/A,#N/A,FALSE,"6";#N/A,#N/A,FALSE,"8";#N/A,#N/A,FALSE,"10";#N/A,#N/A,FALSE,"13";#N/A,#N/A,FALSE,"14";#N/A,#N/A,FALSE,"15";#N/A,#N/A,FALSE,"16"}</definedName>
    <definedName name="dada" localSheetId="6" hidden="1">{#N/A,#N/A,FALSE,"3";#N/A,#N/A,FALSE,"5";#N/A,#N/A,FALSE,"6";#N/A,#N/A,FALSE,"8";#N/A,#N/A,FALSE,"10";#N/A,#N/A,FALSE,"13";#N/A,#N/A,FALSE,"14";#N/A,#N/A,FALSE,"15";#N/A,#N/A,FALSE,"16"}</definedName>
    <definedName name="dada" hidden="1">{#N/A,#N/A,FALSE,"3";#N/A,#N/A,FALSE,"5";#N/A,#N/A,FALSE,"6";#N/A,#N/A,FALSE,"8";#N/A,#N/A,FALSE,"10";#N/A,#N/A,FALSE,"13";#N/A,#N/A,FALSE,"14";#N/A,#N/A,FALSE,"15";#N/A,#N/A,FALSE,"16"}</definedName>
    <definedName name="dafvsf" localSheetId="30" hidden="1">{"summary",#N/A,FALSE,"2000 vs 1999";"detail",#N/A,FALSE,"2000 vs 1999"}</definedName>
    <definedName name="dafvsf" localSheetId="31" hidden="1">{"summary",#N/A,FALSE,"2000 vs 1999";"detail",#N/A,FALSE,"2000 vs 1999"}</definedName>
    <definedName name="dafvsf" localSheetId="32" hidden="1">{"summary",#N/A,FALSE,"2000 vs 1999";"detail",#N/A,FALSE,"2000 vs 1999"}</definedName>
    <definedName name="dafvsf" localSheetId="10" hidden="1">{"summary",#N/A,FALSE,"2000 vs 1999";"detail",#N/A,FALSE,"2000 vs 1999"}</definedName>
    <definedName name="dafvsf" localSheetId="6" hidden="1">{"summary",#N/A,FALSE,"2000 vs 1999";"detail",#N/A,FALSE,"2000 vs 1999"}</definedName>
    <definedName name="dafvsf" hidden="1">{"summary",#N/A,FALSE,"2000 vs 1999";"detail",#N/A,FALSE,"2000 vs 1999"}</definedName>
    <definedName name="dan" localSheetId="30" hidden="1">{#N/A,#N/A,FALSE,"Aging Summary";#N/A,#N/A,FALSE,"Ratio Analysis";#N/A,#N/A,FALSE,"Test 120 Day Accts";#N/A,#N/A,FALSE,"Tickmarks"}</definedName>
    <definedName name="dan" localSheetId="31" hidden="1">{#N/A,#N/A,FALSE,"Aging Summary";#N/A,#N/A,FALSE,"Ratio Analysis";#N/A,#N/A,FALSE,"Test 120 Day Accts";#N/A,#N/A,FALSE,"Tickmarks"}</definedName>
    <definedName name="dan" localSheetId="32" hidden="1">{#N/A,#N/A,FALSE,"Aging Summary";#N/A,#N/A,FALSE,"Ratio Analysis";#N/A,#N/A,FALSE,"Test 120 Day Accts";#N/A,#N/A,FALSE,"Tickmarks"}</definedName>
    <definedName name="dan" localSheetId="10" hidden="1">{#N/A,#N/A,FALSE,"Aging Summary";#N/A,#N/A,FALSE,"Ratio Analysis";#N/A,#N/A,FALSE,"Test 120 Day Accts";#N/A,#N/A,FALSE,"Tickmarks"}</definedName>
    <definedName name="dan" localSheetId="1" hidden="1">{#N/A,#N/A,FALSE,"Aging Summary";#N/A,#N/A,FALSE,"Ratio Analysis";#N/A,#N/A,FALSE,"Test 120 Day Accts";#N/A,#N/A,FALSE,"Tickmarks"}</definedName>
    <definedName name="dan" localSheetId="6" hidden="1">{#N/A,#N/A,FALSE,"Aging Summary";#N/A,#N/A,FALSE,"Ratio Analysis";#N/A,#N/A,FALSE,"Test 120 Day Accts";#N/A,#N/A,FALSE,"Tickmarks"}</definedName>
    <definedName name="dan" hidden="1">{#N/A,#N/A,FALSE,"Aging Summary";#N/A,#N/A,FALSE,"Ratio Analysis";#N/A,#N/A,FALSE,"Test 120 Day Accts";#N/A,#N/A,FALSE,"Tickmarks"}</definedName>
    <definedName name="dasdasdas" localSheetId="30" hidden="1">{#N/A,#N/A,FALSE,"3";#N/A,#N/A,FALSE,"5";#N/A,#N/A,FALSE,"6";#N/A,#N/A,FALSE,"8";#N/A,#N/A,FALSE,"10";#N/A,#N/A,FALSE,"13";#N/A,#N/A,FALSE,"14";#N/A,#N/A,FALSE,"15";#N/A,#N/A,FALSE,"16"}</definedName>
    <definedName name="dasdasdas" localSheetId="31" hidden="1">{#N/A,#N/A,FALSE,"3";#N/A,#N/A,FALSE,"5";#N/A,#N/A,FALSE,"6";#N/A,#N/A,FALSE,"8";#N/A,#N/A,FALSE,"10";#N/A,#N/A,FALSE,"13";#N/A,#N/A,FALSE,"14";#N/A,#N/A,FALSE,"15";#N/A,#N/A,FALSE,"16"}</definedName>
    <definedName name="dasdasdas" localSheetId="32" hidden="1">{#N/A,#N/A,FALSE,"3";#N/A,#N/A,FALSE,"5";#N/A,#N/A,FALSE,"6";#N/A,#N/A,FALSE,"8";#N/A,#N/A,FALSE,"10";#N/A,#N/A,FALSE,"13";#N/A,#N/A,FALSE,"14";#N/A,#N/A,FALSE,"15";#N/A,#N/A,FALSE,"16"}</definedName>
    <definedName name="dasdasdas" localSheetId="10" hidden="1">{#N/A,#N/A,FALSE,"3";#N/A,#N/A,FALSE,"5";#N/A,#N/A,FALSE,"6";#N/A,#N/A,FALSE,"8";#N/A,#N/A,FALSE,"10";#N/A,#N/A,FALSE,"13";#N/A,#N/A,FALSE,"14";#N/A,#N/A,FALSE,"15";#N/A,#N/A,FALSE,"16"}</definedName>
    <definedName name="dasdasdas" localSheetId="6" hidden="1">{#N/A,#N/A,FALSE,"3";#N/A,#N/A,FALSE,"5";#N/A,#N/A,FALSE,"6";#N/A,#N/A,FALSE,"8";#N/A,#N/A,FALSE,"10";#N/A,#N/A,FALSE,"13";#N/A,#N/A,FALSE,"14";#N/A,#N/A,FALSE,"15";#N/A,#N/A,FALSE,"16"}</definedName>
    <definedName name="dasdasdas" hidden="1">{#N/A,#N/A,FALSE,"3";#N/A,#N/A,FALSE,"5";#N/A,#N/A,FALSE,"6";#N/A,#N/A,FALSE,"8";#N/A,#N/A,FALSE,"10";#N/A,#N/A,FALSE,"13";#N/A,#N/A,FALSE,"14";#N/A,#N/A,FALSE,"15";#N/A,#N/A,FALSE,"16"}</definedName>
    <definedName name="data1" localSheetId="1" hidden="1">#REF!</definedName>
    <definedName name="data1" hidden="1">#REF!</definedName>
    <definedName name="data2" localSheetId="1" hidden="1">#REF!</definedName>
    <definedName name="data2" localSheetId="6" hidden="1">#REF!</definedName>
    <definedName name="data2" hidden="1">#REF!</definedName>
    <definedName name="data3" localSheetId="1" hidden="1">#REF!</definedName>
    <definedName name="data3" localSheetId="6" hidden="1">#REF!</definedName>
    <definedName name="data3" hidden="1">#REF!</definedName>
    <definedName name="DAWWD" hidden="1">#REF!</definedName>
    <definedName name="ÐCompanyName" localSheetId="6" hidden="1">#REF!</definedName>
    <definedName name="ÐCompanyName" hidden="1">#REF!</definedName>
    <definedName name="dDA" localSheetId="30" hidden="1">{"'Resins'!$B$1:$P$6","'Resins'!$B$1:$Q$85"}</definedName>
    <definedName name="dDA" localSheetId="31" hidden="1">{"'Resins'!$B$1:$P$6","'Resins'!$B$1:$Q$85"}</definedName>
    <definedName name="dDA" localSheetId="32" hidden="1">{"'Resins'!$B$1:$P$6","'Resins'!$B$1:$Q$85"}</definedName>
    <definedName name="dDA" localSheetId="10" hidden="1">{"'Resins'!$B$1:$P$6","'Resins'!$B$1:$Q$85"}</definedName>
    <definedName name="dDA" localSheetId="6" hidden="1">{"'Resins'!$B$1:$P$6","'Resins'!$B$1:$Q$85"}</definedName>
    <definedName name="dDA" hidden="1">{"'Resins'!$B$1:$P$6","'Resins'!$B$1:$Q$85"}</definedName>
    <definedName name="ddd" hidden="1">{"summary",#N/A,FALSE,"2000 vs 1999";"detail",#N/A,FALSE,"2000 vs 1999"}</definedName>
    <definedName name="dddddddd" localSheetId="30" hidden="1">{#N/A,#N/A,FALSE,"3";#N/A,#N/A,FALSE,"5";#N/A,#N/A,FALSE,"6";#N/A,#N/A,FALSE,"8";#N/A,#N/A,FALSE,"10";#N/A,#N/A,FALSE,"13";#N/A,#N/A,FALSE,"14";#N/A,#N/A,FALSE,"15";#N/A,#N/A,FALSE,"16"}</definedName>
    <definedName name="dddddddd" localSheetId="31" hidden="1">{#N/A,#N/A,FALSE,"3";#N/A,#N/A,FALSE,"5";#N/A,#N/A,FALSE,"6";#N/A,#N/A,FALSE,"8";#N/A,#N/A,FALSE,"10";#N/A,#N/A,FALSE,"13";#N/A,#N/A,FALSE,"14";#N/A,#N/A,FALSE,"15";#N/A,#N/A,FALSE,"16"}</definedName>
    <definedName name="dddddddd" localSheetId="32" hidden="1">{#N/A,#N/A,FALSE,"3";#N/A,#N/A,FALSE,"5";#N/A,#N/A,FALSE,"6";#N/A,#N/A,FALSE,"8";#N/A,#N/A,FALSE,"10";#N/A,#N/A,FALSE,"13";#N/A,#N/A,FALSE,"14";#N/A,#N/A,FALSE,"15";#N/A,#N/A,FALSE,"16"}</definedName>
    <definedName name="dddddddd" localSheetId="10" hidden="1">{#N/A,#N/A,FALSE,"3";#N/A,#N/A,FALSE,"5";#N/A,#N/A,FALSE,"6";#N/A,#N/A,FALSE,"8";#N/A,#N/A,FALSE,"10";#N/A,#N/A,FALSE,"13";#N/A,#N/A,FALSE,"14";#N/A,#N/A,FALSE,"15";#N/A,#N/A,FALSE,"16"}</definedName>
    <definedName name="dddddddd" localSheetId="6" hidden="1">{#N/A,#N/A,FALSE,"3";#N/A,#N/A,FALSE,"5";#N/A,#N/A,FALSE,"6";#N/A,#N/A,FALSE,"8";#N/A,#N/A,FALSE,"10";#N/A,#N/A,FALSE,"13";#N/A,#N/A,FALSE,"14";#N/A,#N/A,FALSE,"15";#N/A,#N/A,FALSE,"16"}</definedName>
    <definedName name="dddddddd" hidden="1">{#N/A,#N/A,FALSE,"3";#N/A,#N/A,FALSE,"5";#N/A,#N/A,FALSE,"6";#N/A,#N/A,FALSE,"8";#N/A,#N/A,FALSE,"10";#N/A,#N/A,FALSE,"13";#N/A,#N/A,FALSE,"14";#N/A,#N/A,FALSE,"15";#N/A,#N/A,FALSE,"16"}</definedName>
    <definedName name="dddddddddddddd" hidden="1">#REF!</definedName>
    <definedName name="debtors_delhi" localSheetId="6" hidden="1">#REF!</definedName>
    <definedName name="debtors_delhi" hidden="1">#REF!</definedName>
    <definedName name="ded" localSheetId="30" hidden="1">{#N/A,#N/A,FALSE,"3";#N/A,#N/A,FALSE,"5";#N/A,#N/A,FALSE,"6";#N/A,#N/A,FALSE,"8";#N/A,#N/A,FALSE,"10";#N/A,#N/A,FALSE,"13";#N/A,#N/A,FALSE,"14";#N/A,#N/A,FALSE,"15";#N/A,#N/A,FALSE,"16"}</definedName>
    <definedName name="ded" localSheetId="31" hidden="1">{#N/A,#N/A,FALSE,"3";#N/A,#N/A,FALSE,"5";#N/A,#N/A,FALSE,"6";#N/A,#N/A,FALSE,"8";#N/A,#N/A,FALSE,"10";#N/A,#N/A,FALSE,"13";#N/A,#N/A,FALSE,"14";#N/A,#N/A,FALSE,"15";#N/A,#N/A,FALSE,"16"}</definedName>
    <definedName name="ded" localSheetId="32" hidden="1">{#N/A,#N/A,FALSE,"3";#N/A,#N/A,FALSE,"5";#N/A,#N/A,FALSE,"6";#N/A,#N/A,FALSE,"8";#N/A,#N/A,FALSE,"10";#N/A,#N/A,FALSE,"13";#N/A,#N/A,FALSE,"14";#N/A,#N/A,FALSE,"15";#N/A,#N/A,FALSE,"16"}</definedName>
    <definedName name="ded" localSheetId="10" hidden="1">{#N/A,#N/A,FALSE,"3";#N/A,#N/A,FALSE,"5";#N/A,#N/A,FALSE,"6";#N/A,#N/A,FALSE,"8";#N/A,#N/A,FALSE,"10";#N/A,#N/A,FALSE,"13";#N/A,#N/A,FALSE,"14";#N/A,#N/A,FALSE,"15";#N/A,#N/A,FALSE,"16"}</definedName>
    <definedName name="ded" localSheetId="6" hidden="1">{#N/A,#N/A,FALSE,"3";#N/A,#N/A,FALSE,"5";#N/A,#N/A,FALSE,"6";#N/A,#N/A,FALSE,"8";#N/A,#N/A,FALSE,"10";#N/A,#N/A,FALSE,"13";#N/A,#N/A,FALSE,"14";#N/A,#N/A,FALSE,"15";#N/A,#N/A,FALSE,"16"}</definedName>
    <definedName name="ded" hidden="1">{#N/A,#N/A,FALSE,"3";#N/A,#N/A,FALSE,"5";#N/A,#N/A,FALSE,"6";#N/A,#N/A,FALSE,"8";#N/A,#N/A,FALSE,"10";#N/A,#N/A,FALSE,"13";#N/A,#N/A,FALSE,"14";#N/A,#N/A,FALSE,"15";#N/A,#N/A,FALSE,"16"}</definedName>
    <definedName name="dee" localSheetId="30" hidden="1">{#N/A,#N/A,TRUE,"KEY DATA";#N/A,#N/A,TRUE,"KEY DATA Base Case";#N/A,#N/A,TRUE,"JULY";#N/A,#N/A,TRUE,"AUG";#N/A,#N/A,TRUE,"SEPT";#N/A,#N/A,TRUE,"3Q"}</definedName>
    <definedName name="dee" localSheetId="31" hidden="1">{#N/A,#N/A,TRUE,"KEY DATA";#N/A,#N/A,TRUE,"KEY DATA Base Case";#N/A,#N/A,TRUE,"JULY";#N/A,#N/A,TRUE,"AUG";#N/A,#N/A,TRUE,"SEPT";#N/A,#N/A,TRUE,"3Q"}</definedName>
    <definedName name="dee" localSheetId="32" hidden="1">{#N/A,#N/A,TRUE,"KEY DATA";#N/A,#N/A,TRUE,"KEY DATA Base Case";#N/A,#N/A,TRUE,"JULY";#N/A,#N/A,TRUE,"AUG";#N/A,#N/A,TRUE,"SEPT";#N/A,#N/A,TRUE,"3Q"}</definedName>
    <definedName name="dee" localSheetId="10" hidden="1">{#N/A,#N/A,TRUE,"KEY DATA";#N/A,#N/A,TRUE,"KEY DATA Base Case";#N/A,#N/A,TRUE,"JULY";#N/A,#N/A,TRUE,"AUG";#N/A,#N/A,TRUE,"SEPT";#N/A,#N/A,TRUE,"3Q"}</definedName>
    <definedName name="dee" localSheetId="6" hidden="1">{#N/A,#N/A,TRUE,"KEY DATA";#N/A,#N/A,TRUE,"KEY DATA Base Case";#N/A,#N/A,TRUE,"JULY";#N/A,#N/A,TRUE,"AUG";#N/A,#N/A,TRUE,"SEPT";#N/A,#N/A,TRUE,"3Q"}</definedName>
    <definedName name="dee" hidden="1">{#N/A,#N/A,TRUE,"KEY DATA";#N/A,#N/A,TRUE,"KEY DATA Base Case";#N/A,#N/A,TRUE,"JULY";#N/A,#N/A,TRUE,"AUG";#N/A,#N/A,TRUE,"SEPT";#N/A,#N/A,TRUE,"3Q"}</definedName>
    <definedName name="deftax04" localSheetId="30" hidden="1">{#N/A,#N/A,FALSE,"12"}</definedName>
    <definedName name="deftax04" localSheetId="31" hidden="1">{#N/A,#N/A,FALSE,"12"}</definedName>
    <definedName name="deftax04" localSheetId="32" hidden="1">{#N/A,#N/A,FALSE,"12"}</definedName>
    <definedName name="deftax04" localSheetId="10" hidden="1">{#N/A,#N/A,FALSE,"12"}</definedName>
    <definedName name="deftax04" hidden="1">{#N/A,#N/A,FALSE,"12"}</definedName>
    <definedName name="Deletion" localSheetId="30" hidden="1">{#N/A,#N/A,FALSE,"COMICRO";#N/A,#N/A,FALSE,"BALSCH";#N/A,#N/A,FALSE,"GLASS";#N/A,#N/A,FALSE,"DEPRE";#N/A,#N/A,FALSE,"A&amp;MCUR";#N/A,#N/A,FALSE,"AGEANAlysis";#N/A,#N/A,FALSE,"CHECKS";#N/A,#N/A,FALSE,"CHECKS"}</definedName>
    <definedName name="Deletion" localSheetId="31" hidden="1">{#N/A,#N/A,FALSE,"COMICRO";#N/A,#N/A,FALSE,"BALSCH";#N/A,#N/A,FALSE,"GLASS";#N/A,#N/A,FALSE,"DEPRE";#N/A,#N/A,FALSE,"A&amp;MCUR";#N/A,#N/A,FALSE,"AGEANAlysis";#N/A,#N/A,FALSE,"CHECKS";#N/A,#N/A,FALSE,"CHECKS"}</definedName>
    <definedName name="Deletion" localSheetId="32" hidden="1">{#N/A,#N/A,FALSE,"COMICRO";#N/A,#N/A,FALSE,"BALSCH";#N/A,#N/A,FALSE,"GLASS";#N/A,#N/A,FALSE,"DEPRE";#N/A,#N/A,FALSE,"A&amp;MCUR";#N/A,#N/A,FALSE,"AGEANAlysis";#N/A,#N/A,FALSE,"CHECKS";#N/A,#N/A,FALSE,"CHECKS"}</definedName>
    <definedName name="Deletion" localSheetId="10" hidden="1">{#N/A,#N/A,FALSE,"COMICRO";#N/A,#N/A,FALSE,"BALSCH";#N/A,#N/A,FALSE,"GLASS";#N/A,#N/A,FALSE,"DEPRE";#N/A,#N/A,FALSE,"A&amp;MCUR";#N/A,#N/A,FALSE,"AGEANAlysis";#N/A,#N/A,FALSE,"CHECKS";#N/A,#N/A,FALSE,"CHECKS"}</definedName>
    <definedName name="Deletion" localSheetId="1" hidden="1">{#N/A,#N/A,FALSE,"COMICRO";#N/A,#N/A,FALSE,"BALSCH";#N/A,#N/A,FALSE,"GLASS";#N/A,#N/A,FALSE,"DEPRE";#N/A,#N/A,FALSE,"A&amp;MCUR";#N/A,#N/A,FALSE,"AGEANAlysis";#N/A,#N/A,FALSE,"CHECKS";#N/A,#N/A,FALSE,"CHECKS"}</definedName>
    <definedName name="Deletion" localSheetId="6" hidden="1">{#N/A,#N/A,FALSE,"COMICRO";#N/A,#N/A,FALSE,"BALSCH";#N/A,#N/A,FALSE,"GLASS";#N/A,#N/A,FALSE,"DEPRE";#N/A,#N/A,FALSE,"A&amp;MCUR";#N/A,#N/A,FALSE,"AGEANAlysis";#N/A,#N/A,FALSE,"CHECKS";#N/A,#N/A,FALSE,"CHECKS"}</definedName>
    <definedName name="Deletion" hidden="1">{#N/A,#N/A,FALSE,"COMICRO";#N/A,#N/A,FALSE,"BALSCH";#N/A,#N/A,FALSE,"GLASS";#N/A,#N/A,FALSE,"DEPRE";#N/A,#N/A,FALSE,"A&amp;MCUR";#N/A,#N/A,FALSE,"AGEANAlysis";#N/A,#N/A,FALSE,"CHECKS";#N/A,#N/A,FALSE,"CHECKS"}</definedName>
    <definedName name="deletions" localSheetId="30" hidden="1">{#N/A,#N/A,TRUE,"BALSCH";#N/A,#N/A,TRUE,"COMICRO";#N/A,#N/A,TRUE,"CHECKS";#N/A,#N/A,TRUE,"GLASS";#N/A,#N/A,TRUE,"DEPRE";#N/A,#N/A,TRUE,"A&amp;MCUR";#N/A,#N/A,TRUE,"AGEANAlysis";#N/A,#N/A,TRUE,"CHECKS"}</definedName>
    <definedName name="deletions" localSheetId="31" hidden="1">{#N/A,#N/A,TRUE,"BALSCH";#N/A,#N/A,TRUE,"COMICRO";#N/A,#N/A,TRUE,"CHECKS";#N/A,#N/A,TRUE,"GLASS";#N/A,#N/A,TRUE,"DEPRE";#N/A,#N/A,TRUE,"A&amp;MCUR";#N/A,#N/A,TRUE,"AGEANAlysis";#N/A,#N/A,TRUE,"CHECKS"}</definedName>
    <definedName name="deletions" localSheetId="32" hidden="1">{#N/A,#N/A,TRUE,"BALSCH";#N/A,#N/A,TRUE,"COMICRO";#N/A,#N/A,TRUE,"CHECKS";#N/A,#N/A,TRUE,"GLASS";#N/A,#N/A,TRUE,"DEPRE";#N/A,#N/A,TRUE,"A&amp;MCUR";#N/A,#N/A,TRUE,"AGEANAlysis";#N/A,#N/A,TRUE,"CHECKS"}</definedName>
    <definedName name="deletions" localSheetId="10" hidden="1">{#N/A,#N/A,TRUE,"BALSCH";#N/A,#N/A,TRUE,"COMICRO";#N/A,#N/A,TRUE,"CHECKS";#N/A,#N/A,TRUE,"GLASS";#N/A,#N/A,TRUE,"DEPRE";#N/A,#N/A,TRUE,"A&amp;MCUR";#N/A,#N/A,TRUE,"AGEANAlysis";#N/A,#N/A,TRUE,"CHECKS"}</definedName>
    <definedName name="deletions" localSheetId="1" hidden="1">{#N/A,#N/A,TRUE,"BALSCH";#N/A,#N/A,TRUE,"COMICRO";#N/A,#N/A,TRUE,"CHECKS";#N/A,#N/A,TRUE,"GLASS";#N/A,#N/A,TRUE,"DEPRE";#N/A,#N/A,TRUE,"A&amp;MCUR";#N/A,#N/A,TRUE,"AGEANAlysis";#N/A,#N/A,TRUE,"CHECKS"}</definedName>
    <definedName name="deletions" localSheetId="6" hidden="1">{#N/A,#N/A,TRUE,"BALSCH";#N/A,#N/A,TRUE,"COMICRO";#N/A,#N/A,TRUE,"CHECKS";#N/A,#N/A,TRUE,"GLASS";#N/A,#N/A,TRUE,"DEPRE";#N/A,#N/A,TRUE,"A&amp;MCUR";#N/A,#N/A,TRUE,"AGEANAlysis";#N/A,#N/A,TRUE,"CHECKS"}</definedName>
    <definedName name="deletions" hidden="1">{#N/A,#N/A,TRUE,"BALSCH";#N/A,#N/A,TRUE,"COMICRO";#N/A,#N/A,TRUE,"CHECKS";#N/A,#N/A,TRUE,"GLASS";#N/A,#N/A,TRUE,"DEPRE";#N/A,#N/A,TRUE,"A&amp;MCUR";#N/A,#N/A,TRUE,"AGEANAlysis";#N/A,#N/A,TRUE,"CHECKS"}</definedName>
    <definedName name="delhi" localSheetId="30" hidden="1">{#N/A,#N/A,FALSE,"COMICRO";#N/A,#N/A,FALSE,"BALSCH";#N/A,#N/A,FALSE,"GLASS";#N/A,#N/A,FALSE,"DEPRE";#N/A,#N/A,FALSE,"A&amp;MCUR";#N/A,#N/A,FALSE,"AGEANAlysis";#N/A,#N/A,FALSE,"CHECKS";#N/A,#N/A,FALSE,"CHECKS"}</definedName>
    <definedName name="delhi" localSheetId="31" hidden="1">{#N/A,#N/A,FALSE,"COMICRO";#N/A,#N/A,FALSE,"BALSCH";#N/A,#N/A,FALSE,"GLASS";#N/A,#N/A,FALSE,"DEPRE";#N/A,#N/A,FALSE,"A&amp;MCUR";#N/A,#N/A,FALSE,"AGEANAlysis";#N/A,#N/A,FALSE,"CHECKS";#N/A,#N/A,FALSE,"CHECKS"}</definedName>
    <definedName name="delhi" localSheetId="32" hidden="1">{#N/A,#N/A,FALSE,"COMICRO";#N/A,#N/A,FALSE,"BALSCH";#N/A,#N/A,FALSE,"GLASS";#N/A,#N/A,FALSE,"DEPRE";#N/A,#N/A,FALSE,"A&amp;MCUR";#N/A,#N/A,FALSE,"AGEANAlysis";#N/A,#N/A,FALSE,"CHECKS";#N/A,#N/A,FALSE,"CHECKS"}</definedName>
    <definedName name="delhi" localSheetId="10" hidden="1">{#N/A,#N/A,FALSE,"COMICRO";#N/A,#N/A,FALSE,"BALSCH";#N/A,#N/A,FALSE,"GLASS";#N/A,#N/A,FALSE,"DEPRE";#N/A,#N/A,FALSE,"A&amp;MCUR";#N/A,#N/A,FALSE,"AGEANAlysis";#N/A,#N/A,FALSE,"CHECKS";#N/A,#N/A,FALSE,"CHECKS"}</definedName>
    <definedName name="delhi" localSheetId="1" hidden="1">{#N/A,#N/A,FALSE,"COMICRO";#N/A,#N/A,FALSE,"BALSCH";#N/A,#N/A,FALSE,"GLASS";#N/A,#N/A,FALSE,"DEPRE";#N/A,#N/A,FALSE,"A&amp;MCUR";#N/A,#N/A,FALSE,"AGEANAlysis";#N/A,#N/A,FALSE,"CHECKS";#N/A,#N/A,FALSE,"CHECKS"}</definedName>
    <definedName name="delhi" localSheetId="6" hidden="1">{#N/A,#N/A,FALSE,"COMICRO";#N/A,#N/A,FALSE,"BALSCH";#N/A,#N/A,FALSE,"GLASS";#N/A,#N/A,FALSE,"DEPRE";#N/A,#N/A,FALSE,"A&amp;MCUR";#N/A,#N/A,FALSE,"AGEANAlysis";#N/A,#N/A,FALSE,"CHECKS";#N/A,#N/A,FALSE,"CHECKS"}</definedName>
    <definedName name="delhi" hidden="1">{#N/A,#N/A,FALSE,"COMICRO";#N/A,#N/A,FALSE,"BALSCH";#N/A,#N/A,FALSE,"GLASS";#N/A,#N/A,FALSE,"DEPRE";#N/A,#N/A,FALSE,"A&amp;MCUR";#N/A,#N/A,FALSE,"AGEANAlysis";#N/A,#N/A,FALSE,"CHECKS";#N/A,#N/A,FALSE,"CHECKS"}</definedName>
    <definedName name="Delphine" localSheetId="30" hidden="1">{#N/A,#N/A,FALSE,"3";#N/A,#N/A,FALSE,"5";#N/A,#N/A,FALSE,"6";#N/A,#N/A,FALSE,"8";#N/A,#N/A,FALSE,"10";#N/A,#N/A,FALSE,"13";#N/A,#N/A,FALSE,"14";#N/A,#N/A,FALSE,"15";#N/A,#N/A,FALSE,"16"}</definedName>
    <definedName name="Delphine" localSheetId="31" hidden="1">{#N/A,#N/A,FALSE,"3";#N/A,#N/A,FALSE,"5";#N/A,#N/A,FALSE,"6";#N/A,#N/A,FALSE,"8";#N/A,#N/A,FALSE,"10";#N/A,#N/A,FALSE,"13";#N/A,#N/A,FALSE,"14";#N/A,#N/A,FALSE,"15";#N/A,#N/A,FALSE,"16"}</definedName>
    <definedName name="Delphine" localSheetId="32" hidden="1">{#N/A,#N/A,FALSE,"3";#N/A,#N/A,FALSE,"5";#N/A,#N/A,FALSE,"6";#N/A,#N/A,FALSE,"8";#N/A,#N/A,FALSE,"10";#N/A,#N/A,FALSE,"13";#N/A,#N/A,FALSE,"14";#N/A,#N/A,FALSE,"15";#N/A,#N/A,FALSE,"16"}</definedName>
    <definedName name="Delphine" localSheetId="10" hidden="1">{#N/A,#N/A,FALSE,"3";#N/A,#N/A,FALSE,"5";#N/A,#N/A,FALSE,"6";#N/A,#N/A,FALSE,"8";#N/A,#N/A,FALSE,"10";#N/A,#N/A,FALSE,"13";#N/A,#N/A,FALSE,"14";#N/A,#N/A,FALSE,"15";#N/A,#N/A,FALSE,"16"}</definedName>
    <definedName name="Delphine" localSheetId="6" hidden="1">{#N/A,#N/A,FALSE,"3";#N/A,#N/A,FALSE,"5";#N/A,#N/A,FALSE,"6";#N/A,#N/A,FALSE,"8";#N/A,#N/A,FALSE,"10";#N/A,#N/A,FALSE,"13";#N/A,#N/A,FALSE,"14";#N/A,#N/A,FALSE,"15";#N/A,#N/A,FALSE,"16"}</definedName>
    <definedName name="Delphine" hidden="1">{#N/A,#N/A,FALSE,"3";#N/A,#N/A,FALSE,"5";#N/A,#N/A,FALSE,"6";#N/A,#N/A,FALSE,"8";#N/A,#N/A,FALSE,"10";#N/A,#N/A,FALSE,"13";#N/A,#N/A,FALSE,"14";#N/A,#N/A,FALSE,"15";#N/A,#N/A,FALSE,"16"}</definedName>
    <definedName name="delt" localSheetId="30"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delt" localSheetId="31"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delt" localSheetId="32"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delt" localSheetId="10"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delt" localSheetId="6"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delt"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Dennis" localSheetId="6" hidden="1">#REF!</definedName>
    <definedName name="Dennis" hidden="1">#REF!</definedName>
    <definedName name="DEPRI" localSheetId="6" hidden="1">#REF!</definedName>
    <definedName name="DEPRI" hidden="1">#REF!</definedName>
    <definedName name="DEPTION_GGN" localSheetId="30" hidden="1">{#N/A,#N/A,FALSE,"Cash Flows";#N/A,#N/A,FALSE,"Fixed Assets";#N/A,#N/A,FALSE,"Balance Sheet";#N/A,#N/A,FALSE,"P &amp; L"}</definedName>
    <definedName name="DEPTION_GGN" localSheetId="31" hidden="1">{#N/A,#N/A,FALSE,"Cash Flows";#N/A,#N/A,FALSE,"Fixed Assets";#N/A,#N/A,FALSE,"Balance Sheet";#N/A,#N/A,FALSE,"P &amp; L"}</definedName>
    <definedName name="DEPTION_GGN" localSheetId="32" hidden="1">{#N/A,#N/A,FALSE,"Cash Flows";#N/A,#N/A,FALSE,"Fixed Assets";#N/A,#N/A,FALSE,"Balance Sheet";#N/A,#N/A,FALSE,"P &amp; L"}</definedName>
    <definedName name="DEPTION_GGN" localSheetId="10" hidden="1">{#N/A,#N/A,FALSE,"Cash Flows";#N/A,#N/A,FALSE,"Fixed Assets";#N/A,#N/A,FALSE,"Balance Sheet";#N/A,#N/A,FALSE,"P &amp; L"}</definedName>
    <definedName name="DEPTION_GGN" hidden="1">{#N/A,#N/A,FALSE,"Cash Flows";#N/A,#N/A,FALSE,"Fixed Assets";#N/A,#N/A,FALSE,"Balance Sheet";#N/A,#N/A,FALSE,"P &amp; L"}</definedName>
    <definedName name="dev" localSheetId="3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3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3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localSheetI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fasd" hidden="1">{"Summary analysis",#N/A,FALSE,"Total";"OCPH analysis",#N/A,FALSE,"Total";"detail analysis",#N/A,FALSE,"Total"}</definedName>
    <definedName name="dfasdgfg" hidden="1">#REF!</definedName>
    <definedName name="dfd" localSheetId="30" hidden="1">{#N/A,#N/A,FALSE,"3";#N/A,#N/A,FALSE,"5";#N/A,#N/A,FALSE,"6";#N/A,#N/A,FALSE,"8";#N/A,#N/A,FALSE,"10";#N/A,#N/A,FALSE,"13";#N/A,#N/A,FALSE,"14";#N/A,#N/A,FALSE,"15";#N/A,#N/A,FALSE,"16"}</definedName>
    <definedName name="dfd" localSheetId="31" hidden="1">{#N/A,#N/A,FALSE,"3";#N/A,#N/A,FALSE,"5";#N/A,#N/A,FALSE,"6";#N/A,#N/A,FALSE,"8";#N/A,#N/A,FALSE,"10";#N/A,#N/A,FALSE,"13";#N/A,#N/A,FALSE,"14";#N/A,#N/A,FALSE,"15";#N/A,#N/A,FALSE,"16"}</definedName>
    <definedName name="dfd" localSheetId="32" hidden="1">{#N/A,#N/A,FALSE,"3";#N/A,#N/A,FALSE,"5";#N/A,#N/A,FALSE,"6";#N/A,#N/A,FALSE,"8";#N/A,#N/A,FALSE,"10";#N/A,#N/A,FALSE,"13";#N/A,#N/A,FALSE,"14";#N/A,#N/A,FALSE,"15";#N/A,#N/A,FALSE,"16"}</definedName>
    <definedName name="dfd" localSheetId="10" hidden="1">{#N/A,#N/A,FALSE,"3";#N/A,#N/A,FALSE,"5";#N/A,#N/A,FALSE,"6";#N/A,#N/A,FALSE,"8";#N/A,#N/A,FALSE,"10";#N/A,#N/A,FALSE,"13";#N/A,#N/A,FALSE,"14";#N/A,#N/A,FALSE,"15";#N/A,#N/A,FALSE,"16"}</definedName>
    <definedName name="dfd" localSheetId="6" hidden="1">{#N/A,#N/A,FALSE,"3";#N/A,#N/A,FALSE,"5";#N/A,#N/A,FALSE,"6";#N/A,#N/A,FALSE,"8";#N/A,#N/A,FALSE,"10";#N/A,#N/A,FALSE,"13";#N/A,#N/A,FALSE,"14";#N/A,#N/A,FALSE,"15";#N/A,#N/A,FALSE,"16"}</definedName>
    <definedName name="dfd" hidden="1">{#N/A,#N/A,FALSE,"3";#N/A,#N/A,FALSE,"5";#N/A,#N/A,FALSE,"6";#N/A,#N/A,FALSE,"8";#N/A,#N/A,FALSE,"10";#N/A,#N/A,FALSE,"13";#N/A,#N/A,FALSE,"14";#N/A,#N/A,FALSE,"15";#N/A,#N/A,FALSE,"16"}</definedName>
    <definedName name="dfhajsdfsfdasklsdLKLKKHKASFSD" localSheetId="30" hidden="1">{#N/A,#N/A,FALSE,"USMED 3";#N/A,#N/A,FALSE,"MARCHALLENGER 1";#N/A,#N/A,FALSE,"MARCHALLENGER 2";#N/A,#N/A,FALSE,"MARCHALLENGER 3";#N/A,#N/A,FALSE,"MARCHALLENGER 4"}</definedName>
    <definedName name="dfhajsdfsfdasklsdLKLKKHKASFSD" localSheetId="31" hidden="1">{#N/A,#N/A,FALSE,"USMED 3";#N/A,#N/A,FALSE,"MARCHALLENGER 1";#N/A,#N/A,FALSE,"MARCHALLENGER 2";#N/A,#N/A,FALSE,"MARCHALLENGER 3";#N/A,#N/A,FALSE,"MARCHALLENGER 4"}</definedName>
    <definedName name="dfhajsdfsfdasklsdLKLKKHKASFSD" localSheetId="32" hidden="1">{#N/A,#N/A,FALSE,"USMED 3";#N/A,#N/A,FALSE,"MARCHALLENGER 1";#N/A,#N/A,FALSE,"MARCHALLENGER 2";#N/A,#N/A,FALSE,"MARCHALLENGER 3";#N/A,#N/A,FALSE,"MARCHALLENGER 4"}</definedName>
    <definedName name="dfhajsdfsfdasklsdLKLKKHKASFSD" localSheetId="10" hidden="1">{#N/A,#N/A,FALSE,"USMED 3";#N/A,#N/A,FALSE,"MARCHALLENGER 1";#N/A,#N/A,FALSE,"MARCHALLENGER 2";#N/A,#N/A,FALSE,"MARCHALLENGER 3";#N/A,#N/A,FALSE,"MARCHALLENGER 4"}</definedName>
    <definedName name="dfhajsdfsfdasklsdLKLKKHKASFSD" hidden="1">{#N/A,#N/A,FALSE,"USMED 3";#N/A,#N/A,FALSE,"MARCHALLENGER 1";#N/A,#N/A,FALSE,"MARCHALLENGER 2";#N/A,#N/A,FALSE,"MARCHALLENGER 3";#N/A,#N/A,FALSE,"MARCHALLENGER 4"}</definedName>
    <definedName name="dfhdfhdfhdfh" localSheetId="30" hidden="1">{#N/A,#N/A,FALSE,"3";#N/A,#N/A,FALSE,"5";#N/A,#N/A,FALSE,"6";#N/A,#N/A,FALSE,"8";#N/A,#N/A,FALSE,"10";#N/A,#N/A,FALSE,"13";#N/A,#N/A,FALSE,"14";#N/A,#N/A,FALSE,"15";#N/A,#N/A,FALSE,"16"}</definedName>
    <definedName name="dfhdfhdfhdfh" localSheetId="31" hidden="1">{#N/A,#N/A,FALSE,"3";#N/A,#N/A,FALSE,"5";#N/A,#N/A,FALSE,"6";#N/A,#N/A,FALSE,"8";#N/A,#N/A,FALSE,"10";#N/A,#N/A,FALSE,"13";#N/A,#N/A,FALSE,"14";#N/A,#N/A,FALSE,"15";#N/A,#N/A,FALSE,"16"}</definedName>
    <definedName name="dfhdfhdfhdfh" localSheetId="32" hidden="1">{#N/A,#N/A,FALSE,"3";#N/A,#N/A,FALSE,"5";#N/A,#N/A,FALSE,"6";#N/A,#N/A,FALSE,"8";#N/A,#N/A,FALSE,"10";#N/A,#N/A,FALSE,"13";#N/A,#N/A,FALSE,"14";#N/A,#N/A,FALSE,"15";#N/A,#N/A,FALSE,"16"}</definedName>
    <definedName name="dfhdfhdfhdfh" localSheetId="10" hidden="1">{#N/A,#N/A,FALSE,"3";#N/A,#N/A,FALSE,"5";#N/A,#N/A,FALSE,"6";#N/A,#N/A,FALSE,"8";#N/A,#N/A,FALSE,"10";#N/A,#N/A,FALSE,"13";#N/A,#N/A,FALSE,"14";#N/A,#N/A,FALSE,"15";#N/A,#N/A,FALSE,"16"}</definedName>
    <definedName name="dfhdfhdfhdfh" localSheetId="6" hidden="1">{#N/A,#N/A,FALSE,"3";#N/A,#N/A,FALSE,"5";#N/A,#N/A,FALSE,"6";#N/A,#N/A,FALSE,"8";#N/A,#N/A,FALSE,"10";#N/A,#N/A,FALSE,"13";#N/A,#N/A,FALSE,"14";#N/A,#N/A,FALSE,"15";#N/A,#N/A,FALSE,"16"}</definedName>
    <definedName name="dfhdfhdfhdfh" hidden="1">{#N/A,#N/A,FALSE,"3";#N/A,#N/A,FALSE,"5";#N/A,#N/A,FALSE,"6";#N/A,#N/A,FALSE,"8";#N/A,#N/A,FALSE,"10";#N/A,#N/A,FALSE,"13";#N/A,#N/A,FALSE,"14";#N/A,#N/A,FALSE,"15";#N/A,#N/A,FALSE,"16"}</definedName>
    <definedName name="dfhdfhdfhfdh" localSheetId="30" hidden="1">{#N/A,#N/A,FALSE,"3";#N/A,#N/A,FALSE,"5";#N/A,#N/A,FALSE,"6";#N/A,#N/A,FALSE,"8";#N/A,#N/A,FALSE,"10";#N/A,#N/A,FALSE,"13";#N/A,#N/A,FALSE,"14";#N/A,#N/A,FALSE,"15";#N/A,#N/A,FALSE,"16"}</definedName>
    <definedName name="dfhdfhdfhfdh" localSheetId="31" hidden="1">{#N/A,#N/A,FALSE,"3";#N/A,#N/A,FALSE,"5";#N/A,#N/A,FALSE,"6";#N/A,#N/A,FALSE,"8";#N/A,#N/A,FALSE,"10";#N/A,#N/A,FALSE,"13";#N/A,#N/A,FALSE,"14";#N/A,#N/A,FALSE,"15";#N/A,#N/A,FALSE,"16"}</definedName>
    <definedName name="dfhdfhdfhfdh" localSheetId="32" hidden="1">{#N/A,#N/A,FALSE,"3";#N/A,#N/A,FALSE,"5";#N/A,#N/A,FALSE,"6";#N/A,#N/A,FALSE,"8";#N/A,#N/A,FALSE,"10";#N/A,#N/A,FALSE,"13";#N/A,#N/A,FALSE,"14";#N/A,#N/A,FALSE,"15";#N/A,#N/A,FALSE,"16"}</definedName>
    <definedName name="dfhdfhdfhfdh" localSheetId="10" hidden="1">{#N/A,#N/A,FALSE,"3";#N/A,#N/A,FALSE,"5";#N/A,#N/A,FALSE,"6";#N/A,#N/A,FALSE,"8";#N/A,#N/A,FALSE,"10";#N/A,#N/A,FALSE,"13";#N/A,#N/A,FALSE,"14";#N/A,#N/A,FALSE,"15";#N/A,#N/A,FALSE,"16"}</definedName>
    <definedName name="dfhdfhdfhfdh" localSheetId="6" hidden="1">{#N/A,#N/A,FALSE,"3";#N/A,#N/A,FALSE,"5";#N/A,#N/A,FALSE,"6";#N/A,#N/A,FALSE,"8";#N/A,#N/A,FALSE,"10";#N/A,#N/A,FALSE,"13";#N/A,#N/A,FALSE,"14";#N/A,#N/A,FALSE,"15";#N/A,#N/A,FALSE,"16"}</definedName>
    <definedName name="dfhdfhdfhfdh" hidden="1">{#N/A,#N/A,FALSE,"3";#N/A,#N/A,FALSE,"5";#N/A,#N/A,FALSE,"6";#N/A,#N/A,FALSE,"8";#N/A,#N/A,FALSE,"10";#N/A,#N/A,FALSE,"13";#N/A,#N/A,FALSE,"14";#N/A,#N/A,FALSE,"15";#N/A,#N/A,FALSE,"16"}</definedName>
    <definedName name="dfhdfhfdhdfh" localSheetId="30" hidden="1">{#N/A,#N/A,FALSE,"3";#N/A,#N/A,FALSE,"5";#N/A,#N/A,FALSE,"6";#N/A,#N/A,FALSE,"8";#N/A,#N/A,FALSE,"10";#N/A,#N/A,FALSE,"13";#N/A,#N/A,FALSE,"14";#N/A,#N/A,FALSE,"15";#N/A,#N/A,FALSE,"16"}</definedName>
    <definedName name="dfhdfhfdhdfh" localSheetId="31" hidden="1">{#N/A,#N/A,FALSE,"3";#N/A,#N/A,FALSE,"5";#N/A,#N/A,FALSE,"6";#N/A,#N/A,FALSE,"8";#N/A,#N/A,FALSE,"10";#N/A,#N/A,FALSE,"13";#N/A,#N/A,FALSE,"14";#N/A,#N/A,FALSE,"15";#N/A,#N/A,FALSE,"16"}</definedName>
    <definedName name="dfhdfhfdhdfh" localSheetId="32" hidden="1">{#N/A,#N/A,FALSE,"3";#N/A,#N/A,FALSE,"5";#N/A,#N/A,FALSE,"6";#N/A,#N/A,FALSE,"8";#N/A,#N/A,FALSE,"10";#N/A,#N/A,FALSE,"13";#N/A,#N/A,FALSE,"14";#N/A,#N/A,FALSE,"15";#N/A,#N/A,FALSE,"16"}</definedName>
    <definedName name="dfhdfhfdhdfh" localSheetId="10" hidden="1">{#N/A,#N/A,FALSE,"3";#N/A,#N/A,FALSE,"5";#N/A,#N/A,FALSE,"6";#N/A,#N/A,FALSE,"8";#N/A,#N/A,FALSE,"10";#N/A,#N/A,FALSE,"13";#N/A,#N/A,FALSE,"14";#N/A,#N/A,FALSE,"15";#N/A,#N/A,FALSE,"16"}</definedName>
    <definedName name="dfhdfhfdhdfh" localSheetId="6" hidden="1">{#N/A,#N/A,FALSE,"3";#N/A,#N/A,FALSE,"5";#N/A,#N/A,FALSE,"6";#N/A,#N/A,FALSE,"8";#N/A,#N/A,FALSE,"10";#N/A,#N/A,FALSE,"13";#N/A,#N/A,FALSE,"14";#N/A,#N/A,FALSE,"15";#N/A,#N/A,FALSE,"16"}</definedName>
    <definedName name="dfhdfhfdhdfh" hidden="1">{#N/A,#N/A,FALSE,"3";#N/A,#N/A,FALSE,"5";#N/A,#N/A,FALSE,"6";#N/A,#N/A,FALSE,"8";#N/A,#N/A,FALSE,"10";#N/A,#N/A,FALSE,"13";#N/A,#N/A,FALSE,"14";#N/A,#N/A,FALSE,"15";#N/A,#N/A,FALSE,"16"}</definedName>
    <definedName name="dfsgdsfgdsf" localSheetId="6" hidden="1">#REF!</definedName>
    <definedName name="dfsgdsfgdsf" hidden="1">#REF!</definedName>
    <definedName name="dhdfhdfhdfh" localSheetId="30" hidden="1">{#N/A,#N/A,FALSE,"3";#N/A,#N/A,FALSE,"5";#N/A,#N/A,FALSE,"6";#N/A,#N/A,FALSE,"8";#N/A,#N/A,FALSE,"10";#N/A,#N/A,FALSE,"13";#N/A,#N/A,FALSE,"14";#N/A,#N/A,FALSE,"15";#N/A,#N/A,FALSE,"16"}</definedName>
    <definedName name="dhdfhdfhdfh" localSheetId="31" hidden="1">{#N/A,#N/A,FALSE,"3";#N/A,#N/A,FALSE,"5";#N/A,#N/A,FALSE,"6";#N/A,#N/A,FALSE,"8";#N/A,#N/A,FALSE,"10";#N/A,#N/A,FALSE,"13";#N/A,#N/A,FALSE,"14";#N/A,#N/A,FALSE,"15";#N/A,#N/A,FALSE,"16"}</definedName>
    <definedName name="dhdfhdfhdfh" localSheetId="32" hidden="1">{#N/A,#N/A,FALSE,"3";#N/A,#N/A,FALSE,"5";#N/A,#N/A,FALSE,"6";#N/A,#N/A,FALSE,"8";#N/A,#N/A,FALSE,"10";#N/A,#N/A,FALSE,"13";#N/A,#N/A,FALSE,"14";#N/A,#N/A,FALSE,"15";#N/A,#N/A,FALSE,"16"}</definedName>
    <definedName name="dhdfhdfhdfh" localSheetId="10" hidden="1">{#N/A,#N/A,FALSE,"3";#N/A,#N/A,FALSE,"5";#N/A,#N/A,FALSE,"6";#N/A,#N/A,FALSE,"8";#N/A,#N/A,FALSE,"10";#N/A,#N/A,FALSE,"13";#N/A,#N/A,FALSE,"14";#N/A,#N/A,FALSE,"15";#N/A,#N/A,FALSE,"16"}</definedName>
    <definedName name="dhdfhdfhdfh" localSheetId="6" hidden="1">{#N/A,#N/A,FALSE,"3";#N/A,#N/A,FALSE,"5";#N/A,#N/A,FALSE,"6";#N/A,#N/A,FALSE,"8";#N/A,#N/A,FALSE,"10";#N/A,#N/A,FALSE,"13";#N/A,#N/A,FALSE,"14";#N/A,#N/A,FALSE,"15";#N/A,#N/A,FALSE,"16"}</definedName>
    <definedName name="dhdfhdfhdfh" hidden="1">{#N/A,#N/A,FALSE,"3";#N/A,#N/A,FALSE,"5";#N/A,#N/A,FALSE,"6";#N/A,#N/A,FALSE,"8";#N/A,#N/A,FALSE,"10";#N/A,#N/A,FALSE,"13";#N/A,#N/A,FALSE,"14";#N/A,#N/A,FALSE,"15";#N/A,#N/A,FALSE,"16"}</definedName>
    <definedName name="dir" localSheetId="30" hidden="1">{#N/A,#N/A,FALSE,"COMP"}</definedName>
    <definedName name="dir" localSheetId="31" hidden="1">{#N/A,#N/A,FALSE,"COMP"}</definedName>
    <definedName name="dir" localSheetId="32" hidden="1">{#N/A,#N/A,FALSE,"COMP"}</definedName>
    <definedName name="dir" localSheetId="10" hidden="1">{#N/A,#N/A,FALSE,"COMP"}</definedName>
    <definedName name="dir" localSheetId="1" hidden="1">{#N/A,#N/A,FALSE,"COMP"}</definedName>
    <definedName name="dir" localSheetId="6" hidden="1">{#N/A,#N/A,FALSE,"COMP"}</definedName>
    <definedName name="dir" hidden="1">{#N/A,#N/A,FALSE,"COMP"}</definedName>
    <definedName name="Discount" localSheetId="1" hidden="1">#REF!</definedName>
    <definedName name="Discount" localSheetId="6" hidden="1">#REF!</definedName>
    <definedName name="Discount" localSheetId="3" hidden="1">#REF!</definedName>
    <definedName name="Discount" hidden="1">#REF!</definedName>
    <definedName name="display_area_2" localSheetId="1" hidden="1">#REF!</definedName>
    <definedName name="display_area_2" hidden="1">#REF!</definedName>
    <definedName name="djkdj" localSheetId="30" hidden="1">{"Inputs",#N/A,FALSE,"Data Reduction";"Outputs",#N/A,FALSE,"Data Reduction";"Cycle Deck Comparison",#N/A,FALSE,"Data Reduction"}</definedName>
    <definedName name="djkdj" localSheetId="31" hidden="1">{"Inputs",#N/A,FALSE,"Data Reduction";"Outputs",#N/A,FALSE,"Data Reduction";"Cycle Deck Comparison",#N/A,FALSE,"Data Reduction"}</definedName>
    <definedName name="djkdj" localSheetId="32" hidden="1">{"Inputs",#N/A,FALSE,"Data Reduction";"Outputs",#N/A,FALSE,"Data Reduction";"Cycle Deck Comparison",#N/A,FALSE,"Data Reduction"}</definedName>
    <definedName name="djkdj" localSheetId="10" hidden="1">{"Inputs",#N/A,FALSE,"Data Reduction";"Outputs",#N/A,FALSE,"Data Reduction";"Cycle Deck Comparison",#N/A,FALSE,"Data Reduction"}</definedName>
    <definedName name="djkdj" localSheetId="6" hidden="1">{"Inputs",#N/A,FALSE,"Data Reduction";"Outputs",#N/A,FALSE,"Data Reduction";"Cycle Deck Comparison",#N/A,FALSE,"Data Reduction"}</definedName>
    <definedName name="djkdj" hidden="1">{"Inputs",#N/A,FALSE,"Data Reduction";"Outputs",#N/A,FALSE,"Data Reduction";"Cycle Deck Comparison",#N/A,FALSE,"Data Reduction"}</definedName>
    <definedName name="DL3eafb9ff_b705_4e5f_8a61_27d35438f30e" localSheetId="6" hidden="1">#REF!</definedName>
    <definedName name="DL3eafb9ff_b705_4e5f_8a61_27d35438f30e" localSheetId="3" hidden="1">#REF!</definedName>
    <definedName name="DL3eafb9ff_b705_4e5f_8a61_27d35438f30e" hidden="1">#REF!</definedName>
    <definedName name="DL717e9cad_8191_46cb_90d5_40d612757735" localSheetId="6" hidden="1">#REF!</definedName>
    <definedName name="DL717e9cad_8191_46cb_90d5_40d612757735" localSheetId="3" hidden="1">#REF!</definedName>
    <definedName name="DL717e9cad_8191_46cb_90d5_40d612757735" hidden="1">#REF!</definedName>
    <definedName name="DL942b10ad_8bca_407a_8306_97d4b77ca82e" localSheetId="6" hidden="1">#REF!</definedName>
    <definedName name="DL942b10ad_8bca_407a_8306_97d4b77ca82e" localSheetId="3" hidden="1">#REF!</definedName>
    <definedName name="DL942b10ad_8bca_407a_8306_97d4b77ca82e" hidden="1">#REF!</definedName>
    <definedName name="DLaad15270_c3c7_4e94_8ceb_64fdd374dd18" localSheetId="6" hidden="1">#REF!</definedName>
    <definedName name="DLaad15270_c3c7_4e94_8ceb_64fdd374dd18" localSheetId="3" hidden="1">#REF!</definedName>
    <definedName name="DLaad15270_c3c7_4e94_8ceb_64fdd374dd18" hidden="1">#REF!</definedName>
    <definedName name="DME_Dirty" hidden="1">"False"</definedName>
    <definedName name="DME_LocalFile" hidden="1">"True"</definedName>
    <definedName name="DQ" localSheetId="30" hidden="1">{"page1",#N/A,FALSE,"Taean 1&amp;2";"page2",#N/A,FALSE,"Taean 1&amp;2"}</definedName>
    <definedName name="DQ" localSheetId="31" hidden="1">{"page1",#N/A,FALSE,"Taean 1&amp;2";"page2",#N/A,FALSE,"Taean 1&amp;2"}</definedName>
    <definedName name="DQ" localSheetId="32" hidden="1">{"page1",#N/A,FALSE,"Taean 1&amp;2";"page2",#N/A,FALSE,"Taean 1&amp;2"}</definedName>
    <definedName name="DQ" localSheetId="10" hidden="1">{"page1",#N/A,FALSE,"Taean 1&amp;2";"page2",#N/A,FALSE,"Taean 1&amp;2"}</definedName>
    <definedName name="DQ" localSheetId="6" hidden="1">{"page1",#N/A,FALSE,"Taean 1&amp;2";"page2",#N/A,FALSE,"Taean 1&amp;2"}</definedName>
    <definedName name="DQ" hidden="1">{"page1",#N/A,FALSE,"Taean 1&amp;2";"page2",#N/A,FALSE,"Taean 1&amp;2"}</definedName>
    <definedName name="DQAFAWF" hidden="1">#REF!</definedName>
    <definedName name="Drainage" localSheetId="30" hidden="1">{"'Typical Costs Estimates'!$C$158:$H$161"}</definedName>
    <definedName name="Drainage" localSheetId="31" hidden="1">{"'Typical Costs Estimates'!$C$158:$H$161"}</definedName>
    <definedName name="Drainage" localSheetId="32" hidden="1">{"'Typical Costs Estimates'!$C$158:$H$161"}</definedName>
    <definedName name="Drainage" localSheetId="10" hidden="1">{"'Typical Costs Estimates'!$C$158:$H$161"}</definedName>
    <definedName name="Drainage" hidden="1">{"'Typical Costs Estimates'!$C$158:$H$161"}</definedName>
    <definedName name="drfh" localSheetId="30" hidden="1">{#N/A,#N/A,FALSE,"3";#N/A,#N/A,FALSE,"5";#N/A,#N/A,FALSE,"6";#N/A,#N/A,FALSE,"8";#N/A,#N/A,FALSE,"10";#N/A,#N/A,FALSE,"13";#N/A,#N/A,FALSE,"14";#N/A,#N/A,FALSE,"15";#N/A,#N/A,FALSE,"16"}</definedName>
    <definedName name="drfh" localSheetId="31" hidden="1">{#N/A,#N/A,FALSE,"3";#N/A,#N/A,FALSE,"5";#N/A,#N/A,FALSE,"6";#N/A,#N/A,FALSE,"8";#N/A,#N/A,FALSE,"10";#N/A,#N/A,FALSE,"13";#N/A,#N/A,FALSE,"14";#N/A,#N/A,FALSE,"15";#N/A,#N/A,FALSE,"16"}</definedName>
    <definedName name="drfh" localSheetId="32" hidden="1">{#N/A,#N/A,FALSE,"3";#N/A,#N/A,FALSE,"5";#N/A,#N/A,FALSE,"6";#N/A,#N/A,FALSE,"8";#N/A,#N/A,FALSE,"10";#N/A,#N/A,FALSE,"13";#N/A,#N/A,FALSE,"14";#N/A,#N/A,FALSE,"15";#N/A,#N/A,FALSE,"16"}</definedName>
    <definedName name="drfh" localSheetId="10" hidden="1">{#N/A,#N/A,FALSE,"3";#N/A,#N/A,FALSE,"5";#N/A,#N/A,FALSE,"6";#N/A,#N/A,FALSE,"8";#N/A,#N/A,FALSE,"10";#N/A,#N/A,FALSE,"13";#N/A,#N/A,FALSE,"14";#N/A,#N/A,FALSE,"15";#N/A,#N/A,FALSE,"16"}</definedName>
    <definedName name="drfh" localSheetId="6" hidden="1">{#N/A,#N/A,FALSE,"3";#N/A,#N/A,FALSE,"5";#N/A,#N/A,FALSE,"6";#N/A,#N/A,FALSE,"8";#N/A,#N/A,FALSE,"10";#N/A,#N/A,FALSE,"13";#N/A,#N/A,FALSE,"14";#N/A,#N/A,FALSE,"15";#N/A,#N/A,FALSE,"16"}</definedName>
    <definedName name="drfh" hidden="1">{#N/A,#N/A,FALSE,"3";#N/A,#N/A,FALSE,"5";#N/A,#N/A,FALSE,"6";#N/A,#N/A,FALSE,"8";#N/A,#N/A,FALSE,"10";#N/A,#N/A,FALSE,"13";#N/A,#N/A,FALSE,"14";#N/A,#N/A,FALSE,"15";#N/A,#N/A,FALSE,"16"}</definedName>
    <definedName name="dsd" localSheetId="30" hidden="1">{#N/A,#N/A,FALSE,"3";#N/A,#N/A,FALSE,"5";#N/A,#N/A,FALSE,"6";#N/A,#N/A,FALSE,"8";#N/A,#N/A,FALSE,"10";#N/A,#N/A,FALSE,"13";#N/A,#N/A,FALSE,"14";#N/A,#N/A,FALSE,"15";#N/A,#N/A,FALSE,"16"}</definedName>
    <definedName name="dsd" localSheetId="31" hidden="1">{#N/A,#N/A,FALSE,"3";#N/A,#N/A,FALSE,"5";#N/A,#N/A,FALSE,"6";#N/A,#N/A,FALSE,"8";#N/A,#N/A,FALSE,"10";#N/A,#N/A,FALSE,"13";#N/A,#N/A,FALSE,"14";#N/A,#N/A,FALSE,"15";#N/A,#N/A,FALSE,"16"}</definedName>
    <definedName name="dsd" localSheetId="32" hidden="1">{#N/A,#N/A,FALSE,"3";#N/A,#N/A,FALSE,"5";#N/A,#N/A,FALSE,"6";#N/A,#N/A,FALSE,"8";#N/A,#N/A,FALSE,"10";#N/A,#N/A,FALSE,"13";#N/A,#N/A,FALSE,"14";#N/A,#N/A,FALSE,"15";#N/A,#N/A,FALSE,"16"}</definedName>
    <definedName name="dsd" localSheetId="10" hidden="1">{#N/A,#N/A,FALSE,"3";#N/A,#N/A,FALSE,"5";#N/A,#N/A,FALSE,"6";#N/A,#N/A,FALSE,"8";#N/A,#N/A,FALSE,"10";#N/A,#N/A,FALSE,"13";#N/A,#N/A,FALSE,"14";#N/A,#N/A,FALSE,"15";#N/A,#N/A,FALSE,"16"}</definedName>
    <definedName name="dsd" localSheetId="6" hidden="1">{#N/A,#N/A,FALSE,"3";#N/A,#N/A,FALSE,"5";#N/A,#N/A,FALSE,"6";#N/A,#N/A,FALSE,"8";#N/A,#N/A,FALSE,"10";#N/A,#N/A,FALSE,"13";#N/A,#N/A,FALSE,"14";#N/A,#N/A,FALSE,"15";#N/A,#N/A,FALSE,"16"}</definedName>
    <definedName name="dsd" hidden="1">{#N/A,#N/A,FALSE,"3";#N/A,#N/A,FALSE,"5";#N/A,#N/A,FALSE,"6";#N/A,#N/A,FALSE,"8";#N/A,#N/A,FALSE,"10";#N/A,#N/A,FALSE,"13";#N/A,#N/A,FALSE,"14";#N/A,#N/A,FALSE,"15";#N/A,#N/A,FALSE,"16"}</definedName>
    <definedName name="dsf" localSheetId="1" hidden="1">{#N/A,#N/A,FALSE,"CDA Plan"}</definedName>
    <definedName name="dsgsdgfdsg" localSheetId="30" hidden="1">{#N/A,#N/A,FALSE,"3";#N/A,#N/A,FALSE,"5";#N/A,#N/A,FALSE,"6";#N/A,#N/A,FALSE,"8";#N/A,#N/A,FALSE,"10";#N/A,#N/A,FALSE,"13";#N/A,#N/A,FALSE,"14";#N/A,#N/A,FALSE,"15";#N/A,#N/A,FALSE,"16"}</definedName>
    <definedName name="dsgsdgfdsg" localSheetId="31" hidden="1">{#N/A,#N/A,FALSE,"3";#N/A,#N/A,FALSE,"5";#N/A,#N/A,FALSE,"6";#N/A,#N/A,FALSE,"8";#N/A,#N/A,FALSE,"10";#N/A,#N/A,FALSE,"13";#N/A,#N/A,FALSE,"14";#N/A,#N/A,FALSE,"15";#N/A,#N/A,FALSE,"16"}</definedName>
    <definedName name="dsgsdgfdsg" localSheetId="32" hidden="1">{#N/A,#N/A,FALSE,"3";#N/A,#N/A,FALSE,"5";#N/A,#N/A,FALSE,"6";#N/A,#N/A,FALSE,"8";#N/A,#N/A,FALSE,"10";#N/A,#N/A,FALSE,"13";#N/A,#N/A,FALSE,"14";#N/A,#N/A,FALSE,"15";#N/A,#N/A,FALSE,"16"}</definedName>
    <definedName name="dsgsdgfdsg" localSheetId="10" hidden="1">{#N/A,#N/A,FALSE,"3";#N/A,#N/A,FALSE,"5";#N/A,#N/A,FALSE,"6";#N/A,#N/A,FALSE,"8";#N/A,#N/A,FALSE,"10";#N/A,#N/A,FALSE,"13";#N/A,#N/A,FALSE,"14";#N/A,#N/A,FALSE,"15";#N/A,#N/A,FALSE,"16"}</definedName>
    <definedName name="dsgsdgfdsg" localSheetId="6" hidden="1">{#N/A,#N/A,FALSE,"3";#N/A,#N/A,FALSE,"5";#N/A,#N/A,FALSE,"6";#N/A,#N/A,FALSE,"8";#N/A,#N/A,FALSE,"10";#N/A,#N/A,FALSE,"13";#N/A,#N/A,FALSE,"14";#N/A,#N/A,FALSE,"15";#N/A,#N/A,FALSE,"16"}</definedName>
    <definedName name="dsgsdgfdsg" hidden="1">{#N/A,#N/A,FALSE,"3";#N/A,#N/A,FALSE,"5";#N/A,#N/A,FALSE,"6";#N/A,#N/A,FALSE,"8";#N/A,#N/A,FALSE,"10";#N/A,#N/A,FALSE,"13";#N/A,#N/A,FALSE,"14";#N/A,#N/A,FALSE,"15";#N/A,#N/A,FALSE,"16"}</definedName>
    <definedName name="dwadad" localSheetId="30" hidden="1">{"'Mach'!$A$1:$D$39"}</definedName>
    <definedName name="dwadad" localSheetId="31" hidden="1">{"'Mach'!$A$1:$D$39"}</definedName>
    <definedName name="dwadad" localSheetId="32" hidden="1">{"'Mach'!$A$1:$D$39"}</definedName>
    <definedName name="dwadad" localSheetId="10" hidden="1">{"'Mach'!$A$1:$D$39"}</definedName>
    <definedName name="dwadad" localSheetId="1" hidden="1">{"'Mach'!$A$1:$D$39"}</definedName>
    <definedName name="dwadad" localSheetId="6" hidden="1">{"'Mach'!$A$1:$D$39"}</definedName>
    <definedName name="dwadad" hidden="1">{"'Mach'!$A$1:$D$39"}</definedName>
    <definedName name="DWEFDW" hidden="1">#REF!</definedName>
    <definedName name="ÐYesNoDropdown" localSheetId="6" hidden="1">#REF!</definedName>
    <definedName name="ÐYesNoDropdown" hidden="1">#REF!</definedName>
    <definedName name="e" hidden="1">{"summary",#N/A,FALSE,"2000 vs 1999";"detail",#N/A,FALSE,"2000 vs 1999"}</definedName>
    <definedName name="E1.1" localSheetId="30" hidden="1">{#N/A,#N/A,FALSE,"Graficos    ( 9 )"}</definedName>
    <definedName name="E1.1" localSheetId="31" hidden="1">{#N/A,#N/A,FALSE,"Graficos    ( 9 )"}</definedName>
    <definedName name="E1.1" localSheetId="32" hidden="1">{#N/A,#N/A,FALSE,"Graficos    ( 9 )"}</definedName>
    <definedName name="E1.1" localSheetId="10" hidden="1">{#N/A,#N/A,FALSE,"Graficos    ( 9 )"}</definedName>
    <definedName name="E1.1" localSheetId="6" hidden="1">{#N/A,#N/A,FALSE,"Graficos    ( 9 )"}</definedName>
    <definedName name="E1.1" hidden="1">{#N/A,#N/A,FALSE,"Graficos    ( 9 )"}</definedName>
    <definedName name="e5e4t" hidden="1">{"summary",#N/A,FALSE,"2000 vs 1999";"detail",#N/A,FALSE,"2000 vs 1999"}</definedName>
    <definedName name="ecs" localSheetId="30" hidden="1">{#N/A,#N/A,FALSE,"USMED 3";#N/A,#N/A,FALSE,"MARCHALLENGER 1";#N/A,#N/A,FALSE,"MARCHALLENGER 2";#N/A,#N/A,FALSE,"MARCHALLENGER 3";#N/A,#N/A,FALSE,"MARCHALLENGER 4"}</definedName>
    <definedName name="ecs" localSheetId="31" hidden="1">{#N/A,#N/A,FALSE,"USMED 3";#N/A,#N/A,FALSE,"MARCHALLENGER 1";#N/A,#N/A,FALSE,"MARCHALLENGER 2";#N/A,#N/A,FALSE,"MARCHALLENGER 3";#N/A,#N/A,FALSE,"MARCHALLENGER 4"}</definedName>
    <definedName name="ecs" localSheetId="32" hidden="1">{#N/A,#N/A,FALSE,"USMED 3";#N/A,#N/A,FALSE,"MARCHALLENGER 1";#N/A,#N/A,FALSE,"MARCHALLENGER 2";#N/A,#N/A,FALSE,"MARCHALLENGER 3";#N/A,#N/A,FALSE,"MARCHALLENGER 4"}</definedName>
    <definedName name="ecs" localSheetId="10" hidden="1">{#N/A,#N/A,FALSE,"USMED 3";#N/A,#N/A,FALSE,"MARCHALLENGER 1";#N/A,#N/A,FALSE,"MARCHALLENGER 2";#N/A,#N/A,FALSE,"MARCHALLENGER 3";#N/A,#N/A,FALSE,"MARCHALLENGER 4"}</definedName>
    <definedName name="ecs" hidden="1">{#N/A,#N/A,FALSE,"USMED 3";#N/A,#N/A,FALSE,"MARCHALLENGER 1";#N/A,#N/A,FALSE,"MARCHALLENGER 2";#N/A,#N/A,FALSE,"MARCHALLENGER 3";#N/A,#N/A,FALSE,"MARCHALLENGER 4"}</definedName>
    <definedName name="ed" hidden="1">#REF!</definedName>
    <definedName name="EDG" localSheetId="30" hidden="1">{#N/A,#N/A,TRUE,"GEM Total";#N/A,#N/A,TRUE,"Final Assembly";#N/A,#N/A,TRUE,"Cleaning";#N/A,#N/A,TRUE,"Schooping,Clearing";#N/A,#N/A,TRUE,"Winding"}</definedName>
    <definedName name="EDG" localSheetId="31" hidden="1">{#N/A,#N/A,TRUE,"GEM Total";#N/A,#N/A,TRUE,"Final Assembly";#N/A,#N/A,TRUE,"Cleaning";#N/A,#N/A,TRUE,"Schooping,Clearing";#N/A,#N/A,TRUE,"Winding"}</definedName>
    <definedName name="EDG" localSheetId="32" hidden="1">{#N/A,#N/A,TRUE,"GEM Total";#N/A,#N/A,TRUE,"Final Assembly";#N/A,#N/A,TRUE,"Cleaning";#N/A,#N/A,TRUE,"Schooping,Clearing";#N/A,#N/A,TRUE,"Winding"}</definedName>
    <definedName name="EDG" localSheetId="10" hidden="1">{#N/A,#N/A,TRUE,"GEM Total";#N/A,#N/A,TRUE,"Final Assembly";#N/A,#N/A,TRUE,"Cleaning";#N/A,#N/A,TRUE,"Schooping,Clearing";#N/A,#N/A,TRUE,"Winding"}</definedName>
    <definedName name="EDG" localSheetId="6" hidden="1">{#N/A,#N/A,TRUE,"GEM Total";#N/A,#N/A,TRUE,"Final Assembly";#N/A,#N/A,TRUE,"Cleaning";#N/A,#N/A,TRUE,"Schooping,Clearing";#N/A,#N/A,TRUE,"Winding"}</definedName>
    <definedName name="EDG" hidden="1">{#N/A,#N/A,TRUE,"GEM Total";#N/A,#N/A,TRUE,"Final Assembly";#N/A,#N/A,TRUE,"Cleaning";#N/A,#N/A,TRUE,"Schooping,Clearing";#N/A,#N/A,TRUE,"Winding"}</definedName>
    <definedName name="EDGest" localSheetId="30" hidden="1">{#N/A,#N/A,TRUE,"GEM Total";#N/A,#N/A,TRUE,"Final Assembly";#N/A,#N/A,TRUE,"Cleaning";#N/A,#N/A,TRUE,"Schooping,Clearing";#N/A,#N/A,TRUE,"Winding"}</definedName>
    <definedName name="EDGest" localSheetId="31" hidden="1">{#N/A,#N/A,TRUE,"GEM Total";#N/A,#N/A,TRUE,"Final Assembly";#N/A,#N/A,TRUE,"Cleaning";#N/A,#N/A,TRUE,"Schooping,Clearing";#N/A,#N/A,TRUE,"Winding"}</definedName>
    <definedName name="EDGest" localSheetId="32" hidden="1">{#N/A,#N/A,TRUE,"GEM Total";#N/A,#N/A,TRUE,"Final Assembly";#N/A,#N/A,TRUE,"Cleaning";#N/A,#N/A,TRUE,"Schooping,Clearing";#N/A,#N/A,TRUE,"Winding"}</definedName>
    <definedName name="EDGest" localSheetId="10" hidden="1">{#N/A,#N/A,TRUE,"GEM Total";#N/A,#N/A,TRUE,"Final Assembly";#N/A,#N/A,TRUE,"Cleaning";#N/A,#N/A,TRUE,"Schooping,Clearing";#N/A,#N/A,TRUE,"Winding"}</definedName>
    <definedName name="EDGest" localSheetId="6" hidden="1">{#N/A,#N/A,TRUE,"GEM Total";#N/A,#N/A,TRUE,"Final Assembly";#N/A,#N/A,TRUE,"Cleaning";#N/A,#N/A,TRUE,"Schooping,Clearing";#N/A,#N/A,TRUE,"Winding"}</definedName>
    <definedName name="EDGest" hidden="1">{#N/A,#N/A,TRUE,"GEM Total";#N/A,#N/A,TRUE,"Final Assembly";#N/A,#N/A,TRUE,"Cleaning";#N/A,#N/A,TRUE,"Schooping,Clearing";#N/A,#N/A,TRUE,"Winding"}</definedName>
    <definedName name="ee" localSheetId="3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 localSheetId="3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 localSheetId="3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 localSheetId="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 localSheetI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 localSheetI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e" localSheetId="30" hidden="1">{#N/A,#N/A,FALSE,"Aging Summary";#N/A,#N/A,FALSE,"Ratio Analysis";#N/A,#N/A,FALSE,"Test 120 Day Accts";#N/A,#N/A,FALSE,"Tickmarks"}</definedName>
    <definedName name="eee" localSheetId="31" hidden="1">{#N/A,#N/A,FALSE,"Aging Summary";#N/A,#N/A,FALSE,"Ratio Analysis";#N/A,#N/A,FALSE,"Test 120 Day Accts";#N/A,#N/A,FALSE,"Tickmarks"}</definedName>
    <definedName name="eee" localSheetId="32" hidden="1">{#N/A,#N/A,FALSE,"Aging Summary";#N/A,#N/A,FALSE,"Ratio Analysis";#N/A,#N/A,FALSE,"Test 120 Day Accts";#N/A,#N/A,FALSE,"Tickmarks"}</definedName>
    <definedName name="eee" localSheetId="10" hidden="1">{#N/A,#N/A,FALSE,"Aging Summary";#N/A,#N/A,FALSE,"Ratio Analysis";#N/A,#N/A,FALSE,"Test 120 Day Accts";#N/A,#N/A,FALSE,"Tickmarks"}</definedName>
    <definedName name="eee" localSheetId="1" hidden="1">{#N/A,#N/A,FALSE,"Aging Summary";#N/A,#N/A,FALSE,"Ratio Analysis";#N/A,#N/A,FALSE,"Test 120 Day Accts";#N/A,#N/A,FALSE,"Tickmarks"}</definedName>
    <definedName name="eee" localSheetId="6" hidden="1">{#N/A,#N/A,FALSE,"Aging Summary";#N/A,#N/A,FALSE,"Ratio Analysis";#N/A,#N/A,FALSE,"Test 120 Day Accts";#N/A,#N/A,FALSE,"Tickmarks"}</definedName>
    <definedName name="eee" hidden="1">{#N/A,#N/A,FALSE,"Aging Summary";#N/A,#N/A,FALSE,"Ratio Analysis";#N/A,#N/A,FALSE,"Test 120 Day Accts";#N/A,#N/A,FALSE,"Tickmarks"}</definedName>
    <definedName name="eeeeeeeeeeeeeee" hidden="1">#REF!</definedName>
    <definedName name="EFG" localSheetId="30" hidden="1">{"'Mach'!$A$1:$D$39"}</definedName>
    <definedName name="EFG" localSheetId="31" hidden="1">{"'Mach'!$A$1:$D$39"}</definedName>
    <definedName name="EFG" localSheetId="32" hidden="1">{"'Mach'!$A$1:$D$39"}</definedName>
    <definedName name="EFG" localSheetId="10" hidden="1">{"'Mach'!$A$1:$D$39"}</definedName>
    <definedName name="EFG" localSheetId="1" hidden="1">{"'Mach'!$A$1:$D$39"}</definedName>
    <definedName name="EFG" localSheetId="6" hidden="1">{"'Mach'!$A$1:$D$39"}</definedName>
    <definedName name="EFG" hidden="1">{"'Mach'!$A$1:$D$39"}</definedName>
    <definedName name="egege" localSheetId="30" hidden="1">{#N/A,#N/A,FALSE,"3";#N/A,#N/A,FALSE,"5";#N/A,#N/A,FALSE,"6";#N/A,#N/A,FALSE,"8";#N/A,#N/A,FALSE,"10";#N/A,#N/A,FALSE,"13";#N/A,#N/A,FALSE,"14";#N/A,#N/A,FALSE,"15";#N/A,#N/A,FALSE,"16"}</definedName>
    <definedName name="egege" localSheetId="31" hidden="1">{#N/A,#N/A,FALSE,"3";#N/A,#N/A,FALSE,"5";#N/A,#N/A,FALSE,"6";#N/A,#N/A,FALSE,"8";#N/A,#N/A,FALSE,"10";#N/A,#N/A,FALSE,"13";#N/A,#N/A,FALSE,"14";#N/A,#N/A,FALSE,"15";#N/A,#N/A,FALSE,"16"}</definedName>
    <definedName name="egege" localSheetId="32" hidden="1">{#N/A,#N/A,FALSE,"3";#N/A,#N/A,FALSE,"5";#N/A,#N/A,FALSE,"6";#N/A,#N/A,FALSE,"8";#N/A,#N/A,FALSE,"10";#N/A,#N/A,FALSE,"13";#N/A,#N/A,FALSE,"14";#N/A,#N/A,FALSE,"15";#N/A,#N/A,FALSE,"16"}</definedName>
    <definedName name="egege" localSheetId="10" hidden="1">{#N/A,#N/A,FALSE,"3";#N/A,#N/A,FALSE,"5";#N/A,#N/A,FALSE,"6";#N/A,#N/A,FALSE,"8";#N/A,#N/A,FALSE,"10";#N/A,#N/A,FALSE,"13";#N/A,#N/A,FALSE,"14";#N/A,#N/A,FALSE,"15";#N/A,#N/A,FALSE,"16"}</definedName>
    <definedName name="egege" localSheetId="6" hidden="1">{#N/A,#N/A,FALSE,"3";#N/A,#N/A,FALSE,"5";#N/A,#N/A,FALSE,"6";#N/A,#N/A,FALSE,"8";#N/A,#N/A,FALSE,"10";#N/A,#N/A,FALSE,"13";#N/A,#N/A,FALSE,"14";#N/A,#N/A,FALSE,"15";#N/A,#N/A,FALSE,"16"}</definedName>
    <definedName name="egege" hidden="1">{#N/A,#N/A,FALSE,"3";#N/A,#N/A,FALSE,"5";#N/A,#N/A,FALSE,"6";#N/A,#N/A,FALSE,"8";#N/A,#N/A,FALSE,"10";#N/A,#N/A,FALSE,"13";#N/A,#N/A,FALSE,"14";#N/A,#N/A,FALSE,"15";#N/A,#N/A,FALSE,"16"}</definedName>
    <definedName name="egegge" localSheetId="30" hidden="1">{#N/A,#N/A,FALSE,"3";#N/A,#N/A,FALSE,"5";#N/A,#N/A,FALSE,"6";#N/A,#N/A,FALSE,"8";#N/A,#N/A,FALSE,"10";#N/A,#N/A,FALSE,"13";#N/A,#N/A,FALSE,"14";#N/A,#N/A,FALSE,"15";#N/A,#N/A,FALSE,"16"}</definedName>
    <definedName name="egegge" localSheetId="31" hidden="1">{#N/A,#N/A,FALSE,"3";#N/A,#N/A,FALSE,"5";#N/A,#N/A,FALSE,"6";#N/A,#N/A,FALSE,"8";#N/A,#N/A,FALSE,"10";#N/A,#N/A,FALSE,"13";#N/A,#N/A,FALSE,"14";#N/A,#N/A,FALSE,"15";#N/A,#N/A,FALSE,"16"}</definedName>
    <definedName name="egegge" localSheetId="32" hidden="1">{#N/A,#N/A,FALSE,"3";#N/A,#N/A,FALSE,"5";#N/A,#N/A,FALSE,"6";#N/A,#N/A,FALSE,"8";#N/A,#N/A,FALSE,"10";#N/A,#N/A,FALSE,"13";#N/A,#N/A,FALSE,"14";#N/A,#N/A,FALSE,"15";#N/A,#N/A,FALSE,"16"}</definedName>
    <definedName name="egegge" localSheetId="10" hidden="1">{#N/A,#N/A,FALSE,"3";#N/A,#N/A,FALSE,"5";#N/A,#N/A,FALSE,"6";#N/A,#N/A,FALSE,"8";#N/A,#N/A,FALSE,"10";#N/A,#N/A,FALSE,"13";#N/A,#N/A,FALSE,"14";#N/A,#N/A,FALSE,"15";#N/A,#N/A,FALSE,"16"}</definedName>
    <definedName name="egegge" localSheetId="6" hidden="1">{#N/A,#N/A,FALSE,"3";#N/A,#N/A,FALSE,"5";#N/A,#N/A,FALSE,"6";#N/A,#N/A,FALSE,"8";#N/A,#N/A,FALSE,"10";#N/A,#N/A,FALSE,"13";#N/A,#N/A,FALSE,"14";#N/A,#N/A,FALSE,"15";#N/A,#N/A,FALSE,"16"}</definedName>
    <definedName name="egegge" hidden="1">{#N/A,#N/A,FALSE,"3";#N/A,#N/A,FALSE,"5";#N/A,#N/A,FALSE,"6";#N/A,#N/A,FALSE,"8";#N/A,#N/A,FALSE,"10";#N/A,#N/A,FALSE,"13";#N/A,#N/A,FALSE,"14";#N/A,#N/A,FALSE,"15";#N/A,#N/A,FALSE,"16"}</definedName>
    <definedName name="egg" localSheetId="30" hidden="1">{#N/A,#N/A,FALSE,"3";#N/A,#N/A,FALSE,"5";#N/A,#N/A,FALSE,"6";#N/A,#N/A,FALSE,"8";#N/A,#N/A,FALSE,"10";#N/A,#N/A,FALSE,"13";#N/A,#N/A,FALSE,"14";#N/A,#N/A,FALSE,"15";#N/A,#N/A,FALSE,"16"}</definedName>
    <definedName name="egg" localSheetId="31" hidden="1">{#N/A,#N/A,FALSE,"3";#N/A,#N/A,FALSE,"5";#N/A,#N/A,FALSE,"6";#N/A,#N/A,FALSE,"8";#N/A,#N/A,FALSE,"10";#N/A,#N/A,FALSE,"13";#N/A,#N/A,FALSE,"14";#N/A,#N/A,FALSE,"15";#N/A,#N/A,FALSE,"16"}</definedName>
    <definedName name="egg" localSheetId="32" hidden="1">{#N/A,#N/A,FALSE,"3";#N/A,#N/A,FALSE,"5";#N/A,#N/A,FALSE,"6";#N/A,#N/A,FALSE,"8";#N/A,#N/A,FALSE,"10";#N/A,#N/A,FALSE,"13";#N/A,#N/A,FALSE,"14";#N/A,#N/A,FALSE,"15";#N/A,#N/A,FALSE,"16"}</definedName>
    <definedName name="egg" localSheetId="10" hidden="1">{#N/A,#N/A,FALSE,"3";#N/A,#N/A,FALSE,"5";#N/A,#N/A,FALSE,"6";#N/A,#N/A,FALSE,"8";#N/A,#N/A,FALSE,"10";#N/A,#N/A,FALSE,"13";#N/A,#N/A,FALSE,"14";#N/A,#N/A,FALSE,"15";#N/A,#N/A,FALSE,"16"}</definedName>
    <definedName name="egg" localSheetId="6" hidden="1">{#N/A,#N/A,FALSE,"3";#N/A,#N/A,FALSE,"5";#N/A,#N/A,FALSE,"6";#N/A,#N/A,FALSE,"8";#N/A,#N/A,FALSE,"10";#N/A,#N/A,FALSE,"13";#N/A,#N/A,FALSE,"14";#N/A,#N/A,FALSE,"15";#N/A,#N/A,FALSE,"16"}</definedName>
    <definedName name="egg" hidden="1">{#N/A,#N/A,FALSE,"3";#N/A,#N/A,FALSE,"5";#N/A,#N/A,FALSE,"6";#N/A,#N/A,FALSE,"8";#N/A,#N/A,FALSE,"10";#N/A,#N/A,FALSE,"13";#N/A,#N/A,FALSE,"14";#N/A,#N/A,FALSE,"15";#N/A,#N/A,FALSE,"16"}</definedName>
    <definedName name="eggseg" localSheetId="30" hidden="1">{#N/A,#N/A,FALSE,"3";#N/A,#N/A,FALSE,"5";#N/A,#N/A,FALSE,"6";#N/A,#N/A,FALSE,"8";#N/A,#N/A,FALSE,"10";#N/A,#N/A,FALSE,"13";#N/A,#N/A,FALSE,"14";#N/A,#N/A,FALSE,"15";#N/A,#N/A,FALSE,"16"}</definedName>
    <definedName name="eggseg" localSheetId="31" hidden="1">{#N/A,#N/A,FALSE,"3";#N/A,#N/A,FALSE,"5";#N/A,#N/A,FALSE,"6";#N/A,#N/A,FALSE,"8";#N/A,#N/A,FALSE,"10";#N/A,#N/A,FALSE,"13";#N/A,#N/A,FALSE,"14";#N/A,#N/A,FALSE,"15";#N/A,#N/A,FALSE,"16"}</definedName>
    <definedName name="eggseg" localSheetId="32" hidden="1">{#N/A,#N/A,FALSE,"3";#N/A,#N/A,FALSE,"5";#N/A,#N/A,FALSE,"6";#N/A,#N/A,FALSE,"8";#N/A,#N/A,FALSE,"10";#N/A,#N/A,FALSE,"13";#N/A,#N/A,FALSE,"14";#N/A,#N/A,FALSE,"15";#N/A,#N/A,FALSE,"16"}</definedName>
    <definedName name="eggseg" localSheetId="10" hidden="1">{#N/A,#N/A,FALSE,"3";#N/A,#N/A,FALSE,"5";#N/A,#N/A,FALSE,"6";#N/A,#N/A,FALSE,"8";#N/A,#N/A,FALSE,"10";#N/A,#N/A,FALSE,"13";#N/A,#N/A,FALSE,"14";#N/A,#N/A,FALSE,"15";#N/A,#N/A,FALSE,"16"}</definedName>
    <definedName name="eggseg" localSheetId="6" hidden="1">{#N/A,#N/A,FALSE,"3";#N/A,#N/A,FALSE,"5";#N/A,#N/A,FALSE,"6";#N/A,#N/A,FALSE,"8";#N/A,#N/A,FALSE,"10";#N/A,#N/A,FALSE,"13";#N/A,#N/A,FALSE,"14";#N/A,#N/A,FALSE,"15";#N/A,#N/A,FALSE,"16"}</definedName>
    <definedName name="eggseg" hidden="1">{#N/A,#N/A,FALSE,"3";#N/A,#N/A,FALSE,"5";#N/A,#N/A,FALSE,"6";#N/A,#N/A,FALSE,"8";#N/A,#N/A,FALSE,"10";#N/A,#N/A,FALSE,"13";#N/A,#N/A,FALSE,"14";#N/A,#N/A,FALSE,"15";#N/A,#N/A,FALSE,"16"}</definedName>
    <definedName name="eghegehhe" localSheetId="30" hidden="1">{#N/A,#N/A,FALSE,"3";#N/A,#N/A,FALSE,"5";#N/A,#N/A,FALSE,"6";#N/A,#N/A,FALSE,"8";#N/A,#N/A,FALSE,"10";#N/A,#N/A,FALSE,"13";#N/A,#N/A,FALSE,"14";#N/A,#N/A,FALSE,"15";#N/A,#N/A,FALSE,"16"}</definedName>
    <definedName name="eghegehhe" localSheetId="31" hidden="1">{#N/A,#N/A,FALSE,"3";#N/A,#N/A,FALSE,"5";#N/A,#N/A,FALSE,"6";#N/A,#N/A,FALSE,"8";#N/A,#N/A,FALSE,"10";#N/A,#N/A,FALSE,"13";#N/A,#N/A,FALSE,"14";#N/A,#N/A,FALSE,"15";#N/A,#N/A,FALSE,"16"}</definedName>
    <definedName name="eghegehhe" localSheetId="32" hidden="1">{#N/A,#N/A,FALSE,"3";#N/A,#N/A,FALSE,"5";#N/A,#N/A,FALSE,"6";#N/A,#N/A,FALSE,"8";#N/A,#N/A,FALSE,"10";#N/A,#N/A,FALSE,"13";#N/A,#N/A,FALSE,"14";#N/A,#N/A,FALSE,"15";#N/A,#N/A,FALSE,"16"}</definedName>
    <definedName name="eghegehhe" localSheetId="10" hidden="1">{#N/A,#N/A,FALSE,"3";#N/A,#N/A,FALSE,"5";#N/A,#N/A,FALSE,"6";#N/A,#N/A,FALSE,"8";#N/A,#N/A,FALSE,"10";#N/A,#N/A,FALSE,"13";#N/A,#N/A,FALSE,"14";#N/A,#N/A,FALSE,"15";#N/A,#N/A,FALSE,"16"}</definedName>
    <definedName name="eghegehhe" localSheetId="6" hidden="1">{#N/A,#N/A,FALSE,"3";#N/A,#N/A,FALSE,"5";#N/A,#N/A,FALSE,"6";#N/A,#N/A,FALSE,"8";#N/A,#N/A,FALSE,"10";#N/A,#N/A,FALSE,"13";#N/A,#N/A,FALSE,"14";#N/A,#N/A,FALSE,"15";#N/A,#N/A,FALSE,"16"}</definedName>
    <definedName name="eghegehhe" hidden="1">{#N/A,#N/A,FALSE,"3";#N/A,#N/A,FALSE,"5";#N/A,#N/A,FALSE,"6";#N/A,#N/A,FALSE,"8";#N/A,#N/A,FALSE,"10";#N/A,#N/A,FALSE,"13";#N/A,#N/A,FALSE,"14";#N/A,#N/A,FALSE,"15";#N/A,#N/A,FALSE,"16"}</definedName>
    <definedName name="elan" localSheetId="30"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elan" localSheetId="31"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elan" localSheetId="32"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elan" localSheetId="10"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elan"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Electricity" localSheetId="3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3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3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localSheetI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M" localSheetId="30" hidden="1">{#N/A,#N/A,TRUE,"Cover";#N/A,#N/A,TRUE,"Content";"Orders EMM",#N/A,TRUE,"Order Sales";"project EMM",#N/A,TRUE,"Project Control";"Cash EMM",#N/A,TRUE,"Cash Control";"KPI EMM",#N/A,TRUE,"KPI-EMM";"Empl EMM",#N/A,TRUE,"Employees"}</definedName>
    <definedName name="EMM" localSheetId="31" hidden="1">{#N/A,#N/A,TRUE,"Cover";#N/A,#N/A,TRUE,"Content";"Orders EMM",#N/A,TRUE,"Order Sales";"project EMM",#N/A,TRUE,"Project Control";"Cash EMM",#N/A,TRUE,"Cash Control";"KPI EMM",#N/A,TRUE,"KPI-EMM";"Empl EMM",#N/A,TRUE,"Employees"}</definedName>
    <definedName name="EMM" localSheetId="32" hidden="1">{#N/A,#N/A,TRUE,"Cover";#N/A,#N/A,TRUE,"Content";"Orders EMM",#N/A,TRUE,"Order Sales";"project EMM",#N/A,TRUE,"Project Control";"Cash EMM",#N/A,TRUE,"Cash Control";"KPI EMM",#N/A,TRUE,"KPI-EMM";"Empl EMM",#N/A,TRUE,"Employees"}</definedName>
    <definedName name="EMM" localSheetId="10" hidden="1">{#N/A,#N/A,TRUE,"Cover";#N/A,#N/A,TRUE,"Content";"Orders EMM",#N/A,TRUE,"Order Sales";"project EMM",#N/A,TRUE,"Project Control";"Cash EMM",#N/A,TRUE,"Cash Control";"KPI EMM",#N/A,TRUE,"KPI-EMM";"Empl EMM",#N/A,TRUE,"Employees"}</definedName>
    <definedName name="EMM" localSheetId="6" hidden="1">{#N/A,#N/A,TRUE,"Cover";#N/A,#N/A,TRUE,"Content";"Orders EMM",#N/A,TRUE,"Order Sales";"project EMM",#N/A,TRUE,"Project Control";"Cash EMM",#N/A,TRUE,"Cash Control";"KPI EMM",#N/A,TRUE,"KPI-EMM";"Empl EMM",#N/A,TRUE,"Employees"}</definedName>
    <definedName name="EMM" hidden="1">{#N/A,#N/A,TRUE,"Cover";#N/A,#N/A,TRUE,"Content";"Orders EMM",#N/A,TRUE,"Order Sales";"project EMM",#N/A,TRUE,"Project Control";"Cash EMM",#N/A,TRUE,"Cash Control";"KPI EMM",#N/A,TRUE,"KPI-EMM";"Empl EMM",#N/A,TRUE,"Employees"}</definedName>
    <definedName name="encl" localSheetId="30" hidden="1">{#N/A,#N/A,FALSE,"COMICRO";#N/A,#N/A,FALSE,"BALSCH";#N/A,#N/A,FALSE,"GLASS";#N/A,#N/A,FALSE,"DEPRE";#N/A,#N/A,FALSE,"A&amp;MCUR";#N/A,#N/A,FALSE,"AGEANAlysis";#N/A,#N/A,FALSE,"CHECKS";#N/A,#N/A,FALSE,"CHECKS"}</definedName>
    <definedName name="encl" localSheetId="31" hidden="1">{#N/A,#N/A,FALSE,"COMICRO";#N/A,#N/A,FALSE,"BALSCH";#N/A,#N/A,FALSE,"GLASS";#N/A,#N/A,FALSE,"DEPRE";#N/A,#N/A,FALSE,"A&amp;MCUR";#N/A,#N/A,FALSE,"AGEANAlysis";#N/A,#N/A,FALSE,"CHECKS";#N/A,#N/A,FALSE,"CHECKS"}</definedName>
    <definedName name="encl" localSheetId="32" hidden="1">{#N/A,#N/A,FALSE,"COMICRO";#N/A,#N/A,FALSE,"BALSCH";#N/A,#N/A,FALSE,"GLASS";#N/A,#N/A,FALSE,"DEPRE";#N/A,#N/A,FALSE,"A&amp;MCUR";#N/A,#N/A,FALSE,"AGEANAlysis";#N/A,#N/A,FALSE,"CHECKS";#N/A,#N/A,FALSE,"CHECKS"}</definedName>
    <definedName name="encl" localSheetId="10" hidden="1">{#N/A,#N/A,FALSE,"COMICRO";#N/A,#N/A,FALSE,"BALSCH";#N/A,#N/A,FALSE,"GLASS";#N/A,#N/A,FALSE,"DEPRE";#N/A,#N/A,FALSE,"A&amp;MCUR";#N/A,#N/A,FALSE,"AGEANAlysis";#N/A,#N/A,FALSE,"CHECKS";#N/A,#N/A,FALSE,"CHECKS"}</definedName>
    <definedName name="encl" localSheetId="1" hidden="1">{#N/A,#N/A,FALSE,"COMICRO";#N/A,#N/A,FALSE,"BALSCH";#N/A,#N/A,FALSE,"GLASS";#N/A,#N/A,FALSE,"DEPRE";#N/A,#N/A,FALSE,"A&amp;MCUR";#N/A,#N/A,FALSE,"AGEANAlysis";#N/A,#N/A,FALSE,"CHECKS";#N/A,#N/A,FALSE,"CHECKS"}</definedName>
    <definedName name="encl" localSheetId="6" hidden="1">{#N/A,#N/A,FALSE,"COMICRO";#N/A,#N/A,FALSE,"BALSCH";#N/A,#N/A,FALSE,"GLASS";#N/A,#N/A,FALSE,"DEPRE";#N/A,#N/A,FALSE,"A&amp;MCUR";#N/A,#N/A,FALSE,"AGEANAlysis";#N/A,#N/A,FALSE,"CHECKS";#N/A,#N/A,FALSE,"CHECKS"}</definedName>
    <definedName name="encl" hidden="1">{#N/A,#N/A,FALSE,"COMICRO";#N/A,#N/A,FALSE,"BALSCH";#N/A,#N/A,FALSE,"GLASS";#N/A,#N/A,FALSE,"DEPRE";#N/A,#N/A,FALSE,"A&amp;MCUR";#N/A,#N/A,FALSE,"AGEANAlysis";#N/A,#N/A,FALSE,"CHECKS";#N/A,#N/A,FALSE,"CHECKS"}</definedName>
    <definedName name="ENGEL" localSheetId="1" hidden="1">#REF!</definedName>
    <definedName name="ENGEL" localSheetId="6" hidden="1">#REF!</definedName>
    <definedName name="ENGEL" hidden="1">#REF!</definedName>
    <definedName name="EPMWorkbookOptions_1" localSheetId="3"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 hidden="1">"RwEAAB|LCAAAAAAABADtvQdgHEmWJSYvbcp7f0r1StfgdKEIgGATJNiQQBDswYjN5pLsHWlHIymrKoHKZVZlXWYWQMztnbz33nvvvffee||997o7nU4n99//P1xmZAFs9s5K2smeIYCqyB8/fnwfPyIe/x7vFmV6mddNUS0/|2h3vPNRmi|n1axYXnz20bo939799KPf4|g3Th5/t6rfTqrq7Zerlpo2Kb23bB69a4rPPpq37erR3btXV1fjq3v"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localSheetId="3" hidden="1">"jqr64u7ezs3v39/7i|evpPF9k28WyabPlNP/IvjW7|a2PqNc0ffwqP6/zZv7l8stVvjw6z8omf3w3/JDbnZR5Vj/N2uzL5evsMjctux9zWzOWl3XV5tM2n5nW/S/C9lez9C6IYRsqNY7|H0p|MExIAQAA"</definedName>
    <definedName name="EPMWorkbookOptions_2" hidden="1">"jqr64u7ezs3v39/7i|evpPF9k28WyabPlNP/IvjW7|a2PqNc0ffwqP6/zZv7l8stVvjxq63X||G74GTc7KfOsfpq12ZfL19llfnSelQ217H7Mbc1QXtZVm0/bfGZa978I21/N0rughW2oxDj6fwDZL/IxRwEAAA=="</definedName>
    <definedName name="erer" localSheetId="30" hidden="1">{#N/A,#N/A,FALSE,"3";#N/A,#N/A,FALSE,"5";#N/A,#N/A,FALSE,"6";#N/A,#N/A,FALSE,"8";#N/A,#N/A,FALSE,"10";#N/A,#N/A,FALSE,"13";#N/A,#N/A,FALSE,"14";#N/A,#N/A,FALSE,"15";#N/A,#N/A,FALSE,"16"}</definedName>
    <definedName name="erer" localSheetId="31" hidden="1">{#N/A,#N/A,FALSE,"3";#N/A,#N/A,FALSE,"5";#N/A,#N/A,FALSE,"6";#N/A,#N/A,FALSE,"8";#N/A,#N/A,FALSE,"10";#N/A,#N/A,FALSE,"13";#N/A,#N/A,FALSE,"14";#N/A,#N/A,FALSE,"15";#N/A,#N/A,FALSE,"16"}</definedName>
    <definedName name="erer" localSheetId="32" hidden="1">{#N/A,#N/A,FALSE,"3";#N/A,#N/A,FALSE,"5";#N/A,#N/A,FALSE,"6";#N/A,#N/A,FALSE,"8";#N/A,#N/A,FALSE,"10";#N/A,#N/A,FALSE,"13";#N/A,#N/A,FALSE,"14";#N/A,#N/A,FALSE,"15";#N/A,#N/A,FALSE,"16"}</definedName>
    <definedName name="erer" localSheetId="10" hidden="1">{#N/A,#N/A,FALSE,"3";#N/A,#N/A,FALSE,"5";#N/A,#N/A,FALSE,"6";#N/A,#N/A,FALSE,"8";#N/A,#N/A,FALSE,"10";#N/A,#N/A,FALSE,"13";#N/A,#N/A,FALSE,"14";#N/A,#N/A,FALSE,"15";#N/A,#N/A,FALSE,"16"}</definedName>
    <definedName name="erer" localSheetId="6" hidden="1">{#N/A,#N/A,FALSE,"3";#N/A,#N/A,FALSE,"5";#N/A,#N/A,FALSE,"6";#N/A,#N/A,FALSE,"8";#N/A,#N/A,FALSE,"10";#N/A,#N/A,FALSE,"13";#N/A,#N/A,FALSE,"14";#N/A,#N/A,FALSE,"15";#N/A,#N/A,FALSE,"16"}</definedName>
    <definedName name="erer" hidden="1">{#N/A,#N/A,FALSE,"3";#N/A,#N/A,FALSE,"5";#N/A,#N/A,FALSE,"6";#N/A,#N/A,FALSE,"8";#N/A,#N/A,FALSE,"10";#N/A,#N/A,FALSE,"13";#N/A,#N/A,FALSE,"14";#N/A,#N/A,FALSE,"15";#N/A,#N/A,FALSE,"16"}</definedName>
    <definedName name="esadfsdg" localSheetId="30" hidden="1">{#N/A,#N/A,FALSE,"USMED 3";#N/A,#N/A,FALSE,"MARCHALLENGER 1";#N/A,#N/A,FALSE,"MARCHALLENGER 2";#N/A,#N/A,FALSE,"MARCHALLENGER 3";#N/A,#N/A,FALSE,"MARCHALLENGER 4"}</definedName>
    <definedName name="esadfsdg" localSheetId="31" hidden="1">{#N/A,#N/A,FALSE,"USMED 3";#N/A,#N/A,FALSE,"MARCHALLENGER 1";#N/A,#N/A,FALSE,"MARCHALLENGER 2";#N/A,#N/A,FALSE,"MARCHALLENGER 3";#N/A,#N/A,FALSE,"MARCHALLENGER 4"}</definedName>
    <definedName name="esadfsdg" localSheetId="32" hidden="1">{#N/A,#N/A,FALSE,"USMED 3";#N/A,#N/A,FALSE,"MARCHALLENGER 1";#N/A,#N/A,FALSE,"MARCHALLENGER 2";#N/A,#N/A,FALSE,"MARCHALLENGER 3";#N/A,#N/A,FALSE,"MARCHALLENGER 4"}</definedName>
    <definedName name="esadfsdg" localSheetId="10" hidden="1">{#N/A,#N/A,FALSE,"USMED 3";#N/A,#N/A,FALSE,"MARCHALLENGER 1";#N/A,#N/A,FALSE,"MARCHALLENGER 2";#N/A,#N/A,FALSE,"MARCHALLENGER 3";#N/A,#N/A,FALSE,"MARCHALLENGER 4"}</definedName>
    <definedName name="esadfsdg" hidden="1">{#N/A,#N/A,FALSE,"USMED 3";#N/A,#N/A,FALSE,"MARCHALLENGER 1";#N/A,#N/A,FALSE,"MARCHALLENGER 2";#N/A,#N/A,FALSE,"MARCHALLENGER 3";#N/A,#N/A,FALSE,"MARCHALLENGER 4"}</definedName>
    <definedName name="esge" localSheetId="30" hidden="1">{#N/A,#N/A,FALSE,"3";#N/A,#N/A,FALSE,"5";#N/A,#N/A,FALSE,"6";#N/A,#N/A,FALSE,"8";#N/A,#N/A,FALSE,"10";#N/A,#N/A,FALSE,"13";#N/A,#N/A,FALSE,"14";#N/A,#N/A,FALSE,"15";#N/A,#N/A,FALSE,"16"}</definedName>
    <definedName name="esge" localSheetId="31" hidden="1">{#N/A,#N/A,FALSE,"3";#N/A,#N/A,FALSE,"5";#N/A,#N/A,FALSE,"6";#N/A,#N/A,FALSE,"8";#N/A,#N/A,FALSE,"10";#N/A,#N/A,FALSE,"13";#N/A,#N/A,FALSE,"14";#N/A,#N/A,FALSE,"15";#N/A,#N/A,FALSE,"16"}</definedName>
    <definedName name="esge" localSheetId="32" hidden="1">{#N/A,#N/A,FALSE,"3";#N/A,#N/A,FALSE,"5";#N/A,#N/A,FALSE,"6";#N/A,#N/A,FALSE,"8";#N/A,#N/A,FALSE,"10";#N/A,#N/A,FALSE,"13";#N/A,#N/A,FALSE,"14";#N/A,#N/A,FALSE,"15";#N/A,#N/A,FALSE,"16"}</definedName>
    <definedName name="esge" localSheetId="10" hidden="1">{#N/A,#N/A,FALSE,"3";#N/A,#N/A,FALSE,"5";#N/A,#N/A,FALSE,"6";#N/A,#N/A,FALSE,"8";#N/A,#N/A,FALSE,"10";#N/A,#N/A,FALSE,"13";#N/A,#N/A,FALSE,"14";#N/A,#N/A,FALSE,"15";#N/A,#N/A,FALSE,"16"}</definedName>
    <definedName name="esge" localSheetId="6" hidden="1">{#N/A,#N/A,FALSE,"3";#N/A,#N/A,FALSE,"5";#N/A,#N/A,FALSE,"6";#N/A,#N/A,FALSE,"8";#N/A,#N/A,FALSE,"10";#N/A,#N/A,FALSE,"13";#N/A,#N/A,FALSE,"14";#N/A,#N/A,FALSE,"15";#N/A,#N/A,FALSE,"16"}</definedName>
    <definedName name="esge" hidden="1">{#N/A,#N/A,FALSE,"3";#N/A,#N/A,FALSE,"5";#N/A,#N/A,FALSE,"6";#N/A,#N/A,FALSE,"8";#N/A,#N/A,FALSE,"10";#N/A,#N/A,FALSE,"13";#N/A,#N/A,FALSE,"14";#N/A,#N/A,FALSE,"15";#N/A,#N/A,FALSE,"16"}</definedName>
    <definedName name="etc" localSheetId="1" hidden="1">#REF!</definedName>
    <definedName name="etc" localSheetId="6" hidden="1">#REF!</definedName>
    <definedName name="etc" hidden="1">#REF!</definedName>
    <definedName name="Europe" localSheetId="6" hidden="1">#REF!</definedName>
    <definedName name="Europe" hidden="1">#REF!</definedName>
    <definedName name="EV__EVCOM_OPTIONS__" hidden="1">8</definedName>
    <definedName name="EV__EXPOPTIONS__" hidden="1">0</definedName>
    <definedName name="EV__LASTREFTIME__" hidden="1">41478.6306018519</definedName>
    <definedName name="EV__MAXEXPCOLS__" hidden="1">100</definedName>
    <definedName name="EV__MAXEXPROWS__" hidden="1">1000</definedName>
    <definedName name="EV__MEMORYCVW__" hidden="1">0</definedName>
    <definedName name="EV__WBEVMODE__" hidden="1">0</definedName>
    <definedName name="EV__WBREFOPTIONS__" hidden="1">134217855</definedName>
    <definedName name="EV__WBVERSION__" hidden="1">0</definedName>
    <definedName name="EV__WSINFO__" hidden="1">123</definedName>
    <definedName name="ewdw" hidden="1">#REF!</definedName>
    <definedName name="ez" localSheetId="3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ez" localSheetId="31"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ez" localSheetId="32"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ez" localSheetId="10"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ez" localSheetId="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ez"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fa" hidden="1">#REF!</definedName>
    <definedName name="FA_SCHEDULE" localSheetId="3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_SCHEDULE" localSheetId="31"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_SCHEDULE" localSheetId="32"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_SCHEDULE" localSheetId="1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_SCHEDULE" localSheetId="1"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_SCHEDULE" localSheetId="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_SCHEDUL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asfas" localSheetId="30" hidden="1">{#N/A,#N/A,FALSE,"3";#N/A,#N/A,FALSE,"5";#N/A,#N/A,FALSE,"6";#N/A,#N/A,FALSE,"8";#N/A,#N/A,FALSE,"10";#N/A,#N/A,FALSE,"13";#N/A,#N/A,FALSE,"14";#N/A,#N/A,FALSE,"15";#N/A,#N/A,FALSE,"16"}</definedName>
    <definedName name="faasfas" localSheetId="31" hidden="1">{#N/A,#N/A,FALSE,"3";#N/A,#N/A,FALSE,"5";#N/A,#N/A,FALSE,"6";#N/A,#N/A,FALSE,"8";#N/A,#N/A,FALSE,"10";#N/A,#N/A,FALSE,"13";#N/A,#N/A,FALSE,"14";#N/A,#N/A,FALSE,"15";#N/A,#N/A,FALSE,"16"}</definedName>
    <definedName name="faasfas" localSheetId="32" hidden="1">{#N/A,#N/A,FALSE,"3";#N/A,#N/A,FALSE,"5";#N/A,#N/A,FALSE,"6";#N/A,#N/A,FALSE,"8";#N/A,#N/A,FALSE,"10";#N/A,#N/A,FALSE,"13";#N/A,#N/A,FALSE,"14";#N/A,#N/A,FALSE,"15";#N/A,#N/A,FALSE,"16"}</definedName>
    <definedName name="faasfas" localSheetId="10" hidden="1">{#N/A,#N/A,FALSE,"3";#N/A,#N/A,FALSE,"5";#N/A,#N/A,FALSE,"6";#N/A,#N/A,FALSE,"8";#N/A,#N/A,FALSE,"10";#N/A,#N/A,FALSE,"13";#N/A,#N/A,FALSE,"14";#N/A,#N/A,FALSE,"15";#N/A,#N/A,FALSE,"16"}</definedName>
    <definedName name="faasfas" localSheetId="6" hidden="1">{#N/A,#N/A,FALSE,"3";#N/A,#N/A,FALSE,"5";#N/A,#N/A,FALSE,"6";#N/A,#N/A,FALSE,"8";#N/A,#N/A,FALSE,"10";#N/A,#N/A,FALSE,"13";#N/A,#N/A,FALSE,"14";#N/A,#N/A,FALSE,"15";#N/A,#N/A,FALSE,"16"}</definedName>
    <definedName name="faasfas" hidden="1">{#N/A,#N/A,FALSE,"3";#N/A,#N/A,FALSE,"5";#N/A,#N/A,FALSE,"6";#N/A,#N/A,FALSE,"8";#N/A,#N/A,FALSE,"10";#N/A,#N/A,FALSE,"13";#N/A,#N/A,FALSE,"14";#N/A,#N/A,FALSE,"15";#N/A,#N/A,FALSE,"16"}</definedName>
    <definedName name="fafawf" localSheetId="30" hidden="1">{"summary",#N/A,FALSE,"2000 vs 1999";"detail",#N/A,FALSE,"2000 vs 1999"}</definedName>
    <definedName name="fafawf" localSheetId="31" hidden="1">{"summary",#N/A,FALSE,"2000 vs 1999";"detail",#N/A,FALSE,"2000 vs 1999"}</definedName>
    <definedName name="fafawf" localSheetId="32" hidden="1">{"summary",#N/A,FALSE,"2000 vs 1999";"detail",#N/A,FALSE,"2000 vs 1999"}</definedName>
    <definedName name="fafawf" localSheetId="10" hidden="1">{"summary",#N/A,FALSE,"2000 vs 1999";"detail",#N/A,FALSE,"2000 vs 1999"}</definedName>
    <definedName name="fafawf" localSheetId="6" hidden="1">{"summary",#N/A,FALSE,"2000 vs 1999";"detail",#N/A,FALSE,"2000 vs 1999"}</definedName>
    <definedName name="fafawf" hidden="1">{"summary",#N/A,FALSE,"2000 vs 1999";"detail",#N/A,FALSE,"2000 vs 1999"}</definedName>
    <definedName name="fasdfsdafsdaf" hidden="1">[1]CA99!$A$12:$A$83</definedName>
    <definedName name="fasf" localSheetId="30" hidden="1">{#N/A,#N/A,FALSE,"3";#N/A,#N/A,FALSE,"5";#N/A,#N/A,FALSE,"6";#N/A,#N/A,FALSE,"8";#N/A,#N/A,FALSE,"10";#N/A,#N/A,FALSE,"13";#N/A,#N/A,FALSE,"14";#N/A,#N/A,FALSE,"15";#N/A,#N/A,FALSE,"16"}</definedName>
    <definedName name="fasf" localSheetId="31" hidden="1">{#N/A,#N/A,FALSE,"3";#N/A,#N/A,FALSE,"5";#N/A,#N/A,FALSE,"6";#N/A,#N/A,FALSE,"8";#N/A,#N/A,FALSE,"10";#N/A,#N/A,FALSE,"13";#N/A,#N/A,FALSE,"14";#N/A,#N/A,FALSE,"15";#N/A,#N/A,FALSE,"16"}</definedName>
    <definedName name="fasf" localSheetId="32" hidden="1">{#N/A,#N/A,FALSE,"3";#N/A,#N/A,FALSE,"5";#N/A,#N/A,FALSE,"6";#N/A,#N/A,FALSE,"8";#N/A,#N/A,FALSE,"10";#N/A,#N/A,FALSE,"13";#N/A,#N/A,FALSE,"14";#N/A,#N/A,FALSE,"15";#N/A,#N/A,FALSE,"16"}</definedName>
    <definedName name="fasf" localSheetId="10" hidden="1">{#N/A,#N/A,FALSE,"3";#N/A,#N/A,FALSE,"5";#N/A,#N/A,FALSE,"6";#N/A,#N/A,FALSE,"8";#N/A,#N/A,FALSE,"10";#N/A,#N/A,FALSE,"13";#N/A,#N/A,FALSE,"14";#N/A,#N/A,FALSE,"15";#N/A,#N/A,FALSE,"16"}</definedName>
    <definedName name="fasf" localSheetId="6" hidden="1">{#N/A,#N/A,FALSE,"3";#N/A,#N/A,FALSE,"5";#N/A,#N/A,FALSE,"6";#N/A,#N/A,FALSE,"8";#N/A,#N/A,FALSE,"10";#N/A,#N/A,FALSE,"13";#N/A,#N/A,FALSE,"14";#N/A,#N/A,FALSE,"15";#N/A,#N/A,FALSE,"16"}</definedName>
    <definedName name="fasf" hidden="1">{#N/A,#N/A,FALSE,"3";#N/A,#N/A,FALSE,"5";#N/A,#N/A,FALSE,"6";#N/A,#N/A,FALSE,"8";#N/A,#N/A,FALSE,"10";#N/A,#N/A,FALSE,"13";#N/A,#N/A,FALSE,"14";#N/A,#N/A,FALSE,"15";#N/A,#N/A,FALSE,"16"}</definedName>
    <definedName name="FBT" localSheetId="30" hidden="1">{#N/A,#N/A,TRUE,"BALSCH";#N/A,#N/A,TRUE,"COMICRO";#N/A,#N/A,TRUE,"CHECKS";#N/A,#N/A,TRUE,"GLASS";#N/A,#N/A,TRUE,"DEPRE";#N/A,#N/A,TRUE,"A&amp;MCUR";#N/A,#N/A,TRUE,"AGEANAlysis";#N/A,#N/A,TRUE,"CHECKS"}</definedName>
    <definedName name="FBT" localSheetId="31" hidden="1">{#N/A,#N/A,TRUE,"BALSCH";#N/A,#N/A,TRUE,"COMICRO";#N/A,#N/A,TRUE,"CHECKS";#N/A,#N/A,TRUE,"GLASS";#N/A,#N/A,TRUE,"DEPRE";#N/A,#N/A,TRUE,"A&amp;MCUR";#N/A,#N/A,TRUE,"AGEANAlysis";#N/A,#N/A,TRUE,"CHECKS"}</definedName>
    <definedName name="FBT" localSheetId="32" hidden="1">{#N/A,#N/A,TRUE,"BALSCH";#N/A,#N/A,TRUE,"COMICRO";#N/A,#N/A,TRUE,"CHECKS";#N/A,#N/A,TRUE,"GLASS";#N/A,#N/A,TRUE,"DEPRE";#N/A,#N/A,TRUE,"A&amp;MCUR";#N/A,#N/A,TRUE,"AGEANAlysis";#N/A,#N/A,TRUE,"CHECKS"}</definedName>
    <definedName name="FBT" localSheetId="10" hidden="1">{#N/A,#N/A,TRUE,"BALSCH";#N/A,#N/A,TRUE,"COMICRO";#N/A,#N/A,TRUE,"CHECKS";#N/A,#N/A,TRUE,"GLASS";#N/A,#N/A,TRUE,"DEPRE";#N/A,#N/A,TRUE,"A&amp;MCUR";#N/A,#N/A,TRUE,"AGEANAlysis";#N/A,#N/A,TRUE,"CHECKS"}</definedName>
    <definedName name="FBT" localSheetId="1" hidden="1">{#N/A,#N/A,TRUE,"BALSCH";#N/A,#N/A,TRUE,"COMICRO";#N/A,#N/A,TRUE,"CHECKS";#N/A,#N/A,TRUE,"GLASS";#N/A,#N/A,TRUE,"DEPRE";#N/A,#N/A,TRUE,"A&amp;MCUR";#N/A,#N/A,TRUE,"AGEANAlysis";#N/A,#N/A,TRUE,"CHECKS"}</definedName>
    <definedName name="FBT" localSheetId="6" hidden="1">{#N/A,#N/A,TRUE,"BALSCH";#N/A,#N/A,TRUE,"COMICRO";#N/A,#N/A,TRUE,"CHECKS";#N/A,#N/A,TRUE,"GLASS";#N/A,#N/A,TRUE,"DEPRE";#N/A,#N/A,TRUE,"A&amp;MCUR";#N/A,#N/A,TRUE,"AGEANAlysis";#N/A,#N/A,TRUE,"CHECKS"}</definedName>
    <definedName name="FBT" hidden="1">{#N/A,#N/A,TRUE,"BALSCH";#N/A,#N/A,TRUE,"COMICRO";#N/A,#N/A,TRUE,"CHECKS";#N/A,#N/A,TRUE,"GLASS";#N/A,#N/A,TRUE,"DEPRE";#N/A,#N/A,TRUE,"A&amp;MCUR";#N/A,#N/A,TRUE,"AGEANAlysis";#N/A,#N/A,TRUE,"CHECKS"}</definedName>
    <definedName name="FCode" localSheetId="1" hidden="1">#REF!</definedName>
    <definedName name="FCode" hidden="1">#REF!</definedName>
    <definedName name="fd" hidden="1">#REF!</definedName>
    <definedName name="FDaFAF" localSheetId="30" hidden="1">{"'Mach'!$A$1:$D$39"}</definedName>
    <definedName name="FDaFAF" localSheetId="31" hidden="1">{"'Mach'!$A$1:$D$39"}</definedName>
    <definedName name="FDaFAF" localSheetId="32" hidden="1">{"'Mach'!$A$1:$D$39"}</definedName>
    <definedName name="FDaFAF" localSheetId="10" hidden="1">{"'Mach'!$A$1:$D$39"}</definedName>
    <definedName name="FDaFAF" localSheetId="1" hidden="1">{"'Mach'!$A$1:$D$39"}</definedName>
    <definedName name="FDaFAF" localSheetId="6" hidden="1">{"'Mach'!$A$1:$D$39"}</definedName>
    <definedName name="FDaFAF" hidden="1">{"'Mach'!$A$1:$D$39"}</definedName>
    <definedName name="fdf" localSheetId="30" hidden="1">{#N/A,#N/A,FALSE,"3";#N/A,#N/A,FALSE,"5";#N/A,#N/A,FALSE,"6";#N/A,#N/A,FALSE,"8";#N/A,#N/A,FALSE,"10";#N/A,#N/A,FALSE,"13";#N/A,#N/A,FALSE,"14";#N/A,#N/A,FALSE,"15";#N/A,#N/A,FALSE,"16"}</definedName>
    <definedName name="fdf" localSheetId="31" hidden="1">{#N/A,#N/A,FALSE,"3";#N/A,#N/A,FALSE,"5";#N/A,#N/A,FALSE,"6";#N/A,#N/A,FALSE,"8";#N/A,#N/A,FALSE,"10";#N/A,#N/A,FALSE,"13";#N/A,#N/A,FALSE,"14";#N/A,#N/A,FALSE,"15";#N/A,#N/A,FALSE,"16"}</definedName>
    <definedName name="fdf" localSheetId="32" hidden="1">{#N/A,#N/A,FALSE,"3";#N/A,#N/A,FALSE,"5";#N/A,#N/A,FALSE,"6";#N/A,#N/A,FALSE,"8";#N/A,#N/A,FALSE,"10";#N/A,#N/A,FALSE,"13";#N/A,#N/A,FALSE,"14";#N/A,#N/A,FALSE,"15";#N/A,#N/A,FALSE,"16"}</definedName>
    <definedName name="fdf" localSheetId="10" hidden="1">{#N/A,#N/A,FALSE,"3";#N/A,#N/A,FALSE,"5";#N/A,#N/A,FALSE,"6";#N/A,#N/A,FALSE,"8";#N/A,#N/A,FALSE,"10";#N/A,#N/A,FALSE,"13";#N/A,#N/A,FALSE,"14";#N/A,#N/A,FALSE,"15";#N/A,#N/A,FALSE,"16"}</definedName>
    <definedName name="fdf" localSheetId="6" hidden="1">{#N/A,#N/A,FALSE,"3";#N/A,#N/A,FALSE,"5";#N/A,#N/A,FALSE,"6";#N/A,#N/A,FALSE,"8";#N/A,#N/A,FALSE,"10";#N/A,#N/A,FALSE,"13";#N/A,#N/A,FALSE,"14";#N/A,#N/A,FALSE,"15";#N/A,#N/A,FALSE,"16"}</definedName>
    <definedName name="fdf" hidden="1">{#N/A,#N/A,FALSE,"3";#N/A,#N/A,FALSE,"5";#N/A,#N/A,FALSE,"6";#N/A,#N/A,FALSE,"8";#N/A,#N/A,FALSE,"10";#N/A,#N/A,FALSE,"13";#N/A,#N/A,FALSE,"14";#N/A,#N/A,FALSE,"15";#N/A,#N/A,FALSE,"16"}</definedName>
    <definedName name="fdfsf" localSheetId="30" hidden="1">{#N/A,#N/A,TRUE,"KEY DATA";#N/A,#N/A,TRUE,"KEY DATA Base Case";#N/A,#N/A,TRUE,"JULY";#N/A,#N/A,TRUE,"AUG";#N/A,#N/A,TRUE,"SEPT";#N/A,#N/A,TRUE,"3Q"}</definedName>
    <definedName name="fdfsf" localSheetId="31" hidden="1">{#N/A,#N/A,TRUE,"KEY DATA";#N/A,#N/A,TRUE,"KEY DATA Base Case";#N/A,#N/A,TRUE,"JULY";#N/A,#N/A,TRUE,"AUG";#N/A,#N/A,TRUE,"SEPT";#N/A,#N/A,TRUE,"3Q"}</definedName>
    <definedName name="fdfsf" localSheetId="32" hidden="1">{#N/A,#N/A,TRUE,"KEY DATA";#N/A,#N/A,TRUE,"KEY DATA Base Case";#N/A,#N/A,TRUE,"JULY";#N/A,#N/A,TRUE,"AUG";#N/A,#N/A,TRUE,"SEPT";#N/A,#N/A,TRUE,"3Q"}</definedName>
    <definedName name="fdfsf" localSheetId="10" hidden="1">{#N/A,#N/A,TRUE,"KEY DATA";#N/A,#N/A,TRUE,"KEY DATA Base Case";#N/A,#N/A,TRUE,"JULY";#N/A,#N/A,TRUE,"AUG";#N/A,#N/A,TRUE,"SEPT";#N/A,#N/A,TRUE,"3Q"}</definedName>
    <definedName name="fdfsf" localSheetId="6" hidden="1">{#N/A,#N/A,TRUE,"KEY DATA";#N/A,#N/A,TRUE,"KEY DATA Base Case";#N/A,#N/A,TRUE,"JULY";#N/A,#N/A,TRUE,"AUG";#N/A,#N/A,TRUE,"SEPT";#N/A,#N/A,TRUE,"3Q"}</definedName>
    <definedName name="fdfsf" hidden="1">{#N/A,#N/A,TRUE,"KEY DATA";#N/A,#N/A,TRUE,"KEY DATA Base Case";#N/A,#N/A,TRUE,"JULY";#N/A,#N/A,TRUE,"AUG";#N/A,#N/A,TRUE,"SEPT";#N/A,#N/A,TRUE,"3Q"}</definedName>
    <definedName name="fdhdfhfdhdfh" localSheetId="30" hidden="1">{#N/A,#N/A,FALSE,"3";#N/A,#N/A,FALSE,"5";#N/A,#N/A,FALSE,"6";#N/A,#N/A,FALSE,"8";#N/A,#N/A,FALSE,"10";#N/A,#N/A,FALSE,"13";#N/A,#N/A,FALSE,"14";#N/A,#N/A,FALSE,"15";#N/A,#N/A,FALSE,"16"}</definedName>
    <definedName name="fdhdfhfdhdfh" localSheetId="31" hidden="1">{#N/A,#N/A,FALSE,"3";#N/A,#N/A,FALSE,"5";#N/A,#N/A,FALSE,"6";#N/A,#N/A,FALSE,"8";#N/A,#N/A,FALSE,"10";#N/A,#N/A,FALSE,"13";#N/A,#N/A,FALSE,"14";#N/A,#N/A,FALSE,"15";#N/A,#N/A,FALSE,"16"}</definedName>
    <definedName name="fdhdfhfdhdfh" localSheetId="32" hidden="1">{#N/A,#N/A,FALSE,"3";#N/A,#N/A,FALSE,"5";#N/A,#N/A,FALSE,"6";#N/A,#N/A,FALSE,"8";#N/A,#N/A,FALSE,"10";#N/A,#N/A,FALSE,"13";#N/A,#N/A,FALSE,"14";#N/A,#N/A,FALSE,"15";#N/A,#N/A,FALSE,"16"}</definedName>
    <definedName name="fdhdfhfdhdfh" localSheetId="10" hidden="1">{#N/A,#N/A,FALSE,"3";#N/A,#N/A,FALSE,"5";#N/A,#N/A,FALSE,"6";#N/A,#N/A,FALSE,"8";#N/A,#N/A,FALSE,"10";#N/A,#N/A,FALSE,"13";#N/A,#N/A,FALSE,"14";#N/A,#N/A,FALSE,"15";#N/A,#N/A,FALSE,"16"}</definedName>
    <definedName name="fdhdfhfdhdfh" localSheetId="6" hidden="1">{#N/A,#N/A,FALSE,"3";#N/A,#N/A,FALSE,"5";#N/A,#N/A,FALSE,"6";#N/A,#N/A,FALSE,"8";#N/A,#N/A,FALSE,"10";#N/A,#N/A,FALSE,"13";#N/A,#N/A,FALSE,"14";#N/A,#N/A,FALSE,"15";#N/A,#N/A,FALSE,"16"}</definedName>
    <definedName name="fdhdfhfdhdfh" hidden="1">{#N/A,#N/A,FALSE,"3";#N/A,#N/A,FALSE,"5";#N/A,#N/A,FALSE,"6";#N/A,#N/A,FALSE,"8";#N/A,#N/A,FALSE,"10";#N/A,#N/A,FALSE,"13";#N/A,#N/A,FALSE,"14";#N/A,#N/A,FALSE,"15";#N/A,#N/A,FALSE,"16"}</definedName>
    <definedName name="fdhgfdh" localSheetId="30" hidden="1">{#N/A,#N/A,FALSE,"3";#N/A,#N/A,FALSE,"5";#N/A,#N/A,FALSE,"6";#N/A,#N/A,FALSE,"8";#N/A,#N/A,FALSE,"10";#N/A,#N/A,FALSE,"13";#N/A,#N/A,FALSE,"14";#N/A,#N/A,FALSE,"15";#N/A,#N/A,FALSE,"16"}</definedName>
    <definedName name="fdhgfdh" localSheetId="31" hidden="1">{#N/A,#N/A,FALSE,"3";#N/A,#N/A,FALSE,"5";#N/A,#N/A,FALSE,"6";#N/A,#N/A,FALSE,"8";#N/A,#N/A,FALSE,"10";#N/A,#N/A,FALSE,"13";#N/A,#N/A,FALSE,"14";#N/A,#N/A,FALSE,"15";#N/A,#N/A,FALSE,"16"}</definedName>
    <definedName name="fdhgfdh" localSheetId="32" hidden="1">{#N/A,#N/A,FALSE,"3";#N/A,#N/A,FALSE,"5";#N/A,#N/A,FALSE,"6";#N/A,#N/A,FALSE,"8";#N/A,#N/A,FALSE,"10";#N/A,#N/A,FALSE,"13";#N/A,#N/A,FALSE,"14";#N/A,#N/A,FALSE,"15";#N/A,#N/A,FALSE,"16"}</definedName>
    <definedName name="fdhgfdh" localSheetId="10" hidden="1">{#N/A,#N/A,FALSE,"3";#N/A,#N/A,FALSE,"5";#N/A,#N/A,FALSE,"6";#N/A,#N/A,FALSE,"8";#N/A,#N/A,FALSE,"10";#N/A,#N/A,FALSE,"13";#N/A,#N/A,FALSE,"14";#N/A,#N/A,FALSE,"15";#N/A,#N/A,FALSE,"16"}</definedName>
    <definedName name="fdhgfdh" localSheetId="6" hidden="1">{#N/A,#N/A,FALSE,"3";#N/A,#N/A,FALSE,"5";#N/A,#N/A,FALSE,"6";#N/A,#N/A,FALSE,"8";#N/A,#N/A,FALSE,"10";#N/A,#N/A,FALSE,"13";#N/A,#N/A,FALSE,"14";#N/A,#N/A,FALSE,"15";#N/A,#N/A,FALSE,"16"}</definedName>
    <definedName name="fdhgfdh" hidden="1">{#N/A,#N/A,FALSE,"3";#N/A,#N/A,FALSE,"5";#N/A,#N/A,FALSE,"6";#N/A,#N/A,FALSE,"8";#N/A,#N/A,FALSE,"10";#N/A,#N/A,FALSE,"13";#N/A,#N/A,FALSE,"14";#N/A,#N/A,FALSE,"15";#N/A,#N/A,FALSE,"16"}</definedName>
    <definedName name="fec" hidden="1">#REF!</definedName>
    <definedName name="fffff" localSheetId="30" hidden="1">{#N/A,#N/A,FALSE,"COMICRO";#N/A,#N/A,FALSE,"BALSCH";#N/A,#N/A,FALSE,"GLASS";#N/A,#N/A,FALSE,"DEPRE";#N/A,#N/A,FALSE,"A&amp;MCUR";#N/A,#N/A,FALSE,"AGEANAlysis";#N/A,#N/A,FALSE,"CHECKS";#N/A,#N/A,FALSE,"CHECKS"}</definedName>
    <definedName name="fffff" localSheetId="31" hidden="1">{#N/A,#N/A,FALSE,"COMICRO";#N/A,#N/A,FALSE,"BALSCH";#N/A,#N/A,FALSE,"GLASS";#N/A,#N/A,FALSE,"DEPRE";#N/A,#N/A,FALSE,"A&amp;MCUR";#N/A,#N/A,FALSE,"AGEANAlysis";#N/A,#N/A,FALSE,"CHECKS";#N/A,#N/A,FALSE,"CHECKS"}</definedName>
    <definedName name="fffff" localSheetId="32" hidden="1">{#N/A,#N/A,FALSE,"COMICRO";#N/A,#N/A,FALSE,"BALSCH";#N/A,#N/A,FALSE,"GLASS";#N/A,#N/A,FALSE,"DEPRE";#N/A,#N/A,FALSE,"A&amp;MCUR";#N/A,#N/A,FALSE,"AGEANAlysis";#N/A,#N/A,FALSE,"CHECKS";#N/A,#N/A,FALSE,"CHECKS"}</definedName>
    <definedName name="fffff" localSheetId="10" hidden="1">{#N/A,#N/A,FALSE,"COMICRO";#N/A,#N/A,FALSE,"BALSCH";#N/A,#N/A,FALSE,"GLASS";#N/A,#N/A,FALSE,"DEPRE";#N/A,#N/A,FALSE,"A&amp;MCUR";#N/A,#N/A,FALSE,"AGEANAlysis";#N/A,#N/A,FALSE,"CHECKS";#N/A,#N/A,FALSE,"CHECKS"}</definedName>
    <definedName name="fffff" localSheetId="1" hidden="1">{#N/A,#N/A,FALSE,"COMICRO";#N/A,#N/A,FALSE,"BALSCH";#N/A,#N/A,FALSE,"GLASS";#N/A,#N/A,FALSE,"DEPRE";#N/A,#N/A,FALSE,"A&amp;MCUR";#N/A,#N/A,FALSE,"AGEANAlysis";#N/A,#N/A,FALSE,"CHECKS";#N/A,#N/A,FALSE,"CHECKS"}</definedName>
    <definedName name="fffff" localSheetId="6" hidden="1">{#N/A,#N/A,FALSE,"COMICRO";#N/A,#N/A,FALSE,"BALSCH";#N/A,#N/A,FALSE,"GLASS";#N/A,#N/A,FALSE,"DEPRE";#N/A,#N/A,FALSE,"A&amp;MCUR";#N/A,#N/A,FALSE,"AGEANAlysis";#N/A,#N/A,FALSE,"CHECKS";#N/A,#N/A,FALSE,"CHECKS"}</definedName>
    <definedName name="fffff" hidden="1">{#N/A,#N/A,FALSE,"COMICRO";#N/A,#N/A,FALSE,"BALSCH";#N/A,#N/A,FALSE,"GLASS";#N/A,#N/A,FALSE,"DEPRE";#N/A,#N/A,FALSE,"A&amp;MCUR";#N/A,#N/A,FALSE,"AGEANAlysis";#N/A,#N/A,FALSE,"CHECKS";#N/A,#N/A,FALSE,"CHECKS"}</definedName>
    <definedName name="ffffff" localSheetId="30" hidden="1">{#N/A,#N/A,FALSE,"3";#N/A,#N/A,FALSE,"5";#N/A,#N/A,FALSE,"6";#N/A,#N/A,FALSE,"8";#N/A,#N/A,FALSE,"10";#N/A,#N/A,FALSE,"13";#N/A,#N/A,FALSE,"14";#N/A,#N/A,FALSE,"15";#N/A,#N/A,FALSE,"16"}</definedName>
    <definedName name="ffffff" localSheetId="31" hidden="1">{#N/A,#N/A,FALSE,"3";#N/A,#N/A,FALSE,"5";#N/A,#N/A,FALSE,"6";#N/A,#N/A,FALSE,"8";#N/A,#N/A,FALSE,"10";#N/A,#N/A,FALSE,"13";#N/A,#N/A,FALSE,"14";#N/A,#N/A,FALSE,"15";#N/A,#N/A,FALSE,"16"}</definedName>
    <definedName name="ffffff" localSheetId="32" hidden="1">{#N/A,#N/A,FALSE,"3";#N/A,#N/A,FALSE,"5";#N/A,#N/A,FALSE,"6";#N/A,#N/A,FALSE,"8";#N/A,#N/A,FALSE,"10";#N/A,#N/A,FALSE,"13";#N/A,#N/A,FALSE,"14";#N/A,#N/A,FALSE,"15";#N/A,#N/A,FALSE,"16"}</definedName>
    <definedName name="ffffff" localSheetId="10" hidden="1">{#N/A,#N/A,FALSE,"3";#N/A,#N/A,FALSE,"5";#N/A,#N/A,FALSE,"6";#N/A,#N/A,FALSE,"8";#N/A,#N/A,FALSE,"10";#N/A,#N/A,FALSE,"13";#N/A,#N/A,FALSE,"14";#N/A,#N/A,FALSE,"15";#N/A,#N/A,FALSE,"16"}</definedName>
    <definedName name="ffffff" localSheetId="6" hidden="1">{#N/A,#N/A,FALSE,"3";#N/A,#N/A,FALSE,"5";#N/A,#N/A,FALSE,"6";#N/A,#N/A,FALSE,"8";#N/A,#N/A,FALSE,"10";#N/A,#N/A,FALSE,"13";#N/A,#N/A,FALSE,"14";#N/A,#N/A,FALSE,"15";#N/A,#N/A,FALSE,"16"}</definedName>
    <definedName name="ffffff" hidden="1">{#N/A,#N/A,FALSE,"3";#N/A,#N/A,FALSE,"5";#N/A,#N/A,FALSE,"6";#N/A,#N/A,FALSE,"8";#N/A,#N/A,FALSE,"10";#N/A,#N/A,FALSE,"13";#N/A,#N/A,FALSE,"14";#N/A,#N/A,FALSE,"15";#N/A,#N/A,FALSE,"16"}</definedName>
    <definedName name="ffffffff" localSheetId="30" hidden="1">{#N/A,#N/A,FALSE,"3";#N/A,#N/A,FALSE,"5";#N/A,#N/A,FALSE,"6";#N/A,#N/A,FALSE,"8";#N/A,#N/A,FALSE,"10";#N/A,#N/A,FALSE,"13";#N/A,#N/A,FALSE,"14";#N/A,#N/A,FALSE,"15";#N/A,#N/A,FALSE,"16"}</definedName>
    <definedName name="ffffffff" localSheetId="31" hidden="1">{#N/A,#N/A,FALSE,"3";#N/A,#N/A,FALSE,"5";#N/A,#N/A,FALSE,"6";#N/A,#N/A,FALSE,"8";#N/A,#N/A,FALSE,"10";#N/A,#N/A,FALSE,"13";#N/A,#N/A,FALSE,"14";#N/A,#N/A,FALSE,"15";#N/A,#N/A,FALSE,"16"}</definedName>
    <definedName name="ffffffff" localSheetId="32" hidden="1">{#N/A,#N/A,FALSE,"3";#N/A,#N/A,FALSE,"5";#N/A,#N/A,FALSE,"6";#N/A,#N/A,FALSE,"8";#N/A,#N/A,FALSE,"10";#N/A,#N/A,FALSE,"13";#N/A,#N/A,FALSE,"14";#N/A,#N/A,FALSE,"15";#N/A,#N/A,FALSE,"16"}</definedName>
    <definedName name="ffffffff" localSheetId="10" hidden="1">{#N/A,#N/A,FALSE,"3";#N/A,#N/A,FALSE,"5";#N/A,#N/A,FALSE,"6";#N/A,#N/A,FALSE,"8";#N/A,#N/A,FALSE,"10";#N/A,#N/A,FALSE,"13";#N/A,#N/A,FALSE,"14";#N/A,#N/A,FALSE,"15";#N/A,#N/A,FALSE,"16"}</definedName>
    <definedName name="ffffffff" localSheetId="6" hidden="1">{#N/A,#N/A,FALSE,"3";#N/A,#N/A,FALSE,"5";#N/A,#N/A,FALSE,"6";#N/A,#N/A,FALSE,"8";#N/A,#N/A,FALSE,"10";#N/A,#N/A,FALSE,"13";#N/A,#N/A,FALSE,"14";#N/A,#N/A,FALSE,"15";#N/A,#N/A,FALSE,"16"}</definedName>
    <definedName name="ffffffff" hidden="1">{#N/A,#N/A,FALSE,"3";#N/A,#N/A,FALSE,"5";#N/A,#N/A,FALSE,"6";#N/A,#N/A,FALSE,"8";#N/A,#N/A,FALSE,"10";#N/A,#N/A,FALSE,"13";#N/A,#N/A,FALSE,"14";#N/A,#N/A,FALSE,"15";#N/A,#N/A,FALSE,"16"}</definedName>
    <definedName name="fffffffff" localSheetId="30" hidden="1">{#N/A,#N/A,FALSE,"3";#N/A,#N/A,FALSE,"5";#N/A,#N/A,FALSE,"6";#N/A,#N/A,FALSE,"8";#N/A,#N/A,FALSE,"10";#N/A,#N/A,FALSE,"13";#N/A,#N/A,FALSE,"14";#N/A,#N/A,FALSE,"15";#N/A,#N/A,FALSE,"16"}</definedName>
    <definedName name="fffffffff" localSheetId="31" hidden="1">{#N/A,#N/A,FALSE,"3";#N/A,#N/A,FALSE,"5";#N/A,#N/A,FALSE,"6";#N/A,#N/A,FALSE,"8";#N/A,#N/A,FALSE,"10";#N/A,#N/A,FALSE,"13";#N/A,#N/A,FALSE,"14";#N/A,#N/A,FALSE,"15";#N/A,#N/A,FALSE,"16"}</definedName>
    <definedName name="fffffffff" localSheetId="32" hidden="1">{#N/A,#N/A,FALSE,"3";#N/A,#N/A,FALSE,"5";#N/A,#N/A,FALSE,"6";#N/A,#N/A,FALSE,"8";#N/A,#N/A,FALSE,"10";#N/A,#N/A,FALSE,"13";#N/A,#N/A,FALSE,"14";#N/A,#N/A,FALSE,"15";#N/A,#N/A,FALSE,"16"}</definedName>
    <definedName name="fffffffff" localSheetId="10" hidden="1">{#N/A,#N/A,FALSE,"3";#N/A,#N/A,FALSE,"5";#N/A,#N/A,FALSE,"6";#N/A,#N/A,FALSE,"8";#N/A,#N/A,FALSE,"10";#N/A,#N/A,FALSE,"13";#N/A,#N/A,FALSE,"14";#N/A,#N/A,FALSE,"15";#N/A,#N/A,FALSE,"16"}</definedName>
    <definedName name="fffffffff" localSheetId="6" hidden="1">{#N/A,#N/A,FALSE,"3";#N/A,#N/A,FALSE,"5";#N/A,#N/A,FALSE,"6";#N/A,#N/A,FALSE,"8";#N/A,#N/A,FALSE,"10";#N/A,#N/A,FALSE,"13";#N/A,#N/A,FALSE,"14";#N/A,#N/A,FALSE,"15";#N/A,#N/A,FALSE,"16"}</definedName>
    <definedName name="fffffffff" hidden="1">{#N/A,#N/A,FALSE,"3";#N/A,#N/A,FALSE,"5";#N/A,#N/A,FALSE,"6";#N/A,#N/A,FALSE,"8";#N/A,#N/A,FALSE,"10";#N/A,#N/A,FALSE,"13";#N/A,#N/A,FALSE,"14";#N/A,#N/A,FALSE,"15";#N/A,#N/A,FALSE,"16"}</definedName>
    <definedName name="ffffffffff" localSheetId="30" hidden="1">{#N/A,#N/A,FALSE,"3";#N/A,#N/A,FALSE,"5";#N/A,#N/A,FALSE,"6";#N/A,#N/A,FALSE,"8";#N/A,#N/A,FALSE,"10";#N/A,#N/A,FALSE,"13";#N/A,#N/A,FALSE,"14";#N/A,#N/A,FALSE,"15";#N/A,#N/A,FALSE,"16"}</definedName>
    <definedName name="ffffffffff" localSheetId="31" hidden="1">{#N/A,#N/A,FALSE,"3";#N/A,#N/A,FALSE,"5";#N/A,#N/A,FALSE,"6";#N/A,#N/A,FALSE,"8";#N/A,#N/A,FALSE,"10";#N/A,#N/A,FALSE,"13";#N/A,#N/A,FALSE,"14";#N/A,#N/A,FALSE,"15";#N/A,#N/A,FALSE,"16"}</definedName>
    <definedName name="ffffffffff" localSheetId="32" hidden="1">{#N/A,#N/A,FALSE,"3";#N/A,#N/A,FALSE,"5";#N/A,#N/A,FALSE,"6";#N/A,#N/A,FALSE,"8";#N/A,#N/A,FALSE,"10";#N/A,#N/A,FALSE,"13";#N/A,#N/A,FALSE,"14";#N/A,#N/A,FALSE,"15";#N/A,#N/A,FALSE,"16"}</definedName>
    <definedName name="ffffffffff" localSheetId="10" hidden="1">{#N/A,#N/A,FALSE,"3";#N/A,#N/A,FALSE,"5";#N/A,#N/A,FALSE,"6";#N/A,#N/A,FALSE,"8";#N/A,#N/A,FALSE,"10";#N/A,#N/A,FALSE,"13";#N/A,#N/A,FALSE,"14";#N/A,#N/A,FALSE,"15";#N/A,#N/A,FALSE,"16"}</definedName>
    <definedName name="ffffffffff" localSheetId="6" hidden="1">{#N/A,#N/A,FALSE,"3";#N/A,#N/A,FALSE,"5";#N/A,#N/A,FALSE,"6";#N/A,#N/A,FALSE,"8";#N/A,#N/A,FALSE,"10";#N/A,#N/A,FALSE,"13";#N/A,#N/A,FALSE,"14";#N/A,#N/A,FALSE,"15";#N/A,#N/A,FALSE,"16"}</definedName>
    <definedName name="ffffffffff" hidden="1">{#N/A,#N/A,FALSE,"3";#N/A,#N/A,FALSE,"5";#N/A,#N/A,FALSE,"6";#N/A,#N/A,FALSE,"8";#N/A,#N/A,FALSE,"10";#N/A,#N/A,FALSE,"13";#N/A,#N/A,FALSE,"14";#N/A,#N/A,FALSE,"15";#N/A,#N/A,FALSE,"16"}</definedName>
    <definedName name="fffffffffff" localSheetId="30" hidden="1">{#N/A,#N/A,FALSE,"3";#N/A,#N/A,FALSE,"5";#N/A,#N/A,FALSE,"6";#N/A,#N/A,FALSE,"8";#N/A,#N/A,FALSE,"10";#N/A,#N/A,FALSE,"13";#N/A,#N/A,FALSE,"14";#N/A,#N/A,FALSE,"15";#N/A,#N/A,FALSE,"16"}</definedName>
    <definedName name="fffffffffff" localSheetId="31" hidden="1">{#N/A,#N/A,FALSE,"3";#N/A,#N/A,FALSE,"5";#N/A,#N/A,FALSE,"6";#N/A,#N/A,FALSE,"8";#N/A,#N/A,FALSE,"10";#N/A,#N/A,FALSE,"13";#N/A,#N/A,FALSE,"14";#N/A,#N/A,FALSE,"15";#N/A,#N/A,FALSE,"16"}</definedName>
    <definedName name="fffffffffff" localSheetId="32" hidden="1">{#N/A,#N/A,FALSE,"3";#N/A,#N/A,FALSE,"5";#N/A,#N/A,FALSE,"6";#N/A,#N/A,FALSE,"8";#N/A,#N/A,FALSE,"10";#N/A,#N/A,FALSE,"13";#N/A,#N/A,FALSE,"14";#N/A,#N/A,FALSE,"15";#N/A,#N/A,FALSE,"16"}</definedName>
    <definedName name="fffffffffff" localSheetId="10" hidden="1">{#N/A,#N/A,FALSE,"3";#N/A,#N/A,FALSE,"5";#N/A,#N/A,FALSE,"6";#N/A,#N/A,FALSE,"8";#N/A,#N/A,FALSE,"10";#N/A,#N/A,FALSE,"13";#N/A,#N/A,FALSE,"14";#N/A,#N/A,FALSE,"15";#N/A,#N/A,FALSE,"16"}</definedName>
    <definedName name="fffffffffff" localSheetId="6" hidden="1">{#N/A,#N/A,FALSE,"3";#N/A,#N/A,FALSE,"5";#N/A,#N/A,FALSE,"6";#N/A,#N/A,FALSE,"8";#N/A,#N/A,FALSE,"10";#N/A,#N/A,FALSE,"13";#N/A,#N/A,FALSE,"14";#N/A,#N/A,FALSE,"15";#N/A,#N/A,FALSE,"16"}</definedName>
    <definedName name="fffffffffff" hidden="1">{#N/A,#N/A,FALSE,"3";#N/A,#N/A,FALSE,"5";#N/A,#N/A,FALSE,"6";#N/A,#N/A,FALSE,"8";#N/A,#N/A,FALSE,"10";#N/A,#N/A,FALSE,"13";#N/A,#N/A,FALSE,"14";#N/A,#N/A,FALSE,"15";#N/A,#N/A,FALSE,"16"}</definedName>
    <definedName name="ffffffffffffff" hidden="1">#REF!</definedName>
    <definedName name="fgd" localSheetId="30" hidden="1">{#N/A,#N/A,FALSE,"Ventilation";#N/A,#N/A,FALSE,"Courbe1";#N/A,#N/A,FALSE,"Courbe2"}</definedName>
    <definedName name="fgd" localSheetId="31" hidden="1">{#N/A,#N/A,FALSE,"Ventilation";#N/A,#N/A,FALSE,"Courbe1";#N/A,#N/A,FALSE,"Courbe2"}</definedName>
    <definedName name="fgd" localSheetId="32" hidden="1">{#N/A,#N/A,FALSE,"Ventilation";#N/A,#N/A,FALSE,"Courbe1";#N/A,#N/A,FALSE,"Courbe2"}</definedName>
    <definedName name="fgd" localSheetId="10" hidden="1">{#N/A,#N/A,FALSE,"Ventilation";#N/A,#N/A,FALSE,"Courbe1";#N/A,#N/A,FALSE,"Courbe2"}</definedName>
    <definedName name="fgd" localSheetId="6" hidden="1">{#N/A,#N/A,FALSE,"Ventilation";#N/A,#N/A,FALSE,"Courbe1";#N/A,#N/A,FALSE,"Courbe2"}</definedName>
    <definedName name="fgd" hidden="1">{#N/A,#N/A,FALSE,"Ventilation";#N/A,#N/A,FALSE,"Courbe1";#N/A,#N/A,FALSE,"Courbe2"}</definedName>
    <definedName name="fgdsgdsg" localSheetId="30" hidden="1">{#N/A,#N/A,FALSE,"3";#N/A,#N/A,FALSE,"5";#N/A,#N/A,FALSE,"6";#N/A,#N/A,FALSE,"8";#N/A,#N/A,FALSE,"10";#N/A,#N/A,FALSE,"13";#N/A,#N/A,FALSE,"14";#N/A,#N/A,FALSE,"15";#N/A,#N/A,FALSE,"16"}</definedName>
    <definedName name="fgdsgdsg" localSheetId="31" hidden="1">{#N/A,#N/A,FALSE,"3";#N/A,#N/A,FALSE,"5";#N/A,#N/A,FALSE,"6";#N/A,#N/A,FALSE,"8";#N/A,#N/A,FALSE,"10";#N/A,#N/A,FALSE,"13";#N/A,#N/A,FALSE,"14";#N/A,#N/A,FALSE,"15";#N/A,#N/A,FALSE,"16"}</definedName>
    <definedName name="fgdsgdsg" localSheetId="32" hidden="1">{#N/A,#N/A,FALSE,"3";#N/A,#N/A,FALSE,"5";#N/A,#N/A,FALSE,"6";#N/A,#N/A,FALSE,"8";#N/A,#N/A,FALSE,"10";#N/A,#N/A,FALSE,"13";#N/A,#N/A,FALSE,"14";#N/A,#N/A,FALSE,"15";#N/A,#N/A,FALSE,"16"}</definedName>
    <definedName name="fgdsgdsg" localSheetId="10" hidden="1">{#N/A,#N/A,FALSE,"3";#N/A,#N/A,FALSE,"5";#N/A,#N/A,FALSE,"6";#N/A,#N/A,FALSE,"8";#N/A,#N/A,FALSE,"10";#N/A,#N/A,FALSE,"13";#N/A,#N/A,FALSE,"14";#N/A,#N/A,FALSE,"15";#N/A,#N/A,FALSE,"16"}</definedName>
    <definedName name="fgdsgdsg" localSheetId="6" hidden="1">{#N/A,#N/A,FALSE,"3";#N/A,#N/A,FALSE,"5";#N/A,#N/A,FALSE,"6";#N/A,#N/A,FALSE,"8";#N/A,#N/A,FALSE,"10";#N/A,#N/A,FALSE,"13";#N/A,#N/A,FALSE,"14";#N/A,#N/A,FALSE,"15";#N/A,#N/A,FALSE,"16"}</definedName>
    <definedName name="fgdsgdsg" hidden="1">{#N/A,#N/A,FALSE,"3";#N/A,#N/A,FALSE,"5";#N/A,#N/A,FALSE,"6";#N/A,#N/A,FALSE,"8";#N/A,#N/A,FALSE,"10";#N/A,#N/A,FALSE,"13";#N/A,#N/A,FALSE,"14";#N/A,#N/A,FALSE,"15";#N/A,#N/A,FALSE,"16"}</definedName>
    <definedName name="fghdfgdfg" localSheetId="30" hidden="1">{#N/A,#N/A,FALSE,"3";#N/A,#N/A,FALSE,"5";#N/A,#N/A,FALSE,"6";#N/A,#N/A,FALSE,"8";#N/A,#N/A,FALSE,"10";#N/A,#N/A,FALSE,"13";#N/A,#N/A,FALSE,"14";#N/A,#N/A,FALSE,"15";#N/A,#N/A,FALSE,"16"}</definedName>
    <definedName name="fghdfgdfg" localSheetId="31" hidden="1">{#N/A,#N/A,FALSE,"3";#N/A,#N/A,FALSE,"5";#N/A,#N/A,FALSE,"6";#N/A,#N/A,FALSE,"8";#N/A,#N/A,FALSE,"10";#N/A,#N/A,FALSE,"13";#N/A,#N/A,FALSE,"14";#N/A,#N/A,FALSE,"15";#N/A,#N/A,FALSE,"16"}</definedName>
    <definedName name="fghdfgdfg" localSheetId="32" hidden="1">{#N/A,#N/A,FALSE,"3";#N/A,#N/A,FALSE,"5";#N/A,#N/A,FALSE,"6";#N/A,#N/A,FALSE,"8";#N/A,#N/A,FALSE,"10";#N/A,#N/A,FALSE,"13";#N/A,#N/A,FALSE,"14";#N/A,#N/A,FALSE,"15";#N/A,#N/A,FALSE,"16"}</definedName>
    <definedName name="fghdfgdfg" localSheetId="10" hidden="1">{#N/A,#N/A,FALSE,"3";#N/A,#N/A,FALSE,"5";#N/A,#N/A,FALSE,"6";#N/A,#N/A,FALSE,"8";#N/A,#N/A,FALSE,"10";#N/A,#N/A,FALSE,"13";#N/A,#N/A,FALSE,"14";#N/A,#N/A,FALSE,"15";#N/A,#N/A,FALSE,"16"}</definedName>
    <definedName name="fghdfgdfg" localSheetId="6" hidden="1">{#N/A,#N/A,FALSE,"3";#N/A,#N/A,FALSE,"5";#N/A,#N/A,FALSE,"6";#N/A,#N/A,FALSE,"8";#N/A,#N/A,FALSE,"10";#N/A,#N/A,FALSE,"13";#N/A,#N/A,FALSE,"14";#N/A,#N/A,FALSE,"15";#N/A,#N/A,FALSE,"16"}</definedName>
    <definedName name="fghdfgdfg" hidden="1">{#N/A,#N/A,FALSE,"3";#N/A,#N/A,FALSE,"5";#N/A,#N/A,FALSE,"6";#N/A,#N/A,FALSE,"8";#N/A,#N/A,FALSE,"10";#N/A,#N/A,FALSE,"13";#N/A,#N/A,FALSE,"14";#N/A,#N/A,FALSE,"15";#N/A,#N/A,FALSE,"16"}</definedName>
    <definedName name="fghgf" hidden="1">#REF!</definedName>
    <definedName name="FGRW" hidden="1">#REF!</definedName>
    <definedName name="fh" localSheetId="30" hidden="1">{#N/A,#N/A,FALSE,"3";#N/A,#N/A,FALSE,"5";#N/A,#N/A,FALSE,"6";#N/A,#N/A,FALSE,"8";#N/A,#N/A,FALSE,"10";#N/A,#N/A,FALSE,"13";#N/A,#N/A,FALSE,"14";#N/A,#N/A,FALSE,"15";#N/A,#N/A,FALSE,"16"}</definedName>
    <definedName name="fh" localSheetId="31" hidden="1">{#N/A,#N/A,FALSE,"3";#N/A,#N/A,FALSE,"5";#N/A,#N/A,FALSE,"6";#N/A,#N/A,FALSE,"8";#N/A,#N/A,FALSE,"10";#N/A,#N/A,FALSE,"13";#N/A,#N/A,FALSE,"14";#N/A,#N/A,FALSE,"15";#N/A,#N/A,FALSE,"16"}</definedName>
    <definedName name="fh" localSheetId="32" hidden="1">{#N/A,#N/A,FALSE,"3";#N/A,#N/A,FALSE,"5";#N/A,#N/A,FALSE,"6";#N/A,#N/A,FALSE,"8";#N/A,#N/A,FALSE,"10";#N/A,#N/A,FALSE,"13";#N/A,#N/A,FALSE,"14";#N/A,#N/A,FALSE,"15";#N/A,#N/A,FALSE,"16"}</definedName>
    <definedName name="fh" localSheetId="10" hidden="1">{#N/A,#N/A,FALSE,"3";#N/A,#N/A,FALSE,"5";#N/A,#N/A,FALSE,"6";#N/A,#N/A,FALSE,"8";#N/A,#N/A,FALSE,"10";#N/A,#N/A,FALSE,"13";#N/A,#N/A,FALSE,"14";#N/A,#N/A,FALSE,"15";#N/A,#N/A,FALSE,"16"}</definedName>
    <definedName name="fh" localSheetId="6" hidden="1">{#N/A,#N/A,FALSE,"3";#N/A,#N/A,FALSE,"5";#N/A,#N/A,FALSE,"6";#N/A,#N/A,FALSE,"8";#N/A,#N/A,FALSE,"10";#N/A,#N/A,FALSE,"13";#N/A,#N/A,FALSE,"14";#N/A,#N/A,FALSE,"15";#N/A,#N/A,FALSE,"16"}</definedName>
    <definedName name="fh" hidden="1">{#N/A,#N/A,FALSE,"3";#N/A,#N/A,FALSE,"5";#N/A,#N/A,FALSE,"6";#N/A,#N/A,FALSE,"8";#N/A,#N/A,FALSE,"10";#N/A,#N/A,FALSE,"13";#N/A,#N/A,FALSE,"14";#N/A,#N/A,FALSE,"15";#N/A,#N/A,FALSE,"16"}</definedName>
    <definedName name="fhfhfh" localSheetId="30" hidden="1">{#N/A,#N/A,FALSE,"3";#N/A,#N/A,FALSE,"5";#N/A,#N/A,FALSE,"6";#N/A,#N/A,FALSE,"8";#N/A,#N/A,FALSE,"10";#N/A,#N/A,FALSE,"13";#N/A,#N/A,FALSE,"14";#N/A,#N/A,FALSE,"15";#N/A,#N/A,FALSE,"16"}</definedName>
    <definedName name="fhfhfh" localSheetId="31" hidden="1">{#N/A,#N/A,FALSE,"3";#N/A,#N/A,FALSE,"5";#N/A,#N/A,FALSE,"6";#N/A,#N/A,FALSE,"8";#N/A,#N/A,FALSE,"10";#N/A,#N/A,FALSE,"13";#N/A,#N/A,FALSE,"14";#N/A,#N/A,FALSE,"15";#N/A,#N/A,FALSE,"16"}</definedName>
    <definedName name="fhfhfh" localSheetId="32" hidden="1">{#N/A,#N/A,FALSE,"3";#N/A,#N/A,FALSE,"5";#N/A,#N/A,FALSE,"6";#N/A,#N/A,FALSE,"8";#N/A,#N/A,FALSE,"10";#N/A,#N/A,FALSE,"13";#N/A,#N/A,FALSE,"14";#N/A,#N/A,FALSE,"15";#N/A,#N/A,FALSE,"16"}</definedName>
    <definedName name="fhfhfh" localSheetId="10" hidden="1">{#N/A,#N/A,FALSE,"3";#N/A,#N/A,FALSE,"5";#N/A,#N/A,FALSE,"6";#N/A,#N/A,FALSE,"8";#N/A,#N/A,FALSE,"10";#N/A,#N/A,FALSE,"13";#N/A,#N/A,FALSE,"14";#N/A,#N/A,FALSE,"15";#N/A,#N/A,FALSE,"16"}</definedName>
    <definedName name="fhfhfh" localSheetId="6" hidden="1">{#N/A,#N/A,FALSE,"3";#N/A,#N/A,FALSE,"5";#N/A,#N/A,FALSE,"6";#N/A,#N/A,FALSE,"8";#N/A,#N/A,FALSE,"10";#N/A,#N/A,FALSE,"13";#N/A,#N/A,FALSE,"14";#N/A,#N/A,FALSE,"15";#N/A,#N/A,FALSE,"16"}</definedName>
    <definedName name="fhfhfh" hidden="1">{#N/A,#N/A,FALSE,"3";#N/A,#N/A,FALSE,"5";#N/A,#N/A,FALSE,"6";#N/A,#N/A,FALSE,"8";#N/A,#N/A,FALSE,"10";#N/A,#N/A,FALSE,"13";#N/A,#N/A,FALSE,"14";#N/A,#N/A,FALSE,"15";#N/A,#N/A,FALSE,"16"}</definedName>
    <definedName name="fhgfhf" localSheetId="30" hidden="1">{#N/A,#N/A,FALSE,"3";#N/A,#N/A,FALSE,"5";#N/A,#N/A,FALSE,"6";#N/A,#N/A,FALSE,"8";#N/A,#N/A,FALSE,"10";#N/A,#N/A,FALSE,"13";#N/A,#N/A,FALSE,"14";#N/A,#N/A,FALSE,"15";#N/A,#N/A,FALSE,"16"}</definedName>
    <definedName name="fhgfhf" localSheetId="31" hidden="1">{#N/A,#N/A,FALSE,"3";#N/A,#N/A,FALSE,"5";#N/A,#N/A,FALSE,"6";#N/A,#N/A,FALSE,"8";#N/A,#N/A,FALSE,"10";#N/A,#N/A,FALSE,"13";#N/A,#N/A,FALSE,"14";#N/A,#N/A,FALSE,"15";#N/A,#N/A,FALSE,"16"}</definedName>
    <definedName name="fhgfhf" localSheetId="32" hidden="1">{#N/A,#N/A,FALSE,"3";#N/A,#N/A,FALSE,"5";#N/A,#N/A,FALSE,"6";#N/A,#N/A,FALSE,"8";#N/A,#N/A,FALSE,"10";#N/A,#N/A,FALSE,"13";#N/A,#N/A,FALSE,"14";#N/A,#N/A,FALSE,"15";#N/A,#N/A,FALSE,"16"}</definedName>
    <definedName name="fhgfhf" localSheetId="10" hidden="1">{#N/A,#N/A,FALSE,"3";#N/A,#N/A,FALSE,"5";#N/A,#N/A,FALSE,"6";#N/A,#N/A,FALSE,"8";#N/A,#N/A,FALSE,"10";#N/A,#N/A,FALSE,"13";#N/A,#N/A,FALSE,"14";#N/A,#N/A,FALSE,"15";#N/A,#N/A,FALSE,"16"}</definedName>
    <definedName name="fhgfhf" localSheetId="6" hidden="1">{#N/A,#N/A,FALSE,"3";#N/A,#N/A,FALSE,"5";#N/A,#N/A,FALSE,"6";#N/A,#N/A,FALSE,"8";#N/A,#N/A,FALSE,"10";#N/A,#N/A,FALSE,"13";#N/A,#N/A,FALSE,"14";#N/A,#N/A,FALSE,"15";#N/A,#N/A,FALSE,"16"}</definedName>
    <definedName name="fhgfhf" hidden="1">{#N/A,#N/A,FALSE,"3";#N/A,#N/A,FALSE,"5";#N/A,#N/A,FALSE,"6";#N/A,#N/A,FALSE,"8";#N/A,#N/A,FALSE,"10";#N/A,#N/A,FALSE,"13";#N/A,#N/A,FALSE,"14";#N/A,#N/A,FALSE,"15";#N/A,#N/A,FALSE,"16"}</definedName>
    <definedName name="FixedAssets" localSheetId="3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ixedAssets" localSheetId="31"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ixedAssets" localSheetId="32"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ixedAssets" localSheetId="1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ixedAssets" localSheetId="1"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ixedAssets" localSheetId="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ixedAssets"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ixedassets_it" hidden="1">#REF!</definedName>
    <definedName name="fkfkf" localSheetId="30" hidden="1">{"'CQ1-4'!$B$1:$L$49"}</definedName>
    <definedName name="fkfkf" localSheetId="31" hidden="1">{"'CQ1-4'!$B$1:$L$49"}</definedName>
    <definedName name="fkfkf" localSheetId="32" hidden="1">{"'CQ1-4'!$B$1:$L$49"}</definedName>
    <definedName name="fkfkf" localSheetId="10" hidden="1">{"'CQ1-4'!$B$1:$L$49"}</definedName>
    <definedName name="fkfkf" localSheetId="1" hidden="1">{"'CQ1-4'!$B$1:$L$49"}</definedName>
    <definedName name="fkfkf" localSheetId="6" hidden="1">{"'CQ1-4'!$B$1:$L$49"}</definedName>
    <definedName name="fkfkf" hidden="1">{"'CQ1-4'!$B$1:$L$49"}</definedName>
    <definedName name="fORM" localSheetId="30" hidden="1">{#N/A,#N/A,FALSE,"COMP"}</definedName>
    <definedName name="fORM" localSheetId="31" hidden="1">{#N/A,#N/A,FALSE,"COMP"}</definedName>
    <definedName name="fORM" localSheetId="32" hidden="1">{#N/A,#N/A,FALSE,"COMP"}</definedName>
    <definedName name="fORM" localSheetId="10" hidden="1">{#N/A,#N/A,FALSE,"COMP"}</definedName>
    <definedName name="fORM" localSheetId="1" hidden="1">{#N/A,#N/A,FALSE,"COMP"}</definedName>
    <definedName name="fORM" localSheetId="6" hidden="1">{#N/A,#N/A,FALSE,"COMP"}</definedName>
    <definedName name="fORM" hidden="1">{#N/A,#N/A,FALSE,"COMP"}</definedName>
    <definedName name="form1" localSheetId="30" hidden="1">{#N/A,#N/A,FALSE,"COMP"}</definedName>
    <definedName name="form1" localSheetId="31" hidden="1">{#N/A,#N/A,FALSE,"COMP"}</definedName>
    <definedName name="form1" localSheetId="32" hidden="1">{#N/A,#N/A,FALSE,"COMP"}</definedName>
    <definedName name="form1" localSheetId="10" hidden="1">{#N/A,#N/A,FALSE,"COMP"}</definedName>
    <definedName name="form1" localSheetId="1" hidden="1">{#N/A,#N/A,FALSE,"COMP"}</definedName>
    <definedName name="form1" localSheetId="6" hidden="1">{#N/A,#N/A,FALSE,"COMP"}</definedName>
    <definedName name="form1" hidden="1">{#N/A,#N/A,FALSE,"COMP"}</definedName>
    <definedName name="FQSDF" localSheetId="30" hidden="1">{#N/A,#N/A,TRUE,"Cover";#N/A,#N/A,TRUE,"Content";"Orders EMM",#N/A,TRUE,"Order Sales";"project EMM",#N/A,TRUE,"Project Control";"Cash EMM",#N/A,TRUE,"Cash Control";"KPI EMM",#N/A,TRUE,"KPI-EMM";"Empl EMM",#N/A,TRUE,"Employees"}</definedName>
    <definedName name="FQSDF" localSheetId="31" hidden="1">{#N/A,#N/A,TRUE,"Cover";#N/A,#N/A,TRUE,"Content";"Orders EMM",#N/A,TRUE,"Order Sales";"project EMM",#N/A,TRUE,"Project Control";"Cash EMM",#N/A,TRUE,"Cash Control";"KPI EMM",#N/A,TRUE,"KPI-EMM";"Empl EMM",#N/A,TRUE,"Employees"}</definedName>
    <definedName name="FQSDF" localSheetId="32" hidden="1">{#N/A,#N/A,TRUE,"Cover";#N/A,#N/A,TRUE,"Content";"Orders EMM",#N/A,TRUE,"Order Sales";"project EMM",#N/A,TRUE,"Project Control";"Cash EMM",#N/A,TRUE,"Cash Control";"KPI EMM",#N/A,TRUE,"KPI-EMM";"Empl EMM",#N/A,TRUE,"Employees"}</definedName>
    <definedName name="FQSDF" localSheetId="10" hidden="1">{#N/A,#N/A,TRUE,"Cover";#N/A,#N/A,TRUE,"Content";"Orders EMM",#N/A,TRUE,"Order Sales";"project EMM",#N/A,TRUE,"Project Control";"Cash EMM",#N/A,TRUE,"Cash Control";"KPI EMM",#N/A,TRUE,"KPI-EMM";"Empl EMM",#N/A,TRUE,"Employees"}</definedName>
    <definedName name="FQSDF" localSheetId="6" hidden="1">{#N/A,#N/A,TRUE,"Cover";#N/A,#N/A,TRUE,"Content";"Orders EMM",#N/A,TRUE,"Order Sales";"project EMM",#N/A,TRUE,"Project Control";"Cash EMM",#N/A,TRUE,"Cash Control";"KPI EMM",#N/A,TRUE,"KPI-EMM";"Empl EMM",#N/A,TRUE,"Employees"}</definedName>
    <definedName name="FQSDF" hidden="1">{#N/A,#N/A,TRUE,"Cover";#N/A,#N/A,TRUE,"Content";"Orders EMM",#N/A,TRUE,"Order Sales";"project EMM",#N/A,TRUE,"Project Control";"Cash EMM",#N/A,TRUE,"Cash Control";"KPI EMM",#N/A,TRUE,"KPI-EMM";"Empl EMM",#N/A,TRUE,"Employees"}</definedName>
    <definedName name="franko" localSheetId="30" hidden="1">{#N/A,#N/A,FALSE,"Kosten97Einzel";#N/A,#N/A,FALSE,"Kosten97FZ"}</definedName>
    <definedName name="franko" localSheetId="31" hidden="1">{#N/A,#N/A,FALSE,"Kosten97Einzel";#N/A,#N/A,FALSE,"Kosten97FZ"}</definedName>
    <definedName name="franko" localSheetId="32" hidden="1">{#N/A,#N/A,FALSE,"Kosten97Einzel";#N/A,#N/A,FALSE,"Kosten97FZ"}</definedName>
    <definedName name="franko" localSheetId="10" hidden="1">{#N/A,#N/A,FALSE,"Kosten97Einzel";#N/A,#N/A,FALSE,"Kosten97FZ"}</definedName>
    <definedName name="franko" localSheetId="6" hidden="1">{#N/A,#N/A,FALSE,"Kosten97Einzel";#N/A,#N/A,FALSE,"Kosten97FZ"}</definedName>
    <definedName name="franko" hidden="1">{#N/A,#N/A,FALSE,"Kosten97Einzel";#N/A,#N/A,FALSE,"Kosten97FZ"}</definedName>
    <definedName name="frew" localSheetId="30" hidden="1">{"CashPrint",#N/A,FALSE,"Cash"}</definedName>
    <definedName name="frew" localSheetId="31" hidden="1">{"CashPrint",#N/A,FALSE,"Cash"}</definedName>
    <definedName name="frew" localSheetId="32" hidden="1">{"CashPrint",#N/A,FALSE,"Cash"}</definedName>
    <definedName name="frew" localSheetId="10" hidden="1">{"CashPrint",#N/A,FALSE,"Cash"}</definedName>
    <definedName name="frew" localSheetId="6" hidden="1">{"CashPrint",#N/A,FALSE,"Cash"}</definedName>
    <definedName name="frew" hidden="1">{"CashPrint",#N/A,FALSE,"Cash"}</definedName>
    <definedName name="from" localSheetId="30" hidden="1">{"'Typical Costs Estimates'!$C$158:$H$161"}</definedName>
    <definedName name="from" localSheetId="31" hidden="1">{"'Typical Costs Estimates'!$C$158:$H$161"}</definedName>
    <definedName name="from" localSheetId="32" hidden="1">{"'Typical Costs Estimates'!$C$158:$H$161"}</definedName>
    <definedName name="from" localSheetId="10" hidden="1">{"'Typical Costs Estimates'!$C$158:$H$161"}</definedName>
    <definedName name="from" hidden="1">{"'Typical Costs Estimates'!$C$158:$H$161"}</definedName>
    <definedName name="frsdf" localSheetId="30" hidden="1">{#N/A,#N/A,FALSE,"3";#N/A,#N/A,FALSE,"5";#N/A,#N/A,FALSE,"6";#N/A,#N/A,FALSE,"8";#N/A,#N/A,FALSE,"10";#N/A,#N/A,FALSE,"13";#N/A,#N/A,FALSE,"14";#N/A,#N/A,FALSE,"15";#N/A,#N/A,FALSE,"16"}</definedName>
    <definedName name="frsdf" localSheetId="31" hidden="1">{#N/A,#N/A,FALSE,"3";#N/A,#N/A,FALSE,"5";#N/A,#N/A,FALSE,"6";#N/A,#N/A,FALSE,"8";#N/A,#N/A,FALSE,"10";#N/A,#N/A,FALSE,"13";#N/A,#N/A,FALSE,"14";#N/A,#N/A,FALSE,"15";#N/A,#N/A,FALSE,"16"}</definedName>
    <definedName name="frsdf" localSheetId="32" hidden="1">{#N/A,#N/A,FALSE,"3";#N/A,#N/A,FALSE,"5";#N/A,#N/A,FALSE,"6";#N/A,#N/A,FALSE,"8";#N/A,#N/A,FALSE,"10";#N/A,#N/A,FALSE,"13";#N/A,#N/A,FALSE,"14";#N/A,#N/A,FALSE,"15";#N/A,#N/A,FALSE,"16"}</definedName>
    <definedName name="frsdf" localSheetId="10" hidden="1">{#N/A,#N/A,FALSE,"3";#N/A,#N/A,FALSE,"5";#N/A,#N/A,FALSE,"6";#N/A,#N/A,FALSE,"8";#N/A,#N/A,FALSE,"10";#N/A,#N/A,FALSE,"13";#N/A,#N/A,FALSE,"14";#N/A,#N/A,FALSE,"15";#N/A,#N/A,FALSE,"16"}</definedName>
    <definedName name="frsdf" localSheetId="6" hidden="1">{#N/A,#N/A,FALSE,"3";#N/A,#N/A,FALSE,"5";#N/A,#N/A,FALSE,"6";#N/A,#N/A,FALSE,"8";#N/A,#N/A,FALSE,"10";#N/A,#N/A,FALSE,"13";#N/A,#N/A,FALSE,"14";#N/A,#N/A,FALSE,"15";#N/A,#N/A,FALSE,"16"}</definedName>
    <definedName name="frsdf" hidden="1">{#N/A,#N/A,FALSE,"3";#N/A,#N/A,FALSE,"5";#N/A,#N/A,FALSE,"6";#N/A,#N/A,FALSE,"8";#N/A,#N/A,FALSE,"10";#N/A,#N/A,FALSE,"13";#N/A,#N/A,FALSE,"14";#N/A,#N/A,FALSE,"15";#N/A,#N/A,FALSE,"16"}</definedName>
    <definedName name="fsdfsdf" localSheetId="30" hidden="1">{#N/A,#N/A,FALSE,"3";#N/A,#N/A,FALSE,"5";#N/A,#N/A,FALSE,"6";#N/A,#N/A,FALSE,"8";#N/A,#N/A,FALSE,"10";#N/A,#N/A,FALSE,"13";#N/A,#N/A,FALSE,"14";#N/A,#N/A,FALSE,"15";#N/A,#N/A,FALSE,"16"}</definedName>
    <definedName name="fsdfsdf" localSheetId="31" hidden="1">{#N/A,#N/A,FALSE,"3";#N/A,#N/A,FALSE,"5";#N/A,#N/A,FALSE,"6";#N/A,#N/A,FALSE,"8";#N/A,#N/A,FALSE,"10";#N/A,#N/A,FALSE,"13";#N/A,#N/A,FALSE,"14";#N/A,#N/A,FALSE,"15";#N/A,#N/A,FALSE,"16"}</definedName>
    <definedName name="fsdfsdf" localSheetId="32" hidden="1">{#N/A,#N/A,FALSE,"3";#N/A,#N/A,FALSE,"5";#N/A,#N/A,FALSE,"6";#N/A,#N/A,FALSE,"8";#N/A,#N/A,FALSE,"10";#N/A,#N/A,FALSE,"13";#N/A,#N/A,FALSE,"14";#N/A,#N/A,FALSE,"15";#N/A,#N/A,FALSE,"16"}</definedName>
    <definedName name="fsdfsdf" localSheetId="10" hidden="1">{#N/A,#N/A,FALSE,"3";#N/A,#N/A,FALSE,"5";#N/A,#N/A,FALSE,"6";#N/A,#N/A,FALSE,"8";#N/A,#N/A,FALSE,"10";#N/A,#N/A,FALSE,"13";#N/A,#N/A,FALSE,"14";#N/A,#N/A,FALSE,"15";#N/A,#N/A,FALSE,"16"}</definedName>
    <definedName name="fsdfsdf" localSheetId="6" hidden="1">{#N/A,#N/A,FALSE,"3";#N/A,#N/A,FALSE,"5";#N/A,#N/A,FALSE,"6";#N/A,#N/A,FALSE,"8";#N/A,#N/A,FALSE,"10";#N/A,#N/A,FALSE,"13";#N/A,#N/A,FALSE,"14";#N/A,#N/A,FALSE,"15";#N/A,#N/A,FALSE,"16"}</definedName>
    <definedName name="fsdfsdf" hidden="1">{#N/A,#N/A,FALSE,"3";#N/A,#N/A,FALSE,"5";#N/A,#N/A,FALSE,"6";#N/A,#N/A,FALSE,"8";#N/A,#N/A,FALSE,"10";#N/A,#N/A,FALSE,"13";#N/A,#N/A,FALSE,"14";#N/A,#N/A,FALSE,"15";#N/A,#N/A,FALSE,"16"}</definedName>
    <definedName name="fsfsf" localSheetId="30" hidden="1">{#N/A,#N/A,FALSE,"3";#N/A,#N/A,FALSE,"5";#N/A,#N/A,FALSE,"6";#N/A,#N/A,FALSE,"8";#N/A,#N/A,FALSE,"10";#N/A,#N/A,FALSE,"13";#N/A,#N/A,FALSE,"14";#N/A,#N/A,FALSE,"15";#N/A,#N/A,FALSE,"16"}</definedName>
    <definedName name="fsfsf" localSheetId="31" hidden="1">{#N/A,#N/A,FALSE,"3";#N/A,#N/A,FALSE,"5";#N/A,#N/A,FALSE,"6";#N/A,#N/A,FALSE,"8";#N/A,#N/A,FALSE,"10";#N/A,#N/A,FALSE,"13";#N/A,#N/A,FALSE,"14";#N/A,#N/A,FALSE,"15";#N/A,#N/A,FALSE,"16"}</definedName>
    <definedName name="fsfsf" localSheetId="32" hidden="1">{#N/A,#N/A,FALSE,"3";#N/A,#N/A,FALSE,"5";#N/A,#N/A,FALSE,"6";#N/A,#N/A,FALSE,"8";#N/A,#N/A,FALSE,"10";#N/A,#N/A,FALSE,"13";#N/A,#N/A,FALSE,"14";#N/A,#N/A,FALSE,"15";#N/A,#N/A,FALSE,"16"}</definedName>
    <definedName name="fsfsf" localSheetId="10" hidden="1">{#N/A,#N/A,FALSE,"3";#N/A,#N/A,FALSE,"5";#N/A,#N/A,FALSE,"6";#N/A,#N/A,FALSE,"8";#N/A,#N/A,FALSE,"10";#N/A,#N/A,FALSE,"13";#N/A,#N/A,FALSE,"14";#N/A,#N/A,FALSE,"15";#N/A,#N/A,FALSE,"16"}</definedName>
    <definedName name="fsfsf" localSheetId="6" hidden="1">{#N/A,#N/A,FALSE,"3";#N/A,#N/A,FALSE,"5";#N/A,#N/A,FALSE,"6";#N/A,#N/A,FALSE,"8";#N/A,#N/A,FALSE,"10";#N/A,#N/A,FALSE,"13";#N/A,#N/A,FALSE,"14";#N/A,#N/A,FALSE,"15";#N/A,#N/A,FALSE,"16"}</definedName>
    <definedName name="fsfsf" hidden="1">{#N/A,#N/A,FALSE,"3";#N/A,#N/A,FALSE,"5";#N/A,#N/A,FALSE,"6";#N/A,#N/A,FALSE,"8";#N/A,#N/A,FALSE,"10";#N/A,#N/A,FALSE,"13";#N/A,#N/A,FALSE,"14";#N/A,#N/A,FALSE,"15";#N/A,#N/A,FALSE,"16"}</definedName>
    <definedName name="fsfsfs" localSheetId="30" hidden="1">{#N/A,#N/A,FALSE,"3";#N/A,#N/A,FALSE,"5";#N/A,#N/A,FALSE,"6";#N/A,#N/A,FALSE,"8";#N/A,#N/A,FALSE,"10";#N/A,#N/A,FALSE,"13";#N/A,#N/A,FALSE,"14";#N/A,#N/A,FALSE,"15";#N/A,#N/A,FALSE,"16"}</definedName>
    <definedName name="fsfsfs" localSheetId="31" hidden="1">{#N/A,#N/A,FALSE,"3";#N/A,#N/A,FALSE,"5";#N/A,#N/A,FALSE,"6";#N/A,#N/A,FALSE,"8";#N/A,#N/A,FALSE,"10";#N/A,#N/A,FALSE,"13";#N/A,#N/A,FALSE,"14";#N/A,#N/A,FALSE,"15";#N/A,#N/A,FALSE,"16"}</definedName>
    <definedName name="fsfsfs" localSheetId="32" hidden="1">{#N/A,#N/A,FALSE,"3";#N/A,#N/A,FALSE,"5";#N/A,#N/A,FALSE,"6";#N/A,#N/A,FALSE,"8";#N/A,#N/A,FALSE,"10";#N/A,#N/A,FALSE,"13";#N/A,#N/A,FALSE,"14";#N/A,#N/A,FALSE,"15";#N/A,#N/A,FALSE,"16"}</definedName>
    <definedName name="fsfsfs" localSheetId="10" hidden="1">{#N/A,#N/A,FALSE,"3";#N/A,#N/A,FALSE,"5";#N/A,#N/A,FALSE,"6";#N/A,#N/A,FALSE,"8";#N/A,#N/A,FALSE,"10";#N/A,#N/A,FALSE,"13";#N/A,#N/A,FALSE,"14";#N/A,#N/A,FALSE,"15";#N/A,#N/A,FALSE,"16"}</definedName>
    <definedName name="fsfsfs" localSheetId="6" hidden="1">{#N/A,#N/A,FALSE,"3";#N/A,#N/A,FALSE,"5";#N/A,#N/A,FALSE,"6";#N/A,#N/A,FALSE,"8";#N/A,#N/A,FALSE,"10";#N/A,#N/A,FALSE,"13";#N/A,#N/A,FALSE,"14";#N/A,#N/A,FALSE,"15";#N/A,#N/A,FALSE,"16"}</definedName>
    <definedName name="fsfsfs" hidden="1">{#N/A,#N/A,FALSE,"3";#N/A,#N/A,FALSE,"5";#N/A,#N/A,FALSE,"6";#N/A,#N/A,FALSE,"8";#N/A,#N/A,FALSE,"10";#N/A,#N/A,FALSE,"13";#N/A,#N/A,FALSE,"14";#N/A,#N/A,FALSE,"15";#N/A,#N/A,FALSE,"16"}</definedName>
    <definedName name="gcb" localSheetId="30" hidden="1">{#N/A,#N/A,FALSE,"3";#N/A,#N/A,FALSE,"5";#N/A,#N/A,FALSE,"6";#N/A,#N/A,FALSE,"8";#N/A,#N/A,FALSE,"10";#N/A,#N/A,FALSE,"13";#N/A,#N/A,FALSE,"14";#N/A,#N/A,FALSE,"15";#N/A,#N/A,FALSE,"16"}</definedName>
    <definedName name="gcb" localSheetId="31" hidden="1">{#N/A,#N/A,FALSE,"3";#N/A,#N/A,FALSE,"5";#N/A,#N/A,FALSE,"6";#N/A,#N/A,FALSE,"8";#N/A,#N/A,FALSE,"10";#N/A,#N/A,FALSE,"13";#N/A,#N/A,FALSE,"14";#N/A,#N/A,FALSE,"15";#N/A,#N/A,FALSE,"16"}</definedName>
    <definedName name="gcb" localSheetId="32" hidden="1">{#N/A,#N/A,FALSE,"3";#N/A,#N/A,FALSE,"5";#N/A,#N/A,FALSE,"6";#N/A,#N/A,FALSE,"8";#N/A,#N/A,FALSE,"10";#N/A,#N/A,FALSE,"13";#N/A,#N/A,FALSE,"14";#N/A,#N/A,FALSE,"15";#N/A,#N/A,FALSE,"16"}</definedName>
    <definedName name="gcb" localSheetId="10" hidden="1">{#N/A,#N/A,FALSE,"3";#N/A,#N/A,FALSE,"5";#N/A,#N/A,FALSE,"6";#N/A,#N/A,FALSE,"8";#N/A,#N/A,FALSE,"10";#N/A,#N/A,FALSE,"13";#N/A,#N/A,FALSE,"14";#N/A,#N/A,FALSE,"15";#N/A,#N/A,FALSE,"16"}</definedName>
    <definedName name="gcb" localSheetId="6" hidden="1">{#N/A,#N/A,FALSE,"3";#N/A,#N/A,FALSE,"5";#N/A,#N/A,FALSE,"6";#N/A,#N/A,FALSE,"8";#N/A,#N/A,FALSE,"10";#N/A,#N/A,FALSE,"13";#N/A,#N/A,FALSE,"14";#N/A,#N/A,FALSE,"15";#N/A,#N/A,FALSE,"16"}</definedName>
    <definedName name="gcb" hidden="1">{#N/A,#N/A,FALSE,"3";#N/A,#N/A,FALSE,"5";#N/A,#N/A,FALSE,"6";#N/A,#N/A,FALSE,"8";#N/A,#N/A,FALSE,"10";#N/A,#N/A,FALSE,"13";#N/A,#N/A,FALSE,"14";#N/A,#N/A,FALSE,"15";#N/A,#N/A,FALSE,"16"}</definedName>
    <definedName name="GDF" localSheetId="1" hidden="1">{#N/A,#N/A,FALSE,"COMP"}</definedName>
    <definedName name="GDFA" localSheetId="30" hidden="1">{#N/A,#N/A,FALSE,"COMP"}</definedName>
    <definedName name="GDFA" localSheetId="31" hidden="1">{#N/A,#N/A,FALSE,"COMP"}</definedName>
    <definedName name="GDFA" localSheetId="32" hidden="1">{#N/A,#N/A,FALSE,"COMP"}</definedName>
    <definedName name="GDFA" localSheetId="10" hidden="1">{#N/A,#N/A,FALSE,"COMP"}</definedName>
    <definedName name="GDFA" localSheetId="1" hidden="1">{#N/A,#N/A,FALSE,"COMP"}</definedName>
    <definedName name="GDFA" localSheetId="6" hidden="1">{#N/A,#N/A,FALSE,"COMP"}</definedName>
    <definedName name="GDFA" hidden="1">{#N/A,#N/A,FALSE,"COMP"}</definedName>
    <definedName name="gdfhgdhdf" localSheetId="30" hidden="1">{#N/A,#N/A,FALSE,"3";#N/A,#N/A,FALSE,"5";#N/A,#N/A,FALSE,"6";#N/A,#N/A,FALSE,"8";#N/A,#N/A,FALSE,"10";#N/A,#N/A,FALSE,"13";#N/A,#N/A,FALSE,"14";#N/A,#N/A,FALSE,"15";#N/A,#N/A,FALSE,"16"}</definedName>
    <definedName name="gdfhgdhdf" localSheetId="31" hidden="1">{#N/A,#N/A,FALSE,"3";#N/A,#N/A,FALSE,"5";#N/A,#N/A,FALSE,"6";#N/A,#N/A,FALSE,"8";#N/A,#N/A,FALSE,"10";#N/A,#N/A,FALSE,"13";#N/A,#N/A,FALSE,"14";#N/A,#N/A,FALSE,"15";#N/A,#N/A,FALSE,"16"}</definedName>
    <definedName name="gdfhgdhdf" localSheetId="32" hidden="1">{#N/A,#N/A,FALSE,"3";#N/A,#N/A,FALSE,"5";#N/A,#N/A,FALSE,"6";#N/A,#N/A,FALSE,"8";#N/A,#N/A,FALSE,"10";#N/A,#N/A,FALSE,"13";#N/A,#N/A,FALSE,"14";#N/A,#N/A,FALSE,"15";#N/A,#N/A,FALSE,"16"}</definedName>
    <definedName name="gdfhgdhdf" localSheetId="10" hidden="1">{#N/A,#N/A,FALSE,"3";#N/A,#N/A,FALSE,"5";#N/A,#N/A,FALSE,"6";#N/A,#N/A,FALSE,"8";#N/A,#N/A,FALSE,"10";#N/A,#N/A,FALSE,"13";#N/A,#N/A,FALSE,"14";#N/A,#N/A,FALSE,"15";#N/A,#N/A,FALSE,"16"}</definedName>
    <definedName name="gdfhgdhdf" localSheetId="6" hidden="1">{#N/A,#N/A,FALSE,"3";#N/A,#N/A,FALSE,"5";#N/A,#N/A,FALSE,"6";#N/A,#N/A,FALSE,"8";#N/A,#N/A,FALSE,"10";#N/A,#N/A,FALSE,"13";#N/A,#N/A,FALSE,"14";#N/A,#N/A,FALSE,"15";#N/A,#N/A,FALSE,"16"}</definedName>
    <definedName name="gdfhgdhdf" hidden="1">{#N/A,#N/A,FALSE,"3";#N/A,#N/A,FALSE,"5";#N/A,#N/A,FALSE,"6";#N/A,#N/A,FALSE,"8";#N/A,#N/A,FALSE,"10";#N/A,#N/A,FALSE,"13";#N/A,#N/A,FALSE,"14";#N/A,#N/A,FALSE,"15";#N/A,#N/A,FALSE,"16"}</definedName>
    <definedName name="gfdgdfgrdf" localSheetId="30" hidden="1">{#N/A,#N/A,FALSE,"3";#N/A,#N/A,FALSE,"5";#N/A,#N/A,FALSE,"6";#N/A,#N/A,FALSE,"8";#N/A,#N/A,FALSE,"10";#N/A,#N/A,FALSE,"13";#N/A,#N/A,FALSE,"14";#N/A,#N/A,FALSE,"15";#N/A,#N/A,FALSE,"16"}</definedName>
    <definedName name="gfdgdfgrdf" localSheetId="31" hidden="1">{#N/A,#N/A,FALSE,"3";#N/A,#N/A,FALSE,"5";#N/A,#N/A,FALSE,"6";#N/A,#N/A,FALSE,"8";#N/A,#N/A,FALSE,"10";#N/A,#N/A,FALSE,"13";#N/A,#N/A,FALSE,"14";#N/A,#N/A,FALSE,"15";#N/A,#N/A,FALSE,"16"}</definedName>
    <definedName name="gfdgdfgrdf" localSheetId="32" hidden="1">{#N/A,#N/A,FALSE,"3";#N/A,#N/A,FALSE,"5";#N/A,#N/A,FALSE,"6";#N/A,#N/A,FALSE,"8";#N/A,#N/A,FALSE,"10";#N/A,#N/A,FALSE,"13";#N/A,#N/A,FALSE,"14";#N/A,#N/A,FALSE,"15";#N/A,#N/A,FALSE,"16"}</definedName>
    <definedName name="gfdgdfgrdf" localSheetId="10" hidden="1">{#N/A,#N/A,FALSE,"3";#N/A,#N/A,FALSE,"5";#N/A,#N/A,FALSE,"6";#N/A,#N/A,FALSE,"8";#N/A,#N/A,FALSE,"10";#N/A,#N/A,FALSE,"13";#N/A,#N/A,FALSE,"14";#N/A,#N/A,FALSE,"15";#N/A,#N/A,FALSE,"16"}</definedName>
    <definedName name="gfdgdfgrdf" localSheetId="6" hidden="1">{#N/A,#N/A,FALSE,"3";#N/A,#N/A,FALSE,"5";#N/A,#N/A,FALSE,"6";#N/A,#N/A,FALSE,"8";#N/A,#N/A,FALSE,"10";#N/A,#N/A,FALSE,"13";#N/A,#N/A,FALSE,"14";#N/A,#N/A,FALSE,"15";#N/A,#N/A,FALSE,"16"}</definedName>
    <definedName name="gfdgdfgrdf" hidden="1">{#N/A,#N/A,FALSE,"3";#N/A,#N/A,FALSE,"5";#N/A,#N/A,FALSE,"6";#N/A,#N/A,FALSE,"8";#N/A,#N/A,FALSE,"10";#N/A,#N/A,FALSE,"13";#N/A,#N/A,FALSE,"14";#N/A,#N/A,FALSE,"15";#N/A,#N/A,FALSE,"16"}</definedName>
    <definedName name="gfdsg" localSheetId="30" hidden="1">{#N/A,#N/A,FALSE,"3";#N/A,#N/A,FALSE,"5";#N/A,#N/A,FALSE,"6";#N/A,#N/A,FALSE,"8";#N/A,#N/A,FALSE,"10";#N/A,#N/A,FALSE,"13";#N/A,#N/A,FALSE,"14";#N/A,#N/A,FALSE,"15";#N/A,#N/A,FALSE,"16"}</definedName>
    <definedName name="gfdsg" localSheetId="31" hidden="1">{#N/A,#N/A,FALSE,"3";#N/A,#N/A,FALSE,"5";#N/A,#N/A,FALSE,"6";#N/A,#N/A,FALSE,"8";#N/A,#N/A,FALSE,"10";#N/A,#N/A,FALSE,"13";#N/A,#N/A,FALSE,"14";#N/A,#N/A,FALSE,"15";#N/A,#N/A,FALSE,"16"}</definedName>
    <definedName name="gfdsg" localSheetId="32" hidden="1">{#N/A,#N/A,FALSE,"3";#N/A,#N/A,FALSE,"5";#N/A,#N/A,FALSE,"6";#N/A,#N/A,FALSE,"8";#N/A,#N/A,FALSE,"10";#N/A,#N/A,FALSE,"13";#N/A,#N/A,FALSE,"14";#N/A,#N/A,FALSE,"15";#N/A,#N/A,FALSE,"16"}</definedName>
    <definedName name="gfdsg" localSheetId="10" hidden="1">{#N/A,#N/A,FALSE,"3";#N/A,#N/A,FALSE,"5";#N/A,#N/A,FALSE,"6";#N/A,#N/A,FALSE,"8";#N/A,#N/A,FALSE,"10";#N/A,#N/A,FALSE,"13";#N/A,#N/A,FALSE,"14";#N/A,#N/A,FALSE,"15";#N/A,#N/A,FALSE,"16"}</definedName>
    <definedName name="gfdsg" localSheetId="6" hidden="1">{#N/A,#N/A,FALSE,"3";#N/A,#N/A,FALSE,"5";#N/A,#N/A,FALSE,"6";#N/A,#N/A,FALSE,"8";#N/A,#N/A,FALSE,"10";#N/A,#N/A,FALSE,"13";#N/A,#N/A,FALSE,"14";#N/A,#N/A,FALSE,"15";#N/A,#N/A,FALSE,"16"}</definedName>
    <definedName name="gfdsg" hidden="1">{#N/A,#N/A,FALSE,"3";#N/A,#N/A,FALSE,"5";#N/A,#N/A,FALSE,"6";#N/A,#N/A,FALSE,"8";#N/A,#N/A,FALSE,"10";#N/A,#N/A,FALSE,"13";#N/A,#N/A,FALSE,"14";#N/A,#N/A,FALSE,"15";#N/A,#N/A,FALSE,"16"}</definedName>
    <definedName name="gffdsgfds" localSheetId="30" hidden="1">{#N/A,#N/A,FALSE,"3";#N/A,#N/A,FALSE,"5";#N/A,#N/A,FALSE,"6";#N/A,#N/A,FALSE,"8";#N/A,#N/A,FALSE,"10";#N/A,#N/A,FALSE,"13";#N/A,#N/A,FALSE,"14";#N/A,#N/A,FALSE,"15";#N/A,#N/A,FALSE,"16"}</definedName>
    <definedName name="gffdsgfds" localSheetId="31" hidden="1">{#N/A,#N/A,FALSE,"3";#N/A,#N/A,FALSE,"5";#N/A,#N/A,FALSE,"6";#N/A,#N/A,FALSE,"8";#N/A,#N/A,FALSE,"10";#N/A,#N/A,FALSE,"13";#N/A,#N/A,FALSE,"14";#N/A,#N/A,FALSE,"15";#N/A,#N/A,FALSE,"16"}</definedName>
    <definedName name="gffdsgfds" localSheetId="32" hidden="1">{#N/A,#N/A,FALSE,"3";#N/A,#N/A,FALSE,"5";#N/A,#N/A,FALSE,"6";#N/A,#N/A,FALSE,"8";#N/A,#N/A,FALSE,"10";#N/A,#N/A,FALSE,"13";#N/A,#N/A,FALSE,"14";#N/A,#N/A,FALSE,"15";#N/A,#N/A,FALSE,"16"}</definedName>
    <definedName name="gffdsgfds" localSheetId="10" hidden="1">{#N/A,#N/A,FALSE,"3";#N/A,#N/A,FALSE,"5";#N/A,#N/A,FALSE,"6";#N/A,#N/A,FALSE,"8";#N/A,#N/A,FALSE,"10";#N/A,#N/A,FALSE,"13";#N/A,#N/A,FALSE,"14";#N/A,#N/A,FALSE,"15";#N/A,#N/A,FALSE,"16"}</definedName>
    <definedName name="gffdsgfds" localSheetId="6" hidden="1">{#N/A,#N/A,FALSE,"3";#N/A,#N/A,FALSE,"5";#N/A,#N/A,FALSE,"6";#N/A,#N/A,FALSE,"8";#N/A,#N/A,FALSE,"10";#N/A,#N/A,FALSE,"13";#N/A,#N/A,FALSE,"14";#N/A,#N/A,FALSE,"15";#N/A,#N/A,FALSE,"16"}</definedName>
    <definedName name="gffdsgfds" hidden="1">{#N/A,#N/A,FALSE,"3";#N/A,#N/A,FALSE,"5";#N/A,#N/A,FALSE,"6";#N/A,#N/A,FALSE,"8";#N/A,#N/A,FALSE,"10";#N/A,#N/A,FALSE,"13";#N/A,#N/A,FALSE,"14";#N/A,#N/A,FALSE,"15";#N/A,#N/A,FALSE,"16"}</definedName>
    <definedName name="ggggggg" localSheetId="30" hidden="1">{#N/A,#N/A,FALSE,"3";#N/A,#N/A,FALSE,"5";#N/A,#N/A,FALSE,"6";#N/A,#N/A,FALSE,"8";#N/A,#N/A,FALSE,"10";#N/A,#N/A,FALSE,"13";#N/A,#N/A,FALSE,"14";#N/A,#N/A,FALSE,"15";#N/A,#N/A,FALSE,"16"}</definedName>
    <definedName name="ggggggg" localSheetId="31" hidden="1">{#N/A,#N/A,FALSE,"3";#N/A,#N/A,FALSE,"5";#N/A,#N/A,FALSE,"6";#N/A,#N/A,FALSE,"8";#N/A,#N/A,FALSE,"10";#N/A,#N/A,FALSE,"13";#N/A,#N/A,FALSE,"14";#N/A,#N/A,FALSE,"15";#N/A,#N/A,FALSE,"16"}</definedName>
    <definedName name="ggggggg" localSheetId="32" hidden="1">{#N/A,#N/A,FALSE,"3";#N/A,#N/A,FALSE,"5";#N/A,#N/A,FALSE,"6";#N/A,#N/A,FALSE,"8";#N/A,#N/A,FALSE,"10";#N/A,#N/A,FALSE,"13";#N/A,#N/A,FALSE,"14";#N/A,#N/A,FALSE,"15";#N/A,#N/A,FALSE,"16"}</definedName>
    <definedName name="ggggggg" localSheetId="10" hidden="1">{#N/A,#N/A,FALSE,"3";#N/A,#N/A,FALSE,"5";#N/A,#N/A,FALSE,"6";#N/A,#N/A,FALSE,"8";#N/A,#N/A,FALSE,"10";#N/A,#N/A,FALSE,"13";#N/A,#N/A,FALSE,"14";#N/A,#N/A,FALSE,"15";#N/A,#N/A,FALSE,"16"}</definedName>
    <definedName name="ggggggg" localSheetId="6" hidden="1">{#N/A,#N/A,FALSE,"3";#N/A,#N/A,FALSE,"5";#N/A,#N/A,FALSE,"6";#N/A,#N/A,FALSE,"8";#N/A,#N/A,FALSE,"10";#N/A,#N/A,FALSE,"13";#N/A,#N/A,FALSE,"14";#N/A,#N/A,FALSE,"15";#N/A,#N/A,FALSE,"16"}</definedName>
    <definedName name="ggggggg" hidden="1">{#N/A,#N/A,FALSE,"3";#N/A,#N/A,FALSE,"5";#N/A,#N/A,FALSE,"6";#N/A,#N/A,FALSE,"8";#N/A,#N/A,FALSE,"10";#N/A,#N/A,FALSE,"13";#N/A,#N/A,FALSE,"14";#N/A,#N/A,FALSE,"15";#N/A,#N/A,FALSE,"16"}</definedName>
    <definedName name="gghgjj" localSheetId="30" hidden="1">{#N/A,#N/A,FALSE,"KPI-EMM-Graph";#N/A,#N/A,FALSE,"Cost Graph";#N/A,#N/A,FALSE,"Cash graph";#N/A,#N/A,FALSE,"Order Sales Graph"}</definedName>
    <definedName name="gghgjj" localSheetId="31" hidden="1">{#N/A,#N/A,FALSE,"KPI-EMM-Graph";#N/A,#N/A,FALSE,"Cost Graph";#N/A,#N/A,FALSE,"Cash graph";#N/A,#N/A,FALSE,"Order Sales Graph"}</definedName>
    <definedName name="gghgjj" localSheetId="32" hidden="1">{#N/A,#N/A,FALSE,"KPI-EMM-Graph";#N/A,#N/A,FALSE,"Cost Graph";#N/A,#N/A,FALSE,"Cash graph";#N/A,#N/A,FALSE,"Order Sales Graph"}</definedName>
    <definedName name="gghgjj" localSheetId="10" hidden="1">{#N/A,#N/A,FALSE,"KPI-EMM-Graph";#N/A,#N/A,FALSE,"Cost Graph";#N/A,#N/A,FALSE,"Cash graph";#N/A,#N/A,FALSE,"Order Sales Graph"}</definedName>
    <definedName name="gghgjj" localSheetId="6" hidden="1">{#N/A,#N/A,FALSE,"KPI-EMM-Graph";#N/A,#N/A,FALSE,"Cost Graph";#N/A,#N/A,FALSE,"Cash graph";#N/A,#N/A,FALSE,"Order Sales Graph"}</definedName>
    <definedName name="gghgjj" hidden="1">{#N/A,#N/A,FALSE,"KPI-EMM-Graph";#N/A,#N/A,FALSE,"Cost Graph";#N/A,#N/A,FALSE,"Cash graph";#N/A,#N/A,FALSE,"Order Sales Graph"}</definedName>
    <definedName name="ghg" localSheetId="30" hidden="1">{"'Typical Costs Estimates'!$C$158:$H$161"}</definedName>
    <definedName name="ghg" localSheetId="31" hidden="1">{"'Typical Costs Estimates'!$C$158:$H$161"}</definedName>
    <definedName name="ghg" localSheetId="32" hidden="1">{"'Typical Costs Estimates'!$C$158:$H$161"}</definedName>
    <definedName name="ghg" localSheetId="10" hidden="1">{"'Typical Costs Estimates'!$C$158:$H$161"}</definedName>
    <definedName name="ghg" hidden="1">{"'Typical Costs Estimates'!$C$158:$H$161"}</definedName>
    <definedName name="ghikjl" hidden="1">#REF!</definedName>
    <definedName name="ghkggh" localSheetId="30" hidden="1">{#N/A,#N/A,FALSE,"3";#N/A,#N/A,FALSE,"5";#N/A,#N/A,FALSE,"6";#N/A,#N/A,FALSE,"8";#N/A,#N/A,FALSE,"10";#N/A,#N/A,FALSE,"13";#N/A,#N/A,FALSE,"14";#N/A,#N/A,FALSE,"15";#N/A,#N/A,FALSE,"16"}</definedName>
    <definedName name="ghkggh" localSheetId="31" hidden="1">{#N/A,#N/A,FALSE,"3";#N/A,#N/A,FALSE,"5";#N/A,#N/A,FALSE,"6";#N/A,#N/A,FALSE,"8";#N/A,#N/A,FALSE,"10";#N/A,#N/A,FALSE,"13";#N/A,#N/A,FALSE,"14";#N/A,#N/A,FALSE,"15";#N/A,#N/A,FALSE,"16"}</definedName>
    <definedName name="ghkggh" localSheetId="32" hidden="1">{#N/A,#N/A,FALSE,"3";#N/A,#N/A,FALSE,"5";#N/A,#N/A,FALSE,"6";#N/A,#N/A,FALSE,"8";#N/A,#N/A,FALSE,"10";#N/A,#N/A,FALSE,"13";#N/A,#N/A,FALSE,"14";#N/A,#N/A,FALSE,"15";#N/A,#N/A,FALSE,"16"}</definedName>
    <definedName name="ghkggh" localSheetId="10" hidden="1">{#N/A,#N/A,FALSE,"3";#N/A,#N/A,FALSE,"5";#N/A,#N/A,FALSE,"6";#N/A,#N/A,FALSE,"8";#N/A,#N/A,FALSE,"10";#N/A,#N/A,FALSE,"13";#N/A,#N/A,FALSE,"14";#N/A,#N/A,FALSE,"15";#N/A,#N/A,FALSE,"16"}</definedName>
    <definedName name="ghkggh" localSheetId="6" hidden="1">{#N/A,#N/A,FALSE,"3";#N/A,#N/A,FALSE,"5";#N/A,#N/A,FALSE,"6";#N/A,#N/A,FALSE,"8";#N/A,#N/A,FALSE,"10";#N/A,#N/A,FALSE,"13";#N/A,#N/A,FALSE,"14";#N/A,#N/A,FALSE,"15";#N/A,#N/A,FALSE,"16"}</definedName>
    <definedName name="ghkggh" hidden="1">{#N/A,#N/A,FALSE,"3";#N/A,#N/A,FALSE,"5";#N/A,#N/A,FALSE,"6";#N/A,#N/A,FALSE,"8";#N/A,#N/A,FALSE,"10";#N/A,#N/A,FALSE,"13";#N/A,#N/A,FALSE,"14";#N/A,#N/A,FALSE,"15";#N/A,#N/A,FALSE,"16"}</definedName>
    <definedName name="ghkghk" localSheetId="30" hidden="1">{#N/A,#N/A,FALSE,"3";#N/A,#N/A,FALSE,"5";#N/A,#N/A,FALSE,"6";#N/A,#N/A,FALSE,"8";#N/A,#N/A,FALSE,"10";#N/A,#N/A,FALSE,"13";#N/A,#N/A,FALSE,"14";#N/A,#N/A,FALSE,"15";#N/A,#N/A,FALSE,"16"}</definedName>
    <definedName name="ghkghk" localSheetId="31" hidden="1">{#N/A,#N/A,FALSE,"3";#N/A,#N/A,FALSE,"5";#N/A,#N/A,FALSE,"6";#N/A,#N/A,FALSE,"8";#N/A,#N/A,FALSE,"10";#N/A,#N/A,FALSE,"13";#N/A,#N/A,FALSE,"14";#N/A,#N/A,FALSE,"15";#N/A,#N/A,FALSE,"16"}</definedName>
    <definedName name="ghkghk" localSheetId="32" hidden="1">{#N/A,#N/A,FALSE,"3";#N/A,#N/A,FALSE,"5";#N/A,#N/A,FALSE,"6";#N/A,#N/A,FALSE,"8";#N/A,#N/A,FALSE,"10";#N/A,#N/A,FALSE,"13";#N/A,#N/A,FALSE,"14";#N/A,#N/A,FALSE,"15";#N/A,#N/A,FALSE,"16"}</definedName>
    <definedName name="ghkghk" localSheetId="10" hidden="1">{#N/A,#N/A,FALSE,"3";#N/A,#N/A,FALSE,"5";#N/A,#N/A,FALSE,"6";#N/A,#N/A,FALSE,"8";#N/A,#N/A,FALSE,"10";#N/A,#N/A,FALSE,"13";#N/A,#N/A,FALSE,"14";#N/A,#N/A,FALSE,"15";#N/A,#N/A,FALSE,"16"}</definedName>
    <definedName name="ghkghk" localSheetId="6" hidden="1">{#N/A,#N/A,FALSE,"3";#N/A,#N/A,FALSE,"5";#N/A,#N/A,FALSE,"6";#N/A,#N/A,FALSE,"8";#N/A,#N/A,FALSE,"10";#N/A,#N/A,FALSE,"13";#N/A,#N/A,FALSE,"14";#N/A,#N/A,FALSE,"15";#N/A,#N/A,FALSE,"16"}</definedName>
    <definedName name="ghkghk" hidden="1">{#N/A,#N/A,FALSE,"3";#N/A,#N/A,FALSE,"5";#N/A,#N/A,FALSE,"6";#N/A,#N/A,FALSE,"8";#N/A,#N/A,FALSE,"10";#N/A,#N/A,FALSE,"13";#N/A,#N/A,FALSE,"14";#N/A,#N/A,FALSE,"15";#N/A,#N/A,FALSE,"16"}</definedName>
    <definedName name="ghkk" localSheetId="30" hidden="1">{#N/A,#N/A,FALSE,"3";#N/A,#N/A,FALSE,"5";#N/A,#N/A,FALSE,"6";#N/A,#N/A,FALSE,"8";#N/A,#N/A,FALSE,"10";#N/A,#N/A,FALSE,"13";#N/A,#N/A,FALSE,"14";#N/A,#N/A,FALSE,"15";#N/A,#N/A,FALSE,"16"}</definedName>
    <definedName name="ghkk" localSheetId="31" hidden="1">{#N/A,#N/A,FALSE,"3";#N/A,#N/A,FALSE,"5";#N/A,#N/A,FALSE,"6";#N/A,#N/A,FALSE,"8";#N/A,#N/A,FALSE,"10";#N/A,#N/A,FALSE,"13";#N/A,#N/A,FALSE,"14";#N/A,#N/A,FALSE,"15";#N/A,#N/A,FALSE,"16"}</definedName>
    <definedName name="ghkk" localSheetId="32" hidden="1">{#N/A,#N/A,FALSE,"3";#N/A,#N/A,FALSE,"5";#N/A,#N/A,FALSE,"6";#N/A,#N/A,FALSE,"8";#N/A,#N/A,FALSE,"10";#N/A,#N/A,FALSE,"13";#N/A,#N/A,FALSE,"14";#N/A,#N/A,FALSE,"15";#N/A,#N/A,FALSE,"16"}</definedName>
    <definedName name="ghkk" localSheetId="10" hidden="1">{#N/A,#N/A,FALSE,"3";#N/A,#N/A,FALSE,"5";#N/A,#N/A,FALSE,"6";#N/A,#N/A,FALSE,"8";#N/A,#N/A,FALSE,"10";#N/A,#N/A,FALSE,"13";#N/A,#N/A,FALSE,"14";#N/A,#N/A,FALSE,"15";#N/A,#N/A,FALSE,"16"}</definedName>
    <definedName name="ghkk" localSheetId="6" hidden="1">{#N/A,#N/A,FALSE,"3";#N/A,#N/A,FALSE,"5";#N/A,#N/A,FALSE,"6";#N/A,#N/A,FALSE,"8";#N/A,#N/A,FALSE,"10";#N/A,#N/A,FALSE,"13";#N/A,#N/A,FALSE,"14";#N/A,#N/A,FALSE,"15";#N/A,#N/A,FALSE,"16"}</definedName>
    <definedName name="ghkk" hidden="1">{#N/A,#N/A,FALSE,"3";#N/A,#N/A,FALSE,"5";#N/A,#N/A,FALSE,"6";#N/A,#N/A,FALSE,"8";#N/A,#N/A,FALSE,"10";#N/A,#N/A,FALSE,"13";#N/A,#N/A,FALSE,"14";#N/A,#N/A,FALSE,"15";#N/A,#N/A,FALSE,"16"}</definedName>
    <definedName name="ghngfhtfhntf" hidden="1">#REF!</definedName>
    <definedName name="gjygj" localSheetId="30" hidden="1">{#N/A,#N/A,FALSE,"COMP"}</definedName>
    <definedName name="gjygj" localSheetId="31" hidden="1">{#N/A,#N/A,FALSE,"COMP"}</definedName>
    <definedName name="gjygj" localSheetId="32" hidden="1">{#N/A,#N/A,FALSE,"COMP"}</definedName>
    <definedName name="gjygj" localSheetId="10" hidden="1">{#N/A,#N/A,FALSE,"COMP"}</definedName>
    <definedName name="gjygj" localSheetId="1" hidden="1">{#N/A,#N/A,FALSE,"COMP"}</definedName>
    <definedName name="gjygj" localSheetId="6" hidden="1">{#N/A,#N/A,FALSE,"COMP"}</definedName>
    <definedName name="gjygj" hidden="1">{#N/A,#N/A,FALSE,"COMP"}</definedName>
    <definedName name="gkgfkghkffg" localSheetId="30" hidden="1">{#N/A,#N/A,FALSE,"3";#N/A,#N/A,FALSE,"5";#N/A,#N/A,FALSE,"6";#N/A,#N/A,FALSE,"8";#N/A,#N/A,FALSE,"10";#N/A,#N/A,FALSE,"13";#N/A,#N/A,FALSE,"14";#N/A,#N/A,FALSE,"15";#N/A,#N/A,FALSE,"16"}</definedName>
    <definedName name="gkgfkghkffg" localSheetId="31" hidden="1">{#N/A,#N/A,FALSE,"3";#N/A,#N/A,FALSE,"5";#N/A,#N/A,FALSE,"6";#N/A,#N/A,FALSE,"8";#N/A,#N/A,FALSE,"10";#N/A,#N/A,FALSE,"13";#N/A,#N/A,FALSE,"14";#N/A,#N/A,FALSE,"15";#N/A,#N/A,FALSE,"16"}</definedName>
    <definedName name="gkgfkghkffg" localSheetId="32" hidden="1">{#N/A,#N/A,FALSE,"3";#N/A,#N/A,FALSE,"5";#N/A,#N/A,FALSE,"6";#N/A,#N/A,FALSE,"8";#N/A,#N/A,FALSE,"10";#N/A,#N/A,FALSE,"13";#N/A,#N/A,FALSE,"14";#N/A,#N/A,FALSE,"15";#N/A,#N/A,FALSE,"16"}</definedName>
    <definedName name="gkgfkghkffg" localSheetId="10" hidden="1">{#N/A,#N/A,FALSE,"3";#N/A,#N/A,FALSE,"5";#N/A,#N/A,FALSE,"6";#N/A,#N/A,FALSE,"8";#N/A,#N/A,FALSE,"10";#N/A,#N/A,FALSE,"13";#N/A,#N/A,FALSE,"14";#N/A,#N/A,FALSE,"15";#N/A,#N/A,FALSE,"16"}</definedName>
    <definedName name="gkgfkghkffg" localSheetId="6" hidden="1">{#N/A,#N/A,FALSE,"3";#N/A,#N/A,FALSE,"5";#N/A,#N/A,FALSE,"6";#N/A,#N/A,FALSE,"8";#N/A,#N/A,FALSE,"10";#N/A,#N/A,FALSE,"13";#N/A,#N/A,FALSE,"14";#N/A,#N/A,FALSE,"15";#N/A,#N/A,FALSE,"16"}</definedName>
    <definedName name="gkgfkghkffg" hidden="1">{#N/A,#N/A,FALSE,"3";#N/A,#N/A,FALSE,"5";#N/A,#N/A,FALSE,"6";#N/A,#N/A,FALSE,"8";#N/A,#N/A,FALSE,"10";#N/A,#N/A,FALSE,"13";#N/A,#N/A,FALSE,"14";#N/A,#N/A,FALSE,"15";#N/A,#N/A,FALSE,"16"}</definedName>
    <definedName name="gkghk" localSheetId="30" hidden="1">{#N/A,#N/A,FALSE,"3";#N/A,#N/A,FALSE,"5";#N/A,#N/A,FALSE,"6";#N/A,#N/A,FALSE,"8";#N/A,#N/A,FALSE,"10";#N/A,#N/A,FALSE,"13";#N/A,#N/A,FALSE,"14";#N/A,#N/A,FALSE,"15";#N/A,#N/A,FALSE,"16"}</definedName>
    <definedName name="gkghk" localSheetId="31" hidden="1">{#N/A,#N/A,FALSE,"3";#N/A,#N/A,FALSE,"5";#N/A,#N/A,FALSE,"6";#N/A,#N/A,FALSE,"8";#N/A,#N/A,FALSE,"10";#N/A,#N/A,FALSE,"13";#N/A,#N/A,FALSE,"14";#N/A,#N/A,FALSE,"15";#N/A,#N/A,FALSE,"16"}</definedName>
    <definedName name="gkghk" localSheetId="32" hidden="1">{#N/A,#N/A,FALSE,"3";#N/A,#N/A,FALSE,"5";#N/A,#N/A,FALSE,"6";#N/A,#N/A,FALSE,"8";#N/A,#N/A,FALSE,"10";#N/A,#N/A,FALSE,"13";#N/A,#N/A,FALSE,"14";#N/A,#N/A,FALSE,"15";#N/A,#N/A,FALSE,"16"}</definedName>
    <definedName name="gkghk" localSheetId="10" hidden="1">{#N/A,#N/A,FALSE,"3";#N/A,#N/A,FALSE,"5";#N/A,#N/A,FALSE,"6";#N/A,#N/A,FALSE,"8";#N/A,#N/A,FALSE,"10";#N/A,#N/A,FALSE,"13";#N/A,#N/A,FALSE,"14";#N/A,#N/A,FALSE,"15";#N/A,#N/A,FALSE,"16"}</definedName>
    <definedName name="gkghk" localSheetId="6" hidden="1">{#N/A,#N/A,FALSE,"3";#N/A,#N/A,FALSE,"5";#N/A,#N/A,FALSE,"6";#N/A,#N/A,FALSE,"8";#N/A,#N/A,FALSE,"10";#N/A,#N/A,FALSE,"13";#N/A,#N/A,FALSE,"14";#N/A,#N/A,FALSE,"15";#N/A,#N/A,FALSE,"16"}</definedName>
    <definedName name="gkghk" hidden="1">{#N/A,#N/A,FALSE,"3";#N/A,#N/A,FALSE,"5";#N/A,#N/A,FALSE,"6";#N/A,#N/A,FALSE,"8";#N/A,#N/A,FALSE,"10";#N/A,#N/A,FALSE,"13";#N/A,#N/A,FALSE,"14";#N/A,#N/A,FALSE,"15";#N/A,#N/A,FALSE,"16"}</definedName>
    <definedName name="gkghkg" localSheetId="30" hidden="1">{#N/A,#N/A,FALSE,"3";#N/A,#N/A,FALSE,"5";#N/A,#N/A,FALSE,"6";#N/A,#N/A,FALSE,"8";#N/A,#N/A,FALSE,"10";#N/A,#N/A,FALSE,"13";#N/A,#N/A,FALSE,"14";#N/A,#N/A,FALSE,"15";#N/A,#N/A,FALSE,"16"}</definedName>
    <definedName name="gkghkg" localSheetId="31" hidden="1">{#N/A,#N/A,FALSE,"3";#N/A,#N/A,FALSE,"5";#N/A,#N/A,FALSE,"6";#N/A,#N/A,FALSE,"8";#N/A,#N/A,FALSE,"10";#N/A,#N/A,FALSE,"13";#N/A,#N/A,FALSE,"14";#N/A,#N/A,FALSE,"15";#N/A,#N/A,FALSE,"16"}</definedName>
    <definedName name="gkghkg" localSheetId="32" hidden="1">{#N/A,#N/A,FALSE,"3";#N/A,#N/A,FALSE,"5";#N/A,#N/A,FALSE,"6";#N/A,#N/A,FALSE,"8";#N/A,#N/A,FALSE,"10";#N/A,#N/A,FALSE,"13";#N/A,#N/A,FALSE,"14";#N/A,#N/A,FALSE,"15";#N/A,#N/A,FALSE,"16"}</definedName>
    <definedName name="gkghkg" localSheetId="10" hidden="1">{#N/A,#N/A,FALSE,"3";#N/A,#N/A,FALSE,"5";#N/A,#N/A,FALSE,"6";#N/A,#N/A,FALSE,"8";#N/A,#N/A,FALSE,"10";#N/A,#N/A,FALSE,"13";#N/A,#N/A,FALSE,"14";#N/A,#N/A,FALSE,"15";#N/A,#N/A,FALSE,"16"}</definedName>
    <definedName name="gkghkg" localSheetId="6" hidden="1">{#N/A,#N/A,FALSE,"3";#N/A,#N/A,FALSE,"5";#N/A,#N/A,FALSE,"6";#N/A,#N/A,FALSE,"8";#N/A,#N/A,FALSE,"10";#N/A,#N/A,FALSE,"13";#N/A,#N/A,FALSE,"14";#N/A,#N/A,FALSE,"15";#N/A,#N/A,FALSE,"16"}</definedName>
    <definedName name="gkghkg" hidden="1">{#N/A,#N/A,FALSE,"3";#N/A,#N/A,FALSE,"5";#N/A,#N/A,FALSE,"6";#N/A,#N/A,FALSE,"8";#N/A,#N/A,FALSE,"10";#N/A,#N/A,FALSE,"13";#N/A,#N/A,FALSE,"14";#N/A,#N/A,FALSE,"15";#N/A,#N/A,FALSE,"16"}</definedName>
    <definedName name="gkhkgh" localSheetId="30" hidden="1">{#N/A,#N/A,FALSE,"3";#N/A,#N/A,FALSE,"5";#N/A,#N/A,FALSE,"6";#N/A,#N/A,FALSE,"8";#N/A,#N/A,FALSE,"10";#N/A,#N/A,FALSE,"13";#N/A,#N/A,FALSE,"14";#N/A,#N/A,FALSE,"15";#N/A,#N/A,FALSE,"16"}</definedName>
    <definedName name="gkhkgh" localSheetId="31" hidden="1">{#N/A,#N/A,FALSE,"3";#N/A,#N/A,FALSE,"5";#N/A,#N/A,FALSE,"6";#N/A,#N/A,FALSE,"8";#N/A,#N/A,FALSE,"10";#N/A,#N/A,FALSE,"13";#N/A,#N/A,FALSE,"14";#N/A,#N/A,FALSE,"15";#N/A,#N/A,FALSE,"16"}</definedName>
    <definedName name="gkhkgh" localSheetId="32" hidden="1">{#N/A,#N/A,FALSE,"3";#N/A,#N/A,FALSE,"5";#N/A,#N/A,FALSE,"6";#N/A,#N/A,FALSE,"8";#N/A,#N/A,FALSE,"10";#N/A,#N/A,FALSE,"13";#N/A,#N/A,FALSE,"14";#N/A,#N/A,FALSE,"15";#N/A,#N/A,FALSE,"16"}</definedName>
    <definedName name="gkhkgh" localSheetId="10" hidden="1">{#N/A,#N/A,FALSE,"3";#N/A,#N/A,FALSE,"5";#N/A,#N/A,FALSE,"6";#N/A,#N/A,FALSE,"8";#N/A,#N/A,FALSE,"10";#N/A,#N/A,FALSE,"13";#N/A,#N/A,FALSE,"14";#N/A,#N/A,FALSE,"15";#N/A,#N/A,FALSE,"16"}</definedName>
    <definedName name="gkhkgh" localSheetId="6" hidden="1">{#N/A,#N/A,FALSE,"3";#N/A,#N/A,FALSE,"5";#N/A,#N/A,FALSE,"6";#N/A,#N/A,FALSE,"8";#N/A,#N/A,FALSE,"10";#N/A,#N/A,FALSE,"13";#N/A,#N/A,FALSE,"14";#N/A,#N/A,FALSE,"15";#N/A,#N/A,FALSE,"16"}</definedName>
    <definedName name="gkhkgh" hidden="1">{#N/A,#N/A,FALSE,"3";#N/A,#N/A,FALSE,"5";#N/A,#N/A,FALSE,"6";#N/A,#N/A,FALSE,"8";#N/A,#N/A,FALSE,"10";#N/A,#N/A,FALSE,"13";#N/A,#N/A,FALSE,"14";#N/A,#N/A,FALSE,"15";#N/A,#N/A,FALSE,"16"}</definedName>
    <definedName name="gkhkhk" localSheetId="30" hidden="1">{#N/A,#N/A,FALSE,"3";#N/A,#N/A,FALSE,"5";#N/A,#N/A,FALSE,"6";#N/A,#N/A,FALSE,"8";#N/A,#N/A,FALSE,"10";#N/A,#N/A,FALSE,"13";#N/A,#N/A,FALSE,"14";#N/A,#N/A,FALSE,"15";#N/A,#N/A,FALSE,"16"}</definedName>
    <definedName name="gkhkhk" localSheetId="31" hidden="1">{#N/A,#N/A,FALSE,"3";#N/A,#N/A,FALSE,"5";#N/A,#N/A,FALSE,"6";#N/A,#N/A,FALSE,"8";#N/A,#N/A,FALSE,"10";#N/A,#N/A,FALSE,"13";#N/A,#N/A,FALSE,"14";#N/A,#N/A,FALSE,"15";#N/A,#N/A,FALSE,"16"}</definedName>
    <definedName name="gkhkhk" localSheetId="32" hidden="1">{#N/A,#N/A,FALSE,"3";#N/A,#N/A,FALSE,"5";#N/A,#N/A,FALSE,"6";#N/A,#N/A,FALSE,"8";#N/A,#N/A,FALSE,"10";#N/A,#N/A,FALSE,"13";#N/A,#N/A,FALSE,"14";#N/A,#N/A,FALSE,"15";#N/A,#N/A,FALSE,"16"}</definedName>
    <definedName name="gkhkhk" localSheetId="10" hidden="1">{#N/A,#N/A,FALSE,"3";#N/A,#N/A,FALSE,"5";#N/A,#N/A,FALSE,"6";#N/A,#N/A,FALSE,"8";#N/A,#N/A,FALSE,"10";#N/A,#N/A,FALSE,"13";#N/A,#N/A,FALSE,"14";#N/A,#N/A,FALSE,"15";#N/A,#N/A,FALSE,"16"}</definedName>
    <definedName name="gkhkhk" localSheetId="6" hidden="1">{#N/A,#N/A,FALSE,"3";#N/A,#N/A,FALSE,"5";#N/A,#N/A,FALSE,"6";#N/A,#N/A,FALSE,"8";#N/A,#N/A,FALSE,"10";#N/A,#N/A,FALSE,"13";#N/A,#N/A,FALSE,"14";#N/A,#N/A,FALSE,"15";#N/A,#N/A,FALSE,"16"}</definedName>
    <definedName name="gkhkhk" hidden="1">{#N/A,#N/A,FALSE,"3";#N/A,#N/A,FALSE,"5";#N/A,#N/A,FALSE,"6";#N/A,#N/A,FALSE,"8";#N/A,#N/A,FALSE,"10";#N/A,#N/A,FALSE,"13";#N/A,#N/A,FALSE,"14";#N/A,#N/A,FALSE,"15";#N/A,#N/A,FALSE,"16"}</definedName>
    <definedName name="gkjgkgh" localSheetId="30" hidden="1">{#N/A,#N/A,FALSE,"3";#N/A,#N/A,FALSE,"5";#N/A,#N/A,FALSE,"6";#N/A,#N/A,FALSE,"8";#N/A,#N/A,FALSE,"10";#N/A,#N/A,FALSE,"13";#N/A,#N/A,FALSE,"14";#N/A,#N/A,FALSE,"15";#N/A,#N/A,FALSE,"16"}</definedName>
    <definedName name="gkjgkgh" localSheetId="31" hidden="1">{#N/A,#N/A,FALSE,"3";#N/A,#N/A,FALSE,"5";#N/A,#N/A,FALSE,"6";#N/A,#N/A,FALSE,"8";#N/A,#N/A,FALSE,"10";#N/A,#N/A,FALSE,"13";#N/A,#N/A,FALSE,"14";#N/A,#N/A,FALSE,"15";#N/A,#N/A,FALSE,"16"}</definedName>
    <definedName name="gkjgkgh" localSheetId="32" hidden="1">{#N/A,#N/A,FALSE,"3";#N/A,#N/A,FALSE,"5";#N/A,#N/A,FALSE,"6";#N/A,#N/A,FALSE,"8";#N/A,#N/A,FALSE,"10";#N/A,#N/A,FALSE,"13";#N/A,#N/A,FALSE,"14";#N/A,#N/A,FALSE,"15";#N/A,#N/A,FALSE,"16"}</definedName>
    <definedName name="gkjgkgh" localSheetId="10" hidden="1">{#N/A,#N/A,FALSE,"3";#N/A,#N/A,FALSE,"5";#N/A,#N/A,FALSE,"6";#N/A,#N/A,FALSE,"8";#N/A,#N/A,FALSE,"10";#N/A,#N/A,FALSE,"13";#N/A,#N/A,FALSE,"14";#N/A,#N/A,FALSE,"15";#N/A,#N/A,FALSE,"16"}</definedName>
    <definedName name="gkjgkgh" localSheetId="6" hidden="1">{#N/A,#N/A,FALSE,"3";#N/A,#N/A,FALSE,"5";#N/A,#N/A,FALSE,"6";#N/A,#N/A,FALSE,"8";#N/A,#N/A,FALSE,"10";#N/A,#N/A,FALSE,"13";#N/A,#N/A,FALSE,"14";#N/A,#N/A,FALSE,"15";#N/A,#N/A,FALSE,"16"}</definedName>
    <definedName name="gkjgkgh" hidden="1">{#N/A,#N/A,FALSE,"3";#N/A,#N/A,FALSE,"5";#N/A,#N/A,FALSE,"6";#N/A,#N/A,FALSE,"8";#N/A,#N/A,FALSE,"10";#N/A,#N/A,FALSE,"13";#N/A,#N/A,FALSE,"14";#N/A,#N/A,FALSE,"15";#N/A,#N/A,FALSE,"16"}</definedName>
    <definedName name="Grat" localSheetId="30" hidden="1">{#N/A,#N/A,FALSE,"COMP"}</definedName>
    <definedName name="Grat" localSheetId="31" hidden="1">{#N/A,#N/A,FALSE,"COMP"}</definedName>
    <definedName name="Grat" localSheetId="32" hidden="1">{#N/A,#N/A,FALSE,"COMP"}</definedName>
    <definedName name="Grat" localSheetId="10" hidden="1">{#N/A,#N/A,FALSE,"COMP"}</definedName>
    <definedName name="Grat" localSheetId="1" hidden="1">{#N/A,#N/A,FALSE,"COMP"}</definedName>
    <definedName name="Grat" localSheetId="6" hidden="1">{#N/A,#N/A,FALSE,"COMP"}</definedName>
    <definedName name="Grat" hidden="1">{#N/A,#N/A,FALSE,"COMP"}</definedName>
    <definedName name="gsfds" localSheetId="3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3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32"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localSheetId="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t" hidden="1">{"summary",#N/A,FALSE,"2000 vs 1999";"detail",#N/A,FALSE,"2000 vs 1999"}</definedName>
    <definedName name="gy" localSheetId="30" hidden="1">{#N/A,#N/A,TRUE,"Summary";#N/A,#N/A,TRUE,"IS";#N/A,#N/A,TRUE,"Adj";#N/A,#N/A,TRUE,"BS";#N/A,#N/A,TRUE,"CF";#N/A,#N/A,TRUE,"Debt";#N/A,#N/A,TRUE,"IRR"}</definedName>
    <definedName name="gy" localSheetId="31" hidden="1">{#N/A,#N/A,TRUE,"Summary";#N/A,#N/A,TRUE,"IS";#N/A,#N/A,TRUE,"Adj";#N/A,#N/A,TRUE,"BS";#N/A,#N/A,TRUE,"CF";#N/A,#N/A,TRUE,"Debt";#N/A,#N/A,TRUE,"IRR"}</definedName>
    <definedName name="gy" localSheetId="32" hidden="1">{#N/A,#N/A,TRUE,"Summary";#N/A,#N/A,TRUE,"IS";#N/A,#N/A,TRUE,"Adj";#N/A,#N/A,TRUE,"BS";#N/A,#N/A,TRUE,"CF";#N/A,#N/A,TRUE,"Debt";#N/A,#N/A,TRUE,"IRR"}</definedName>
    <definedName name="gy" localSheetId="10" hidden="1">{#N/A,#N/A,TRUE,"Summary";#N/A,#N/A,TRUE,"IS";#N/A,#N/A,TRUE,"Adj";#N/A,#N/A,TRUE,"BS";#N/A,#N/A,TRUE,"CF";#N/A,#N/A,TRUE,"Debt";#N/A,#N/A,TRUE,"IRR"}</definedName>
    <definedName name="gy" localSheetId="1" hidden="1">{#N/A,#N/A,TRUE,"Summary";#N/A,#N/A,TRUE,"IS";#N/A,#N/A,TRUE,"Adj";#N/A,#N/A,TRUE,"BS";#N/A,#N/A,TRUE,"CF";#N/A,#N/A,TRUE,"Debt";#N/A,#N/A,TRUE,"IRR"}</definedName>
    <definedName name="gy" localSheetId="6" hidden="1">{#N/A,#N/A,TRUE,"Summary";#N/A,#N/A,TRUE,"IS";#N/A,#N/A,TRUE,"Adj";#N/A,#N/A,TRUE,"BS";#N/A,#N/A,TRUE,"CF";#N/A,#N/A,TRUE,"Debt";#N/A,#N/A,TRUE,"IRR"}</definedName>
    <definedName name="gy" hidden="1">{#N/A,#N/A,TRUE,"Summary";#N/A,#N/A,TRUE,"IS";#N/A,#N/A,TRUE,"Adj";#N/A,#N/A,TRUE,"BS";#N/A,#N/A,TRUE,"CF";#N/A,#N/A,TRUE,"Debt";#N/A,#N/A,TRUE,"IRR"}</definedName>
    <definedName name="h" hidden="1">{"summary",#N/A,FALSE,"2000 vs 1999";"detail",#N/A,FALSE,"2000 vs 1999"}</definedName>
    <definedName name="hddfhfdhfdh" localSheetId="30" hidden="1">{#N/A,#N/A,FALSE,"3";#N/A,#N/A,FALSE,"5";#N/A,#N/A,FALSE,"6";#N/A,#N/A,FALSE,"8";#N/A,#N/A,FALSE,"10";#N/A,#N/A,FALSE,"13";#N/A,#N/A,FALSE,"14";#N/A,#N/A,FALSE,"15";#N/A,#N/A,FALSE,"16"}</definedName>
    <definedName name="hddfhfdhfdh" localSheetId="31" hidden="1">{#N/A,#N/A,FALSE,"3";#N/A,#N/A,FALSE,"5";#N/A,#N/A,FALSE,"6";#N/A,#N/A,FALSE,"8";#N/A,#N/A,FALSE,"10";#N/A,#N/A,FALSE,"13";#N/A,#N/A,FALSE,"14";#N/A,#N/A,FALSE,"15";#N/A,#N/A,FALSE,"16"}</definedName>
    <definedName name="hddfhfdhfdh" localSheetId="32" hidden="1">{#N/A,#N/A,FALSE,"3";#N/A,#N/A,FALSE,"5";#N/A,#N/A,FALSE,"6";#N/A,#N/A,FALSE,"8";#N/A,#N/A,FALSE,"10";#N/A,#N/A,FALSE,"13";#N/A,#N/A,FALSE,"14";#N/A,#N/A,FALSE,"15";#N/A,#N/A,FALSE,"16"}</definedName>
    <definedName name="hddfhfdhfdh" localSheetId="10" hidden="1">{#N/A,#N/A,FALSE,"3";#N/A,#N/A,FALSE,"5";#N/A,#N/A,FALSE,"6";#N/A,#N/A,FALSE,"8";#N/A,#N/A,FALSE,"10";#N/A,#N/A,FALSE,"13";#N/A,#N/A,FALSE,"14";#N/A,#N/A,FALSE,"15";#N/A,#N/A,FALSE,"16"}</definedName>
    <definedName name="hddfhfdhfdh" localSheetId="6" hidden="1">{#N/A,#N/A,FALSE,"3";#N/A,#N/A,FALSE,"5";#N/A,#N/A,FALSE,"6";#N/A,#N/A,FALSE,"8";#N/A,#N/A,FALSE,"10";#N/A,#N/A,FALSE,"13";#N/A,#N/A,FALSE,"14";#N/A,#N/A,FALSE,"15";#N/A,#N/A,FALSE,"16"}</definedName>
    <definedName name="hddfhfdhfdh" hidden="1">{#N/A,#N/A,FALSE,"3";#N/A,#N/A,FALSE,"5";#N/A,#N/A,FALSE,"6";#N/A,#N/A,FALSE,"8";#N/A,#N/A,FALSE,"10";#N/A,#N/A,FALSE,"13";#N/A,#N/A,FALSE,"14";#N/A,#N/A,FALSE,"15";#N/A,#N/A,FALSE,"16"}</definedName>
    <definedName name="hdfdhdfhdfh" localSheetId="30" hidden="1">{#N/A,#N/A,FALSE,"3";#N/A,#N/A,FALSE,"5";#N/A,#N/A,FALSE,"6";#N/A,#N/A,FALSE,"8";#N/A,#N/A,FALSE,"10";#N/A,#N/A,FALSE,"13";#N/A,#N/A,FALSE,"14";#N/A,#N/A,FALSE,"15";#N/A,#N/A,FALSE,"16"}</definedName>
    <definedName name="hdfdhdfhdfh" localSheetId="31" hidden="1">{#N/A,#N/A,FALSE,"3";#N/A,#N/A,FALSE,"5";#N/A,#N/A,FALSE,"6";#N/A,#N/A,FALSE,"8";#N/A,#N/A,FALSE,"10";#N/A,#N/A,FALSE,"13";#N/A,#N/A,FALSE,"14";#N/A,#N/A,FALSE,"15";#N/A,#N/A,FALSE,"16"}</definedName>
    <definedName name="hdfdhdfhdfh" localSheetId="32" hidden="1">{#N/A,#N/A,FALSE,"3";#N/A,#N/A,FALSE,"5";#N/A,#N/A,FALSE,"6";#N/A,#N/A,FALSE,"8";#N/A,#N/A,FALSE,"10";#N/A,#N/A,FALSE,"13";#N/A,#N/A,FALSE,"14";#N/A,#N/A,FALSE,"15";#N/A,#N/A,FALSE,"16"}</definedName>
    <definedName name="hdfdhdfhdfh" localSheetId="10" hidden="1">{#N/A,#N/A,FALSE,"3";#N/A,#N/A,FALSE,"5";#N/A,#N/A,FALSE,"6";#N/A,#N/A,FALSE,"8";#N/A,#N/A,FALSE,"10";#N/A,#N/A,FALSE,"13";#N/A,#N/A,FALSE,"14";#N/A,#N/A,FALSE,"15";#N/A,#N/A,FALSE,"16"}</definedName>
    <definedName name="hdfdhdfhdfh" localSheetId="6" hidden="1">{#N/A,#N/A,FALSE,"3";#N/A,#N/A,FALSE,"5";#N/A,#N/A,FALSE,"6";#N/A,#N/A,FALSE,"8";#N/A,#N/A,FALSE,"10";#N/A,#N/A,FALSE,"13";#N/A,#N/A,FALSE,"14";#N/A,#N/A,FALSE,"15";#N/A,#N/A,FALSE,"16"}</definedName>
    <definedName name="hdfdhdfhdfh" hidden="1">{#N/A,#N/A,FALSE,"3";#N/A,#N/A,FALSE,"5";#N/A,#N/A,FALSE,"6";#N/A,#N/A,FALSE,"8";#N/A,#N/A,FALSE,"10";#N/A,#N/A,FALSE,"13";#N/A,#N/A,FALSE,"14";#N/A,#N/A,FALSE,"15";#N/A,#N/A,FALSE,"16"}</definedName>
    <definedName name="hdfh" localSheetId="30" hidden="1">{#N/A,#N/A,FALSE,"3";#N/A,#N/A,FALSE,"5";#N/A,#N/A,FALSE,"6";#N/A,#N/A,FALSE,"8";#N/A,#N/A,FALSE,"10";#N/A,#N/A,FALSE,"13";#N/A,#N/A,FALSE,"14";#N/A,#N/A,FALSE,"15";#N/A,#N/A,FALSE,"16"}</definedName>
    <definedName name="hdfh" localSheetId="31" hidden="1">{#N/A,#N/A,FALSE,"3";#N/A,#N/A,FALSE,"5";#N/A,#N/A,FALSE,"6";#N/A,#N/A,FALSE,"8";#N/A,#N/A,FALSE,"10";#N/A,#N/A,FALSE,"13";#N/A,#N/A,FALSE,"14";#N/A,#N/A,FALSE,"15";#N/A,#N/A,FALSE,"16"}</definedName>
    <definedName name="hdfh" localSheetId="32" hidden="1">{#N/A,#N/A,FALSE,"3";#N/A,#N/A,FALSE,"5";#N/A,#N/A,FALSE,"6";#N/A,#N/A,FALSE,"8";#N/A,#N/A,FALSE,"10";#N/A,#N/A,FALSE,"13";#N/A,#N/A,FALSE,"14";#N/A,#N/A,FALSE,"15";#N/A,#N/A,FALSE,"16"}</definedName>
    <definedName name="hdfh" localSheetId="10" hidden="1">{#N/A,#N/A,FALSE,"3";#N/A,#N/A,FALSE,"5";#N/A,#N/A,FALSE,"6";#N/A,#N/A,FALSE,"8";#N/A,#N/A,FALSE,"10";#N/A,#N/A,FALSE,"13";#N/A,#N/A,FALSE,"14";#N/A,#N/A,FALSE,"15";#N/A,#N/A,FALSE,"16"}</definedName>
    <definedName name="hdfh" localSheetId="6" hidden="1">{#N/A,#N/A,FALSE,"3";#N/A,#N/A,FALSE,"5";#N/A,#N/A,FALSE,"6";#N/A,#N/A,FALSE,"8";#N/A,#N/A,FALSE,"10";#N/A,#N/A,FALSE,"13";#N/A,#N/A,FALSE,"14";#N/A,#N/A,FALSE,"15";#N/A,#N/A,FALSE,"16"}</definedName>
    <definedName name="hdfh" hidden="1">{#N/A,#N/A,FALSE,"3";#N/A,#N/A,FALSE,"5";#N/A,#N/A,FALSE,"6";#N/A,#N/A,FALSE,"8";#N/A,#N/A,FALSE,"10";#N/A,#N/A,FALSE,"13";#N/A,#N/A,FALSE,"14";#N/A,#N/A,FALSE,"15";#N/A,#N/A,FALSE,"16"}</definedName>
    <definedName name="hdfhdfh" localSheetId="30" hidden="1">{#N/A,#N/A,FALSE,"3";#N/A,#N/A,FALSE,"5";#N/A,#N/A,FALSE,"6";#N/A,#N/A,FALSE,"8";#N/A,#N/A,FALSE,"10";#N/A,#N/A,FALSE,"13";#N/A,#N/A,FALSE,"14";#N/A,#N/A,FALSE,"15";#N/A,#N/A,FALSE,"16"}</definedName>
    <definedName name="hdfhdfh" localSheetId="31" hidden="1">{#N/A,#N/A,FALSE,"3";#N/A,#N/A,FALSE,"5";#N/A,#N/A,FALSE,"6";#N/A,#N/A,FALSE,"8";#N/A,#N/A,FALSE,"10";#N/A,#N/A,FALSE,"13";#N/A,#N/A,FALSE,"14";#N/A,#N/A,FALSE,"15";#N/A,#N/A,FALSE,"16"}</definedName>
    <definedName name="hdfhdfh" localSheetId="32" hidden="1">{#N/A,#N/A,FALSE,"3";#N/A,#N/A,FALSE,"5";#N/A,#N/A,FALSE,"6";#N/A,#N/A,FALSE,"8";#N/A,#N/A,FALSE,"10";#N/A,#N/A,FALSE,"13";#N/A,#N/A,FALSE,"14";#N/A,#N/A,FALSE,"15";#N/A,#N/A,FALSE,"16"}</definedName>
    <definedName name="hdfhdfh" localSheetId="10" hidden="1">{#N/A,#N/A,FALSE,"3";#N/A,#N/A,FALSE,"5";#N/A,#N/A,FALSE,"6";#N/A,#N/A,FALSE,"8";#N/A,#N/A,FALSE,"10";#N/A,#N/A,FALSE,"13";#N/A,#N/A,FALSE,"14";#N/A,#N/A,FALSE,"15";#N/A,#N/A,FALSE,"16"}</definedName>
    <definedName name="hdfhdfh" localSheetId="6" hidden="1">{#N/A,#N/A,FALSE,"3";#N/A,#N/A,FALSE,"5";#N/A,#N/A,FALSE,"6";#N/A,#N/A,FALSE,"8";#N/A,#N/A,FALSE,"10";#N/A,#N/A,FALSE,"13";#N/A,#N/A,FALSE,"14";#N/A,#N/A,FALSE,"15";#N/A,#N/A,FALSE,"16"}</definedName>
    <definedName name="hdfhdfh" hidden="1">{#N/A,#N/A,FALSE,"3";#N/A,#N/A,FALSE,"5";#N/A,#N/A,FALSE,"6";#N/A,#N/A,FALSE,"8";#N/A,#N/A,FALSE,"10";#N/A,#N/A,FALSE,"13";#N/A,#N/A,FALSE,"14";#N/A,#N/A,FALSE,"15";#N/A,#N/A,FALSE,"16"}</definedName>
    <definedName name="hdfhdfhdf" localSheetId="30" hidden="1">{#N/A,#N/A,FALSE,"3";#N/A,#N/A,FALSE,"5";#N/A,#N/A,FALSE,"6";#N/A,#N/A,FALSE,"8";#N/A,#N/A,FALSE,"10";#N/A,#N/A,FALSE,"13";#N/A,#N/A,FALSE,"14";#N/A,#N/A,FALSE,"15";#N/A,#N/A,FALSE,"16"}</definedName>
    <definedName name="hdfhdfhdf" localSheetId="31" hidden="1">{#N/A,#N/A,FALSE,"3";#N/A,#N/A,FALSE,"5";#N/A,#N/A,FALSE,"6";#N/A,#N/A,FALSE,"8";#N/A,#N/A,FALSE,"10";#N/A,#N/A,FALSE,"13";#N/A,#N/A,FALSE,"14";#N/A,#N/A,FALSE,"15";#N/A,#N/A,FALSE,"16"}</definedName>
    <definedName name="hdfhdfhdf" localSheetId="32" hidden="1">{#N/A,#N/A,FALSE,"3";#N/A,#N/A,FALSE,"5";#N/A,#N/A,FALSE,"6";#N/A,#N/A,FALSE,"8";#N/A,#N/A,FALSE,"10";#N/A,#N/A,FALSE,"13";#N/A,#N/A,FALSE,"14";#N/A,#N/A,FALSE,"15";#N/A,#N/A,FALSE,"16"}</definedName>
    <definedName name="hdfhdfhdf" localSheetId="10" hidden="1">{#N/A,#N/A,FALSE,"3";#N/A,#N/A,FALSE,"5";#N/A,#N/A,FALSE,"6";#N/A,#N/A,FALSE,"8";#N/A,#N/A,FALSE,"10";#N/A,#N/A,FALSE,"13";#N/A,#N/A,FALSE,"14";#N/A,#N/A,FALSE,"15";#N/A,#N/A,FALSE,"16"}</definedName>
    <definedName name="hdfhdfhdf" localSheetId="6" hidden="1">{#N/A,#N/A,FALSE,"3";#N/A,#N/A,FALSE,"5";#N/A,#N/A,FALSE,"6";#N/A,#N/A,FALSE,"8";#N/A,#N/A,FALSE,"10";#N/A,#N/A,FALSE,"13";#N/A,#N/A,FALSE,"14";#N/A,#N/A,FALSE,"15";#N/A,#N/A,FALSE,"16"}</definedName>
    <definedName name="hdfhdfhdf" hidden="1">{#N/A,#N/A,FALSE,"3";#N/A,#N/A,FALSE,"5";#N/A,#N/A,FALSE,"6";#N/A,#N/A,FALSE,"8";#N/A,#N/A,FALSE,"10";#N/A,#N/A,FALSE,"13";#N/A,#N/A,FALSE,"14";#N/A,#N/A,FALSE,"15";#N/A,#N/A,FALSE,"16"}</definedName>
    <definedName name="HDHD" hidden="1">#REF!</definedName>
    <definedName name="hdoihd\" localSheetId="6" hidden="1">#REF!</definedName>
    <definedName name="hdoihd\" hidden="1">#REF!</definedName>
    <definedName name="help" hidden="1">{"Detail analysis",#N/A,FALSE,"Model";"Summary analysis",#N/A,FALSE,"Model";"OCPH analysis",#N/A,FALSE,"Model"}</definedName>
    <definedName name="hf" localSheetId="30" hidden="1">{#N/A,#N/A,FALSE,"3";#N/A,#N/A,FALSE,"5";#N/A,#N/A,FALSE,"6";#N/A,#N/A,FALSE,"8";#N/A,#N/A,FALSE,"10";#N/A,#N/A,FALSE,"13";#N/A,#N/A,FALSE,"14";#N/A,#N/A,FALSE,"15";#N/A,#N/A,FALSE,"16"}</definedName>
    <definedName name="hf" localSheetId="31" hidden="1">{#N/A,#N/A,FALSE,"3";#N/A,#N/A,FALSE,"5";#N/A,#N/A,FALSE,"6";#N/A,#N/A,FALSE,"8";#N/A,#N/A,FALSE,"10";#N/A,#N/A,FALSE,"13";#N/A,#N/A,FALSE,"14";#N/A,#N/A,FALSE,"15";#N/A,#N/A,FALSE,"16"}</definedName>
    <definedName name="hf" localSheetId="32" hidden="1">{#N/A,#N/A,FALSE,"3";#N/A,#N/A,FALSE,"5";#N/A,#N/A,FALSE,"6";#N/A,#N/A,FALSE,"8";#N/A,#N/A,FALSE,"10";#N/A,#N/A,FALSE,"13";#N/A,#N/A,FALSE,"14";#N/A,#N/A,FALSE,"15";#N/A,#N/A,FALSE,"16"}</definedName>
    <definedName name="hf" localSheetId="10" hidden="1">{#N/A,#N/A,FALSE,"3";#N/A,#N/A,FALSE,"5";#N/A,#N/A,FALSE,"6";#N/A,#N/A,FALSE,"8";#N/A,#N/A,FALSE,"10";#N/A,#N/A,FALSE,"13";#N/A,#N/A,FALSE,"14";#N/A,#N/A,FALSE,"15";#N/A,#N/A,FALSE,"16"}</definedName>
    <definedName name="hf" localSheetId="6" hidden="1">{#N/A,#N/A,FALSE,"3";#N/A,#N/A,FALSE,"5";#N/A,#N/A,FALSE,"6";#N/A,#N/A,FALSE,"8";#N/A,#N/A,FALSE,"10";#N/A,#N/A,FALSE,"13";#N/A,#N/A,FALSE,"14";#N/A,#N/A,FALSE,"15";#N/A,#N/A,FALSE,"16"}</definedName>
    <definedName name="hf" hidden="1">{#N/A,#N/A,FALSE,"3";#N/A,#N/A,FALSE,"5";#N/A,#N/A,FALSE,"6";#N/A,#N/A,FALSE,"8";#N/A,#N/A,FALSE,"10";#N/A,#N/A,FALSE,"13";#N/A,#N/A,FALSE,"14";#N/A,#N/A,FALSE,"15";#N/A,#N/A,FALSE,"16"}</definedName>
    <definedName name="hfhfh" localSheetId="30" hidden="1">{#N/A,#N/A,FALSE,"3";#N/A,#N/A,FALSE,"5";#N/A,#N/A,FALSE,"6";#N/A,#N/A,FALSE,"8";#N/A,#N/A,FALSE,"10";#N/A,#N/A,FALSE,"13";#N/A,#N/A,FALSE,"14";#N/A,#N/A,FALSE,"15";#N/A,#N/A,FALSE,"16"}</definedName>
    <definedName name="hfhfh" localSheetId="31" hidden="1">{#N/A,#N/A,FALSE,"3";#N/A,#N/A,FALSE,"5";#N/A,#N/A,FALSE,"6";#N/A,#N/A,FALSE,"8";#N/A,#N/A,FALSE,"10";#N/A,#N/A,FALSE,"13";#N/A,#N/A,FALSE,"14";#N/A,#N/A,FALSE,"15";#N/A,#N/A,FALSE,"16"}</definedName>
    <definedName name="hfhfh" localSheetId="32" hidden="1">{#N/A,#N/A,FALSE,"3";#N/A,#N/A,FALSE,"5";#N/A,#N/A,FALSE,"6";#N/A,#N/A,FALSE,"8";#N/A,#N/A,FALSE,"10";#N/A,#N/A,FALSE,"13";#N/A,#N/A,FALSE,"14";#N/A,#N/A,FALSE,"15";#N/A,#N/A,FALSE,"16"}</definedName>
    <definedName name="hfhfh" localSheetId="10" hidden="1">{#N/A,#N/A,FALSE,"3";#N/A,#N/A,FALSE,"5";#N/A,#N/A,FALSE,"6";#N/A,#N/A,FALSE,"8";#N/A,#N/A,FALSE,"10";#N/A,#N/A,FALSE,"13";#N/A,#N/A,FALSE,"14";#N/A,#N/A,FALSE,"15";#N/A,#N/A,FALSE,"16"}</definedName>
    <definedName name="hfhfh" localSheetId="6" hidden="1">{#N/A,#N/A,FALSE,"3";#N/A,#N/A,FALSE,"5";#N/A,#N/A,FALSE,"6";#N/A,#N/A,FALSE,"8";#N/A,#N/A,FALSE,"10";#N/A,#N/A,FALSE,"13";#N/A,#N/A,FALSE,"14";#N/A,#N/A,FALSE,"15";#N/A,#N/A,FALSE,"16"}</definedName>
    <definedName name="hfhfh" hidden="1">{#N/A,#N/A,FALSE,"3";#N/A,#N/A,FALSE,"5";#N/A,#N/A,FALSE,"6";#N/A,#N/A,FALSE,"8";#N/A,#N/A,FALSE,"10";#N/A,#N/A,FALSE,"13";#N/A,#N/A,FALSE,"14";#N/A,#N/A,FALSE,"15";#N/A,#N/A,FALSE,"16"}</definedName>
    <definedName name="hgfh" localSheetId="30" hidden="1">{#N/A,#N/A,FALSE,"3";#N/A,#N/A,FALSE,"5";#N/A,#N/A,FALSE,"6";#N/A,#N/A,FALSE,"8";#N/A,#N/A,FALSE,"10";#N/A,#N/A,FALSE,"13";#N/A,#N/A,FALSE,"14";#N/A,#N/A,FALSE,"15";#N/A,#N/A,FALSE,"16"}</definedName>
    <definedName name="hgfh" localSheetId="31" hidden="1">{#N/A,#N/A,FALSE,"3";#N/A,#N/A,FALSE,"5";#N/A,#N/A,FALSE,"6";#N/A,#N/A,FALSE,"8";#N/A,#N/A,FALSE,"10";#N/A,#N/A,FALSE,"13";#N/A,#N/A,FALSE,"14";#N/A,#N/A,FALSE,"15";#N/A,#N/A,FALSE,"16"}</definedName>
    <definedName name="hgfh" localSheetId="32" hidden="1">{#N/A,#N/A,FALSE,"3";#N/A,#N/A,FALSE,"5";#N/A,#N/A,FALSE,"6";#N/A,#N/A,FALSE,"8";#N/A,#N/A,FALSE,"10";#N/A,#N/A,FALSE,"13";#N/A,#N/A,FALSE,"14";#N/A,#N/A,FALSE,"15";#N/A,#N/A,FALSE,"16"}</definedName>
    <definedName name="hgfh" localSheetId="10" hidden="1">{#N/A,#N/A,FALSE,"3";#N/A,#N/A,FALSE,"5";#N/A,#N/A,FALSE,"6";#N/A,#N/A,FALSE,"8";#N/A,#N/A,FALSE,"10";#N/A,#N/A,FALSE,"13";#N/A,#N/A,FALSE,"14";#N/A,#N/A,FALSE,"15";#N/A,#N/A,FALSE,"16"}</definedName>
    <definedName name="hgfh" localSheetId="6" hidden="1">{#N/A,#N/A,FALSE,"3";#N/A,#N/A,FALSE,"5";#N/A,#N/A,FALSE,"6";#N/A,#N/A,FALSE,"8";#N/A,#N/A,FALSE,"10";#N/A,#N/A,FALSE,"13";#N/A,#N/A,FALSE,"14";#N/A,#N/A,FALSE,"15";#N/A,#N/A,FALSE,"16"}</definedName>
    <definedName name="hgfh" hidden="1">{#N/A,#N/A,FALSE,"3";#N/A,#N/A,FALSE,"5";#N/A,#N/A,FALSE,"6";#N/A,#N/A,FALSE,"8";#N/A,#N/A,FALSE,"10";#N/A,#N/A,FALSE,"13";#N/A,#N/A,FALSE,"14";#N/A,#N/A,FALSE,"15";#N/A,#N/A,FALSE,"16"}</definedName>
    <definedName name="hgjghjghj" localSheetId="30" hidden="1">{#N/A,#N/A,FALSE,"3";#N/A,#N/A,FALSE,"5";#N/A,#N/A,FALSE,"6";#N/A,#N/A,FALSE,"8";#N/A,#N/A,FALSE,"10";#N/A,#N/A,FALSE,"13";#N/A,#N/A,FALSE,"14";#N/A,#N/A,FALSE,"15";#N/A,#N/A,FALSE,"16"}</definedName>
    <definedName name="hgjghjghj" localSheetId="31" hidden="1">{#N/A,#N/A,FALSE,"3";#N/A,#N/A,FALSE,"5";#N/A,#N/A,FALSE,"6";#N/A,#N/A,FALSE,"8";#N/A,#N/A,FALSE,"10";#N/A,#N/A,FALSE,"13";#N/A,#N/A,FALSE,"14";#N/A,#N/A,FALSE,"15";#N/A,#N/A,FALSE,"16"}</definedName>
    <definedName name="hgjghjghj" localSheetId="32" hidden="1">{#N/A,#N/A,FALSE,"3";#N/A,#N/A,FALSE,"5";#N/A,#N/A,FALSE,"6";#N/A,#N/A,FALSE,"8";#N/A,#N/A,FALSE,"10";#N/A,#N/A,FALSE,"13";#N/A,#N/A,FALSE,"14";#N/A,#N/A,FALSE,"15";#N/A,#N/A,FALSE,"16"}</definedName>
    <definedName name="hgjghjghj" localSheetId="10" hidden="1">{#N/A,#N/A,FALSE,"3";#N/A,#N/A,FALSE,"5";#N/A,#N/A,FALSE,"6";#N/A,#N/A,FALSE,"8";#N/A,#N/A,FALSE,"10";#N/A,#N/A,FALSE,"13";#N/A,#N/A,FALSE,"14";#N/A,#N/A,FALSE,"15";#N/A,#N/A,FALSE,"16"}</definedName>
    <definedName name="hgjghjghj" localSheetId="6" hidden="1">{#N/A,#N/A,FALSE,"3";#N/A,#N/A,FALSE,"5";#N/A,#N/A,FALSE,"6";#N/A,#N/A,FALSE,"8";#N/A,#N/A,FALSE,"10";#N/A,#N/A,FALSE,"13";#N/A,#N/A,FALSE,"14";#N/A,#N/A,FALSE,"15";#N/A,#N/A,FALSE,"16"}</definedName>
    <definedName name="hgjghjghj" hidden="1">{#N/A,#N/A,FALSE,"3";#N/A,#N/A,FALSE,"5";#N/A,#N/A,FALSE,"6";#N/A,#N/A,FALSE,"8";#N/A,#N/A,FALSE,"10";#N/A,#N/A,FALSE,"13";#N/A,#N/A,FALSE,"14";#N/A,#N/A,FALSE,"15";#N/A,#N/A,FALSE,"16"}</definedName>
    <definedName name="hhd" localSheetId="30" hidden="1">{#N/A,#N/A,FALSE,"3";#N/A,#N/A,FALSE,"5";#N/A,#N/A,FALSE,"6";#N/A,#N/A,FALSE,"8";#N/A,#N/A,FALSE,"10";#N/A,#N/A,FALSE,"13";#N/A,#N/A,FALSE,"14";#N/A,#N/A,FALSE,"15";#N/A,#N/A,FALSE,"16"}</definedName>
    <definedName name="hhd" localSheetId="31" hidden="1">{#N/A,#N/A,FALSE,"3";#N/A,#N/A,FALSE,"5";#N/A,#N/A,FALSE,"6";#N/A,#N/A,FALSE,"8";#N/A,#N/A,FALSE,"10";#N/A,#N/A,FALSE,"13";#N/A,#N/A,FALSE,"14";#N/A,#N/A,FALSE,"15";#N/A,#N/A,FALSE,"16"}</definedName>
    <definedName name="hhd" localSheetId="32" hidden="1">{#N/A,#N/A,FALSE,"3";#N/A,#N/A,FALSE,"5";#N/A,#N/A,FALSE,"6";#N/A,#N/A,FALSE,"8";#N/A,#N/A,FALSE,"10";#N/A,#N/A,FALSE,"13";#N/A,#N/A,FALSE,"14";#N/A,#N/A,FALSE,"15";#N/A,#N/A,FALSE,"16"}</definedName>
    <definedName name="hhd" localSheetId="10" hidden="1">{#N/A,#N/A,FALSE,"3";#N/A,#N/A,FALSE,"5";#N/A,#N/A,FALSE,"6";#N/A,#N/A,FALSE,"8";#N/A,#N/A,FALSE,"10";#N/A,#N/A,FALSE,"13";#N/A,#N/A,FALSE,"14";#N/A,#N/A,FALSE,"15";#N/A,#N/A,FALSE,"16"}</definedName>
    <definedName name="hhd" localSheetId="6" hidden="1">{#N/A,#N/A,FALSE,"3";#N/A,#N/A,FALSE,"5";#N/A,#N/A,FALSE,"6";#N/A,#N/A,FALSE,"8";#N/A,#N/A,FALSE,"10";#N/A,#N/A,FALSE,"13";#N/A,#N/A,FALSE,"14";#N/A,#N/A,FALSE,"15";#N/A,#N/A,FALSE,"16"}</definedName>
    <definedName name="hhd" hidden="1">{#N/A,#N/A,FALSE,"3";#N/A,#N/A,FALSE,"5";#N/A,#N/A,FALSE,"6";#N/A,#N/A,FALSE,"8";#N/A,#N/A,FALSE,"10";#N/A,#N/A,FALSE,"13";#N/A,#N/A,FALSE,"14";#N/A,#N/A,FALSE,"15";#N/A,#N/A,FALSE,"16"}</definedName>
    <definedName name="hhfdhdfd" localSheetId="30" hidden="1">{#N/A,#N/A,FALSE,"3";#N/A,#N/A,FALSE,"5";#N/A,#N/A,FALSE,"6";#N/A,#N/A,FALSE,"8";#N/A,#N/A,FALSE,"10";#N/A,#N/A,FALSE,"13";#N/A,#N/A,FALSE,"14";#N/A,#N/A,FALSE,"15";#N/A,#N/A,FALSE,"16"}</definedName>
    <definedName name="hhfdhdfd" localSheetId="31" hidden="1">{#N/A,#N/A,FALSE,"3";#N/A,#N/A,FALSE,"5";#N/A,#N/A,FALSE,"6";#N/A,#N/A,FALSE,"8";#N/A,#N/A,FALSE,"10";#N/A,#N/A,FALSE,"13";#N/A,#N/A,FALSE,"14";#N/A,#N/A,FALSE,"15";#N/A,#N/A,FALSE,"16"}</definedName>
    <definedName name="hhfdhdfd" localSheetId="32" hidden="1">{#N/A,#N/A,FALSE,"3";#N/A,#N/A,FALSE,"5";#N/A,#N/A,FALSE,"6";#N/A,#N/A,FALSE,"8";#N/A,#N/A,FALSE,"10";#N/A,#N/A,FALSE,"13";#N/A,#N/A,FALSE,"14";#N/A,#N/A,FALSE,"15";#N/A,#N/A,FALSE,"16"}</definedName>
    <definedName name="hhfdhdfd" localSheetId="10" hidden="1">{#N/A,#N/A,FALSE,"3";#N/A,#N/A,FALSE,"5";#N/A,#N/A,FALSE,"6";#N/A,#N/A,FALSE,"8";#N/A,#N/A,FALSE,"10";#N/A,#N/A,FALSE,"13";#N/A,#N/A,FALSE,"14";#N/A,#N/A,FALSE,"15";#N/A,#N/A,FALSE,"16"}</definedName>
    <definedName name="hhfdhdfd" localSheetId="6" hidden="1">{#N/A,#N/A,FALSE,"3";#N/A,#N/A,FALSE,"5";#N/A,#N/A,FALSE,"6";#N/A,#N/A,FALSE,"8";#N/A,#N/A,FALSE,"10";#N/A,#N/A,FALSE,"13";#N/A,#N/A,FALSE,"14";#N/A,#N/A,FALSE,"15";#N/A,#N/A,FALSE,"16"}</definedName>
    <definedName name="hhfdhdfd" hidden="1">{#N/A,#N/A,FALSE,"3";#N/A,#N/A,FALSE,"5";#N/A,#N/A,FALSE,"6";#N/A,#N/A,FALSE,"8";#N/A,#N/A,FALSE,"10";#N/A,#N/A,FALSE,"13";#N/A,#N/A,FALSE,"14";#N/A,#N/A,FALSE,"15";#N/A,#N/A,FALSE,"16"}</definedName>
    <definedName name="hhhhhhh" localSheetId="30" hidden="1">{#N/A,#N/A,FALSE,"Graficos    ( 9 )"}</definedName>
    <definedName name="hhhhhhh" localSheetId="31" hidden="1">{#N/A,#N/A,FALSE,"Graficos    ( 9 )"}</definedName>
    <definedName name="hhhhhhh" localSheetId="32" hidden="1">{#N/A,#N/A,FALSE,"Graficos    ( 9 )"}</definedName>
    <definedName name="hhhhhhh" localSheetId="10" hidden="1">{#N/A,#N/A,FALSE,"Graficos    ( 9 )"}</definedName>
    <definedName name="hhhhhhh" localSheetId="6" hidden="1">{#N/A,#N/A,FALSE,"Graficos    ( 9 )"}</definedName>
    <definedName name="hhhhhhh" hidden="1">{#N/A,#N/A,FALSE,"Graficos    ( 9 )"}</definedName>
    <definedName name="hhjgj" localSheetId="30" hidden="1">{#N/A,#N/A,FALSE,"3";#N/A,#N/A,FALSE,"5";#N/A,#N/A,FALSE,"6";#N/A,#N/A,FALSE,"8";#N/A,#N/A,FALSE,"10";#N/A,#N/A,FALSE,"13";#N/A,#N/A,FALSE,"14";#N/A,#N/A,FALSE,"15";#N/A,#N/A,FALSE,"16"}</definedName>
    <definedName name="hhjgj" localSheetId="31" hidden="1">{#N/A,#N/A,FALSE,"3";#N/A,#N/A,FALSE,"5";#N/A,#N/A,FALSE,"6";#N/A,#N/A,FALSE,"8";#N/A,#N/A,FALSE,"10";#N/A,#N/A,FALSE,"13";#N/A,#N/A,FALSE,"14";#N/A,#N/A,FALSE,"15";#N/A,#N/A,FALSE,"16"}</definedName>
    <definedName name="hhjgj" localSheetId="32" hidden="1">{#N/A,#N/A,FALSE,"3";#N/A,#N/A,FALSE,"5";#N/A,#N/A,FALSE,"6";#N/A,#N/A,FALSE,"8";#N/A,#N/A,FALSE,"10";#N/A,#N/A,FALSE,"13";#N/A,#N/A,FALSE,"14";#N/A,#N/A,FALSE,"15";#N/A,#N/A,FALSE,"16"}</definedName>
    <definedName name="hhjgj" localSheetId="10" hidden="1">{#N/A,#N/A,FALSE,"3";#N/A,#N/A,FALSE,"5";#N/A,#N/A,FALSE,"6";#N/A,#N/A,FALSE,"8";#N/A,#N/A,FALSE,"10";#N/A,#N/A,FALSE,"13";#N/A,#N/A,FALSE,"14";#N/A,#N/A,FALSE,"15";#N/A,#N/A,FALSE,"16"}</definedName>
    <definedName name="hhjgj" localSheetId="6" hidden="1">{#N/A,#N/A,FALSE,"3";#N/A,#N/A,FALSE,"5";#N/A,#N/A,FALSE,"6";#N/A,#N/A,FALSE,"8";#N/A,#N/A,FALSE,"10";#N/A,#N/A,FALSE,"13";#N/A,#N/A,FALSE,"14";#N/A,#N/A,FALSE,"15";#N/A,#N/A,FALSE,"16"}</definedName>
    <definedName name="hhjgj" hidden="1">{#N/A,#N/A,FALSE,"3";#N/A,#N/A,FALSE,"5";#N/A,#N/A,FALSE,"6";#N/A,#N/A,FALSE,"8";#N/A,#N/A,FALSE,"10";#N/A,#N/A,FALSE,"13";#N/A,#N/A,FALSE,"14";#N/A,#N/A,FALSE,"15";#N/A,#N/A,FALSE,"16"}</definedName>
    <definedName name="HHKJ" localSheetId="30" hidden="1">{#N/A,#N/A,TRUE,"Cover";#N/A,#N/A,TRUE,"Content";"Orders EMM",#N/A,TRUE,"Order Sales";"project EMM",#N/A,TRUE,"Project Control";"Cash EMM",#N/A,TRUE,"Cash Control";"KPI EMM",#N/A,TRUE,"KPI-EMM";"Empl EMM",#N/A,TRUE,"Employees"}</definedName>
    <definedName name="HHKJ" localSheetId="31" hidden="1">{#N/A,#N/A,TRUE,"Cover";#N/A,#N/A,TRUE,"Content";"Orders EMM",#N/A,TRUE,"Order Sales";"project EMM",#N/A,TRUE,"Project Control";"Cash EMM",#N/A,TRUE,"Cash Control";"KPI EMM",#N/A,TRUE,"KPI-EMM";"Empl EMM",#N/A,TRUE,"Employees"}</definedName>
    <definedName name="HHKJ" localSheetId="32" hidden="1">{#N/A,#N/A,TRUE,"Cover";#N/A,#N/A,TRUE,"Content";"Orders EMM",#N/A,TRUE,"Order Sales";"project EMM",#N/A,TRUE,"Project Control";"Cash EMM",#N/A,TRUE,"Cash Control";"KPI EMM",#N/A,TRUE,"KPI-EMM";"Empl EMM",#N/A,TRUE,"Employees"}</definedName>
    <definedName name="HHKJ" localSheetId="10" hidden="1">{#N/A,#N/A,TRUE,"Cover";#N/A,#N/A,TRUE,"Content";"Orders EMM",#N/A,TRUE,"Order Sales";"project EMM",#N/A,TRUE,"Project Control";"Cash EMM",#N/A,TRUE,"Cash Control";"KPI EMM",#N/A,TRUE,"KPI-EMM";"Empl EMM",#N/A,TRUE,"Employees"}</definedName>
    <definedName name="HHKJ" localSheetId="6" hidden="1">{#N/A,#N/A,TRUE,"Cover";#N/A,#N/A,TRUE,"Content";"Orders EMM",#N/A,TRUE,"Order Sales";"project EMM",#N/A,TRUE,"Project Control";"Cash EMM",#N/A,TRUE,"Cash Control";"KPI EMM",#N/A,TRUE,"KPI-EMM";"Empl EMM",#N/A,TRUE,"Employees"}</definedName>
    <definedName name="HHKJ" hidden="1">{#N/A,#N/A,TRUE,"Cover";#N/A,#N/A,TRUE,"Content";"Orders EMM",#N/A,TRUE,"Order Sales";"project EMM",#N/A,TRUE,"Project Control";"Cash EMM",#N/A,TRUE,"Cash Control";"KPI EMM",#N/A,TRUE,"KPI-EMM";"Empl EMM",#N/A,TRUE,"Employees"}</definedName>
    <definedName name="hi" hidden="1">{"summary",#N/A,FALSE,"2000 vs 1999";"detail",#N/A,FALSE,"2000 vs 1999"}</definedName>
    <definedName name="HiddenRows" localSheetId="1" hidden="1">#REF!</definedName>
    <definedName name="HiddenRows" hidden="1">#REF!</definedName>
    <definedName name="hjghj" localSheetId="30" hidden="1">{"raatios",#N/A,FALSE,"A";"ratios",#N/A,FALSE,"B";"ratios",#N/A,FALSE,"C";"ratios",#N/A,FALSE,"D";"ratios",#N/A,FALSE,"F"}</definedName>
    <definedName name="hjghj" localSheetId="31" hidden="1">{"raatios",#N/A,FALSE,"A";"ratios",#N/A,FALSE,"B";"ratios",#N/A,FALSE,"C";"ratios",#N/A,FALSE,"D";"ratios",#N/A,FALSE,"F"}</definedName>
    <definedName name="hjghj" localSheetId="32" hidden="1">{"raatios",#N/A,FALSE,"A";"ratios",#N/A,FALSE,"B";"ratios",#N/A,FALSE,"C";"ratios",#N/A,FALSE,"D";"ratios",#N/A,FALSE,"F"}</definedName>
    <definedName name="hjghj" localSheetId="10" hidden="1">{"raatios",#N/A,FALSE,"A";"ratios",#N/A,FALSE,"B";"ratios",#N/A,FALSE,"C";"ratios",#N/A,FALSE,"D";"ratios",#N/A,FALSE,"F"}</definedName>
    <definedName name="hjghj" localSheetId="6" hidden="1">{"raatios",#N/A,FALSE,"A";"ratios",#N/A,FALSE,"B";"ratios",#N/A,FALSE,"C";"ratios",#N/A,FALSE,"D";"ratios",#N/A,FALSE,"F"}</definedName>
    <definedName name="hjghj" hidden="1">{"raatios",#N/A,FALSE,"A";"ratios",#N/A,FALSE,"B";"ratios",#N/A,FALSE,"C";"ratios",#N/A,FALSE,"D";"ratios",#N/A,FALSE,"F"}</definedName>
    <definedName name="hjghjghjgh" localSheetId="30" hidden="1">{#N/A,#N/A,FALSE,"3";#N/A,#N/A,FALSE,"5";#N/A,#N/A,FALSE,"6";#N/A,#N/A,FALSE,"8";#N/A,#N/A,FALSE,"10";#N/A,#N/A,FALSE,"13";#N/A,#N/A,FALSE,"14";#N/A,#N/A,FALSE,"15";#N/A,#N/A,FALSE,"16"}</definedName>
    <definedName name="hjghjghjgh" localSheetId="31" hidden="1">{#N/A,#N/A,FALSE,"3";#N/A,#N/A,FALSE,"5";#N/A,#N/A,FALSE,"6";#N/A,#N/A,FALSE,"8";#N/A,#N/A,FALSE,"10";#N/A,#N/A,FALSE,"13";#N/A,#N/A,FALSE,"14";#N/A,#N/A,FALSE,"15";#N/A,#N/A,FALSE,"16"}</definedName>
    <definedName name="hjghjghjgh" localSheetId="32" hidden="1">{#N/A,#N/A,FALSE,"3";#N/A,#N/A,FALSE,"5";#N/A,#N/A,FALSE,"6";#N/A,#N/A,FALSE,"8";#N/A,#N/A,FALSE,"10";#N/A,#N/A,FALSE,"13";#N/A,#N/A,FALSE,"14";#N/A,#N/A,FALSE,"15";#N/A,#N/A,FALSE,"16"}</definedName>
    <definedName name="hjghjghjgh" localSheetId="10" hidden="1">{#N/A,#N/A,FALSE,"3";#N/A,#N/A,FALSE,"5";#N/A,#N/A,FALSE,"6";#N/A,#N/A,FALSE,"8";#N/A,#N/A,FALSE,"10";#N/A,#N/A,FALSE,"13";#N/A,#N/A,FALSE,"14";#N/A,#N/A,FALSE,"15";#N/A,#N/A,FALSE,"16"}</definedName>
    <definedName name="hjghjghjgh" localSheetId="6" hidden="1">{#N/A,#N/A,FALSE,"3";#N/A,#N/A,FALSE,"5";#N/A,#N/A,FALSE,"6";#N/A,#N/A,FALSE,"8";#N/A,#N/A,FALSE,"10";#N/A,#N/A,FALSE,"13";#N/A,#N/A,FALSE,"14";#N/A,#N/A,FALSE,"15";#N/A,#N/A,FALSE,"16"}</definedName>
    <definedName name="hjghjghjgh" hidden="1">{#N/A,#N/A,FALSE,"3";#N/A,#N/A,FALSE,"5";#N/A,#N/A,FALSE,"6";#N/A,#N/A,FALSE,"8";#N/A,#N/A,FALSE,"10";#N/A,#N/A,FALSE,"13";#N/A,#N/A,FALSE,"14";#N/A,#N/A,FALSE,"15";#N/A,#N/A,FALSE,"16"}</definedName>
    <definedName name="hjh" localSheetId="30" hidden="1">{#N/A,#N/A,TRUE,"Cover";#N/A,#N/A,TRUE,"Content";"Orders EMM",#N/A,TRUE,"Order Sales";"project EMM",#N/A,TRUE,"Project Control";"Cash EMM",#N/A,TRUE,"Cash Control";"KPI EMM",#N/A,TRUE,"KPI-EMM";"Empl EMM",#N/A,TRUE,"Employees"}</definedName>
    <definedName name="hjh" localSheetId="31" hidden="1">{#N/A,#N/A,TRUE,"Cover";#N/A,#N/A,TRUE,"Content";"Orders EMM",#N/A,TRUE,"Order Sales";"project EMM",#N/A,TRUE,"Project Control";"Cash EMM",#N/A,TRUE,"Cash Control";"KPI EMM",#N/A,TRUE,"KPI-EMM";"Empl EMM",#N/A,TRUE,"Employees"}</definedName>
    <definedName name="hjh" localSheetId="32" hidden="1">{#N/A,#N/A,TRUE,"Cover";#N/A,#N/A,TRUE,"Content";"Orders EMM",#N/A,TRUE,"Order Sales";"project EMM",#N/A,TRUE,"Project Control";"Cash EMM",#N/A,TRUE,"Cash Control";"KPI EMM",#N/A,TRUE,"KPI-EMM";"Empl EMM",#N/A,TRUE,"Employees"}</definedName>
    <definedName name="hjh" localSheetId="10" hidden="1">{#N/A,#N/A,TRUE,"Cover";#N/A,#N/A,TRUE,"Content";"Orders EMM",#N/A,TRUE,"Order Sales";"project EMM",#N/A,TRUE,"Project Control";"Cash EMM",#N/A,TRUE,"Cash Control";"KPI EMM",#N/A,TRUE,"KPI-EMM";"Empl EMM",#N/A,TRUE,"Employees"}</definedName>
    <definedName name="hjh" localSheetId="6" hidden="1">{#N/A,#N/A,TRUE,"Cover";#N/A,#N/A,TRUE,"Content";"Orders EMM",#N/A,TRUE,"Order Sales";"project EMM",#N/A,TRUE,"Project Control";"Cash EMM",#N/A,TRUE,"Cash Control";"KPI EMM",#N/A,TRUE,"KPI-EMM";"Empl EMM",#N/A,TRUE,"Employees"}</definedName>
    <definedName name="hjh" hidden="1">{#N/A,#N/A,TRUE,"Cover";#N/A,#N/A,TRUE,"Content";"Orders EMM",#N/A,TRUE,"Order Sales";"project EMM",#N/A,TRUE,"Project Control";"Cash EMM",#N/A,TRUE,"Cash Control";"KPI EMM",#N/A,TRUE,"KPI-EMM";"Empl EMM",#N/A,TRUE,"Employees"}</definedName>
    <definedName name="hjhgkj" localSheetId="30" hidden="1">{#N/A,#N/A,FALSE,"3";#N/A,#N/A,FALSE,"5";#N/A,#N/A,FALSE,"6";#N/A,#N/A,FALSE,"8";#N/A,#N/A,FALSE,"10";#N/A,#N/A,FALSE,"13";#N/A,#N/A,FALSE,"14";#N/A,#N/A,FALSE,"15";#N/A,#N/A,FALSE,"16"}</definedName>
    <definedName name="hjhgkj" localSheetId="31" hidden="1">{#N/A,#N/A,FALSE,"3";#N/A,#N/A,FALSE,"5";#N/A,#N/A,FALSE,"6";#N/A,#N/A,FALSE,"8";#N/A,#N/A,FALSE,"10";#N/A,#N/A,FALSE,"13";#N/A,#N/A,FALSE,"14";#N/A,#N/A,FALSE,"15";#N/A,#N/A,FALSE,"16"}</definedName>
    <definedName name="hjhgkj" localSheetId="32" hidden="1">{#N/A,#N/A,FALSE,"3";#N/A,#N/A,FALSE,"5";#N/A,#N/A,FALSE,"6";#N/A,#N/A,FALSE,"8";#N/A,#N/A,FALSE,"10";#N/A,#N/A,FALSE,"13";#N/A,#N/A,FALSE,"14";#N/A,#N/A,FALSE,"15";#N/A,#N/A,FALSE,"16"}</definedName>
    <definedName name="hjhgkj" localSheetId="10" hidden="1">{#N/A,#N/A,FALSE,"3";#N/A,#N/A,FALSE,"5";#N/A,#N/A,FALSE,"6";#N/A,#N/A,FALSE,"8";#N/A,#N/A,FALSE,"10";#N/A,#N/A,FALSE,"13";#N/A,#N/A,FALSE,"14";#N/A,#N/A,FALSE,"15";#N/A,#N/A,FALSE,"16"}</definedName>
    <definedName name="hjhgkj" localSheetId="6" hidden="1">{#N/A,#N/A,FALSE,"3";#N/A,#N/A,FALSE,"5";#N/A,#N/A,FALSE,"6";#N/A,#N/A,FALSE,"8";#N/A,#N/A,FALSE,"10";#N/A,#N/A,FALSE,"13";#N/A,#N/A,FALSE,"14";#N/A,#N/A,FALSE,"15";#N/A,#N/A,FALSE,"16"}</definedName>
    <definedName name="hjhgkj" hidden="1">{#N/A,#N/A,FALSE,"3";#N/A,#N/A,FALSE,"5";#N/A,#N/A,FALSE,"6";#N/A,#N/A,FALSE,"8";#N/A,#N/A,FALSE,"10";#N/A,#N/A,FALSE,"13";#N/A,#N/A,FALSE,"14";#N/A,#N/A,FALSE,"15";#N/A,#N/A,FALSE,"16"}</definedName>
    <definedName name="hjlhjlhjl" localSheetId="30" hidden="1">{#N/A,#N/A,FALSE,"3";#N/A,#N/A,FALSE,"5";#N/A,#N/A,FALSE,"6";#N/A,#N/A,FALSE,"8";#N/A,#N/A,FALSE,"10";#N/A,#N/A,FALSE,"13";#N/A,#N/A,FALSE,"14";#N/A,#N/A,FALSE,"15";#N/A,#N/A,FALSE,"16"}</definedName>
    <definedName name="hjlhjlhjl" localSheetId="31" hidden="1">{#N/A,#N/A,FALSE,"3";#N/A,#N/A,FALSE,"5";#N/A,#N/A,FALSE,"6";#N/A,#N/A,FALSE,"8";#N/A,#N/A,FALSE,"10";#N/A,#N/A,FALSE,"13";#N/A,#N/A,FALSE,"14";#N/A,#N/A,FALSE,"15";#N/A,#N/A,FALSE,"16"}</definedName>
    <definedName name="hjlhjlhjl" localSheetId="32" hidden="1">{#N/A,#N/A,FALSE,"3";#N/A,#N/A,FALSE,"5";#N/A,#N/A,FALSE,"6";#N/A,#N/A,FALSE,"8";#N/A,#N/A,FALSE,"10";#N/A,#N/A,FALSE,"13";#N/A,#N/A,FALSE,"14";#N/A,#N/A,FALSE,"15";#N/A,#N/A,FALSE,"16"}</definedName>
    <definedName name="hjlhjlhjl" localSheetId="10" hidden="1">{#N/A,#N/A,FALSE,"3";#N/A,#N/A,FALSE,"5";#N/A,#N/A,FALSE,"6";#N/A,#N/A,FALSE,"8";#N/A,#N/A,FALSE,"10";#N/A,#N/A,FALSE,"13";#N/A,#N/A,FALSE,"14";#N/A,#N/A,FALSE,"15";#N/A,#N/A,FALSE,"16"}</definedName>
    <definedName name="hjlhjlhjl" localSheetId="6" hidden="1">{#N/A,#N/A,FALSE,"3";#N/A,#N/A,FALSE,"5";#N/A,#N/A,FALSE,"6";#N/A,#N/A,FALSE,"8";#N/A,#N/A,FALSE,"10";#N/A,#N/A,FALSE,"13";#N/A,#N/A,FALSE,"14";#N/A,#N/A,FALSE,"15";#N/A,#N/A,FALSE,"16"}</definedName>
    <definedName name="hjlhjlhjl" hidden="1">{#N/A,#N/A,FALSE,"3";#N/A,#N/A,FALSE,"5";#N/A,#N/A,FALSE,"6";#N/A,#N/A,FALSE,"8";#N/A,#N/A,FALSE,"10";#N/A,#N/A,FALSE,"13";#N/A,#N/A,FALSE,"14";#N/A,#N/A,FALSE,"15";#N/A,#N/A,FALSE,"16"}</definedName>
    <definedName name="hkh" localSheetId="30" hidden="1">{#N/A,#N/A,FALSE,"3";#N/A,#N/A,FALSE,"5";#N/A,#N/A,FALSE,"6";#N/A,#N/A,FALSE,"8";#N/A,#N/A,FALSE,"10";#N/A,#N/A,FALSE,"13";#N/A,#N/A,FALSE,"14";#N/A,#N/A,FALSE,"15";#N/A,#N/A,FALSE,"16"}</definedName>
    <definedName name="hkh" localSheetId="31" hidden="1">{#N/A,#N/A,FALSE,"3";#N/A,#N/A,FALSE,"5";#N/A,#N/A,FALSE,"6";#N/A,#N/A,FALSE,"8";#N/A,#N/A,FALSE,"10";#N/A,#N/A,FALSE,"13";#N/A,#N/A,FALSE,"14";#N/A,#N/A,FALSE,"15";#N/A,#N/A,FALSE,"16"}</definedName>
    <definedName name="hkh" localSheetId="32" hidden="1">{#N/A,#N/A,FALSE,"3";#N/A,#N/A,FALSE,"5";#N/A,#N/A,FALSE,"6";#N/A,#N/A,FALSE,"8";#N/A,#N/A,FALSE,"10";#N/A,#N/A,FALSE,"13";#N/A,#N/A,FALSE,"14";#N/A,#N/A,FALSE,"15";#N/A,#N/A,FALSE,"16"}</definedName>
    <definedName name="hkh" localSheetId="10" hidden="1">{#N/A,#N/A,FALSE,"3";#N/A,#N/A,FALSE,"5";#N/A,#N/A,FALSE,"6";#N/A,#N/A,FALSE,"8";#N/A,#N/A,FALSE,"10";#N/A,#N/A,FALSE,"13";#N/A,#N/A,FALSE,"14";#N/A,#N/A,FALSE,"15";#N/A,#N/A,FALSE,"16"}</definedName>
    <definedName name="hkh" localSheetId="6" hidden="1">{#N/A,#N/A,FALSE,"3";#N/A,#N/A,FALSE,"5";#N/A,#N/A,FALSE,"6";#N/A,#N/A,FALSE,"8";#N/A,#N/A,FALSE,"10";#N/A,#N/A,FALSE,"13";#N/A,#N/A,FALSE,"14";#N/A,#N/A,FALSE,"15";#N/A,#N/A,FALSE,"16"}</definedName>
    <definedName name="hkh" hidden="1">{#N/A,#N/A,FALSE,"3";#N/A,#N/A,FALSE,"5";#N/A,#N/A,FALSE,"6";#N/A,#N/A,FALSE,"8";#N/A,#N/A,FALSE,"10";#N/A,#N/A,FALSE,"13";#N/A,#N/A,FALSE,"14";#N/A,#N/A,FALSE,"15";#N/A,#N/A,FALSE,"16"}</definedName>
    <definedName name="hkhk" localSheetId="30" hidden="1">{#N/A,#N/A,FALSE,"3";#N/A,#N/A,FALSE,"5";#N/A,#N/A,FALSE,"6";#N/A,#N/A,FALSE,"8";#N/A,#N/A,FALSE,"10";#N/A,#N/A,FALSE,"13";#N/A,#N/A,FALSE,"14";#N/A,#N/A,FALSE,"15";#N/A,#N/A,FALSE,"16"}</definedName>
    <definedName name="hkhk" localSheetId="31" hidden="1">{#N/A,#N/A,FALSE,"3";#N/A,#N/A,FALSE,"5";#N/A,#N/A,FALSE,"6";#N/A,#N/A,FALSE,"8";#N/A,#N/A,FALSE,"10";#N/A,#N/A,FALSE,"13";#N/A,#N/A,FALSE,"14";#N/A,#N/A,FALSE,"15";#N/A,#N/A,FALSE,"16"}</definedName>
    <definedName name="hkhk" localSheetId="32" hidden="1">{#N/A,#N/A,FALSE,"3";#N/A,#N/A,FALSE,"5";#N/A,#N/A,FALSE,"6";#N/A,#N/A,FALSE,"8";#N/A,#N/A,FALSE,"10";#N/A,#N/A,FALSE,"13";#N/A,#N/A,FALSE,"14";#N/A,#N/A,FALSE,"15";#N/A,#N/A,FALSE,"16"}</definedName>
    <definedName name="hkhk" localSheetId="10" hidden="1">{#N/A,#N/A,FALSE,"3";#N/A,#N/A,FALSE,"5";#N/A,#N/A,FALSE,"6";#N/A,#N/A,FALSE,"8";#N/A,#N/A,FALSE,"10";#N/A,#N/A,FALSE,"13";#N/A,#N/A,FALSE,"14";#N/A,#N/A,FALSE,"15";#N/A,#N/A,FALSE,"16"}</definedName>
    <definedName name="hkhk" localSheetId="6" hidden="1">{#N/A,#N/A,FALSE,"3";#N/A,#N/A,FALSE,"5";#N/A,#N/A,FALSE,"6";#N/A,#N/A,FALSE,"8";#N/A,#N/A,FALSE,"10";#N/A,#N/A,FALSE,"13";#N/A,#N/A,FALSE,"14";#N/A,#N/A,FALSE,"15";#N/A,#N/A,FALSE,"16"}</definedName>
    <definedName name="hkhk" hidden="1">{#N/A,#N/A,FALSE,"3";#N/A,#N/A,FALSE,"5";#N/A,#N/A,FALSE,"6";#N/A,#N/A,FALSE,"8";#N/A,#N/A,FALSE,"10";#N/A,#N/A,FALSE,"13";#N/A,#N/A,FALSE,"14";#N/A,#N/A,FALSE,"15";#N/A,#N/A,FALSE,"16"}</definedName>
    <definedName name="hkk" localSheetId="30" hidden="1">{#N/A,#N/A,FALSE,"3";#N/A,#N/A,FALSE,"5";#N/A,#N/A,FALSE,"6";#N/A,#N/A,FALSE,"8";#N/A,#N/A,FALSE,"10";#N/A,#N/A,FALSE,"13";#N/A,#N/A,FALSE,"14";#N/A,#N/A,FALSE,"15";#N/A,#N/A,FALSE,"16"}</definedName>
    <definedName name="hkk" localSheetId="31" hidden="1">{#N/A,#N/A,FALSE,"3";#N/A,#N/A,FALSE,"5";#N/A,#N/A,FALSE,"6";#N/A,#N/A,FALSE,"8";#N/A,#N/A,FALSE,"10";#N/A,#N/A,FALSE,"13";#N/A,#N/A,FALSE,"14";#N/A,#N/A,FALSE,"15";#N/A,#N/A,FALSE,"16"}</definedName>
    <definedName name="hkk" localSheetId="32" hidden="1">{#N/A,#N/A,FALSE,"3";#N/A,#N/A,FALSE,"5";#N/A,#N/A,FALSE,"6";#N/A,#N/A,FALSE,"8";#N/A,#N/A,FALSE,"10";#N/A,#N/A,FALSE,"13";#N/A,#N/A,FALSE,"14";#N/A,#N/A,FALSE,"15";#N/A,#N/A,FALSE,"16"}</definedName>
    <definedName name="hkk" localSheetId="10" hidden="1">{#N/A,#N/A,FALSE,"3";#N/A,#N/A,FALSE,"5";#N/A,#N/A,FALSE,"6";#N/A,#N/A,FALSE,"8";#N/A,#N/A,FALSE,"10";#N/A,#N/A,FALSE,"13";#N/A,#N/A,FALSE,"14";#N/A,#N/A,FALSE,"15";#N/A,#N/A,FALSE,"16"}</definedName>
    <definedName name="hkk" localSheetId="6" hidden="1">{#N/A,#N/A,FALSE,"3";#N/A,#N/A,FALSE,"5";#N/A,#N/A,FALSE,"6";#N/A,#N/A,FALSE,"8";#N/A,#N/A,FALSE,"10";#N/A,#N/A,FALSE,"13";#N/A,#N/A,FALSE,"14";#N/A,#N/A,FALSE,"15";#N/A,#N/A,FALSE,"16"}</definedName>
    <definedName name="hkk" hidden="1">{#N/A,#N/A,FALSE,"3";#N/A,#N/A,FALSE,"5";#N/A,#N/A,FALSE,"6";#N/A,#N/A,FALSE,"8";#N/A,#N/A,FALSE,"10";#N/A,#N/A,FALSE,"13";#N/A,#N/A,FALSE,"14";#N/A,#N/A,FALSE,"15";#N/A,#N/A,FALSE,"16"}</definedName>
    <definedName name="hlh" localSheetId="6" hidden="1">#REF!</definedName>
    <definedName name="hlh" hidden="1">#REF!</definedName>
    <definedName name="hljlhjlhjl" localSheetId="30" hidden="1">{#N/A,#N/A,FALSE,"3";#N/A,#N/A,FALSE,"5";#N/A,#N/A,FALSE,"6";#N/A,#N/A,FALSE,"8";#N/A,#N/A,FALSE,"10";#N/A,#N/A,FALSE,"13";#N/A,#N/A,FALSE,"14";#N/A,#N/A,FALSE,"15";#N/A,#N/A,FALSE,"16"}</definedName>
    <definedName name="hljlhjlhjl" localSheetId="31" hidden="1">{#N/A,#N/A,FALSE,"3";#N/A,#N/A,FALSE,"5";#N/A,#N/A,FALSE,"6";#N/A,#N/A,FALSE,"8";#N/A,#N/A,FALSE,"10";#N/A,#N/A,FALSE,"13";#N/A,#N/A,FALSE,"14";#N/A,#N/A,FALSE,"15";#N/A,#N/A,FALSE,"16"}</definedName>
    <definedName name="hljlhjlhjl" localSheetId="32" hidden="1">{#N/A,#N/A,FALSE,"3";#N/A,#N/A,FALSE,"5";#N/A,#N/A,FALSE,"6";#N/A,#N/A,FALSE,"8";#N/A,#N/A,FALSE,"10";#N/A,#N/A,FALSE,"13";#N/A,#N/A,FALSE,"14";#N/A,#N/A,FALSE,"15";#N/A,#N/A,FALSE,"16"}</definedName>
    <definedName name="hljlhjlhjl" localSheetId="10" hidden="1">{#N/A,#N/A,FALSE,"3";#N/A,#N/A,FALSE,"5";#N/A,#N/A,FALSE,"6";#N/A,#N/A,FALSE,"8";#N/A,#N/A,FALSE,"10";#N/A,#N/A,FALSE,"13";#N/A,#N/A,FALSE,"14";#N/A,#N/A,FALSE,"15";#N/A,#N/A,FALSE,"16"}</definedName>
    <definedName name="hljlhjlhjl" localSheetId="6" hidden="1">{#N/A,#N/A,FALSE,"3";#N/A,#N/A,FALSE,"5";#N/A,#N/A,FALSE,"6";#N/A,#N/A,FALSE,"8";#N/A,#N/A,FALSE,"10";#N/A,#N/A,FALSE,"13";#N/A,#N/A,FALSE,"14";#N/A,#N/A,FALSE,"15";#N/A,#N/A,FALSE,"16"}</definedName>
    <definedName name="hljlhjlhjl" hidden="1">{#N/A,#N/A,FALSE,"3";#N/A,#N/A,FALSE,"5";#N/A,#N/A,FALSE,"6";#N/A,#N/A,FALSE,"8";#N/A,#N/A,FALSE,"10";#N/A,#N/A,FALSE,"13";#N/A,#N/A,FALSE,"14";#N/A,#N/A,FALSE,"15";#N/A,#N/A,FALSE,"16"}</definedName>
    <definedName name="HTML_CodePage" hidden="1">1252</definedName>
    <definedName name="HTML_Control" localSheetId="30" hidden="1">{"'Typical Costs Estimates'!$C$158:$H$161"}</definedName>
    <definedName name="HTML_Control" localSheetId="31" hidden="1">{"'Typical Costs Estimates'!$C$158:$H$161"}</definedName>
    <definedName name="HTML_Control" localSheetId="32" hidden="1">{"'Typical Costs Estimates'!$C$158:$H$161"}</definedName>
    <definedName name="HTML_Control" localSheetId="10" hidden="1">{"'Typical Costs Estimates'!$C$158:$H$161"}</definedName>
    <definedName name="HTML_Control" localSheetId="1" hidden="1">{"'Income Statement'!$D$96:$E$101"}</definedName>
    <definedName name="HTML_Control" hidden="1">{"'Typical Costs Estimates'!$C$158:$H$161"}</definedName>
    <definedName name="HTML_Control2" localSheetId="30" hidden="1">{"' calendrier 2000'!$A$1:$Q$38"}</definedName>
    <definedName name="HTML_Control2" localSheetId="31" hidden="1">{"' calendrier 2000'!$A$1:$Q$38"}</definedName>
    <definedName name="HTML_Control2" localSheetId="32" hidden="1">{"' calendrier 2000'!$A$1:$Q$38"}</definedName>
    <definedName name="HTML_Control2" localSheetId="10" hidden="1">{"' calendrier 2000'!$A$1:$Q$38"}</definedName>
    <definedName name="HTML_Control2" localSheetId="6" hidden="1">{"' calendrier 2000'!$A$1:$Q$38"}</definedName>
    <definedName name="HTML_Control2" hidden="1">{"' calendrier 2000'!$A$1:$Q$38"}</definedName>
    <definedName name="HTML_Description" localSheetId="1" hidden="1">"Profit &amp; Loss Account"</definedName>
    <definedName name="HTML_Description" hidden="1">""</definedName>
    <definedName name="HTML_Email" hidden="1">""</definedName>
    <definedName name="HTML_Header" localSheetId="1" hidden="1">"Income Statement"</definedName>
    <definedName name="HTML_Header" localSheetId="3" hidden="1">"Typical Costs Estimates"</definedName>
    <definedName name="HTML_Header" hidden="1">"SUBNETS"</definedName>
    <definedName name="HTML_LastUpdate" localSheetId="1" hidden="1">"6/14/99"</definedName>
    <definedName name="HTML_LastUpdate" localSheetId="3" hidden="1">"8/18/99"</definedName>
    <definedName name="HTML_LastUpdate" hidden="1">"01/25/2000"</definedName>
    <definedName name="HTML_LineAfter" localSheetId="10" hidden="1">TRUE()</definedName>
    <definedName name="HTML_LineAfter" hidden="1">TRUE</definedName>
    <definedName name="HTML_LineBefore" localSheetId="10" hidden="1">FALSE()</definedName>
    <definedName name="HTML_LineBefore" localSheetId="1" hidden="1">TRUE</definedName>
    <definedName name="HTML_LineBefore" localSheetId="3" hidden="1">TRUE</definedName>
    <definedName name="HTML_LineBefore" hidden="1">FALSE</definedName>
    <definedName name="HTML_Name" localSheetId="1" hidden="1">"Prakash Mishra"</definedName>
    <definedName name="HTML_Name" localSheetId="3" hidden="1">"Ajit.S.R"</definedName>
    <definedName name="HTML_Name" hidden="1">"Jerry George"</definedName>
    <definedName name="HTML_OBDlg2" localSheetId="10" hidden="1">TRUE()</definedName>
    <definedName name="HTML_OBDlg2" hidden="1">TRUE</definedName>
    <definedName name="HTML_OBDlg4" localSheetId="10" hidden="1">TRUE()</definedName>
    <definedName name="HTML_OBDlg4" hidden="1">TRUE</definedName>
    <definedName name="HTML_OS" hidden="1">0</definedName>
    <definedName name="HTML_PathFile" localSheetId="1" hidden="1">"D:\Temp\MyHTML.htm"</definedName>
    <definedName name="HTML_PathFile" localSheetId="3" hidden="1">"C:\My Documents\MyHTML.htm"</definedName>
    <definedName name="HTML_PathFile" hidden="1">"C:\WWW\IT\network\subnets.htm"</definedName>
    <definedName name="HTML_Title" localSheetId="1" hidden="1">"Forecast Book2"</definedName>
    <definedName name="HTML_Title" localSheetId="3" hidden="1">"Ecr cost"</definedName>
    <definedName name="HTML_Title" hidden="1">"Subnets"</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2_1" hidden="1">"[poolprices.xls]Sheet1!$A$3:$F$16"</definedName>
    <definedName name="HTML2_10" hidden="1">"robert.schulten@corporate.ge.com"</definedName>
    <definedName name="HTML2_11" hidden="1">1</definedName>
    <definedName name="HTML2_12" hidden="1">"C:\webpage\poolpri2.htm"</definedName>
    <definedName name="HTML2_2" hidden="1">1</definedName>
    <definedName name="HTML2_3" hidden="1">"Consigned Metals Prices"</definedName>
    <definedName name="HTML2_4" hidden="1">"Consigned Metals Prices"</definedName>
    <definedName name="HTML2_5" hidden="1">"(Cents/Lb.)"</definedName>
    <definedName name="HTML2_6" hidden="1">1</definedName>
    <definedName name="HTML2_7" hidden="1">1</definedName>
    <definedName name="HTML2_8" hidden="1">"3/11/97"</definedName>
    <definedName name="HTML2_9" hidden="1">"Robert M. Schulten"</definedName>
    <definedName name="HTML3_1" hidden="1">"[poolprices.xls]Sheet1!$A$3:$F$17"</definedName>
    <definedName name="HTML3_10" hidden="1">"robert.schulten@corporate.ge.com"</definedName>
    <definedName name="HTML3_11" hidden="1">1</definedName>
    <definedName name="HTML3_12" hidden="1">"C:\webpage\MyHTML.htm"</definedName>
    <definedName name="HTML3_2" hidden="1">1</definedName>
    <definedName name="HTML3_3" hidden="1">"Consigned Metals Prices"</definedName>
    <definedName name="HTML3_4" hidden="1">"Consigned Metals Prices"</definedName>
    <definedName name="HTML3_5" hidden="1">"(Cents/lb)"</definedName>
    <definedName name="HTML3_6" hidden="1">-4146</definedName>
    <definedName name="HTML3_7" hidden="1">-4146</definedName>
    <definedName name="HTML3_8" hidden="1">"3/11/97"</definedName>
    <definedName name="HTML3_9" hidden="1">"Robert M. Schulten"</definedName>
    <definedName name="HTMLCount" hidden="1">1</definedName>
    <definedName name="iei" localSheetId="30" hidden="1">{"Inputs",#N/A,FALSE,"Data Reduction";"Outputs",#N/A,FALSE,"Data Reduction";"Cycle Deck Comparison",#N/A,FALSE,"Data Reduction"}</definedName>
    <definedName name="iei" localSheetId="31" hidden="1">{"Inputs",#N/A,FALSE,"Data Reduction";"Outputs",#N/A,FALSE,"Data Reduction";"Cycle Deck Comparison",#N/A,FALSE,"Data Reduction"}</definedName>
    <definedName name="iei" localSheetId="32" hidden="1">{"Inputs",#N/A,FALSE,"Data Reduction";"Outputs",#N/A,FALSE,"Data Reduction";"Cycle Deck Comparison",#N/A,FALSE,"Data Reduction"}</definedName>
    <definedName name="iei" localSheetId="10" hidden="1">{"Inputs",#N/A,FALSE,"Data Reduction";"Outputs",#N/A,FALSE,"Data Reduction";"Cycle Deck Comparison",#N/A,FALSE,"Data Reduction"}</definedName>
    <definedName name="iei" localSheetId="6" hidden="1">{"Inputs",#N/A,FALSE,"Data Reduction";"Outputs",#N/A,FALSE,"Data Reduction";"Cycle Deck Comparison",#N/A,FALSE,"Data Reduction"}</definedName>
    <definedName name="iei" hidden="1">{"Inputs",#N/A,FALSE,"Data Reduction";"Outputs",#N/A,FALSE,"Data Reduction";"Cycle Deck Comparison",#N/A,FALSE,"Data Reduction"}</definedName>
    <definedName name="ines" localSheetId="30" hidden="1">{#N/A,#N/A,FALSE,"3";#N/A,#N/A,FALSE,"5";#N/A,#N/A,FALSE,"6";#N/A,#N/A,FALSE,"8";#N/A,#N/A,FALSE,"10";#N/A,#N/A,FALSE,"13";#N/A,#N/A,FALSE,"14";#N/A,#N/A,FALSE,"15";#N/A,#N/A,FALSE,"16"}</definedName>
    <definedName name="ines" localSheetId="31" hidden="1">{#N/A,#N/A,FALSE,"3";#N/A,#N/A,FALSE,"5";#N/A,#N/A,FALSE,"6";#N/A,#N/A,FALSE,"8";#N/A,#N/A,FALSE,"10";#N/A,#N/A,FALSE,"13";#N/A,#N/A,FALSE,"14";#N/A,#N/A,FALSE,"15";#N/A,#N/A,FALSE,"16"}</definedName>
    <definedName name="ines" localSheetId="32" hidden="1">{#N/A,#N/A,FALSE,"3";#N/A,#N/A,FALSE,"5";#N/A,#N/A,FALSE,"6";#N/A,#N/A,FALSE,"8";#N/A,#N/A,FALSE,"10";#N/A,#N/A,FALSE,"13";#N/A,#N/A,FALSE,"14";#N/A,#N/A,FALSE,"15";#N/A,#N/A,FALSE,"16"}</definedName>
    <definedName name="ines" localSheetId="10" hidden="1">{#N/A,#N/A,FALSE,"3";#N/A,#N/A,FALSE,"5";#N/A,#N/A,FALSE,"6";#N/A,#N/A,FALSE,"8";#N/A,#N/A,FALSE,"10";#N/A,#N/A,FALSE,"13";#N/A,#N/A,FALSE,"14";#N/A,#N/A,FALSE,"15";#N/A,#N/A,FALSE,"16"}</definedName>
    <definedName name="ines" localSheetId="6" hidden="1">{#N/A,#N/A,FALSE,"3";#N/A,#N/A,FALSE,"5";#N/A,#N/A,FALSE,"6";#N/A,#N/A,FALSE,"8";#N/A,#N/A,FALSE,"10";#N/A,#N/A,FALSE,"13";#N/A,#N/A,FALSE,"14";#N/A,#N/A,FALSE,"15";#N/A,#N/A,FALSE,"16"}</definedName>
    <definedName name="ines" hidden="1">{#N/A,#N/A,FALSE,"3";#N/A,#N/A,FALSE,"5";#N/A,#N/A,FALSE,"6";#N/A,#N/A,FALSE,"8";#N/A,#N/A,FALSE,"10";#N/A,#N/A,FALSE,"13";#N/A,#N/A,FALSE,"14";#N/A,#N/A,FALSE,"15";#N/A,#N/A,FALSE,"16"}</definedName>
    <definedName name="Insurance" localSheetId="3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surance" localSheetId="3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surance" localSheetId="3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surance" localSheetId="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surance" localSheetI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surance" localSheetI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suranc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 hidden="1">{"Summary analysis",#N/A,FALSE,"Total";"OCPH analysis",#N/A,FALSE,"Total";"detail analysis",#N/A,FALSE,"Total"}</definedName>
    <definedName name="Inventory" localSheetId="30" hidden="1">{"Summary analysis",#N/A,FALSE,"Total";"OCPH analysis",#N/A,FALSE,"Total";"detail analysis",#N/A,FALSE,"Total"}</definedName>
    <definedName name="Inventory" localSheetId="31" hidden="1">{"Summary analysis",#N/A,FALSE,"Total";"OCPH analysis",#N/A,FALSE,"Total";"detail analysis",#N/A,FALSE,"Total"}</definedName>
    <definedName name="Inventory" localSheetId="32" hidden="1">{"Summary analysis",#N/A,FALSE,"Total";"OCPH analysis",#N/A,FALSE,"Total";"detail analysis",#N/A,FALSE,"Total"}</definedName>
    <definedName name="Inventory" localSheetId="10" hidden="1">{"Summary analysis",#N/A,FALSE,"Total";"OCPH analysis",#N/A,FALSE,"Total";"detail analysis",#N/A,FALSE,"Total"}</definedName>
    <definedName name="Inventory" localSheetId="6" hidden="1">{"Summary analysis",#N/A,FALSE,"Total";"OCPH analysis",#N/A,FALSE,"Total";"detail analysis",#N/A,FALSE,"Total"}</definedName>
    <definedName name="Inventory" hidden="1">{"Summary analysis",#N/A,FALSE,"Total";"OCPH analysis",#N/A,FALSE,"Total";"detail analysis",#N/A,FALSE,"Total"}</definedName>
    <definedName name="Inventory1" localSheetId="30" hidden="1">{"Summary analysis",#N/A,FALSE,"Total";"OCPH analysis",#N/A,FALSE,"Total";"detail analysis",#N/A,FALSE,"Total"}</definedName>
    <definedName name="Inventory1" localSheetId="31" hidden="1">{"Summary analysis",#N/A,FALSE,"Total";"OCPH analysis",#N/A,FALSE,"Total";"detail analysis",#N/A,FALSE,"Total"}</definedName>
    <definedName name="Inventory1" localSheetId="32" hidden="1">{"Summary analysis",#N/A,FALSE,"Total";"OCPH analysis",#N/A,FALSE,"Total";"detail analysis",#N/A,FALSE,"Total"}</definedName>
    <definedName name="Inventory1" localSheetId="10" hidden="1">{"Summary analysis",#N/A,FALSE,"Total";"OCPH analysis",#N/A,FALSE,"Total";"detail analysis",#N/A,FALSE,"Total"}</definedName>
    <definedName name="Inventory1" localSheetId="6" hidden="1">{"Summary analysis",#N/A,FALSE,"Total";"OCPH analysis",#N/A,FALSE,"Total";"detail analysis",#N/A,FALSE,"Total"}</definedName>
    <definedName name="Inventory1" hidden="1">{"Summary analysis",#N/A,FALSE,"Total";"OCPH analysis",#N/A,FALSE,"Total";"detail analysis",#N/A,FALSE,"Total"}</definedName>
    <definedName name="inventory2" localSheetId="30" hidden="1">{"Summary analysis",#N/A,FALSE,"Total";"OCPH analysis",#N/A,FALSE,"Total";"detail analysis",#N/A,FALSE,"Total"}</definedName>
    <definedName name="inventory2" localSheetId="31" hidden="1">{"Summary analysis",#N/A,FALSE,"Total";"OCPH analysis",#N/A,FALSE,"Total";"detail analysis",#N/A,FALSE,"Total"}</definedName>
    <definedName name="inventory2" localSheetId="32" hidden="1">{"Summary analysis",#N/A,FALSE,"Total";"OCPH analysis",#N/A,FALSE,"Total";"detail analysis",#N/A,FALSE,"Total"}</definedName>
    <definedName name="inventory2" localSheetId="10" hidden="1">{"Summary analysis",#N/A,FALSE,"Total";"OCPH analysis",#N/A,FALSE,"Total";"detail analysis",#N/A,FALSE,"Total"}</definedName>
    <definedName name="inventory2" localSheetId="6" hidden="1">{"Summary analysis",#N/A,FALSE,"Total";"OCPH analysis",#N/A,FALSE,"Total";"detail analysis",#N/A,FALSE,"Total"}</definedName>
    <definedName name="inventory2" hidden="1">{"Summary analysis",#N/A,FALSE,"Total";"OCPH analysis",#N/A,FALSE,"Total";"detail analysis",#N/A,FALSE,"Total"}</definedName>
    <definedName name="ioiuoiu" localSheetId="30" hidden="1">{#N/A,#N/A,FALSE,"3";#N/A,#N/A,FALSE,"5";#N/A,#N/A,FALSE,"6";#N/A,#N/A,FALSE,"8";#N/A,#N/A,FALSE,"10";#N/A,#N/A,FALSE,"13";#N/A,#N/A,FALSE,"14";#N/A,#N/A,FALSE,"15";#N/A,#N/A,FALSE,"16"}</definedName>
    <definedName name="ioiuoiu" localSheetId="31" hidden="1">{#N/A,#N/A,FALSE,"3";#N/A,#N/A,FALSE,"5";#N/A,#N/A,FALSE,"6";#N/A,#N/A,FALSE,"8";#N/A,#N/A,FALSE,"10";#N/A,#N/A,FALSE,"13";#N/A,#N/A,FALSE,"14";#N/A,#N/A,FALSE,"15";#N/A,#N/A,FALSE,"16"}</definedName>
    <definedName name="ioiuoiu" localSheetId="32" hidden="1">{#N/A,#N/A,FALSE,"3";#N/A,#N/A,FALSE,"5";#N/A,#N/A,FALSE,"6";#N/A,#N/A,FALSE,"8";#N/A,#N/A,FALSE,"10";#N/A,#N/A,FALSE,"13";#N/A,#N/A,FALSE,"14";#N/A,#N/A,FALSE,"15";#N/A,#N/A,FALSE,"16"}</definedName>
    <definedName name="ioiuoiu" localSheetId="10" hidden="1">{#N/A,#N/A,FALSE,"3";#N/A,#N/A,FALSE,"5";#N/A,#N/A,FALSE,"6";#N/A,#N/A,FALSE,"8";#N/A,#N/A,FALSE,"10";#N/A,#N/A,FALSE,"13";#N/A,#N/A,FALSE,"14";#N/A,#N/A,FALSE,"15";#N/A,#N/A,FALSE,"16"}</definedName>
    <definedName name="ioiuoiu" localSheetId="6" hidden="1">{#N/A,#N/A,FALSE,"3";#N/A,#N/A,FALSE,"5";#N/A,#N/A,FALSE,"6";#N/A,#N/A,FALSE,"8";#N/A,#N/A,FALSE,"10";#N/A,#N/A,FALSE,"13";#N/A,#N/A,FALSE,"14";#N/A,#N/A,FALSE,"15";#N/A,#N/A,FALSE,"16"}</definedName>
    <definedName name="ioiuoiu" hidden="1">{#N/A,#N/A,FALSE,"3";#N/A,#N/A,FALSE,"5";#N/A,#N/A,FALSE,"6";#N/A,#N/A,FALSE,"8";#N/A,#N/A,FALSE,"10";#N/A,#N/A,FALSE,"13";#N/A,#N/A,FALSE,"14";#N/A,#N/A,FALSE,"15";#N/A,#N/A,FALSE,"16"}</definedName>
    <definedName name="ioiuouio" localSheetId="30" hidden="1">{#N/A,#N/A,FALSE,"3";#N/A,#N/A,FALSE,"5";#N/A,#N/A,FALSE,"6";#N/A,#N/A,FALSE,"8";#N/A,#N/A,FALSE,"10";#N/A,#N/A,FALSE,"13";#N/A,#N/A,FALSE,"14";#N/A,#N/A,FALSE,"15";#N/A,#N/A,FALSE,"16"}</definedName>
    <definedName name="ioiuouio" localSheetId="31" hidden="1">{#N/A,#N/A,FALSE,"3";#N/A,#N/A,FALSE,"5";#N/A,#N/A,FALSE,"6";#N/A,#N/A,FALSE,"8";#N/A,#N/A,FALSE,"10";#N/A,#N/A,FALSE,"13";#N/A,#N/A,FALSE,"14";#N/A,#N/A,FALSE,"15";#N/A,#N/A,FALSE,"16"}</definedName>
    <definedName name="ioiuouio" localSheetId="32" hidden="1">{#N/A,#N/A,FALSE,"3";#N/A,#N/A,FALSE,"5";#N/A,#N/A,FALSE,"6";#N/A,#N/A,FALSE,"8";#N/A,#N/A,FALSE,"10";#N/A,#N/A,FALSE,"13";#N/A,#N/A,FALSE,"14";#N/A,#N/A,FALSE,"15";#N/A,#N/A,FALSE,"16"}</definedName>
    <definedName name="ioiuouio" localSheetId="10" hidden="1">{#N/A,#N/A,FALSE,"3";#N/A,#N/A,FALSE,"5";#N/A,#N/A,FALSE,"6";#N/A,#N/A,FALSE,"8";#N/A,#N/A,FALSE,"10";#N/A,#N/A,FALSE,"13";#N/A,#N/A,FALSE,"14";#N/A,#N/A,FALSE,"15";#N/A,#N/A,FALSE,"16"}</definedName>
    <definedName name="ioiuouio" localSheetId="6" hidden="1">{#N/A,#N/A,FALSE,"3";#N/A,#N/A,FALSE,"5";#N/A,#N/A,FALSE,"6";#N/A,#N/A,FALSE,"8";#N/A,#N/A,FALSE,"10";#N/A,#N/A,FALSE,"13";#N/A,#N/A,FALSE,"14";#N/A,#N/A,FALSE,"15";#N/A,#N/A,FALSE,"16"}</definedName>
    <definedName name="ioiuouio" hidden="1">{#N/A,#N/A,FALSE,"3";#N/A,#N/A,FALSE,"5";#N/A,#N/A,FALSE,"6";#N/A,#N/A,FALSE,"8";#N/A,#N/A,FALSE,"10";#N/A,#N/A,FALSE,"13";#N/A,#N/A,FALSE,"14";#N/A,#N/A,FALSE,"15";#N/A,#N/A,FALSE,"16"}</definedName>
    <definedName name="iop" localSheetId="30" hidden="1">{#N/A,#N/A,TRUE,"Summary";#N/A,#N/A,TRUE,"IS";#N/A,#N/A,TRUE,"Adj";#N/A,#N/A,TRUE,"BS";#N/A,#N/A,TRUE,"CF";#N/A,#N/A,TRUE,"Debt";#N/A,#N/A,TRUE,"IRR"}</definedName>
    <definedName name="iop" localSheetId="31" hidden="1">{#N/A,#N/A,TRUE,"Summary";#N/A,#N/A,TRUE,"IS";#N/A,#N/A,TRUE,"Adj";#N/A,#N/A,TRUE,"BS";#N/A,#N/A,TRUE,"CF";#N/A,#N/A,TRUE,"Debt";#N/A,#N/A,TRUE,"IRR"}</definedName>
    <definedName name="iop" localSheetId="32" hidden="1">{#N/A,#N/A,TRUE,"Summary";#N/A,#N/A,TRUE,"IS";#N/A,#N/A,TRUE,"Adj";#N/A,#N/A,TRUE,"BS";#N/A,#N/A,TRUE,"CF";#N/A,#N/A,TRUE,"Debt";#N/A,#N/A,TRUE,"IRR"}</definedName>
    <definedName name="iop" localSheetId="10" hidden="1">{#N/A,#N/A,TRUE,"Summary";#N/A,#N/A,TRUE,"IS";#N/A,#N/A,TRUE,"Adj";#N/A,#N/A,TRUE,"BS";#N/A,#N/A,TRUE,"CF";#N/A,#N/A,TRUE,"Debt";#N/A,#N/A,TRUE,"IRR"}</definedName>
    <definedName name="iop" localSheetId="1" hidden="1">{#N/A,#N/A,TRUE,"Summary";#N/A,#N/A,TRUE,"IS";#N/A,#N/A,TRUE,"Adj";#N/A,#N/A,TRUE,"BS";#N/A,#N/A,TRUE,"CF";#N/A,#N/A,TRUE,"Debt";#N/A,#N/A,TRUE,"IRR"}</definedName>
    <definedName name="iop" localSheetId="6" hidden="1">{#N/A,#N/A,TRUE,"Summary";#N/A,#N/A,TRUE,"IS";#N/A,#N/A,TRUE,"Adj";#N/A,#N/A,TRUE,"BS";#N/A,#N/A,TRUE,"CF";#N/A,#N/A,TRUE,"Debt";#N/A,#N/A,TRUE,"IRR"}</definedName>
    <definedName name="iop" hidden="1">{#N/A,#N/A,TRUE,"Summary";#N/A,#N/A,TRUE,"IS";#N/A,#N/A,TRUE,"Adj";#N/A,#N/A,TRUE,"BS";#N/A,#N/A,TRUE,"CF";#N/A,#N/A,TRUE,"Debt";#N/A,#N/A,TRUE,"IRR"}</definedName>
    <definedName name="iouiuouiooiu" localSheetId="30" hidden="1">{#N/A,#N/A,FALSE,"3";#N/A,#N/A,FALSE,"5";#N/A,#N/A,FALSE,"6";#N/A,#N/A,FALSE,"8";#N/A,#N/A,FALSE,"10";#N/A,#N/A,FALSE,"13";#N/A,#N/A,FALSE,"14";#N/A,#N/A,FALSE,"15";#N/A,#N/A,FALSE,"16"}</definedName>
    <definedName name="iouiuouiooiu" localSheetId="31" hidden="1">{#N/A,#N/A,FALSE,"3";#N/A,#N/A,FALSE,"5";#N/A,#N/A,FALSE,"6";#N/A,#N/A,FALSE,"8";#N/A,#N/A,FALSE,"10";#N/A,#N/A,FALSE,"13";#N/A,#N/A,FALSE,"14";#N/A,#N/A,FALSE,"15";#N/A,#N/A,FALSE,"16"}</definedName>
    <definedName name="iouiuouiooiu" localSheetId="32" hidden="1">{#N/A,#N/A,FALSE,"3";#N/A,#N/A,FALSE,"5";#N/A,#N/A,FALSE,"6";#N/A,#N/A,FALSE,"8";#N/A,#N/A,FALSE,"10";#N/A,#N/A,FALSE,"13";#N/A,#N/A,FALSE,"14";#N/A,#N/A,FALSE,"15";#N/A,#N/A,FALSE,"16"}</definedName>
    <definedName name="iouiuouiooiu" localSheetId="10" hidden="1">{#N/A,#N/A,FALSE,"3";#N/A,#N/A,FALSE,"5";#N/A,#N/A,FALSE,"6";#N/A,#N/A,FALSE,"8";#N/A,#N/A,FALSE,"10";#N/A,#N/A,FALSE,"13";#N/A,#N/A,FALSE,"14";#N/A,#N/A,FALSE,"15";#N/A,#N/A,FALSE,"16"}</definedName>
    <definedName name="iouiuouiooiu" localSheetId="6" hidden="1">{#N/A,#N/A,FALSE,"3";#N/A,#N/A,FALSE,"5";#N/A,#N/A,FALSE,"6";#N/A,#N/A,FALSE,"8";#N/A,#N/A,FALSE,"10";#N/A,#N/A,FALSE,"13";#N/A,#N/A,FALSE,"14";#N/A,#N/A,FALSE,"15";#N/A,#N/A,FALSE,"16"}</definedName>
    <definedName name="iouiuouiooiu" hidden="1">{#N/A,#N/A,FALSE,"3";#N/A,#N/A,FALSE,"5";#N/A,#N/A,FALSE,"6";#N/A,#N/A,FALSE,"8";#N/A,#N/A,FALSE,"10";#N/A,#N/A,FALSE,"13";#N/A,#N/A,FALSE,"14";#N/A,#N/A,FALSE,"15";#N/A,#N/A,FALSE,"16"}</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 hidden="1">"c231"</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"IQ_EBIT_GROWTH_1"</definedName>
    <definedName name="IQ_EBIT_GROWTH_2" hidden="1">"IQ_EBIT_GROWTH_2"</definedName>
    <definedName name="IQ_EBIT_INT" hidden="1">"c360"</definedName>
    <definedName name="IQ_EBIT_MARGIN" hidden="1">"c359"</definedName>
    <definedName name="IQ_EBIT_OVER_IE" hidden="1">"c360"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EST" hidden="1">"c369"</definedName>
    <definedName name="IQ_EBITDA_GROWTH_1" hidden="1">"IQ_EBITDA_GROWTH_1"</definedName>
    <definedName name="IQ_EBITDA_GROWTH_2" hidden="1">"IQ_EBITDA_GROWTH_2"</definedName>
    <definedName name="IQ_EBITDA_HIGH_EST" hidden="1">"c370"</definedName>
    <definedName name="IQ_EBITDA_INT" hidden="1">"c373"</definedName>
    <definedName name="IQ_EBITDA_LOW_EST" hidden="1">"c371"</definedName>
    <definedName name="IQ_EBITDA_MARGIN" hidden="1">"c372"</definedName>
    <definedName name="IQ_EBITDA_NO_EST" hidden="1">"c267"</definedName>
    <definedName name="IQ_EBITDA_NUM_EST" hidden="1">"c374"</definedName>
    <definedName name="IQ_EBITDA_OVER_TOTAL_IE" hidden="1">"c373"</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"c84"</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1" hidden="1">"IQ_EPS_EST_1"</definedName>
    <definedName name="IQ_EPS_HIGH_EST" hidden="1">"c269"</definedName>
    <definedName name="IQ_EPS_LOW_EST" hidden="1">"c270"</definedName>
    <definedName name="IQ_EPS_MEDIAN_EST" hidden="1">"c1661"</definedName>
    <definedName name="IQ_EPS_NO_EST" hidden="1">"c271"</definedName>
    <definedName name="IQ_EPS_NORM" hidden="1">"c1902"</definedName>
    <definedName name="IQ_EPS_NUM_EST" hidden="1">"c271"</definedName>
    <definedName name="IQ_EPS_STDDEV_EST" hidden="1">"c272"</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Q_1YR" hidden="1">"c1641"</definedName>
    <definedName name="IQ_EST_EPS_SURPRISE" hidden="1">"c1635"</definedName>
    <definedName name="IQ_EST_REV_GROWTH_1YR" hidden="1">"c1638"</definedName>
    <definedName name="IQ_EST_REV_GROWTH_2YR" hidden="1">"c1639"</definedName>
    <definedName name="IQ_EST_REV_GROWTH_Q_1YR" hidden="1">"c1640"</definedName>
    <definedName name="IQ_EV_OVER_EMPLOYEE" hidden="1">"c1225"</definedName>
    <definedName name="IQ_EV_OVER_LTM_EBIT" hidden="1">"c1221"</definedName>
    <definedName name="IQ_EV_OVER_LTM_EBITDA" hidden="1">"c1223"</definedName>
    <definedName name="IQ_EV_OVER_LTM_REVENUE" hidden="1">"c1227"</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EDFUNDS_SOLD" hidden="1">"c2256"</definedName>
    <definedName name="IQ_FFO" hidden="1">"c1574"</definedName>
    <definedName name="IQ_FFO_EST" hidden="1">"c418"</definedName>
    <definedName name="IQ_FFO_HIGH_EST" hidden="1">"c419"</definedName>
    <definedName name="IQ_FFO_LOW_EST" hidden="1">"c420"</definedName>
    <definedName name="IQ_FFO_NO_EST" hidden="1">"c276"</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"c619"</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"c1304"</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40984.8419907407</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hidden="1">"c344"</definedName>
    <definedName name="IQ_NET_INC_CF" hidden="1">"c793"</definedName>
    <definedName name="IQ_NET_INC_GROWTH_1" hidden="1">"IQ_NET_INC_GROWTH_1"</definedName>
    <definedName name="IQ_NET_INC_GROWTH_2" hidden="1">"IQ_NET_INC_GROWTH_2"</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WNERSHIP" hidden="1">"c2160"</definedName>
    <definedName name="IQ_PART_TIME" hidden="1">"c1024"</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ICE_OVER_BVPS" hidden="1">"c1026"</definedName>
    <definedName name="IQ_PRICE_OVER_EPS_EST" hidden="1">"IQ_PRICE_OVER_EPS_EST"</definedName>
    <definedName name="IQ_PRICE_OVER_EPS_EST_1" hidden="1">"IQ_PRICE_OVER_EPS_EST_1"</definedName>
    <definedName name="IQ_PRICE_OVER_LTM_EPS" hidden="1">"c1029"</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EST" hidden="1">"IQ_REVENUE_EST"</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NO_EST" hidden="1">"c263"</definedName>
    <definedName name="IQ_REVENUE_NUM_EST" hidden="1">"c1129"</definedName>
    <definedName name="IQ_REVISION_DATE_" hidden="1">39175.3915972222</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"c1204"</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URN" hidden="1">"c2122"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"c1294"</definedName>
    <definedName name="IQ_TOTAL_SPECIAL" hidden="1">"c1618"</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"c18"</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2</definedName>
    <definedName name="IQRBA4" hidden="1">"$BA$5:$BA$9"</definedName>
    <definedName name="IQRBB4" hidden="1">"$BB$5:$BB$9"</definedName>
    <definedName name="itacma7" localSheetId="30" hidden="1">{#N/A,#N/A,FALSE,"USMED 3";#N/A,#N/A,FALSE,"MARCHALLENGER 1";#N/A,#N/A,FALSE,"MARCHALLENGER 2";#N/A,#N/A,FALSE,"MARCHALLENGER 3";#N/A,#N/A,FALSE,"MARCHALLENGER 4"}</definedName>
    <definedName name="itacma7" localSheetId="31" hidden="1">{#N/A,#N/A,FALSE,"USMED 3";#N/A,#N/A,FALSE,"MARCHALLENGER 1";#N/A,#N/A,FALSE,"MARCHALLENGER 2";#N/A,#N/A,FALSE,"MARCHALLENGER 3";#N/A,#N/A,FALSE,"MARCHALLENGER 4"}</definedName>
    <definedName name="itacma7" localSheetId="32" hidden="1">{#N/A,#N/A,FALSE,"USMED 3";#N/A,#N/A,FALSE,"MARCHALLENGER 1";#N/A,#N/A,FALSE,"MARCHALLENGER 2";#N/A,#N/A,FALSE,"MARCHALLENGER 3";#N/A,#N/A,FALSE,"MARCHALLENGER 4"}</definedName>
    <definedName name="itacma7" localSheetId="10" hidden="1">{#N/A,#N/A,FALSE,"USMED 3";#N/A,#N/A,FALSE,"MARCHALLENGER 1";#N/A,#N/A,FALSE,"MARCHALLENGER 2";#N/A,#N/A,FALSE,"MARCHALLENGER 3";#N/A,#N/A,FALSE,"MARCHALLENGER 4"}</definedName>
    <definedName name="itacma7" hidden="1">{#N/A,#N/A,FALSE,"USMED 3";#N/A,#N/A,FALSE,"MARCHALLENGER 1";#N/A,#N/A,FALSE,"MARCHALLENGER 2";#N/A,#N/A,FALSE,"MARCHALLENGER 3";#N/A,#N/A,FALSE,"MARCHALLENGER 4"}</definedName>
    <definedName name="itaemc7" localSheetId="30" hidden="1">{#N/A,#N/A,FALSE,"USMED 3";#N/A,#N/A,FALSE,"MARCHALLENGER 1";#N/A,#N/A,FALSE,"MARCHALLENGER 2";#N/A,#N/A,FALSE,"MARCHALLENGER 3";#N/A,#N/A,FALSE,"MARCHALLENGER 4"}</definedName>
    <definedName name="itaemc7" localSheetId="31" hidden="1">{#N/A,#N/A,FALSE,"USMED 3";#N/A,#N/A,FALSE,"MARCHALLENGER 1";#N/A,#N/A,FALSE,"MARCHALLENGER 2";#N/A,#N/A,FALSE,"MARCHALLENGER 3";#N/A,#N/A,FALSE,"MARCHALLENGER 4"}</definedName>
    <definedName name="itaemc7" localSheetId="32" hidden="1">{#N/A,#N/A,FALSE,"USMED 3";#N/A,#N/A,FALSE,"MARCHALLENGER 1";#N/A,#N/A,FALSE,"MARCHALLENGER 2";#N/A,#N/A,FALSE,"MARCHALLENGER 3";#N/A,#N/A,FALSE,"MARCHALLENGER 4"}</definedName>
    <definedName name="itaemc7" localSheetId="10" hidden="1">{#N/A,#N/A,FALSE,"USMED 3";#N/A,#N/A,FALSE,"MARCHALLENGER 1";#N/A,#N/A,FALSE,"MARCHALLENGER 2";#N/A,#N/A,FALSE,"MARCHALLENGER 3";#N/A,#N/A,FALSE,"MARCHALLENGER 4"}</definedName>
    <definedName name="itaemc7" hidden="1">{#N/A,#N/A,FALSE,"USMED 3";#N/A,#N/A,FALSE,"MARCHALLENGER 1";#N/A,#N/A,FALSE,"MARCHALLENGER 2";#N/A,#N/A,FALSE,"MARCHALLENGER 3";#N/A,#N/A,FALSE,"MARCHALLENGER 4"}</definedName>
    <definedName name="itaemc9" localSheetId="30" hidden="1">{#N/A,#N/A,FALSE,"USMED 3";#N/A,#N/A,FALSE,"MARCHALLENGER 1";#N/A,#N/A,FALSE,"MARCHALLENGER 2";#N/A,#N/A,FALSE,"MARCHALLENGER 3";#N/A,#N/A,FALSE,"MARCHALLENGER 4"}</definedName>
    <definedName name="itaemc9" localSheetId="31" hidden="1">{#N/A,#N/A,FALSE,"USMED 3";#N/A,#N/A,FALSE,"MARCHALLENGER 1";#N/A,#N/A,FALSE,"MARCHALLENGER 2";#N/A,#N/A,FALSE,"MARCHALLENGER 3";#N/A,#N/A,FALSE,"MARCHALLENGER 4"}</definedName>
    <definedName name="itaemc9" localSheetId="32" hidden="1">{#N/A,#N/A,FALSE,"USMED 3";#N/A,#N/A,FALSE,"MARCHALLENGER 1";#N/A,#N/A,FALSE,"MARCHALLENGER 2";#N/A,#N/A,FALSE,"MARCHALLENGER 3";#N/A,#N/A,FALSE,"MARCHALLENGER 4"}</definedName>
    <definedName name="itaemc9" localSheetId="10" hidden="1">{#N/A,#N/A,FALSE,"USMED 3";#N/A,#N/A,FALSE,"MARCHALLENGER 1";#N/A,#N/A,FALSE,"MARCHALLENGER 2";#N/A,#N/A,FALSE,"MARCHALLENGER 3";#N/A,#N/A,FALSE,"MARCHALLENGER 4"}</definedName>
    <definedName name="itaemc9" hidden="1">{#N/A,#N/A,FALSE,"USMED 3";#N/A,#N/A,FALSE,"MARCHALLENGER 1";#N/A,#N/A,FALSE,"MARCHALLENGER 2";#N/A,#N/A,FALSE,"MARCHALLENGER 3";#N/A,#N/A,FALSE,"MARCHALLENGER 4"}</definedName>
    <definedName name="ITAMEMC0" localSheetId="30" hidden="1">{#N/A,#N/A,FALSE,"USMED 3";#N/A,#N/A,FALSE,"MARCHALLENGER 1";#N/A,#N/A,FALSE,"MARCHALLENGER 2";#N/A,#N/A,FALSE,"MARCHALLENGER 3";#N/A,#N/A,FALSE,"MARCHALLENGER 4"}</definedName>
    <definedName name="ITAMEMC0" localSheetId="31" hidden="1">{#N/A,#N/A,FALSE,"USMED 3";#N/A,#N/A,FALSE,"MARCHALLENGER 1";#N/A,#N/A,FALSE,"MARCHALLENGER 2";#N/A,#N/A,FALSE,"MARCHALLENGER 3";#N/A,#N/A,FALSE,"MARCHALLENGER 4"}</definedName>
    <definedName name="ITAMEMC0" localSheetId="32" hidden="1">{#N/A,#N/A,FALSE,"USMED 3";#N/A,#N/A,FALSE,"MARCHALLENGER 1";#N/A,#N/A,FALSE,"MARCHALLENGER 2";#N/A,#N/A,FALSE,"MARCHALLENGER 3";#N/A,#N/A,FALSE,"MARCHALLENGER 4"}</definedName>
    <definedName name="ITAMEMC0" localSheetId="10" hidden="1">{#N/A,#N/A,FALSE,"USMED 3";#N/A,#N/A,FALSE,"MARCHALLENGER 1";#N/A,#N/A,FALSE,"MARCHALLENGER 2";#N/A,#N/A,FALSE,"MARCHALLENGER 3";#N/A,#N/A,FALSE,"MARCHALLENGER 4"}</definedName>
    <definedName name="ITAMEMC0" hidden="1">{#N/A,#N/A,FALSE,"USMED 3";#N/A,#N/A,FALSE,"MARCHALLENGER 1";#N/A,#N/A,FALSE,"MARCHALLENGER 2";#N/A,#N/A,FALSE,"MARCHALLENGER 3";#N/A,#N/A,FALSE,"MARCHALLENGER 4"}</definedName>
    <definedName name="iteamc6" localSheetId="30" hidden="1">{#N/A,#N/A,FALSE,"USMED 3";#N/A,#N/A,FALSE,"MARCHALLENGER 1";#N/A,#N/A,FALSE,"MARCHALLENGER 2";#N/A,#N/A,FALSE,"MARCHALLENGER 3";#N/A,#N/A,FALSE,"MARCHALLENGER 4"}</definedName>
    <definedName name="iteamc6" localSheetId="31" hidden="1">{#N/A,#N/A,FALSE,"USMED 3";#N/A,#N/A,FALSE,"MARCHALLENGER 1";#N/A,#N/A,FALSE,"MARCHALLENGER 2";#N/A,#N/A,FALSE,"MARCHALLENGER 3";#N/A,#N/A,FALSE,"MARCHALLENGER 4"}</definedName>
    <definedName name="iteamc6" localSheetId="32" hidden="1">{#N/A,#N/A,FALSE,"USMED 3";#N/A,#N/A,FALSE,"MARCHALLENGER 1";#N/A,#N/A,FALSE,"MARCHALLENGER 2";#N/A,#N/A,FALSE,"MARCHALLENGER 3";#N/A,#N/A,FALSE,"MARCHALLENGER 4"}</definedName>
    <definedName name="iteamc6" localSheetId="10" hidden="1">{#N/A,#N/A,FALSE,"USMED 3";#N/A,#N/A,FALSE,"MARCHALLENGER 1";#N/A,#N/A,FALSE,"MARCHALLENGER 2";#N/A,#N/A,FALSE,"MARCHALLENGER 3";#N/A,#N/A,FALSE,"MARCHALLENGER 4"}</definedName>
    <definedName name="iteamc6" hidden="1">{#N/A,#N/A,FALSE,"USMED 3";#N/A,#N/A,FALSE,"MARCHALLENGER 1";#N/A,#N/A,FALSE,"MARCHALLENGER 2";#N/A,#N/A,FALSE,"MARCHALLENGER 3";#N/A,#N/A,FALSE,"MARCHALLENGER 4"}</definedName>
    <definedName name="iuoiuoiu" localSheetId="30" hidden="1">{#N/A,#N/A,FALSE,"3";#N/A,#N/A,FALSE,"5";#N/A,#N/A,FALSE,"6";#N/A,#N/A,FALSE,"8";#N/A,#N/A,FALSE,"10";#N/A,#N/A,FALSE,"13";#N/A,#N/A,FALSE,"14";#N/A,#N/A,FALSE,"15";#N/A,#N/A,FALSE,"16"}</definedName>
    <definedName name="iuoiuoiu" localSheetId="31" hidden="1">{#N/A,#N/A,FALSE,"3";#N/A,#N/A,FALSE,"5";#N/A,#N/A,FALSE,"6";#N/A,#N/A,FALSE,"8";#N/A,#N/A,FALSE,"10";#N/A,#N/A,FALSE,"13";#N/A,#N/A,FALSE,"14";#N/A,#N/A,FALSE,"15";#N/A,#N/A,FALSE,"16"}</definedName>
    <definedName name="iuoiuoiu" localSheetId="32" hidden="1">{#N/A,#N/A,FALSE,"3";#N/A,#N/A,FALSE,"5";#N/A,#N/A,FALSE,"6";#N/A,#N/A,FALSE,"8";#N/A,#N/A,FALSE,"10";#N/A,#N/A,FALSE,"13";#N/A,#N/A,FALSE,"14";#N/A,#N/A,FALSE,"15";#N/A,#N/A,FALSE,"16"}</definedName>
    <definedName name="iuoiuoiu" localSheetId="10" hidden="1">{#N/A,#N/A,FALSE,"3";#N/A,#N/A,FALSE,"5";#N/A,#N/A,FALSE,"6";#N/A,#N/A,FALSE,"8";#N/A,#N/A,FALSE,"10";#N/A,#N/A,FALSE,"13";#N/A,#N/A,FALSE,"14";#N/A,#N/A,FALSE,"15";#N/A,#N/A,FALSE,"16"}</definedName>
    <definedName name="iuoiuoiu" localSheetId="6" hidden="1">{#N/A,#N/A,FALSE,"3";#N/A,#N/A,FALSE,"5";#N/A,#N/A,FALSE,"6";#N/A,#N/A,FALSE,"8";#N/A,#N/A,FALSE,"10";#N/A,#N/A,FALSE,"13";#N/A,#N/A,FALSE,"14";#N/A,#N/A,FALSE,"15";#N/A,#N/A,FALSE,"16"}</definedName>
    <definedName name="iuoiuoiu" hidden="1">{#N/A,#N/A,FALSE,"3";#N/A,#N/A,FALSE,"5";#N/A,#N/A,FALSE,"6";#N/A,#N/A,FALSE,"8";#N/A,#N/A,FALSE,"10";#N/A,#N/A,FALSE,"13";#N/A,#N/A,FALSE,"14";#N/A,#N/A,FALSE,"15";#N/A,#N/A,FALSE,"16"}</definedName>
    <definedName name="iuoiuouio" localSheetId="30" hidden="1">{#N/A,#N/A,FALSE,"3";#N/A,#N/A,FALSE,"5";#N/A,#N/A,FALSE,"6";#N/A,#N/A,FALSE,"8";#N/A,#N/A,FALSE,"10";#N/A,#N/A,FALSE,"13";#N/A,#N/A,FALSE,"14";#N/A,#N/A,FALSE,"15";#N/A,#N/A,FALSE,"16"}</definedName>
    <definedName name="iuoiuouio" localSheetId="31" hidden="1">{#N/A,#N/A,FALSE,"3";#N/A,#N/A,FALSE,"5";#N/A,#N/A,FALSE,"6";#N/A,#N/A,FALSE,"8";#N/A,#N/A,FALSE,"10";#N/A,#N/A,FALSE,"13";#N/A,#N/A,FALSE,"14";#N/A,#N/A,FALSE,"15";#N/A,#N/A,FALSE,"16"}</definedName>
    <definedName name="iuoiuouio" localSheetId="32" hidden="1">{#N/A,#N/A,FALSE,"3";#N/A,#N/A,FALSE,"5";#N/A,#N/A,FALSE,"6";#N/A,#N/A,FALSE,"8";#N/A,#N/A,FALSE,"10";#N/A,#N/A,FALSE,"13";#N/A,#N/A,FALSE,"14";#N/A,#N/A,FALSE,"15";#N/A,#N/A,FALSE,"16"}</definedName>
    <definedName name="iuoiuouio" localSheetId="10" hidden="1">{#N/A,#N/A,FALSE,"3";#N/A,#N/A,FALSE,"5";#N/A,#N/A,FALSE,"6";#N/A,#N/A,FALSE,"8";#N/A,#N/A,FALSE,"10";#N/A,#N/A,FALSE,"13";#N/A,#N/A,FALSE,"14";#N/A,#N/A,FALSE,"15";#N/A,#N/A,FALSE,"16"}</definedName>
    <definedName name="iuoiuouio" localSheetId="6" hidden="1">{#N/A,#N/A,FALSE,"3";#N/A,#N/A,FALSE,"5";#N/A,#N/A,FALSE,"6";#N/A,#N/A,FALSE,"8";#N/A,#N/A,FALSE,"10";#N/A,#N/A,FALSE,"13";#N/A,#N/A,FALSE,"14";#N/A,#N/A,FALSE,"15";#N/A,#N/A,FALSE,"16"}</definedName>
    <definedName name="iuoiuouio" hidden="1">{#N/A,#N/A,FALSE,"3";#N/A,#N/A,FALSE,"5";#N/A,#N/A,FALSE,"6";#N/A,#N/A,FALSE,"8";#N/A,#N/A,FALSE,"10";#N/A,#N/A,FALSE,"13";#N/A,#N/A,FALSE,"14";#N/A,#N/A,FALSE,"15";#N/A,#N/A,FALSE,"16"}</definedName>
    <definedName name="iuoiuouiouiou" localSheetId="30" hidden="1">{#N/A,#N/A,FALSE,"3";#N/A,#N/A,FALSE,"5";#N/A,#N/A,FALSE,"6";#N/A,#N/A,FALSE,"8";#N/A,#N/A,FALSE,"10";#N/A,#N/A,FALSE,"13";#N/A,#N/A,FALSE,"14";#N/A,#N/A,FALSE,"15";#N/A,#N/A,FALSE,"16"}</definedName>
    <definedName name="iuoiuouiouiou" localSheetId="31" hidden="1">{#N/A,#N/A,FALSE,"3";#N/A,#N/A,FALSE,"5";#N/A,#N/A,FALSE,"6";#N/A,#N/A,FALSE,"8";#N/A,#N/A,FALSE,"10";#N/A,#N/A,FALSE,"13";#N/A,#N/A,FALSE,"14";#N/A,#N/A,FALSE,"15";#N/A,#N/A,FALSE,"16"}</definedName>
    <definedName name="iuoiuouiouiou" localSheetId="32" hidden="1">{#N/A,#N/A,FALSE,"3";#N/A,#N/A,FALSE,"5";#N/A,#N/A,FALSE,"6";#N/A,#N/A,FALSE,"8";#N/A,#N/A,FALSE,"10";#N/A,#N/A,FALSE,"13";#N/A,#N/A,FALSE,"14";#N/A,#N/A,FALSE,"15";#N/A,#N/A,FALSE,"16"}</definedName>
    <definedName name="iuoiuouiouiou" localSheetId="10" hidden="1">{#N/A,#N/A,FALSE,"3";#N/A,#N/A,FALSE,"5";#N/A,#N/A,FALSE,"6";#N/A,#N/A,FALSE,"8";#N/A,#N/A,FALSE,"10";#N/A,#N/A,FALSE,"13";#N/A,#N/A,FALSE,"14";#N/A,#N/A,FALSE,"15";#N/A,#N/A,FALSE,"16"}</definedName>
    <definedName name="iuoiuouiouiou" localSheetId="6" hidden="1">{#N/A,#N/A,FALSE,"3";#N/A,#N/A,FALSE,"5";#N/A,#N/A,FALSE,"6";#N/A,#N/A,FALSE,"8";#N/A,#N/A,FALSE,"10";#N/A,#N/A,FALSE,"13";#N/A,#N/A,FALSE,"14";#N/A,#N/A,FALSE,"15";#N/A,#N/A,FALSE,"16"}</definedName>
    <definedName name="iuoiuouiouiou" hidden="1">{#N/A,#N/A,FALSE,"3";#N/A,#N/A,FALSE,"5";#N/A,#N/A,FALSE,"6";#N/A,#N/A,FALSE,"8";#N/A,#N/A,FALSE,"10";#N/A,#N/A,FALSE,"13";#N/A,#N/A,FALSE,"14";#N/A,#N/A,FALSE,"15";#N/A,#N/A,FALSE,"16"}</definedName>
    <definedName name="iuouiouio" localSheetId="30" hidden="1">{#N/A,#N/A,FALSE,"3";#N/A,#N/A,FALSE,"5";#N/A,#N/A,FALSE,"6";#N/A,#N/A,FALSE,"8";#N/A,#N/A,FALSE,"10";#N/A,#N/A,FALSE,"13";#N/A,#N/A,FALSE,"14";#N/A,#N/A,FALSE,"15";#N/A,#N/A,FALSE,"16"}</definedName>
    <definedName name="iuouiouio" localSheetId="31" hidden="1">{#N/A,#N/A,FALSE,"3";#N/A,#N/A,FALSE,"5";#N/A,#N/A,FALSE,"6";#N/A,#N/A,FALSE,"8";#N/A,#N/A,FALSE,"10";#N/A,#N/A,FALSE,"13";#N/A,#N/A,FALSE,"14";#N/A,#N/A,FALSE,"15";#N/A,#N/A,FALSE,"16"}</definedName>
    <definedName name="iuouiouio" localSheetId="32" hidden="1">{#N/A,#N/A,FALSE,"3";#N/A,#N/A,FALSE,"5";#N/A,#N/A,FALSE,"6";#N/A,#N/A,FALSE,"8";#N/A,#N/A,FALSE,"10";#N/A,#N/A,FALSE,"13";#N/A,#N/A,FALSE,"14";#N/A,#N/A,FALSE,"15";#N/A,#N/A,FALSE,"16"}</definedName>
    <definedName name="iuouiouio" localSheetId="10" hidden="1">{#N/A,#N/A,FALSE,"3";#N/A,#N/A,FALSE,"5";#N/A,#N/A,FALSE,"6";#N/A,#N/A,FALSE,"8";#N/A,#N/A,FALSE,"10";#N/A,#N/A,FALSE,"13";#N/A,#N/A,FALSE,"14";#N/A,#N/A,FALSE,"15";#N/A,#N/A,FALSE,"16"}</definedName>
    <definedName name="iuouiouio" localSheetId="6" hidden="1">{#N/A,#N/A,FALSE,"3";#N/A,#N/A,FALSE,"5";#N/A,#N/A,FALSE,"6";#N/A,#N/A,FALSE,"8";#N/A,#N/A,FALSE,"10";#N/A,#N/A,FALSE,"13";#N/A,#N/A,FALSE,"14";#N/A,#N/A,FALSE,"15";#N/A,#N/A,FALSE,"16"}</definedName>
    <definedName name="iuouiouio" hidden="1">{#N/A,#N/A,FALSE,"3";#N/A,#N/A,FALSE,"5";#N/A,#N/A,FALSE,"6";#N/A,#N/A,FALSE,"8";#N/A,#N/A,FALSE,"10";#N/A,#N/A,FALSE,"13";#N/A,#N/A,FALSE,"14";#N/A,#N/A,FALSE,"15";#N/A,#N/A,FALSE,"16"}</definedName>
    <definedName name="iuouiouiouio" localSheetId="30" hidden="1">{#N/A,#N/A,FALSE,"3";#N/A,#N/A,FALSE,"5";#N/A,#N/A,FALSE,"6";#N/A,#N/A,FALSE,"8";#N/A,#N/A,FALSE,"10";#N/A,#N/A,FALSE,"13";#N/A,#N/A,FALSE,"14";#N/A,#N/A,FALSE,"15";#N/A,#N/A,FALSE,"16"}</definedName>
    <definedName name="iuouiouiouio" localSheetId="31" hidden="1">{#N/A,#N/A,FALSE,"3";#N/A,#N/A,FALSE,"5";#N/A,#N/A,FALSE,"6";#N/A,#N/A,FALSE,"8";#N/A,#N/A,FALSE,"10";#N/A,#N/A,FALSE,"13";#N/A,#N/A,FALSE,"14";#N/A,#N/A,FALSE,"15";#N/A,#N/A,FALSE,"16"}</definedName>
    <definedName name="iuouiouiouio" localSheetId="32" hidden="1">{#N/A,#N/A,FALSE,"3";#N/A,#N/A,FALSE,"5";#N/A,#N/A,FALSE,"6";#N/A,#N/A,FALSE,"8";#N/A,#N/A,FALSE,"10";#N/A,#N/A,FALSE,"13";#N/A,#N/A,FALSE,"14";#N/A,#N/A,FALSE,"15";#N/A,#N/A,FALSE,"16"}</definedName>
    <definedName name="iuouiouiouio" localSheetId="10" hidden="1">{#N/A,#N/A,FALSE,"3";#N/A,#N/A,FALSE,"5";#N/A,#N/A,FALSE,"6";#N/A,#N/A,FALSE,"8";#N/A,#N/A,FALSE,"10";#N/A,#N/A,FALSE,"13";#N/A,#N/A,FALSE,"14";#N/A,#N/A,FALSE,"15";#N/A,#N/A,FALSE,"16"}</definedName>
    <definedName name="iuouiouiouio" localSheetId="6" hidden="1">{#N/A,#N/A,FALSE,"3";#N/A,#N/A,FALSE,"5";#N/A,#N/A,FALSE,"6";#N/A,#N/A,FALSE,"8";#N/A,#N/A,FALSE,"10";#N/A,#N/A,FALSE,"13";#N/A,#N/A,FALSE,"14";#N/A,#N/A,FALSE,"15";#N/A,#N/A,FALSE,"16"}</definedName>
    <definedName name="iuouiouiouio" hidden="1">{#N/A,#N/A,FALSE,"3";#N/A,#N/A,FALSE,"5";#N/A,#N/A,FALSE,"6";#N/A,#N/A,FALSE,"8";#N/A,#N/A,FALSE,"10";#N/A,#N/A,FALSE,"13";#N/A,#N/A,FALSE,"14";#N/A,#N/A,FALSE,"15";#N/A,#N/A,FALSE,"16"}</definedName>
    <definedName name="iyiy" localSheetId="30" hidden="1">{#N/A,#N/A,FALSE,"3";#N/A,#N/A,FALSE,"5";#N/A,#N/A,FALSE,"6";#N/A,#N/A,FALSE,"8";#N/A,#N/A,FALSE,"10";#N/A,#N/A,FALSE,"13";#N/A,#N/A,FALSE,"14";#N/A,#N/A,FALSE,"15";#N/A,#N/A,FALSE,"16"}</definedName>
    <definedName name="iyiy" localSheetId="31" hidden="1">{#N/A,#N/A,FALSE,"3";#N/A,#N/A,FALSE,"5";#N/A,#N/A,FALSE,"6";#N/A,#N/A,FALSE,"8";#N/A,#N/A,FALSE,"10";#N/A,#N/A,FALSE,"13";#N/A,#N/A,FALSE,"14";#N/A,#N/A,FALSE,"15";#N/A,#N/A,FALSE,"16"}</definedName>
    <definedName name="iyiy" localSheetId="32" hidden="1">{#N/A,#N/A,FALSE,"3";#N/A,#N/A,FALSE,"5";#N/A,#N/A,FALSE,"6";#N/A,#N/A,FALSE,"8";#N/A,#N/A,FALSE,"10";#N/A,#N/A,FALSE,"13";#N/A,#N/A,FALSE,"14";#N/A,#N/A,FALSE,"15";#N/A,#N/A,FALSE,"16"}</definedName>
    <definedName name="iyiy" localSheetId="10" hidden="1">{#N/A,#N/A,FALSE,"3";#N/A,#N/A,FALSE,"5";#N/A,#N/A,FALSE,"6";#N/A,#N/A,FALSE,"8";#N/A,#N/A,FALSE,"10";#N/A,#N/A,FALSE,"13";#N/A,#N/A,FALSE,"14";#N/A,#N/A,FALSE,"15";#N/A,#N/A,FALSE,"16"}</definedName>
    <definedName name="iyiy" localSheetId="6" hidden="1">{#N/A,#N/A,FALSE,"3";#N/A,#N/A,FALSE,"5";#N/A,#N/A,FALSE,"6";#N/A,#N/A,FALSE,"8";#N/A,#N/A,FALSE,"10";#N/A,#N/A,FALSE,"13";#N/A,#N/A,FALSE,"14";#N/A,#N/A,FALSE,"15";#N/A,#N/A,FALSE,"16"}</definedName>
    <definedName name="iyiy" hidden="1">{#N/A,#N/A,FALSE,"3";#N/A,#N/A,FALSE,"5";#N/A,#N/A,FALSE,"6";#N/A,#N/A,FALSE,"8";#N/A,#N/A,FALSE,"10";#N/A,#N/A,FALSE,"13";#N/A,#N/A,FALSE,"14";#N/A,#N/A,FALSE,"15";#N/A,#N/A,FALSE,"16"}</definedName>
    <definedName name="J" localSheetId="30" hidden="1">{#N/A,#N/A,FALSE,"USMED 3";#N/A,#N/A,FALSE,"MARCHALLENGER 1";#N/A,#N/A,FALSE,"MARCHALLENGER 2";#N/A,#N/A,FALSE,"MARCHALLENGER 3";#N/A,#N/A,FALSE,"MARCHALLENGER 4"}</definedName>
    <definedName name="J" localSheetId="31" hidden="1">{#N/A,#N/A,FALSE,"USMED 3";#N/A,#N/A,FALSE,"MARCHALLENGER 1";#N/A,#N/A,FALSE,"MARCHALLENGER 2";#N/A,#N/A,FALSE,"MARCHALLENGER 3";#N/A,#N/A,FALSE,"MARCHALLENGER 4"}</definedName>
    <definedName name="J" localSheetId="32" hidden="1">{#N/A,#N/A,FALSE,"USMED 3";#N/A,#N/A,FALSE,"MARCHALLENGER 1";#N/A,#N/A,FALSE,"MARCHALLENGER 2";#N/A,#N/A,FALSE,"MARCHALLENGER 3";#N/A,#N/A,FALSE,"MARCHALLENGER 4"}</definedName>
    <definedName name="J" localSheetId="10" hidden="1">{#N/A,#N/A,FALSE,"USMED 3";#N/A,#N/A,FALSE,"MARCHALLENGER 1";#N/A,#N/A,FALSE,"MARCHALLENGER 2";#N/A,#N/A,FALSE,"MARCHALLENGER 3";#N/A,#N/A,FALSE,"MARCHALLENGER 4"}</definedName>
    <definedName name="J" hidden="1">{#N/A,#N/A,FALSE,"USMED 3";#N/A,#N/A,FALSE,"MARCHALLENGER 1";#N/A,#N/A,FALSE,"MARCHALLENGER 2";#N/A,#N/A,FALSE,"MARCHALLENGER 3";#N/A,#N/A,FALSE,"MARCHALLENGER 4"}</definedName>
    <definedName name="jghjghjghj" localSheetId="30" hidden="1">{#N/A,#N/A,FALSE,"3";#N/A,#N/A,FALSE,"5";#N/A,#N/A,FALSE,"6";#N/A,#N/A,FALSE,"8";#N/A,#N/A,FALSE,"10";#N/A,#N/A,FALSE,"13";#N/A,#N/A,FALSE,"14";#N/A,#N/A,FALSE,"15";#N/A,#N/A,FALSE,"16"}</definedName>
    <definedName name="jghjghjghj" localSheetId="31" hidden="1">{#N/A,#N/A,FALSE,"3";#N/A,#N/A,FALSE,"5";#N/A,#N/A,FALSE,"6";#N/A,#N/A,FALSE,"8";#N/A,#N/A,FALSE,"10";#N/A,#N/A,FALSE,"13";#N/A,#N/A,FALSE,"14";#N/A,#N/A,FALSE,"15";#N/A,#N/A,FALSE,"16"}</definedName>
    <definedName name="jghjghjghj" localSheetId="32" hidden="1">{#N/A,#N/A,FALSE,"3";#N/A,#N/A,FALSE,"5";#N/A,#N/A,FALSE,"6";#N/A,#N/A,FALSE,"8";#N/A,#N/A,FALSE,"10";#N/A,#N/A,FALSE,"13";#N/A,#N/A,FALSE,"14";#N/A,#N/A,FALSE,"15";#N/A,#N/A,FALSE,"16"}</definedName>
    <definedName name="jghjghjghj" localSheetId="10" hidden="1">{#N/A,#N/A,FALSE,"3";#N/A,#N/A,FALSE,"5";#N/A,#N/A,FALSE,"6";#N/A,#N/A,FALSE,"8";#N/A,#N/A,FALSE,"10";#N/A,#N/A,FALSE,"13";#N/A,#N/A,FALSE,"14";#N/A,#N/A,FALSE,"15";#N/A,#N/A,FALSE,"16"}</definedName>
    <definedName name="jghjghjghj" localSheetId="6" hidden="1">{#N/A,#N/A,FALSE,"3";#N/A,#N/A,FALSE,"5";#N/A,#N/A,FALSE,"6";#N/A,#N/A,FALSE,"8";#N/A,#N/A,FALSE,"10";#N/A,#N/A,FALSE,"13";#N/A,#N/A,FALSE,"14";#N/A,#N/A,FALSE,"15";#N/A,#N/A,FALSE,"16"}</definedName>
    <definedName name="jghjghjghj" hidden="1">{#N/A,#N/A,FALSE,"3";#N/A,#N/A,FALSE,"5";#N/A,#N/A,FALSE,"6";#N/A,#N/A,FALSE,"8";#N/A,#N/A,FALSE,"10";#N/A,#N/A,FALSE,"13";#N/A,#N/A,FALSE,"14";#N/A,#N/A,FALSE,"15";#N/A,#N/A,FALSE,"16"}</definedName>
    <definedName name="jghjgyhjgh" localSheetId="30" hidden="1">{#N/A,#N/A,FALSE,"3";#N/A,#N/A,FALSE,"5";#N/A,#N/A,FALSE,"6";#N/A,#N/A,FALSE,"8";#N/A,#N/A,FALSE,"10";#N/A,#N/A,FALSE,"13";#N/A,#N/A,FALSE,"14";#N/A,#N/A,FALSE,"15";#N/A,#N/A,FALSE,"16"}</definedName>
    <definedName name="jghjgyhjgh" localSheetId="31" hidden="1">{#N/A,#N/A,FALSE,"3";#N/A,#N/A,FALSE,"5";#N/A,#N/A,FALSE,"6";#N/A,#N/A,FALSE,"8";#N/A,#N/A,FALSE,"10";#N/A,#N/A,FALSE,"13";#N/A,#N/A,FALSE,"14";#N/A,#N/A,FALSE,"15";#N/A,#N/A,FALSE,"16"}</definedName>
    <definedName name="jghjgyhjgh" localSheetId="32" hidden="1">{#N/A,#N/A,FALSE,"3";#N/A,#N/A,FALSE,"5";#N/A,#N/A,FALSE,"6";#N/A,#N/A,FALSE,"8";#N/A,#N/A,FALSE,"10";#N/A,#N/A,FALSE,"13";#N/A,#N/A,FALSE,"14";#N/A,#N/A,FALSE,"15";#N/A,#N/A,FALSE,"16"}</definedName>
    <definedName name="jghjgyhjgh" localSheetId="10" hidden="1">{#N/A,#N/A,FALSE,"3";#N/A,#N/A,FALSE,"5";#N/A,#N/A,FALSE,"6";#N/A,#N/A,FALSE,"8";#N/A,#N/A,FALSE,"10";#N/A,#N/A,FALSE,"13";#N/A,#N/A,FALSE,"14";#N/A,#N/A,FALSE,"15";#N/A,#N/A,FALSE,"16"}</definedName>
    <definedName name="jghjgyhjgh" localSheetId="6" hidden="1">{#N/A,#N/A,FALSE,"3";#N/A,#N/A,FALSE,"5";#N/A,#N/A,FALSE,"6";#N/A,#N/A,FALSE,"8";#N/A,#N/A,FALSE,"10";#N/A,#N/A,FALSE,"13";#N/A,#N/A,FALSE,"14";#N/A,#N/A,FALSE,"15";#N/A,#N/A,FALSE,"16"}</definedName>
    <definedName name="jghjgyhjgh" hidden="1">{#N/A,#N/A,FALSE,"3";#N/A,#N/A,FALSE,"5";#N/A,#N/A,FALSE,"6";#N/A,#N/A,FALSE,"8";#N/A,#N/A,FALSE,"10";#N/A,#N/A,FALSE,"13";#N/A,#N/A,FALSE,"14";#N/A,#N/A,FALSE,"15";#N/A,#N/A,FALSE,"16"}</definedName>
    <definedName name="jgn"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jhfdnjkfd" localSheetId="30" hidden="1">{#N/A,#N/A,TRUE,"Summary";#N/A,#N/A,TRUE,"IS";#N/A,#N/A,TRUE,"Adj";#N/A,#N/A,TRUE,"BS";#N/A,#N/A,TRUE,"CF";#N/A,#N/A,TRUE,"Debt";#N/A,#N/A,TRUE,"IRR"}</definedName>
    <definedName name="jhfdnjkfd" localSheetId="31" hidden="1">{#N/A,#N/A,TRUE,"Summary";#N/A,#N/A,TRUE,"IS";#N/A,#N/A,TRUE,"Adj";#N/A,#N/A,TRUE,"BS";#N/A,#N/A,TRUE,"CF";#N/A,#N/A,TRUE,"Debt";#N/A,#N/A,TRUE,"IRR"}</definedName>
    <definedName name="jhfdnjkfd" localSheetId="32" hidden="1">{#N/A,#N/A,TRUE,"Summary";#N/A,#N/A,TRUE,"IS";#N/A,#N/A,TRUE,"Adj";#N/A,#N/A,TRUE,"BS";#N/A,#N/A,TRUE,"CF";#N/A,#N/A,TRUE,"Debt";#N/A,#N/A,TRUE,"IRR"}</definedName>
    <definedName name="jhfdnjkfd" localSheetId="10" hidden="1">{#N/A,#N/A,TRUE,"Summary";#N/A,#N/A,TRUE,"IS";#N/A,#N/A,TRUE,"Adj";#N/A,#N/A,TRUE,"BS";#N/A,#N/A,TRUE,"CF";#N/A,#N/A,TRUE,"Debt";#N/A,#N/A,TRUE,"IRR"}</definedName>
    <definedName name="jhfdnjkfd" localSheetId="1" hidden="1">{#N/A,#N/A,TRUE,"Summary";#N/A,#N/A,TRUE,"IS";#N/A,#N/A,TRUE,"Adj";#N/A,#N/A,TRUE,"BS";#N/A,#N/A,TRUE,"CF";#N/A,#N/A,TRUE,"Debt";#N/A,#N/A,TRUE,"IRR"}</definedName>
    <definedName name="jhfdnjkfd" localSheetId="6" hidden="1">{#N/A,#N/A,TRUE,"Summary";#N/A,#N/A,TRUE,"IS";#N/A,#N/A,TRUE,"Adj";#N/A,#N/A,TRUE,"BS";#N/A,#N/A,TRUE,"CF";#N/A,#N/A,TRUE,"Debt";#N/A,#N/A,TRUE,"IRR"}</definedName>
    <definedName name="jhfdnjkfd" hidden="1">{#N/A,#N/A,TRUE,"Summary";#N/A,#N/A,TRUE,"IS";#N/A,#N/A,TRUE,"Adj";#N/A,#N/A,TRUE,"BS";#N/A,#N/A,TRUE,"CF";#N/A,#N/A,TRUE,"Debt";#N/A,#N/A,TRUE,"IRR"}</definedName>
    <definedName name="jhg" localSheetId="30" hidden="1">{#N/A,#N/A,FALSE,"3";#N/A,#N/A,FALSE,"5";#N/A,#N/A,FALSE,"6";#N/A,#N/A,FALSE,"8";#N/A,#N/A,FALSE,"10";#N/A,#N/A,FALSE,"13";#N/A,#N/A,FALSE,"14";#N/A,#N/A,FALSE,"15";#N/A,#N/A,FALSE,"16"}</definedName>
    <definedName name="jhg" localSheetId="31" hidden="1">{#N/A,#N/A,FALSE,"3";#N/A,#N/A,FALSE,"5";#N/A,#N/A,FALSE,"6";#N/A,#N/A,FALSE,"8";#N/A,#N/A,FALSE,"10";#N/A,#N/A,FALSE,"13";#N/A,#N/A,FALSE,"14";#N/A,#N/A,FALSE,"15";#N/A,#N/A,FALSE,"16"}</definedName>
    <definedName name="jhg" localSheetId="32" hidden="1">{#N/A,#N/A,FALSE,"3";#N/A,#N/A,FALSE,"5";#N/A,#N/A,FALSE,"6";#N/A,#N/A,FALSE,"8";#N/A,#N/A,FALSE,"10";#N/A,#N/A,FALSE,"13";#N/A,#N/A,FALSE,"14";#N/A,#N/A,FALSE,"15";#N/A,#N/A,FALSE,"16"}</definedName>
    <definedName name="jhg" localSheetId="10" hidden="1">{#N/A,#N/A,FALSE,"3";#N/A,#N/A,FALSE,"5";#N/A,#N/A,FALSE,"6";#N/A,#N/A,FALSE,"8";#N/A,#N/A,FALSE,"10";#N/A,#N/A,FALSE,"13";#N/A,#N/A,FALSE,"14";#N/A,#N/A,FALSE,"15";#N/A,#N/A,FALSE,"16"}</definedName>
    <definedName name="jhg" localSheetId="6" hidden="1">{#N/A,#N/A,FALSE,"3";#N/A,#N/A,FALSE,"5";#N/A,#N/A,FALSE,"6";#N/A,#N/A,FALSE,"8";#N/A,#N/A,FALSE,"10";#N/A,#N/A,FALSE,"13";#N/A,#N/A,FALSE,"14";#N/A,#N/A,FALSE,"15";#N/A,#N/A,FALSE,"16"}</definedName>
    <definedName name="jhg" hidden="1">{#N/A,#N/A,FALSE,"3";#N/A,#N/A,FALSE,"5";#N/A,#N/A,FALSE,"6";#N/A,#N/A,FALSE,"8";#N/A,#N/A,FALSE,"10";#N/A,#N/A,FALSE,"13";#N/A,#N/A,FALSE,"14";#N/A,#N/A,FALSE,"15";#N/A,#N/A,FALSE,"16"}</definedName>
    <definedName name="jhghj" localSheetId="30" hidden="1">{#N/A,#N/A,FALSE,"3";#N/A,#N/A,FALSE,"5";#N/A,#N/A,FALSE,"6";#N/A,#N/A,FALSE,"8";#N/A,#N/A,FALSE,"10";#N/A,#N/A,FALSE,"13";#N/A,#N/A,FALSE,"14";#N/A,#N/A,FALSE,"15";#N/A,#N/A,FALSE,"16"}</definedName>
    <definedName name="jhghj" localSheetId="31" hidden="1">{#N/A,#N/A,FALSE,"3";#N/A,#N/A,FALSE,"5";#N/A,#N/A,FALSE,"6";#N/A,#N/A,FALSE,"8";#N/A,#N/A,FALSE,"10";#N/A,#N/A,FALSE,"13";#N/A,#N/A,FALSE,"14";#N/A,#N/A,FALSE,"15";#N/A,#N/A,FALSE,"16"}</definedName>
    <definedName name="jhghj" localSheetId="32" hidden="1">{#N/A,#N/A,FALSE,"3";#N/A,#N/A,FALSE,"5";#N/A,#N/A,FALSE,"6";#N/A,#N/A,FALSE,"8";#N/A,#N/A,FALSE,"10";#N/A,#N/A,FALSE,"13";#N/A,#N/A,FALSE,"14";#N/A,#N/A,FALSE,"15";#N/A,#N/A,FALSE,"16"}</definedName>
    <definedName name="jhghj" localSheetId="10" hidden="1">{#N/A,#N/A,FALSE,"3";#N/A,#N/A,FALSE,"5";#N/A,#N/A,FALSE,"6";#N/A,#N/A,FALSE,"8";#N/A,#N/A,FALSE,"10";#N/A,#N/A,FALSE,"13";#N/A,#N/A,FALSE,"14";#N/A,#N/A,FALSE,"15";#N/A,#N/A,FALSE,"16"}</definedName>
    <definedName name="jhghj" localSheetId="6" hidden="1">{#N/A,#N/A,FALSE,"3";#N/A,#N/A,FALSE,"5";#N/A,#N/A,FALSE,"6";#N/A,#N/A,FALSE,"8";#N/A,#N/A,FALSE,"10";#N/A,#N/A,FALSE,"13";#N/A,#N/A,FALSE,"14";#N/A,#N/A,FALSE,"15";#N/A,#N/A,FALSE,"16"}</definedName>
    <definedName name="jhghj" hidden="1">{#N/A,#N/A,FALSE,"3";#N/A,#N/A,FALSE,"5";#N/A,#N/A,FALSE,"6";#N/A,#N/A,FALSE,"8";#N/A,#N/A,FALSE,"10";#N/A,#N/A,FALSE,"13";#N/A,#N/A,FALSE,"14";#N/A,#N/A,FALSE,"15";#N/A,#N/A,FALSE,"16"}</definedName>
    <definedName name="jhjhgj" localSheetId="30" hidden="1">{#N/A,#N/A,FALSE,"3";#N/A,#N/A,FALSE,"5";#N/A,#N/A,FALSE,"6";#N/A,#N/A,FALSE,"8";#N/A,#N/A,FALSE,"10";#N/A,#N/A,FALSE,"13";#N/A,#N/A,FALSE,"14";#N/A,#N/A,FALSE,"15";#N/A,#N/A,FALSE,"16"}</definedName>
    <definedName name="jhjhgj" localSheetId="31" hidden="1">{#N/A,#N/A,FALSE,"3";#N/A,#N/A,FALSE,"5";#N/A,#N/A,FALSE,"6";#N/A,#N/A,FALSE,"8";#N/A,#N/A,FALSE,"10";#N/A,#N/A,FALSE,"13";#N/A,#N/A,FALSE,"14";#N/A,#N/A,FALSE,"15";#N/A,#N/A,FALSE,"16"}</definedName>
    <definedName name="jhjhgj" localSheetId="32" hidden="1">{#N/A,#N/A,FALSE,"3";#N/A,#N/A,FALSE,"5";#N/A,#N/A,FALSE,"6";#N/A,#N/A,FALSE,"8";#N/A,#N/A,FALSE,"10";#N/A,#N/A,FALSE,"13";#N/A,#N/A,FALSE,"14";#N/A,#N/A,FALSE,"15";#N/A,#N/A,FALSE,"16"}</definedName>
    <definedName name="jhjhgj" localSheetId="10" hidden="1">{#N/A,#N/A,FALSE,"3";#N/A,#N/A,FALSE,"5";#N/A,#N/A,FALSE,"6";#N/A,#N/A,FALSE,"8";#N/A,#N/A,FALSE,"10";#N/A,#N/A,FALSE,"13";#N/A,#N/A,FALSE,"14";#N/A,#N/A,FALSE,"15";#N/A,#N/A,FALSE,"16"}</definedName>
    <definedName name="jhjhgj" localSheetId="6" hidden="1">{#N/A,#N/A,FALSE,"3";#N/A,#N/A,FALSE,"5";#N/A,#N/A,FALSE,"6";#N/A,#N/A,FALSE,"8";#N/A,#N/A,FALSE,"10";#N/A,#N/A,FALSE,"13";#N/A,#N/A,FALSE,"14";#N/A,#N/A,FALSE,"15";#N/A,#N/A,FALSE,"16"}</definedName>
    <definedName name="jhjhgj" hidden="1">{#N/A,#N/A,FALSE,"3";#N/A,#N/A,FALSE,"5";#N/A,#N/A,FALSE,"6";#N/A,#N/A,FALSE,"8";#N/A,#N/A,FALSE,"10";#N/A,#N/A,FALSE,"13";#N/A,#N/A,FALSE,"14";#N/A,#N/A,FALSE,"15";#N/A,#N/A,FALSE,"16"}</definedName>
    <definedName name="JJKJKJL" localSheetId="30" hidden="1">{"'Mach'!$A$1:$D$39"}</definedName>
    <definedName name="JJKJKJL" localSheetId="31" hidden="1">{"'Mach'!$A$1:$D$39"}</definedName>
    <definedName name="JJKJKJL" localSheetId="32" hidden="1">{"'Mach'!$A$1:$D$39"}</definedName>
    <definedName name="JJKJKJL" localSheetId="10" hidden="1">{"'Mach'!$A$1:$D$39"}</definedName>
    <definedName name="JJKJKJL" localSheetId="1" hidden="1">{"'Mach'!$A$1:$D$39"}</definedName>
    <definedName name="JJKJKJL" localSheetId="6" hidden="1">{"'Mach'!$A$1:$D$39"}</definedName>
    <definedName name="JJKJKJL" hidden="1">{"'Mach'!$A$1:$D$39"}</definedName>
    <definedName name="jkl" localSheetId="30" hidden="1">{"'Typical Costs Estimates'!$C$158:$H$161"}</definedName>
    <definedName name="jkl" localSheetId="31" hidden="1">{"'Typical Costs Estimates'!$C$158:$H$161"}</definedName>
    <definedName name="jkl" localSheetId="32" hidden="1">{"'Typical Costs Estimates'!$C$158:$H$161"}</definedName>
    <definedName name="jkl" localSheetId="10" hidden="1">{"'Typical Costs Estimates'!$C$158:$H$161"}</definedName>
    <definedName name="jkl" hidden="1">{"'Typical Costs Estimates'!$C$158:$H$161"}</definedName>
    <definedName name="jlhhjlhjlhjl" localSheetId="30" hidden="1">{#N/A,#N/A,FALSE,"3";#N/A,#N/A,FALSE,"5";#N/A,#N/A,FALSE,"6";#N/A,#N/A,FALSE,"8";#N/A,#N/A,FALSE,"10";#N/A,#N/A,FALSE,"13";#N/A,#N/A,FALSE,"14";#N/A,#N/A,FALSE,"15";#N/A,#N/A,FALSE,"16"}</definedName>
    <definedName name="jlhhjlhjlhjl" localSheetId="31" hidden="1">{#N/A,#N/A,FALSE,"3";#N/A,#N/A,FALSE,"5";#N/A,#N/A,FALSE,"6";#N/A,#N/A,FALSE,"8";#N/A,#N/A,FALSE,"10";#N/A,#N/A,FALSE,"13";#N/A,#N/A,FALSE,"14";#N/A,#N/A,FALSE,"15";#N/A,#N/A,FALSE,"16"}</definedName>
    <definedName name="jlhhjlhjlhjl" localSheetId="32" hidden="1">{#N/A,#N/A,FALSE,"3";#N/A,#N/A,FALSE,"5";#N/A,#N/A,FALSE,"6";#N/A,#N/A,FALSE,"8";#N/A,#N/A,FALSE,"10";#N/A,#N/A,FALSE,"13";#N/A,#N/A,FALSE,"14";#N/A,#N/A,FALSE,"15";#N/A,#N/A,FALSE,"16"}</definedName>
    <definedName name="jlhhjlhjlhjl" localSheetId="10" hidden="1">{#N/A,#N/A,FALSE,"3";#N/A,#N/A,FALSE,"5";#N/A,#N/A,FALSE,"6";#N/A,#N/A,FALSE,"8";#N/A,#N/A,FALSE,"10";#N/A,#N/A,FALSE,"13";#N/A,#N/A,FALSE,"14";#N/A,#N/A,FALSE,"15";#N/A,#N/A,FALSE,"16"}</definedName>
    <definedName name="jlhhjlhjlhjl" localSheetId="6" hidden="1">{#N/A,#N/A,FALSE,"3";#N/A,#N/A,FALSE,"5";#N/A,#N/A,FALSE,"6";#N/A,#N/A,FALSE,"8";#N/A,#N/A,FALSE,"10";#N/A,#N/A,FALSE,"13";#N/A,#N/A,FALSE,"14";#N/A,#N/A,FALSE,"15";#N/A,#N/A,FALSE,"16"}</definedName>
    <definedName name="jlhhjlhjlhjl" hidden="1">{#N/A,#N/A,FALSE,"3";#N/A,#N/A,FALSE,"5";#N/A,#N/A,FALSE,"6";#N/A,#N/A,FALSE,"8";#N/A,#N/A,FALSE,"10";#N/A,#N/A,FALSE,"13";#N/A,#N/A,FALSE,"14";#N/A,#N/A,FALSE,"15";#N/A,#N/A,FALSE,"16"}</definedName>
    <definedName name="jlhjlhjl" localSheetId="30" hidden="1">{#N/A,#N/A,FALSE,"3";#N/A,#N/A,FALSE,"5";#N/A,#N/A,FALSE,"6";#N/A,#N/A,FALSE,"8";#N/A,#N/A,FALSE,"10";#N/A,#N/A,FALSE,"13";#N/A,#N/A,FALSE,"14";#N/A,#N/A,FALSE,"15";#N/A,#N/A,FALSE,"16"}</definedName>
    <definedName name="jlhjlhjl" localSheetId="31" hidden="1">{#N/A,#N/A,FALSE,"3";#N/A,#N/A,FALSE,"5";#N/A,#N/A,FALSE,"6";#N/A,#N/A,FALSE,"8";#N/A,#N/A,FALSE,"10";#N/A,#N/A,FALSE,"13";#N/A,#N/A,FALSE,"14";#N/A,#N/A,FALSE,"15";#N/A,#N/A,FALSE,"16"}</definedName>
    <definedName name="jlhjlhjl" localSheetId="32" hidden="1">{#N/A,#N/A,FALSE,"3";#N/A,#N/A,FALSE,"5";#N/A,#N/A,FALSE,"6";#N/A,#N/A,FALSE,"8";#N/A,#N/A,FALSE,"10";#N/A,#N/A,FALSE,"13";#N/A,#N/A,FALSE,"14";#N/A,#N/A,FALSE,"15";#N/A,#N/A,FALSE,"16"}</definedName>
    <definedName name="jlhjlhjl" localSheetId="10" hidden="1">{#N/A,#N/A,FALSE,"3";#N/A,#N/A,FALSE,"5";#N/A,#N/A,FALSE,"6";#N/A,#N/A,FALSE,"8";#N/A,#N/A,FALSE,"10";#N/A,#N/A,FALSE,"13";#N/A,#N/A,FALSE,"14";#N/A,#N/A,FALSE,"15";#N/A,#N/A,FALSE,"16"}</definedName>
    <definedName name="jlhjlhjl" localSheetId="6" hidden="1">{#N/A,#N/A,FALSE,"3";#N/A,#N/A,FALSE,"5";#N/A,#N/A,FALSE,"6";#N/A,#N/A,FALSE,"8";#N/A,#N/A,FALSE,"10";#N/A,#N/A,FALSE,"13";#N/A,#N/A,FALSE,"14";#N/A,#N/A,FALSE,"15";#N/A,#N/A,FALSE,"16"}</definedName>
    <definedName name="jlhjlhjl" hidden="1">{#N/A,#N/A,FALSE,"3";#N/A,#N/A,FALSE,"5";#N/A,#N/A,FALSE,"6";#N/A,#N/A,FALSE,"8";#N/A,#N/A,FALSE,"10";#N/A,#N/A,FALSE,"13";#N/A,#N/A,FALSE,"14";#N/A,#N/A,FALSE,"15";#N/A,#N/A,FALSE,"16"}</definedName>
    <definedName name="jlj" localSheetId="30" hidden="1">{#N/A,#N/A,FALSE,"3";#N/A,#N/A,FALSE,"5";#N/A,#N/A,FALSE,"6";#N/A,#N/A,FALSE,"8";#N/A,#N/A,FALSE,"10";#N/A,#N/A,FALSE,"13";#N/A,#N/A,FALSE,"14";#N/A,#N/A,FALSE,"15";#N/A,#N/A,FALSE,"16"}</definedName>
    <definedName name="jlj" localSheetId="31" hidden="1">{#N/A,#N/A,FALSE,"3";#N/A,#N/A,FALSE,"5";#N/A,#N/A,FALSE,"6";#N/A,#N/A,FALSE,"8";#N/A,#N/A,FALSE,"10";#N/A,#N/A,FALSE,"13";#N/A,#N/A,FALSE,"14";#N/A,#N/A,FALSE,"15";#N/A,#N/A,FALSE,"16"}</definedName>
    <definedName name="jlj" localSheetId="32" hidden="1">{#N/A,#N/A,FALSE,"3";#N/A,#N/A,FALSE,"5";#N/A,#N/A,FALSE,"6";#N/A,#N/A,FALSE,"8";#N/A,#N/A,FALSE,"10";#N/A,#N/A,FALSE,"13";#N/A,#N/A,FALSE,"14";#N/A,#N/A,FALSE,"15";#N/A,#N/A,FALSE,"16"}</definedName>
    <definedName name="jlj" localSheetId="10" hidden="1">{#N/A,#N/A,FALSE,"3";#N/A,#N/A,FALSE,"5";#N/A,#N/A,FALSE,"6";#N/A,#N/A,FALSE,"8";#N/A,#N/A,FALSE,"10";#N/A,#N/A,FALSE,"13";#N/A,#N/A,FALSE,"14";#N/A,#N/A,FALSE,"15";#N/A,#N/A,FALSE,"16"}</definedName>
    <definedName name="jlj" localSheetId="6" hidden="1">{#N/A,#N/A,FALSE,"3";#N/A,#N/A,FALSE,"5";#N/A,#N/A,FALSE,"6";#N/A,#N/A,FALSE,"8";#N/A,#N/A,FALSE,"10";#N/A,#N/A,FALSE,"13";#N/A,#N/A,FALSE,"14";#N/A,#N/A,FALSE,"15";#N/A,#N/A,FALSE,"16"}</definedName>
    <definedName name="jlj" hidden="1">{#N/A,#N/A,FALSE,"3";#N/A,#N/A,FALSE,"5";#N/A,#N/A,FALSE,"6";#N/A,#N/A,FALSE,"8";#N/A,#N/A,FALSE,"10";#N/A,#N/A,FALSE,"13";#N/A,#N/A,FALSE,"14";#N/A,#N/A,FALSE,"15";#N/A,#N/A,FALSE,"16"}</definedName>
    <definedName name="jlkj" localSheetId="30" hidden="1">{#N/A,#N/A,FALSE,"3";#N/A,#N/A,FALSE,"5";#N/A,#N/A,FALSE,"6";#N/A,#N/A,FALSE,"8";#N/A,#N/A,FALSE,"10";#N/A,#N/A,FALSE,"13";#N/A,#N/A,FALSE,"14";#N/A,#N/A,FALSE,"15";#N/A,#N/A,FALSE,"16"}</definedName>
    <definedName name="jlkj" localSheetId="31" hidden="1">{#N/A,#N/A,FALSE,"3";#N/A,#N/A,FALSE,"5";#N/A,#N/A,FALSE,"6";#N/A,#N/A,FALSE,"8";#N/A,#N/A,FALSE,"10";#N/A,#N/A,FALSE,"13";#N/A,#N/A,FALSE,"14";#N/A,#N/A,FALSE,"15";#N/A,#N/A,FALSE,"16"}</definedName>
    <definedName name="jlkj" localSheetId="32" hidden="1">{#N/A,#N/A,FALSE,"3";#N/A,#N/A,FALSE,"5";#N/A,#N/A,FALSE,"6";#N/A,#N/A,FALSE,"8";#N/A,#N/A,FALSE,"10";#N/A,#N/A,FALSE,"13";#N/A,#N/A,FALSE,"14";#N/A,#N/A,FALSE,"15";#N/A,#N/A,FALSE,"16"}</definedName>
    <definedName name="jlkj" localSheetId="10" hidden="1">{#N/A,#N/A,FALSE,"3";#N/A,#N/A,FALSE,"5";#N/A,#N/A,FALSE,"6";#N/A,#N/A,FALSE,"8";#N/A,#N/A,FALSE,"10";#N/A,#N/A,FALSE,"13";#N/A,#N/A,FALSE,"14";#N/A,#N/A,FALSE,"15";#N/A,#N/A,FALSE,"16"}</definedName>
    <definedName name="jlkj" localSheetId="6" hidden="1">{#N/A,#N/A,FALSE,"3";#N/A,#N/A,FALSE,"5";#N/A,#N/A,FALSE,"6";#N/A,#N/A,FALSE,"8";#N/A,#N/A,FALSE,"10";#N/A,#N/A,FALSE,"13";#N/A,#N/A,FALSE,"14";#N/A,#N/A,FALSE,"15";#N/A,#N/A,FALSE,"16"}</definedName>
    <definedName name="jlkj" hidden="1">{#N/A,#N/A,FALSE,"3";#N/A,#N/A,FALSE,"5";#N/A,#N/A,FALSE,"6";#N/A,#N/A,FALSE,"8";#N/A,#N/A,FALSE,"10";#N/A,#N/A,FALSE,"13";#N/A,#N/A,FALSE,"14";#N/A,#N/A,FALSE,"15";#N/A,#N/A,FALSE,"16"}</definedName>
    <definedName name="jlyulhjl" localSheetId="30" hidden="1">{#N/A,#N/A,FALSE,"3";#N/A,#N/A,FALSE,"5";#N/A,#N/A,FALSE,"6";#N/A,#N/A,FALSE,"8";#N/A,#N/A,FALSE,"10";#N/A,#N/A,FALSE,"13";#N/A,#N/A,FALSE,"14";#N/A,#N/A,FALSE,"15";#N/A,#N/A,FALSE,"16"}</definedName>
    <definedName name="jlyulhjl" localSheetId="31" hidden="1">{#N/A,#N/A,FALSE,"3";#N/A,#N/A,FALSE,"5";#N/A,#N/A,FALSE,"6";#N/A,#N/A,FALSE,"8";#N/A,#N/A,FALSE,"10";#N/A,#N/A,FALSE,"13";#N/A,#N/A,FALSE,"14";#N/A,#N/A,FALSE,"15";#N/A,#N/A,FALSE,"16"}</definedName>
    <definedName name="jlyulhjl" localSheetId="32" hidden="1">{#N/A,#N/A,FALSE,"3";#N/A,#N/A,FALSE,"5";#N/A,#N/A,FALSE,"6";#N/A,#N/A,FALSE,"8";#N/A,#N/A,FALSE,"10";#N/A,#N/A,FALSE,"13";#N/A,#N/A,FALSE,"14";#N/A,#N/A,FALSE,"15";#N/A,#N/A,FALSE,"16"}</definedName>
    <definedName name="jlyulhjl" localSheetId="10" hidden="1">{#N/A,#N/A,FALSE,"3";#N/A,#N/A,FALSE,"5";#N/A,#N/A,FALSE,"6";#N/A,#N/A,FALSE,"8";#N/A,#N/A,FALSE,"10";#N/A,#N/A,FALSE,"13";#N/A,#N/A,FALSE,"14";#N/A,#N/A,FALSE,"15";#N/A,#N/A,FALSE,"16"}</definedName>
    <definedName name="jlyulhjl" localSheetId="6" hidden="1">{#N/A,#N/A,FALSE,"3";#N/A,#N/A,FALSE,"5";#N/A,#N/A,FALSE,"6";#N/A,#N/A,FALSE,"8";#N/A,#N/A,FALSE,"10";#N/A,#N/A,FALSE,"13";#N/A,#N/A,FALSE,"14";#N/A,#N/A,FALSE,"15";#N/A,#N/A,FALSE,"16"}</definedName>
    <definedName name="jlyulhjl" hidden="1">{#N/A,#N/A,FALSE,"3";#N/A,#N/A,FALSE,"5";#N/A,#N/A,FALSE,"6";#N/A,#N/A,FALSE,"8";#N/A,#N/A,FALSE,"10";#N/A,#N/A,FALSE,"13";#N/A,#N/A,FALSE,"14";#N/A,#N/A,FALSE,"15";#N/A,#N/A,FALSE,"16"}</definedName>
    <definedName name="k" hidden="1">{"summary",#N/A,FALSE,"2000 vs 1999";"detail",#N/A,FALSE,"2000 vs 1999"}</definedName>
    <definedName name="ｋ" hidden="1">#REF!</definedName>
    <definedName name="karen" localSheetId="30" hidden="1">{"Summary analysis",#N/A,FALSE,"Total";"OCPH analysis",#N/A,FALSE,"Total";"detail analysis",#N/A,FALSE,"Total"}</definedName>
    <definedName name="karen" localSheetId="31" hidden="1">{"Summary analysis",#N/A,FALSE,"Total";"OCPH analysis",#N/A,FALSE,"Total";"detail analysis",#N/A,FALSE,"Total"}</definedName>
    <definedName name="karen" localSheetId="32" hidden="1">{"Summary analysis",#N/A,FALSE,"Total";"OCPH analysis",#N/A,FALSE,"Total";"detail analysis",#N/A,FALSE,"Total"}</definedName>
    <definedName name="karen" localSheetId="10" hidden="1">{"Summary analysis",#N/A,FALSE,"Total";"OCPH analysis",#N/A,FALSE,"Total";"detail analysis",#N/A,FALSE,"Total"}</definedName>
    <definedName name="karen" localSheetId="6" hidden="1">{"Summary analysis",#N/A,FALSE,"Total";"OCPH analysis",#N/A,FALSE,"Total";"detail analysis",#N/A,FALSE,"Total"}</definedName>
    <definedName name="karen" hidden="1">{"Summary analysis",#N/A,FALSE,"Total";"OCPH analysis",#N/A,FALSE,"Total";"detail analysis",#N/A,FALSE,"Total"}</definedName>
    <definedName name="Kauhal" hidden="1">#REF!</definedName>
    <definedName name="kdsfmùmf" localSheetId="6" hidden="1">#REF!</definedName>
    <definedName name="kdsfmùmf" hidden="1">#REF!</definedName>
    <definedName name="kfgkgkgh" localSheetId="30" hidden="1">{#N/A,#N/A,FALSE,"3";#N/A,#N/A,FALSE,"5";#N/A,#N/A,FALSE,"6";#N/A,#N/A,FALSE,"8";#N/A,#N/A,FALSE,"10";#N/A,#N/A,FALSE,"13";#N/A,#N/A,FALSE,"14";#N/A,#N/A,FALSE,"15";#N/A,#N/A,FALSE,"16"}</definedName>
    <definedName name="kfgkgkgh" localSheetId="31" hidden="1">{#N/A,#N/A,FALSE,"3";#N/A,#N/A,FALSE,"5";#N/A,#N/A,FALSE,"6";#N/A,#N/A,FALSE,"8";#N/A,#N/A,FALSE,"10";#N/A,#N/A,FALSE,"13";#N/A,#N/A,FALSE,"14";#N/A,#N/A,FALSE,"15";#N/A,#N/A,FALSE,"16"}</definedName>
    <definedName name="kfgkgkgh" localSheetId="32" hidden="1">{#N/A,#N/A,FALSE,"3";#N/A,#N/A,FALSE,"5";#N/A,#N/A,FALSE,"6";#N/A,#N/A,FALSE,"8";#N/A,#N/A,FALSE,"10";#N/A,#N/A,FALSE,"13";#N/A,#N/A,FALSE,"14";#N/A,#N/A,FALSE,"15";#N/A,#N/A,FALSE,"16"}</definedName>
    <definedName name="kfgkgkgh" localSheetId="10" hidden="1">{#N/A,#N/A,FALSE,"3";#N/A,#N/A,FALSE,"5";#N/A,#N/A,FALSE,"6";#N/A,#N/A,FALSE,"8";#N/A,#N/A,FALSE,"10";#N/A,#N/A,FALSE,"13";#N/A,#N/A,FALSE,"14";#N/A,#N/A,FALSE,"15";#N/A,#N/A,FALSE,"16"}</definedName>
    <definedName name="kfgkgkgh" localSheetId="6" hidden="1">{#N/A,#N/A,FALSE,"3";#N/A,#N/A,FALSE,"5";#N/A,#N/A,FALSE,"6";#N/A,#N/A,FALSE,"8";#N/A,#N/A,FALSE,"10";#N/A,#N/A,FALSE,"13";#N/A,#N/A,FALSE,"14";#N/A,#N/A,FALSE,"15";#N/A,#N/A,FALSE,"16"}</definedName>
    <definedName name="kfgkgkgh" hidden="1">{#N/A,#N/A,FALSE,"3";#N/A,#N/A,FALSE,"5";#N/A,#N/A,FALSE,"6";#N/A,#N/A,FALSE,"8";#N/A,#N/A,FALSE,"10";#N/A,#N/A,FALSE,"13";#N/A,#N/A,FALSE,"14";#N/A,#N/A,FALSE,"15";#N/A,#N/A,FALSE,"16"}</definedName>
    <definedName name="kgghkgh" localSheetId="30" hidden="1">{#N/A,#N/A,FALSE,"3";#N/A,#N/A,FALSE,"5";#N/A,#N/A,FALSE,"6";#N/A,#N/A,FALSE,"8";#N/A,#N/A,FALSE,"10";#N/A,#N/A,FALSE,"13";#N/A,#N/A,FALSE,"14";#N/A,#N/A,FALSE,"15";#N/A,#N/A,FALSE,"16"}</definedName>
    <definedName name="kgghkgh" localSheetId="31" hidden="1">{#N/A,#N/A,FALSE,"3";#N/A,#N/A,FALSE,"5";#N/A,#N/A,FALSE,"6";#N/A,#N/A,FALSE,"8";#N/A,#N/A,FALSE,"10";#N/A,#N/A,FALSE,"13";#N/A,#N/A,FALSE,"14";#N/A,#N/A,FALSE,"15";#N/A,#N/A,FALSE,"16"}</definedName>
    <definedName name="kgghkgh" localSheetId="32" hidden="1">{#N/A,#N/A,FALSE,"3";#N/A,#N/A,FALSE,"5";#N/A,#N/A,FALSE,"6";#N/A,#N/A,FALSE,"8";#N/A,#N/A,FALSE,"10";#N/A,#N/A,FALSE,"13";#N/A,#N/A,FALSE,"14";#N/A,#N/A,FALSE,"15";#N/A,#N/A,FALSE,"16"}</definedName>
    <definedName name="kgghkgh" localSheetId="10" hidden="1">{#N/A,#N/A,FALSE,"3";#N/A,#N/A,FALSE,"5";#N/A,#N/A,FALSE,"6";#N/A,#N/A,FALSE,"8";#N/A,#N/A,FALSE,"10";#N/A,#N/A,FALSE,"13";#N/A,#N/A,FALSE,"14";#N/A,#N/A,FALSE,"15";#N/A,#N/A,FALSE,"16"}</definedName>
    <definedName name="kgghkgh" localSheetId="6" hidden="1">{#N/A,#N/A,FALSE,"3";#N/A,#N/A,FALSE,"5";#N/A,#N/A,FALSE,"6";#N/A,#N/A,FALSE,"8";#N/A,#N/A,FALSE,"10";#N/A,#N/A,FALSE,"13";#N/A,#N/A,FALSE,"14";#N/A,#N/A,FALSE,"15";#N/A,#N/A,FALSE,"16"}</definedName>
    <definedName name="kgghkgh" hidden="1">{#N/A,#N/A,FALSE,"3";#N/A,#N/A,FALSE,"5";#N/A,#N/A,FALSE,"6";#N/A,#N/A,FALSE,"8";#N/A,#N/A,FALSE,"10";#N/A,#N/A,FALSE,"13";#N/A,#N/A,FALSE,"14";#N/A,#N/A,FALSE,"15";#N/A,#N/A,FALSE,"16"}</definedName>
    <definedName name="kgghkgk" localSheetId="30" hidden="1">{#N/A,#N/A,FALSE,"3";#N/A,#N/A,FALSE,"5";#N/A,#N/A,FALSE,"6";#N/A,#N/A,FALSE,"8";#N/A,#N/A,FALSE,"10";#N/A,#N/A,FALSE,"13";#N/A,#N/A,FALSE,"14";#N/A,#N/A,FALSE,"15";#N/A,#N/A,FALSE,"16"}</definedName>
    <definedName name="kgghkgk" localSheetId="31" hidden="1">{#N/A,#N/A,FALSE,"3";#N/A,#N/A,FALSE,"5";#N/A,#N/A,FALSE,"6";#N/A,#N/A,FALSE,"8";#N/A,#N/A,FALSE,"10";#N/A,#N/A,FALSE,"13";#N/A,#N/A,FALSE,"14";#N/A,#N/A,FALSE,"15";#N/A,#N/A,FALSE,"16"}</definedName>
    <definedName name="kgghkgk" localSheetId="32" hidden="1">{#N/A,#N/A,FALSE,"3";#N/A,#N/A,FALSE,"5";#N/A,#N/A,FALSE,"6";#N/A,#N/A,FALSE,"8";#N/A,#N/A,FALSE,"10";#N/A,#N/A,FALSE,"13";#N/A,#N/A,FALSE,"14";#N/A,#N/A,FALSE,"15";#N/A,#N/A,FALSE,"16"}</definedName>
    <definedName name="kgghkgk" localSheetId="10" hidden="1">{#N/A,#N/A,FALSE,"3";#N/A,#N/A,FALSE,"5";#N/A,#N/A,FALSE,"6";#N/A,#N/A,FALSE,"8";#N/A,#N/A,FALSE,"10";#N/A,#N/A,FALSE,"13";#N/A,#N/A,FALSE,"14";#N/A,#N/A,FALSE,"15";#N/A,#N/A,FALSE,"16"}</definedName>
    <definedName name="kgghkgk" localSheetId="6" hidden="1">{#N/A,#N/A,FALSE,"3";#N/A,#N/A,FALSE,"5";#N/A,#N/A,FALSE,"6";#N/A,#N/A,FALSE,"8";#N/A,#N/A,FALSE,"10";#N/A,#N/A,FALSE,"13";#N/A,#N/A,FALSE,"14";#N/A,#N/A,FALSE,"15";#N/A,#N/A,FALSE,"16"}</definedName>
    <definedName name="kgghkgk" hidden="1">{#N/A,#N/A,FALSE,"3";#N/A,#N/A,FALSE,"5";#N/A,#N/A,FALSE,"6";#N/A,#N/A,FALSE,"8";#N/A,#N/A,FALSE,"10";#N/A,#N/A,FALSE,"13";#N/A,#N/A,FALSE,"14";#N/A,#N/A,FALSE,"15";#N/A,#N/A,FALSE,"16"}</definedName>
    <definedName name="kghgk" localSheetId="30" hidden="1">{#N/A,#N/A,FALSE,"3";#N/A,#N/A,FALSE,"5";#N/A,#N/A,FALSE,"6";#N/A,#N/A,FALSE,"8";#N/A,#N/A,FALSE,"10";#N/A,#N/A,FALSE,"13";#N/A,#N/A,FALSE,"14";#N/A,#N/A,FALSE,"15";#N/A,#N/A,FALSE,"16"}</definedName>
    <definedName name="kghgk" localSheetId="31" hidden="1">{#N/A,#N/A,FALSE,"3";#N/A,#N/A,FALSE,"5";#N/A,#N/A,FALSE,"6";#N/A,#N/A,FALSE,"8";#N/A,#N/A,FALSE,"10";#N/A,#N/A,FALSE,"13";#N/A,#N/A,FALSE,"14";#N/A,#N/A,FALSE,"15";#N/A,#N/A,FALSE,"16"}</definedName>
    <definedName name="kghgk" localSheetId="32" hidden="1">{#N/A,#N/A,FALSE,"3";#N/A,#N/A,FALSE,"5";#N/A,#N/A,FALSE,"6";#N/A,#N/A,FALSE,"8";#N/A,#N/A,FALSE,"10";#N/A,#N/A,FALSE,"13";#N/A,#N/A,FALSE,"14";#N/A,#N/A,FALSE,"15";#N/A,#N/A,FALSE,"16"}</definedName>
    <definedName name="kghgk" localSheetId="10" hidden="1">{#N/A,#N/A,FALSE,"3";#N/A,#N/A,FALSE,"5";#N/A,#N/A,FALSE,"6";#N/A,#N/A,FALSE,"8";#N/A,#N/A,FALSE,"10";#N/A,#N/A,FALSE,"13";#N/A,#N/A,FALSE,"14";#N/A,#N/A,FALSE,"15";#N/A,#N/A,FALSE,"16"}</definedName>
    <definedName name="kghgk" localSheetId="6" hidden="1">{#N/A,#N/A,FALSE,"3";#N/A,#N/A,FALSE,"5";#N/A,#N/A,FALSE,"6";#N/A,#N/A,FALSE,"8";#N/A,#N/A,FALSE,"10";#N/A,#N/A,FALSE,"13";#N/A,#N/A,FALSE,"14";#N/A,#N/A,FALSE,"15";#N/A,#N/A,FALSE,"16"}</definedName>
    <definedName name="kghgk" hidden="1">{#N/A,#N/A,FALSE,"3";#N/A,#N/A,FALSE,"5";#N/A,#N/A,FALSE,"6";#N/A,#N/A,FALSE,"8";#N/A,#N/A,FALSE,"10";#N/A,#N/A,FALSE,"13";#N/A,#N/A,FALSE,"14";#N/A,#N/A,FALSE,"15";#N/A,#N/A,FALSE,"16"}</definedName>
    <definedName name="kghkghkghkf" localSheetId="30" hidden="1">{#N/A,#N/A,FALSE,"3";#N/A,#N/A,FALSE,"5";#N/A,#N/A,FALSE,"6";#N/A,#N/A,FALSE,"8";#N/A,#N/A,FALSE,"10";#N/A,#N/A,FALSE,"13";#N/A,#N/A,FALSE,"14";#N/A,#N/A,FALSE,"15";#N/A,#N/A,FALSE,"16"}</definedName>
    <definedName name="kghkghkghkf" localSheetId="31" hidden="1">{#N/A,#N/A,FALSE,"3";#N/A,#N/A,FALSE,"5";#N/A,#N/A,FALSE,"6";#N/A,#N/A,FALSE,"8";#N/A,#N/A,FALSE,"10";#N/A,#N/A,FALSE,"13";#N/A,#N/A,FALSE,"14";#N/A,#N/A,FALSE,"15";#N/A,#N/A,FALSE,"16"}</definedName>
    <definedName name="kghkghkghkf" localSheetId="32" hidden="1">{#N/A,#N/A,FALSE,"3";#N/A,#N/A,FALSE,"5";#N/A,#N/A,FALSE,"6";#N/A,#N/A,FALSE,"8";#N/A,#N/A,FALSE,"10";#N/A,#N/A,FALSE,"13";#N/A,#N/A,FALSE,"14";#N/A,#N/A,FALSE,"15";#N/A,#N/A,FALSE,"16"}</definedName>
    <definedName name="kghkghkghkf" localSheetId="10" hidden="1">{#N/A,#N/A,FALSE,"3";#N/A,#N/A,FALSE,"5";#N/A,#N/A,FALSE,"6";#N/A,#N/A,FALSE,"8";#N/A,#N/A,FALSE,"10";#N/A,#N/A,FALSE,"13";#N/A,#N/A,FALSE,"14";#N/A,#N/A,FALSE,"15";#N/A,#N/A,FALSE,"16"}</definedName>
    <definedName name="kghkghkghkf" localSheetId="6" hidden="1">{#N/A,#N/A,FALSE,"3";#N/A,#N/A,FALSE,"5";#N/A,#N/A,FALSE,"6";#N/A,#N/A,FALSE,"8";#N/A,#N/A,FALSE,"10";#N/A,#N/A,FALSE,"13";#N/A,#N/A,FALSE,"14";#N/A,#N/A,FALSE,"15";#N/A,#N/A,FALSE,"16"}</definedName>
    <definedName name="kghkghkghkf" hidden="1">{#N/A,#N/A,FALSE,"3";#N/A,#N/A,FALSE,"5";#N/A,#N/A,FALSE,"6";#N/A,#N/A,FALSE,"8";#N/A,#N/A,FALSE,"10";#N/A,#N/A,FALSE,"13";#N/A,#N/A,FALSE,"14";#N/A,#N/A,FALSE,"15";#N/A,#N/A,FALSE,"16"}</definedName>
    <definedName name="kghkghkgk" localSheetId="30" hidden="1">{#N/A,#N/A,FALSE,"3";#N/A,#N/A,FALSE,"5";#N/A,#N/A,FALSE,"6";#N/A,#N/A,FALSE,"8";#N/A,#N/A,FALSE,"10";#N/A,#N/A,FALSE,"13";#N/A,#N/A,FALSE,"14";#N/A,#N/A,FALSE,"15";#N/A,#N/A,FALSE,"16"}</definedName>
    <definedName name="kghkghkgk" localSheetId="31" hidden="1">{#N/A,#N/A,FALSE,"3";#N/A,#N/A,FALSE,"5";#N/A,#N/A,FALSE,"6";#N/A,#N/A,FALSE,"8";#N/A,#N/A,FALSE,"10";#N/A,#N/A,FALSE,"13";#N/A,#N/A,FALSE,"14";#N/A,#N/A,FALSE,"15";#N/A,#N/A,FALSE,"16"}</definedName>
    <definedName name="kghkghkgk" localSheetId="32" hidden="1">{#N/A,#N/A,FALSE,"3";#N/A,#N/A,FALSE,"5";#N/A,#N/A,FALSE,"6";#N/A,#N/A,FALSE,"8";#N/A,#N/A,FALSE,"10";#N/A,#N/A,FALSE,"13";#N/A,#N/A,FALSE,"14";#N/A,#N/A,FALSE,"15";#N/A,#N/A,FALSE,"16"}</definedName>
    <definedName name="kghkghkgk" localSheetId="10" hidden="1">{#N/A,#N/A,FALSE,"3";#N/A,#N/A,FALSE,"5";#N/A,#N/A,FALSE,"6";#N/A,#N/A,FALSE,"8";#N/A,#N/A,FALSE,"10";#N/A,#N/A,FALSE,"13";#N/A,#N/A,FALSE,"14";#N/A,#N/A,FALSE,"15";#N/A,#N/A,FALSE,"16"}</definedName>
    <definedName name="kghkghkgk" localSheetId="6" hidden="1">{#N/A,#N/A,FALSE,"3";#N/A,#N/A,FALSE,"5";#N/A,#N/A,FALSE,"6";#N/A,#N/A,FALSE,"8";#N/A,#N/A,FALSE,"10";#N/A,#N/A,FALSE,"13";#N/A,#N/A,FALSE,"14";#N/A,#N/A,FALSE,"15";#N/A,#N/A,FALSE,"16"}</definedName>
    <definedName name="kghkghkgk" hidden="1">{#N/A,#N/A,FALSE,"3";#N/A,#N/A,FALSE,"5";#N/A,#N/A,FALSE,"6";#N/A,#N/A,FALSE,"8";#N/A,#N/A,FALSE,"10";#N/A,#N/A,FALSE,"13";#N/A,#N/A,FALSE,"14";#N/A,#N/A,FALSE,"15";#N/A,#N/A,FALSE,"16"}</definedName>
    <definedName name="kghkhgk" localSheetId="30" hidden="1">{#N/A,#N/A,FALSE,"3";#N/A,#N/A,FALSE,"5";#N/A,#N/A,FALSE,"6";#N/A,#N/A,FALSE,"8";#N/A,#N/A,FALSE,"10";#N/A,#N/A,FALSE,"13";#N/A,#N/A,FALSE,"14";#N/A,#N/A,FALSE,"15";#N/A,#N/A,FALSE,"16"}</definedName>
    <definedName name="kghkhgk" localSheetId="31" hidden="1">{#N/A,#N/A,FALSE,"3";#N/A,#N/A,FALSE,"5";#N/A,#N/A,FALSE,"6";#N/A,#N/A,FALSE,"8";#N/A,#N/A,FALSE,"10";#N/A,#N/A,FALSE,"13";#N/A,#N/A,FALSE,"14";#N/A,#N/A,FALSE,"15";#N/A,#N/A,FALSE,"16"}</definedName>
    <definedName name="kghkhgk" localSheetId="32" hidden="1">{#N/A,#N/A,FALSE,"3";#N/A,#N/A,FALSE,"5";#N/A,#N/A,FALSE,"6";#N/A,#N/A,FALSE,"8";#N/A,#N/A,FALSE,"10";#N/A,#N/A,FALSE,"13";#N/A,#N/A,FALSE,"14";#N/A,#N/A,FALSE,"15";#N/A,#N/A,FALSE,"16"}</definedName>
    <definedName name="kghkhgk" localSheetId="10" hidden="1">{#N/A,#N/A,FALSE,"3";#N/A,#N/A,FALSE,"5";#N/A,#N/A,FALSE,"6";#N/A,#N/A,FALSE,"8";#N/A,#N/A,FALSE,"10";#N/A,#N/A,FALSE,"13";#N/A,#N/A,FALSE,"14";#N/A,#N/A,FALSE,"15";#N/A,#N/A,FALSE,"16"}</definedName>
    <definedName name="kghkhgk" localSheetId="6" hidden="1">{#N/A,#N/A,FALSE,"3";#N/A,#N/A,FALSE,"5";#N/A,#N/A,FALSE,"6";#N/A,#N/A,FALSE,"8";#N/A,#N/A,FALSE,"10";#N/A,#N/A,FALSE,"13";#N/A,#N/A,FALSE,"14";#N/A,#N/A,FALSE,"15";#N/A,#N/A,FALSE,"16"}</definedName>
    <definedName name="kghkhgk" hidden="1">{#N/A,#N/A,FALSE,"3";#N/A,#N/A,FALSE,"5";#N/A,#N/A,FALSE,"6";#N/A,#N/A,FALSE,"8";#N/A,#N/A,FALSE,"10";#N/A,#N/A,FALSE,"13";#N/A,#N/A,FALSE,"14";#N/A,#N/A,FALSE,"15";#N/A,#N/A,FALSE,"16"}</definedName>
    <definedName name="kgkgk" localSheetId="30" hidden="1">{#N/A,#N/A,FALSE,"3";#N/A,#N/A,FALSE,"5";#N/A,#N/A,FALSE,"6";#N/A,#N/A,FALSE,"8";#N/A,#N/A,FALSE,"10";#N/A,#N/A,FALSE,"13";#N/A,#N/A,FALSE,"14";#N/A,#N/A,FALSE,"15";#N/A,#N/A,FALSE,"16"}</definedName>
    <definedName name="kgkgk" localSheetId="31" hidden="1">{#N/A,#N/A,FALSE,"3";#N/A,#N/A,FALSE,"5";#N/A,#N/A,FALSE,"6";#N/A,#N/A,FALSE,"8";#N/A,#N/A,FALSE,"10";#N/A,#N/A,FALSE,"13";#N/A,#N/A,FALSE,"14";#N/A,#N/A,FALSE,"15";#N/A,#N/A,FALSE,"16"}</definedName>
    <definedName name="kgkgk" localSheetId="32" hidden="1">{#N/A,#N/A,FALSE,"3";#N/A,#N/A,FALSE,"5";#N/A,#N/A,FALSE,"6";#N/A,#N/A,FALSE,"8";#N/A,#N/A,FALSE,"10";#N/A,#N/A,FALSE,"13";#N/A,#N/A,FALSE,"14";#N/A,#N/A,FALSE,"15";#N/A,#N/A,FALSE,"16"}</definedName>
    <definedName name="kgkgk" localSheetId="10" hidden="1">{#N/A,#N/A,FALSE,"3";#N/A,#N/A,FALSE,"5";#N/A,#N/A,FALSE,"6";#N/A,#N/A,FALSE,"8";#N/A,#N/A,FALSE,"10";#N/A,#N/A,FALSE,"13";#N/A,#N/A,FALSE,"14";#N/A,#N/A,FALSE,"15";#N/A,#N/A,FALSE,"16"}</definedName>
    <definedName name="kgkgk" localSheetId="6" hidden="1">{#N/A,#N/A,FALSE,"3";#N/A,#N/A,FALSE,"5";#N/A,#N/A,FALSE,"6";#N/A,#N/A,FALSE,"8";#N/A,#N/A,FALSE,"10";#N/A,#N/A,FALSE,"13";#N/A,#N/A,FALSE,"14";#N/A,#N/A,FALSE,"15";#N/A,#N/A,FALSE,"16"}</definedName>
    <definedName name="kgkgk" hidden="1">{#N/A,#N/A,FALSE,"3";#N/A,#N/A,FALSE,"5";#N/A,#N/A,FALSE,"6";#N/A,#N/A,FALSE,"8";#N/A,#N/A,FALSE,"10";#N/A,#N/A,FALSE,"13";#N/A,#N/A,FALSE,"14";#N/A,#N/A,FALSE,"15";#N/A,#N/A,FALSE,"16"}</definedName>
    <definedName name="khggkghk" localSheetId="30" hidden="1">{#N/A,#N/A,FALSE,"3";#N/A,#N/A,FALSE,"5";#N/A,#N/A,FALSE,"6";#N/A,#N/A,FALSE,"8";#N/A,#N/A,FALSE,"10";#N/A,#N/A,FALSE,"13";#N/A,#N/A,FALSE,"14";#N/A,#N/A,FALSE,"15";#N/A,#N/A,FALSE,"16"}</definedName>
    <definedName name="khggkghk" localSheetId="31" hidden="1">{#N/A,#N/A,FALSE,"3";#N/A,#N/A,FALSE,"5";#N/A,#N/A,FALSE,"6";#N/A,#N/A,FALSE,"8";#N/A,#N/A,FALSE,"10";#N/A,#N/A,FALSE,"13";#N/A,#N/A,FALSE,"14";#N/A,#N/A,FALSE,"15";#N/A,#N/A,FALSE,"16"}</definedName>
    <definedName name="khggkghk" localSheetId="32" hidden="1">{#N/A,#N/A,FALSE,"3";#N/A,#N/A,FALSE,"5";#N/A,#N/A,FALSE,"6";#N/A,#N/A,FALSE,"8";#N/A,#N/A,FALSE,"10";#N/A,#N/A,FALSE,"13";#N/A,#N/A,FALSE,"14";#N/A,#N/A,FALSE,"15";#N/A,#N/A,FALSE,"16"}</definedName>
    <definedName name="khggkghk" localSheetId="10" hidden="1">{#N/A,#N/A,FALSE,"3";#N/A,#N/A,FALSE,"5";#N/A,#N/A,FALSE,"6";#N/A,#N/A,FALSE,"8";#N/A,#N/A,FALSE,"10";#N/A,#N/A,FALSE,"13";#N/A,#N/A,FALSE,"14";#N/A,#N/A,FALSE,"15";#N/A,#N/A,FALSE,"16"}</definedName>
    <definedName name="khggkghk" localSheetId="6" hidden="1">{#N/A,#N/A,FALSE,"3";#N/A,#N/A,FALSE,"5";#N/A,#N/A,FALSE,"6";#N/A,#N/A,FALSE,"8";#N/A,#N/A,FALSE,"10";#N/A,#N/A,FALSE,"13";#N/A,#N/A,FALSE,"14";#N/A,#N/A,FALSE,"15";#N/A,#N/A,FALSE,"16"}</definedName>
    <definedName name="khggkghk" hidden="1">{#N/A,#N/A,FALSE,"3";#N/A,#N/A,FALSE,"5";#N/A,#N/A,FALSE,"6";#N/A,#N/A,FALSE,"8";#N/A,#N/A,FALSE,"10";#N/A,#N/A,FALSE,"13";#N/A,#N/A,FALSE,"14";#N/A,#N/A,FALSE,"15";#N/A,#N/A,FALSE,"16"}</definedName>
    <definedName name="khk" localSheetId="30" hidden="1">{#N/A,#N/A,FALSE,"3";#N/A,#N/A,FALSE,"5";#N/A,#N/A,FALSE,"6";#N/A,#N/A,FALSE,"8";#N/A,#N/A,FALSE,"10";#N/A,#N/A,FALSE,"13";#N/A,#N/A,FALSE,"14";#N/A,#N/A,FALSE,"15";#N/A,#N/A,FALSE,"16"}</definedName>
    <definedName name="khk" localSheetId="31" hidden="1">{#N/A,#N/A,FALSE,"3";#N/A,#N/A,FALSE,"5";#N/A,#N/A,FALSE,"6";#N/A,#N/A,FALSE,"8";#N/A,#N/A,FALSE,"10";#N/A,#N/A,FALSE,"13";#N/A,#N/A,FALSE,"14";#N/A,#N/A,FALSE,"15";#N/A,#N/A,FALSE,"16"}</definedName>
    <definedName name="khk" localSheetId="32" hidden="1">{#N/A,#N/A,FALSE,"3";#N/A,#N/A,FALSE,"5";#N/A,#N/A,FALSE,"6";#N/A,#N/A,FALSE,"8";#N/A,#N/A,FALSE,"10";#N/A,#N/A,FALSE,"13";#N/A,#N/A,FALSE,"14";#N/A,#N/A,FALSE,"15";#N/A,#N/A,FALSE,"16"}</definedName>
    <definedName name="khk" localSheetId="10" hidden="1">{#N/A,#N/A,FALSE,"3";#N/A,#N/A,FALSE,"5";#N/A,#N/A,FALSE,"6";#N/A,#N/A,FALSE,"8";#N/A,#N/A,FALSE,"10";#N/A,#N/A,FALSE,"13";#N/A,#N/A,FALSE,"14";#N/A,#N/A,FALSE,"15";#N/A,#N/A,FALSE,"16"}</definedName>
    <definedName name="khk" localSheetId="6" hidden="1">{#N/A,#N/A,FALSE,"3";#N/A,#N/A,FALSE,"5";#N/A,#N/A,FALSE,"6";#N/A,#N/A,FALSE,"8";#N/A,#N/A,FALSE,"10";#N/A,#N/A,FALSE,"13";#N/A,#N/A,FALSE,"14";#N/A,#N/A,FALSE,"15";#N/A,#N/A,FALSE,"16"}</definedName>
    <definedName name="khk" hidden="1">{#N/A,#N/A,FALSE,"3";#N/A,#N/A,FALSE,"5";#N/A,#N/A,FALSE,"6";#N/A,#N/A,FALSE,"8";#N/A,#N/A,FALSE,"10";#N/A,#N/A,FALSE,"13";#N/A,#N/A,FALSE,"14";#N/A,#N/A,FALSE,"15";#N/A,#N/A,FALSE,"16"}</definedName>
    <definedName name="khkh" localSheetId="30" hidden="1">{#N/A,#N/A,FALSE,"3";#N/A,#N/A,FALSE,"5";#N/A,#N/A,FALSE,"6";#N/A,#N/A,FALSE,"8";#N/A,#N/A,FALSE,"10";#N/A,#N/A,FALSE,"13";#N/A,#N/A,FALSE,"14";#N/A,#N/A,FALSE,"15";#N/A,#N/A,FALSE,"16"}</definedName>
    <definedName name="khkh" localSheetId="31" hidden="1">{#N/A,#N/A,FALSE,"3";#N/A,#N/A,FALSE,"5";#N/A,#N/A,FALSE,"6";#N/A,#N/A,FALSE,"8";#N/A,#N/A,FALSE,"10";#N/A,#N/A,FALSE,"13";#N/A,#N/A,FALSE,"14";#N/A,#N/A,FALSE,"15";#N/A,#N/A,FALSE,"16"}</definedName>
    <definedName name="khkh" localSheetId="32" hidden="1">{#N/A,#N/A,FALSE,"3";#N/A,#N/A,FALSE,"5";#N/A,#N/A,FALSE,"6";#N/A,#N/A,FALSE,"8";#N/A,#N/A,FALSE,"10";#N/A,#N/A,FALSE,"13";#N/A,#N/A,FALSE,"14";#N/A,#N/A,FALSE,"15";#N/A,#N/A,FALSE,"16"}</definedName>
    <definedName name="khkh" localSheetId="10" hidden="1">{#N/A,#N/A,FALSE,"3";#N/A,#N/A,FALSE,"5";#N/A,#N/A,FALSE,"6";#N/A,#N/A,FALSE,"8";#N/A,#N/A,FALSE,"10";#N/A,#N/A,FALSE,"13";#N/A,#N/A,FALSE,"14";#N/A,#N/A,FALSE,"15";#N/A,#N/A,FALSE,"16"}</definedName>
    <definedName name="khkh" localSheetId="6" hidden="1">{#N/A,#N/A,FALSE,"3";#N/A,#N/A,FALSE,"5";#N/A,#N/A,FALSE,"6";#N/A,#N/A,FALSE,"8";#N/A,#N/A,FALSE,"10";#N/A,#N/A,FALSE,"13";#N/A,#N/A,FALSE,"14";#N/A,#N/A,FALSE,"15";#N/A,#N/A,FALSE,"16"}</definedName>
    <definedName name="khkh" hidden="1">{#N/A,#N/A,FALSE,"3";#N/A,#N/A,FALSE,"5";#N/A,#N/A,FALSE,"6";#N/A,#N/A,FALSE,"8";#N/A,#N/A,FALSE,"10";#N/A,#N/A,FALSE,"13";#N/A,#N/A,FALSE,"14";#N/A,#N/A,FALSE,"15";#N/A,#N/A,FALSE,"16"}</definedName>
    <definedName name="khkhk" localSheetId="30" hidden="1">{#N/A,#N/A,FALSE,"3";#N/A,#N/A,FALSE,"5";#N/A,#N/A,FALSE,"6";#N/A,#N/A,FALSE,"8";#N/A,#N/A,FALSE,"10";#N/A,#N/A,FALSE,"13";#N/A,#N/A,FALSE,"14";#N/A,#N/A,FALSE,"15";#N/A,#N/A,FALSE,"16"}</definedName>
    <definedName name="khkhk" localSheetId="31" hidden="1">{#N/A,#N/A,FALSE,"3";#N/A,#N/A,FALSE,"5";#N/A,#N/A,FALSE,"6";#N/A,#N/A,FALSE,"8";#N/A,#N/A,FALSE,"10";#N/A,#N/A,FALSE,"13";#N/A,#N/A,FALSE,"14";#N/A,#N/A,FALSE,"15";#N/A,#N/A,FALSE,"16"}</definedName>
    <definedName name="khkhk" localSheetId="32" hidden="1">{#N/A,#N/A,FALSE,"3";#N/A,#N/A,FALSE,"5";#N/A,#N/A,FALSE,"6";#N/A,#N/A,FALSE,"8";#N/A,#N/A,FALSE,"10";#N/A,#N/A,FALSE,"13";#N/A,#N/A,FALSE,"14";#N/A,#N/A,FALSE,"15";#N/A,#N/A,FALSE,"16"}</definedName>
    <definedName name="khkhk" localSheetId="10" hidden="1">{#N/A,#N/A,FALSE,"3";#N/A,#N/A,FALSE,"5";#N/A,#N/A,FALSE,"6";#N/A,#N/A,FALSE,"8";#N/A,#N/A,FALSE,"10";#N/A,#N/A,FALSE,"13";#N/A,#N/A,FALSE,"14";#N/A,#N/A,FALSE,"15";#N/A,#N/A,FALSE,"16"}</definedName>
    <definedName name="khkhk" localSheetId="6" hidden="1">{#N/A,#N/A,FALSE,"3";#N/A,#N/A,FALSE,"5";#N/A,#N/A,FALSE,"6";#N/A,#N/A,FALSE,"8";#N/A,#N/A,FALSE,"10";#N/A,#N/A,FALSE,"13";#N/A,#N/A,FALSE,"14";#N/A,#N/A,FALSE,"15";#N/A,#N/A,FALSE,"16"}</definedName>
    <definedName name="khkhk" hidden="1">{#N/A,#N/A,FALSE,"3";#N/A,#N/A,FALSE,"5";#N/A,#N/A,FALSE,"6";#N/A,#N/A,FALSE,"8";#N/A,#N/A,FALSE,"10";#N/A,#N/A,FALSE,"13";#N/A,#N/A,FALSE,"14";#N/A,#N/A,FALSE,"15";#N/A,#N/A,FALSE,"16"}</definedName>
    <definedName name="kjlj" localSheetId="30" hidden="1">{"Summary analysis",#N/A,FALSE,"Total";"OCPH analysis",#N/A,FALSE,"Total";"detail analysis",#N/A,FALSE,"Total"}</definedName>
    <definedName name="kjlj" localSheetId="31" hidden="1">{"Summary analysis",#N/A,FALSE,"Total";"OCPH analysis",#N/A,FALSE,"Total";"detail analysis",#N/A,FALSE,"Total"}</definedName>
    <definedName name="kjlj" localSheetId="32" hidden="1">{"Summary analysis",#N/A,FALSE,"Total";"OCPH analysis",#N/A,FALSE,"Total";"detail analysis",#N/A,FALSE,"Total"}</definedName>
    <definedName name="kjlj" localSheetId="10" hidden="1">{"Summary analysis",#N/A,FALSE,"Total";"OCPH analysis",#N/A,FALSE,"Total";"detail analysis",#N/A,FALSE,"Total"}</definedName>
    <definedName name="kjlj" localSheetId="6" hidden="1">{"Summary analysis",#N/A,FALSE,"Total";"OCPH analysis",#N/A,FALSE,"Total";"detail analysis",#N/A,FALSE,"Total"}</definedName>
    <definedName name="kjlj" hidden="1">{"Summary analysis",#N/A,FALSE,"Total";"OCPH analysis",#N/A,FALSE,"Total";"detail analysis",#N/A,FALSE,"Total"}</definedName>
    <definedName name="kjlklk" localSheetId="1" hidden="1">#REF!</definedName>
    <definedName name="kjlklk" localSheetId="6" hidden="1">#REF!</definedName>
    <definedName name="kjlklk" hidden="1">#REF!</definedName>
    <definedName name="KK" localSheetId="30" hidden="1">{#N/A,#N/A,FALSE,"COMICRO";#N/A,#N/A,FALSE,"BALSCH";#N/A,#N/A,FALSE,"GLASS";#N/A,#N/A,FALSE,"DEPRE";#N/A,#N/A,FALSE,"A&amp;MCUR";#N/A,#N/A,FALSE,"AGEANAlysis";#N/A,#N/A,FALSE,"CHECKS";#N/A,#N/A,FALSE,"CHECKS"}</definedName>
    <definedName name="KK" localSheetId="31" hidden="1">{#N/A,#N/A,FALSE,"COMICRO";#N/A,#N/A,FALSE,"BALSCH";#N/A,#N/A,FALSE,"GLASS";#N/A,#N/A,FALSE,"DEPRE";#N/A,#N/A,FALSE,"A&amp;MCUR";#N/A,#N/A,FALSE,"AGEANAlysis";#N/A,#N/A,FALSE,"CHECKS";#N/A,#N/A,FALSE,"CHECKS"}</definedName>
    <definedName name="KK" localSheetId="32" hidden="1">{#N/A,#N/A,FALSE,"COMICRO";#N/A,#N/A,FALSE,"BALSCH";#N/A,#N/A,FALSE,"GLASS";#N/A,#N/A,FALSE,"DEPRE";#N/A,#N/A,FALSE,"A&amp;MCUR";#N/A,#N/A,FALSE,"AGEANAlysis";#N/A,#N/A,FALSE,"CHECKS";#N/A,#N/A,FALSE,"CHECKS"}</definedName>
    <definedName name="KK" localSheetId="10" hidden="1">{#N/A,#N/A,FALSE,"COMICRO";#N/A,#N/A,FALSE,"BALSCH";#N/A,#N/A,FALSE,"GLASS";#N/A,#N/A,FALSE,"DEPRE";#N/A,#N/A,FALSE,"A&amp;MCUR";#N/A,#N/A,FALSE,"AGEANAlysis";#N/A,#N/A,FALSE,"CHECKS";#N/A,#N/A,FALSE,"CHECKS"}</definedName>
    <definedName name="KK" localSheetId="1" hidden="1">{#N/A,#N/A,FALSE,"COMICRO";#N/A,#N/A,FALSE,"BALSCH";#N/A,#N/A,FALSE,"GLASS";#N/A,#N/A,FALSE,"DEPRE";#N/A,#N/A,FALSE,"A&amp;MCUR";#N/A,#N/A,FALSE,"AGEANAlysis";#N/A,#N/A,FALSE,"CHECKS";#N/A,#N/A,FALSE,"CHECKS"}</definedName>
    <definedName name="KK" localSheetId="6" hidden="1">{#N/A,#N/A,FALSE,"COMICRO";#N/A,#N/A,FALSE,"BALSCH";#N/A,#N/A,FALSE,"GLASS";#N/A,#N/A,FALSE,"DEPRE";#N/A,#N/A,FALSE,"A&amp;MCUR";#N/A,#N/A,FALSE,"AGEANAlysis";#N/A,#N/A,FALSE,"CHECKS";#N/A,#N/A,FALSE,"CHECKS"}</definedName>
    <definedName name="KK" hidden="1">{#N/A,#N/A,FALSE,"COMICRO";#N/A,#N/A,FALSE,"BALSCH";#N/A,#N/A,FALSE,"GLASS";#N/A,#N/A,FALSE,"DEPRE";#N/A,#N/A,FALSE,"A&amp;MCUR";#N/A,#N/A,FALSE,"AGEANAlysis";#N/A,#N/A,FALSE,"CHECKS";#N/A,#N/A,FALSE,"CHECKS"}</definedName>
    <definedName name="KUULSD" localSheetId="30" hidden="1">{#N/A,#N/A,FALSE,"COMP"}</definedName>
    <definedName name="KUULSD" localSheetId="31" hidden="1">{#N/A,#N/A,FALSE,"COMP"}</definedName>
    <definedName name="KUULSD" localSheetId="32" hidden="1">{#N/A,#N/A,FALSE,"COMP"}</definedName>
    <definedName name="KUULSD" localSheetId="10" hidden="1">{#N/A,#N/A,FALSE,"COMP"}</definedName>
    <definedName name="KUULSD" localSheetId="1" hidden="1">{#N/A,#N/A,FALSE,"COMP"}</definedName>
    <definedName name="KUULSD" localSheetId="6" hidden="1">{#N/A,#N/A,FALSE,"COMP"}</definedName>
    <definedName name="KUULSD" hidden="1">{#N/A,#N/A,FALSE,"COMP"}</definedName>
    <definedName name="l" hidden="1">[2]Adm97!#REF!</definedName>
    <definedName name="lalal" localSheetId="30" hidden="1">{"receivables",#N/A,FALSE,"SII 99";"sales",#N/A,FALSE,"SII 99";"turns",#N/A,FALSE,"SII 99";"pastdue",#N/A,FALSE,"SII 99"}</definedName>
    <definedName name="lalal" localSheetId="31" hidden="1">{"receivables",#N/A,FALSE,"SII 99";"sales",#N/A,FALSE,"SII 99";"turns",#N/A,FALSE,"SII 99";"pastdue",#N/A,FALSE,"SII 99"}</definedName>
    <definedName name="lalal" localSheetId="32" hidden="1">{"receivables",#N/A,FALSE,"SII 99";"sales",#N/A,FALSE,"SII 99";"turns",#N/A,FALSE,"SII 99";"pastdue",#N/A,FALSE,"SII 99"}</definedName>
    <definedName name="lalal" localSheetId="10" hidden="1">{"receivables",#N/A,FALSE,"SII 99";"sales",#N/A,FALSE,"SII 99";"turns",#N/A,FALSE,"SII 99";"pastdue",#N/A,FALSE,"SII 99"}</definedName>
    <definedName name="lalal" localSheetId="6" hidden="1">{"receivables",#N/A,FALSE,"SII 99";"sales",#N/A,FALSE,"SII 99";"turns",#N/A,FALSE,"SII 99";"pastdue",#N/A,FALSE,"SII 99"}</definedName>
    <definedName name="lalal" hidden="1">{"receivables",#N/A,FALSE,"SII 99";"sales",#N/A,FALSE,"SII 99";"turns",#N/A,FALSE,"SII 99";"pastdue",#N/A,FALSE,"SII 99"}</definedName>
    <definedName name="lhjlhjlh" localSheetId="30" hidden="1">{#N/A,#N/A,FALSE,"3";#N/A,#N/A,FALSE,"5";#N/A,#N/A,FALSE,"6";#N/A,#N/A,FALSE,"8";#N/A,#N/A,FALSE,"10";#N/A,#N/A,FALSE,"13";#N/A,#N/A,FALSE,"14";#N/A,#N/A,FALSE,"15";#N/A,#N/A,FALSE,"16"}</definedName>
    <definedName name="lhjlhjlh" localSheetId="31" hidden="1">{#N/A,#N/A,FALSE,"3";#N/A,#N/A,FALSE,"5";#N/A,#N/A,FALSE,"6";#N/A,#N/A,FALSE,"8";#N/A,#N/A,FALSE,"10";#N/A,#N/A,FALSE,"13";#N/A,#N/A,FALSE,"14";#N/A,#N/A,FALSE,"15";#N/A,#N/A,FALSE,"16"}</definedName>
    <definedName name="lhjlhjlh" localSheetId="32" hidden="1">{#N/A,#N/A,FALSE,"3";#N/A,#N/A,FALSE,"5";#N/A,#N/A,FALSE,"6";#N/A,#N/A,FALSE,"8";#N/A,#N/A,FALSE,"10";#N/A,#N/A,FALSE,"13";#N/A,#N/A,FALSE,"14";#N/A,#N/A,FALSE,"15";#N/A,#N/A,FALSE,"16"}</definedName>
    <definedName name="lhjlhjlh" localSheetId="10" hidden="1">{#N/A,#N/A,FALSE,"3";#N/A,#N/A,FALSE,"5";#N/A,#N/A,FALSE,"6";#N/A,#N/A,FALSE,"8";#N/A,#N/A,FALSE,"10";#N/A,#N/A,FALSE,"13";#N/A,#N/A,FALSE,"14";#N/A,#N/A,FALSE,"15";#N/A,#N/A,FALSE,"16"}</definedName>
    <definedName name="lhjlhjlh" localSheetId="6" hidden="1">{#N/A,#N/A,FALSE,"3";#N/A,#N/A,FALSE,"5";#N/A,#N/A,FALSE,"6";#N/A,#N/A,FALSE,"8";#N/A,#N/A,FALSE,"10";#N/A,#N/A,FALSE,"13";#N/A,#N/A,FALSE,"14";#N/A,#N/A,FALSE,"15";#N/A,#N/A,FALSE,"16"}</definedName>
    <definedName name="lhjlhjlh" hidden="1">{#N/A,#N/A,FALSE,"3";#N/A,#N/A,FALSE,"5";#N/A,#N/A,FALSE,"6";#N/A,#N/A,FALSE,"8";#N/A,#N/A,FALSE,"10";#N/A,#N/A,FALSE,"13";#N/A,#N/A,FALSE,"14";#N/A,#N/A,FALSE,"15";#N/A,#N/A,FALSE,"16"}</definedName>
    <definedName name="liliy" localSheetId="30" hidden="1">{#N/A,#N/A,FALSE,"3";#N/A,#N/A,FALSE,"5";#N/A,#N/A,FALSE,"6";#N/A,#N/A,FALSE,"8";#N/A,#N/A,FALSE,"10";#N/A,#N/A,FALSE,"13";#N/A,#N/A,FALSE,"14";#N/A,#N/A,FALSE,"15";#N/A,#N/A,FALSE,"16"}</definedName>
    <definedName name="liliy" localSheetId="31" hidden="1">{#N/A,#N/A,FALSE,"3";#N/A,#N/A,FALSE,"5";#N/A,#N/A,FALSE,"6";#N/A,#N/A,FALSE,"8";#N/A,#N/A,FALSE,"10";#N/A,#N/A,FALSE,"13";#N/A,#N/A,FALSE,"14";#N/A,#N/A,FALSE,"15";#N/A,#N/A,FALSE,"16"}</definedName>
    <definedName name="liliy" localSheetId="32" hidden="1">{#N/A,#N/A,FALSE,"3";#N/A,#N/A,FALSE,"5";#N/A,#N/A,FALSE,"6";#N/A,#N/A,FALSE,"8";#N/A,#N/A,FALSE,"10";#N/A,#N/A,FALSE,"13";#N/A,#N/A,FALSE,"14";#N/A,#N/A,FALSE,"15";#N/A,#N/A,FALSE,"16"}</definedName>
    <definedName name="liliy" localSheetId="10" hidden="1">{#N/A,#N/A,FALSE,"3";#N/A,#N/A,FALSE,"5";#N/A,#N/A,FALSE,"6";#N/A,#N/A,FALSE,"8";#N/A,#N/A,FALSE,"10";#N/A,#N/A,FALSE,"13";#N/A,#N/A,FALSE,"14";#N/A,#N/A,FALSE,"15";#N/A,#N/A,FALSE,"16"}</definedName>
    <definedName name="liliy" localSheetId="6" hidden="1">{#N/A,#N/A,FALSE,"3";#N/A,#N/A,FALSE,"5";#N/A,#N/A,FALSE,"6";#N/A,#N/A,FALSE,"8";#N/A,#N/A,FALSE,"10";#N/A,#N/A,FALSE,"13";#N/A,#N/A,FALSE,"14";#N/A,#N/A,FALSE,"15";#N/A,#N/A,FALSE,"16"}</definedName>
    <definedName name="liliy" hidden="1">{#N/A,#N/A,FALSE,"3";#N/A,#N/A,FALSE,"5";#N/A,#N/A,FALSE,"6";#N/A,#N/A,FALSE,"8";#N/A,#N/A,FALSE,"10";#N/A,#N/A,FALSE,"13";#N/A,#N/A,FALSE,"14";#N/A,#N/A,FALSE,"15";#N/A,#N/A,FALSE,"16"}</definedName>
    <definedName name="ljhlhjl" localSheetId="30" hidden="1">{#N/A,#N/A,FALSE,"3";#N/A,#N/A,FALSE,"5";#N/A,#N/A,FALSE,"6";#N/A,#N/A,FALSE,"8";#N/A,#N/A,FALSE,"10";#N/A,#N/A,FALSE,"13";#N/A,#N/A,FALSE,"14";#N/A,#N/A,FALSE,"15";#N/A,#N/A,FALSE,"16"}</definedName>
    <definedName name="ljhlhjl" localSheetId="31" hidden="1">{#N/A,#N/A,FALSE,"3";#N/A,#N/A,FALSE,"5";#N/A,#N/A,FALSE,"6";#N/A,#N/A,FALSE,"8";#N/A,#N/A,FALSE,"10";#N/A,#N/A,FALSE,"13";#N/A,#N/A,FALSE,"14";#N/A,#N/A,FALSE,"15";#N/A,#N/A,FALSE,"16"}</definedName>
    <definedName name="ljhlhjl" localSheetId="32" hidden="1">{#N/A,#N/A,FALSE,"3";#N/A,#N/A,FALSE,"5";#N/A,#N/A,FALSE,"6";#N/A,#N/A,FALSE,"8";#N/A,#N/A,FALSE,"10";#N/A,#N/A,FALSE,"13";#N/A,#N/A,FALSE,"14";#N/A,#N/A,FALSE,"15";#N/A,#N/A,FALSE,"16"}</definedName>
    <definedName name="ljhlhjl" localSheetId="10" hidden="1">{#N/A,#N/A,FALSE,"3";#N/A,#N/A,FALSE,"5";#N/A,#N/A,FALSE,"6";#N/A,#N/A,FALSE,"8";#N/A,#N/A,FALSE,"10";#N/A,#N/A,FALSE,"13";#N/A,#N/A,FALSE,"14";#N/A,#N/A,FALSE,"15";#N/A,#N/A,FALSE,"16"}</definedName>
    <definedName name="ljhlhjl" localSheetId="6" hidden="1">{#N/A,#N/A,FALSE,"3";#N/A,#N/A,FALSE,"5";#N/A,#N/A,FALSE,"6";#N/A,#N/A,FALSE,"8";#N/A,#N/A,FALSE,"10";#N/A,#N/A,FALSE,"13";#N/A,#N/A,FALSE,"14";#N/A,#N/A,FALSE,"15";#N/A,#N/A,FALSE,"16"}</definedName>
    <definedName name="ljhlhjl" hidden="1">{#N/A,#N/A,FALSE,"3";#N/A,#N/A,FALSE,"5";#N/A,#N/A,FALSE,"6";#N/A,#N/A,FALSE,"8";#N/A,#N/A,FALSE,"10";#N/A,#N/A,FALSE,"13";#N/A,#N/A,FALSE,"14";#N/A,#N/A,FALSE,"15";#N/A,#N/A,FALSE,"16"}</definedName>
    <definedName name="ljhlhjlhjlhjlhj" localSheetId="30" hidden="1">{#N/A,#N/A,FALSE,"3";#N/A,#N/A,FALSE,"5";#N/A,#N/A,FALSE,"6";#N/A,#N/A,FALSE,"8";#N/A,#N/A,FALSE,"10";#N/A,#N/A,FALSE,"13";#N/A,#N/A,FALSE,"14";#N/A,#N/A,FALSE,"15";#N/A,#N/A,FALSE,"16"}</definedName>
    <definedName name="ljhlhjlhjlhjlhj" localSheetId="31" hidden="1">{#N/A,#N/A,FALSE,"3";#N/A,#N/A,FALSE,"5";#N/A,#N/A,FALSE,"6";#N/A,#N/A,FALSE,"8";#N/A,#N/A,FALSE,"10";#N/A,#N/A,FALSE,"13";#N/A,#N/A,FALSE,"14";#N/A,#N/A,FALSE,"15";#N/A,#N/A,FALSE,"16"}</definedName>
    <definedName name="ljhlhjlhjlhjlhj" localSheetId="32" hidden="1">{#N/A,#N/A,FALSE,"3";#N/A,#N/A,FALSE,"5";#N/A,#N/A,FALSE,"6";#N/A,#N/A,FALSE,"8";#N/A,#N/A,FALSE,"10";#N/A,#N/A,FALSE,"13";#N/A,#N/A,FALSE,"14";#N/A,#N/A,FALSE,"15";#N/A,#N/A,FALSE,"16"}</definedName>
    <definedName name="ljhlhjlhjlhjlhj" localSheetId="10" hidden="1">{#N/A,#N/A,FALSE,"3";#N/A,#N/A,FALSE,"5";#N/A,#N/A,FALSE,"6";#N/A,#N/A,FALSE,"8";#N/A,#N/A,FALSE,"10";#N/A,#N/A,FALSE,"13";#N/A,#N/A,FALSE,"14";#N/A,#N/A,FALSE,"15";#N/A,#N/A,FALSE,"16"}</definedName>
    <definedName name="ljhlhjlhjlhjlhj" localSheetId="6" hidden="1">{#N/A,#N/A,FALSE,"3";#N/A,#N/A,FALSE,"5";#N/A,#N/A,FALSE,"6";#N/A,#N/A,FALSE,"8";#N/A,#N/A,FALSE,"10";#N/A,#N/A,FALSE,"13";#N/A,#N/A,FALSE,"14";#N/A,#N/A,FALSE,"15";#N/A,#N/A,FALSE,"16"}</definedName>
    <definedName name="ljhlhjlhjlhjlhj" hidden="1">{#N/A,#N/A,FALSE,"3";#N/A,#N/A,FALSE,"5";#N/A,#N/A,FALSE,"6";#N/A,#N/A,FALSE,"8";#N/A,#N/A,FALSE,"10";#N/A,#N/A,FALSE,"13";#N/A,#N/A,FALSE,"14";#N/A,#N/A,FALSE,"15";#N/A,#N/A,FALSE,"16"}</definedName>
    <definedName name="ljlhjlhjlj" localSheetId="30" hidden="1">{#N/A,#N/A,FALSE,"3";#N/A,#N/A,FALSE,"5";#N/A,#N/A,FALSE,"6";#N/A,#N/A,FALSE,"8";#N/A,#N/A,FALSE,"10";#N/A,#N/A,FALSE,"13";#N/A,#N/A,FALSE,"14";#N/A,#N/A,FALSE,"15";#N/A,#N/A,FALSE,"16"}</definedName>
    <definedName name="ljlhjlhjlj" localSheetId="31" hidden="1">{#N/A,#N/A,FALSE,"3";#N/A,#N/A,FALSE,"5";#N/A,#N/A,FALSE,"6";#N/A,#N/A,FALSE,"8";#N/A,#N/A,FALSE,"10";#N/A,#N/A,FALSE,"13";#N/A,#N/A,FALSE,"14";#N/A,#N/A,FALSE,"15";#N/A,#N/A,FALSE,"16"}</definedName>
    <definedName name="ljlhjlhjlj" localSheetId="32" hidden="1">{#N/A,#N/A,FALSE,"3";#N/A,#N/A,FALSE,"5";#N/A,#N/A,FALSE,"6";#N/A,#N/A,FALSE,"8";#N/A,#N/A,FALSE,"10";#N/A,#N/A,FALSE,"13";#N/A,#N/A,FALSE,"14";#N/A,#N/A,FALSE,"15";#N/A,#N/A,FALSE,"16"}</definedName>
    <definedName name="ljlhjlhjlj" localSheetId="10" hidden="1">{#N/A,#N/A,FALSE,"3";#N/A,#N/A,FALSE,"5";#N/A,#N/A,FALSE,"6";#N/A,#N/A,FALSE,"8";#N/A,#N/A,FALSE,"10";#N/A,#N/A,FALSE,"13";#N/A,#N/A,FALSE,"14";#N/A,#N/A,FALSE,"15";#N/A,#N/A,FALSE,"16"}</definedName>
    <definedName name="ljlhjlhjlj" localSheetId="6" hidden="1">{#N/A,#N/A,FALSE,"3";#N/A,#N/A,FALSE,"5";#N/A,#N/A,FALSE,"6";#N/A,#N/A,FALSE,"8";#N/A,#N/A,FALSE,"10";#N/A,#N/A,FALSE,"13";#N/A,#N/A,FALSE,"14";#N/A,#N/A,FALSE,"15";#N/A,#N/A,FALSE,"16"}</definedName>
    <definedName name="ljlhjlhjlj" hidden="1">{#N/A,#N/A,FALSE,"3";#N/A,#N/A,FALSE,"5";#N/A,#N/A,FALSE,"6";#N/A,#N/A,FALSE,"8";#N/A,#N/A,FALSE,"10";#N/A,#N/A,FALSE,"13";#N/A,#N/A,FALSE,"14";#N/A,#N/A,FALSE,"15";#N/A,#N/A,FALSE,"16"}</definedName>
    <definedName name="ljlj" localSheetId="30" hidden="1">{"PARTE1",#N/A,FALSE,"Plan1"}</definedName>
    <definedName name="ljlj" localSheetId="31" hidden="1">{"PARTE1",#N/A,FALSE,"Plan1"}</definedName>
    <definedName name="ljlj" localSheetId="32" hidden="1">{"PARTE1",#N/A,FALSE,"Plan1"}</definedName>
    <definedName name="ljlj" localSheetId="10" hidden="1">{"PARTE1",#N/A,FALSE,"Plan1"}</definedName>
    <definedName name="ljlj" localSheetId="6" hidden="1">{"PARTE1",#N/A,FALSE,"Plan1"}</definedName>
    <definedName name="ljlj" hidden="1">{"PARTE1",#N/A,FALSE,"Plan1"}</definedName>
    <definedName name="ljljl" localSheetId="30" hidden="1">{#N/A,#N/A,FALSE,"3";#N/A,#N/A,FALSE,"5";#N/A,#N/A,FALSE,"6";#N/A,#N/A,FALSE,"8";#N/A,#N/A,FALSE,"10";#N/A,#N/A,FALSE,"13";#N/A,#N/A,FALSE,"14";#N/A,#N/A,FALSE,"15";#N/A,#N/A,FALSE,"16"}</definedName>
    <definedName name="ljljl" localSheetId="31" hidden="1">{#N/A,#N/A,FALSE,"3";#N/A,#N/A,FALSE,"5";#N/A,#N/A,FALSE,"6";#N/A,#N/A,FALSE,"8";#N/A,#N/A,FALSE,"10";#N/A,#N/A,FALSE,"13";#N/A,#N/A,FALSE,"14";#N/A,#N/A,FALSE,"15";#N/A,#N/A,FALSE,"16"}</definedName>
    <definedName name="ljljl" localSheetId="32" hidden="1">{#N/A,#N/A,FALSE,"3";#N/A,#N/A,FALSE,"5";#N/A,#N/A,FALSE,"6";#N/A,#N/A,FALSE,"8";#N/A,#N/A,FALSE,"10";#N/A,#N/A,FALSE,"13";#N/A,#N/A,FALSE,"14";#N/A,#N/A,FALSE,"15";#N/A,#N/A,FALSE,"16"}</definedName>
    <definedName name="ljljl" localSheetId="10" hidden="1">{#N/A,#N/A,FALSE,"3";#N/A,#N/A,FALSE,"5";#N/A,#N/A,FALSE,"6";#N/A,#N/A,FALSE,"8";#N/A,#N/A,FALSE,"10";#N/A,#N/A,FALSE,"13";#N/A,#N/A,FALSE,"14";#N/A,#N/A,FALSE,"15";#N/A,#N/A,FALSE,"16"}</definedName>
    <definedName name="ljljl" localSheetId="6" hidden="1">{#N/A,#N/A,FALSE,"3";#N/A,#N/A,FALSE,"5";#N/A,#N/A,FALSE,"6";#N/A,#N/A,FALSE,"8";#N/A,#N/A,FALSE,"10";#N/A,#N/A,FALSE,"13";#N/A,#N/A,FALSE,"14";#N/A,#N/A,FALSE,"15";#N/A,#N/A,FALSE,"16"}</definedName>
    <definedName name="ljljl" hidden="1">{#N/A,#N/A,FALSE,"3";#N/A,#N/A,FALSE,"5";#N/A,#N/A,FALSE,"6";#N/A,#N/A,FALSE,"8";#N/A,#N/A,FALSE,"10";#N/A,#N/A,FALSE,"13";#N/A,#N/A,FALSE,"14";#N/A,#N/A,FALSE,"15";#N/A,#N/A,FALSE,"16"}</definedName>
    <definedName name="LM" hidden="1">#REF!</definedName>
    <definedName name="lps" localSheetId="30" hidden="1">{#N/A,#N/A,FALSE,"단축1";#N/A,#N/A,FALSE,"단축2";#N/A,#N/A,FALSE,"단축3";#N/A,#N/A,FALSE,"장축";#N/A,#N/A,FALSE,"4WD"}</definedName>
    <definedName name="lps" localSheetId="31" hidden="1">{#N/A,#N/A,FALSE,"단축1";#N/A,#N/A,FALSE,"단축2";#N/A,#N/A,FALSE,"단축3";#N/A,#N/A,FALSE,"장축";#N/A,#N/A,FALSE,"4WD"}</definedName>
    <definedName name="lps" localSheetId="32" hidden="1">{#N/A,#N/A,FALSE,"단축1";#N/A,#N/A,FALSE,"단축2";#N/A,#N/A,FALSE,"단축3";#N/A,#N/A,FALSE,"장축";#N/A,#N/A,FALSE,"4WD"}</definedName>
    <definedName name="lps" localSheetId="10" hidden="1">{#N/A,#N/A,FALSE,"단축1";#N/A,#N/A,FALSE,"단축2";#N/A,#N/A,FALSE,"단축3";#N/A,#N/A,FALSE,"장축";#N/A,#N/A,FALSE,"4WD"}</definedName>
    <definedName name="lps" localSheetId="1" hidden="1">{#N/A,#N/A,FALSE,"단축1";#N/A,#N/A,FALSE,"단축2";#N/A,#N/A,FALSE,"단축3";#N/A,#N/A,FALSE,"장축";#N/A,#N/A,FALSE,"4WD"}</definedName>
    <definedName name="lps" localSheetId="6" hidden="1">{#N/A,#N/A,FALSE,"단축1";#N/A,#N/A,FALSE,"단축2";#N/A,#N/A,FALSE,"단축3";#N/A,#N/A,FALSE,"장축";#N/A,#N/A,FALSE,"4WD"}</definedName>
    <definedName name="lps" hidden="1">{#N/A,#N/A,FALSE,"단축1";#N/A,#N/A,FALSE,"단축2";#N/A,#N/A,FALSE,"단축3";#N/A,#N/A,FALSE,"장축";#N/A,#N/A,FALSE,"4WD"}</definedName>
    <definedName name="m.m" localSheetId="30" hidden="1">{#N/A,#N/A,FALSE,"3";#N/A,#N/A,FALSE,"5";#N/A,#N/A,FALSE,"6";#N/A,#N/A,FALSE,"8";#N/A,#N/A,FALSE,"10";#N/A,#N/A,FALSE,"13";#N/A,#N/A,FALSE,"14";#N/A,#N/A,FALSE,"15";#N/A,#N/A,FALSE,"16"}</definedName>
    <definedName name="m.m" localSheetId="31" hidden="1">{#N/A,#N/A,FALSE,"3";#N/A,#N/A,FALSE,"5";#N/A,#N/A,FALSE,"6";#N/A,#N/A,FALSE,"8";#N/A,#N/A,FALSE,"10";#N/A,#N/A,FALSE,"13";#N/A,#N/A,FALSE,"14";#N/A,#N/A,FALSE,"15";#N/A,#N/A,FALSE,"16"}</definedName>
    <definedName name="m.m" localSheetId="32" hidden="1">{#N/A,#N/A,FALSE,"3";#N/A,#N/A,FALSE,"5";#N/A,#N/A,FALSE,"6";#N/A,#N/A,FALSE,"8";#N/A,#N/A,FALSE,"10";#N/A,#N/A,FALSE,"13";#N/A,#N/A,FALSE,"14";#N/A,#N/A,FALSE,"15";#N/A,#N/A,FALSE,"16"}</definedName>
    <definedName name="m.m" localSheetId="10" hidden="1">{#N/A,#N/A,FALSE,"3";#N/A,#N/A,FALSE,"5";#N/A,#N/A,FALSE,"6";#N/A,#N/A,FALSE,"8";#N/A,#N/A,FALSE,"10";#N/A,#N/A,FALSE,"13";#N/A,#N/A,FALSE,"14";#N/A,#N/A,FALSE,"15";#N/A,#N/A,FALSE,"16"}</definedName>
    <definedName name="m.m" localSheetId="6" hidden="1">{#N/A,#N/A,FALSE,"3";#N/A,#N/A,FALSE,"5";#N/A,#N/A,FALSE,"6";#N/A,#N/A,FALSE,"8";#N/A,#N/A,FALSE,"10";#N/A,#N/A,FALSE,"13";#N/A,#N/A,FALSE,"14";#N/A,#N/A,FALSE,"15";#N/A,#N/A,FALSE,"16"}</definedName>
    <definedName name="m.m" hidden="1">{#N/A,#N/A,FALSE,"3";#N/A,#N/A,FALSE,"5";#N/A,#N/A,FALSE,"6";#N/A,#N/A,FALSE,"8";#N/A,#N/A,FALSE,"10";#N/A,#N/A,FALSE,"13";#N/A,#N/A,FALSE,"14";#N/A,#N/A,FALSE,"15";#N/A,#N/A,FALSE,"16"}</definedName>
    <definedName name="madhavi" localSheetId="30" hidden="1">{"plansummary",#N/A,FALSE,"PlanSummary";"sales",#N/A,FALSE,"Sales Rec";"productivity",#N/A,FALSE,"Productivity Rec";"capitalspending",#N/A,FALSE,"Capital Spending"}</definedName>
    <definedName name="madhavi" localSheetId="31" hidden="1">{"plansummary",#N/A,FALSE,"PlanSummary";"sales",#N/A,FALSE,"Sales Rec";"productivity",#N/A,FALSE,"Productivity Rec";"capitalspending",#N/A,FALSE,"Capital Spending"}</definedName>
    <definedName name="madhavi" localSheetId="32" hidden="1">{"plansummary",#N/A,FALSE,"PlanSummary";"sales",#N/A,FALSE,"Sales Rec";"productivity",#N/A,FALSE,"Productivity Rec";"capitalspending",#N/A,FALSE,"Capital Spending"}</definedName>
    <definedName name="madhavi" localSheetId="10" hidden="1">{"plansummary",#N/A,FALSE,"PlanSummary";"sales",#N/A,FALSE,"Sales Rec";"productivity",#N/A,FALSE,"Productivity Rec";"capitalspending",#N/A,FALSE,"Capital Spending"}</definedName>
    <definedName name="madhavi" localSheetId="1" hidden="1">{"plansummary",#N/A,FALSE,"PlanSummary";"sales",#N/A,FALSE,"Sales Rec";"productivity",#N/A,FALSE,"Productivity Rec";"capitalspending",#N/A,FALSE,"Capital Spending"}</definedName>
    <definedName name="madhavi" localSheetId="6" hidden="1">{"plansummary",#N/A,FALSE,"PlanSummary";"sales",#N/A,FALSE,"Sales Rec";"productivity",#N/A,FALSE,"Productivity Rec";"capitalspending",#N/A,FALSE,"Capital Spending"}</definedName>
    <definedName name="madhavi" hidden="1">{"plansummary",#N/A,FALSE,"PlanSummary";"sales",#N/A,FALSE,"Sales Rec";"productivity",#N/A,FALSE,"Productivity Rec";"capitalspending",#N/A,FALSE,"Capital Spending"}</definedName>
    <definedName name="maerskseal3" localSheetId="30" hidden="1">{#N/A,#N/A,FALSE,"USMED 3";#N/A,#N/A,FALSE,"MARCHALLENGER 1";#N/A,#N/A,FALSE,"MARCHALLENGER 2";#N/A,#N/A,FALSE,"MARCHALLENGER 3";#N/A,#N/A,FALSE,"MARCHALLENGER 4"}</definedName>
    <definedName name="maerskseal3" localSheetId="31" hidden="1">{#N/A,#N/A,FALSE,"USMED 3";#N/A,#N/A,FALSE,"MARCHALLENGER 1";#N/A,#N/A,FALSE,"MARCHALLENGER 2";#N/A,#N/A,FALSE,"MARCHALLENGER 3";#N/A,#N/A,FALSE,"MARCHALLENGER 4"}</definedName>
    <definedName name="maerskseal3" localSheetId="32" hidden="1">{#N/A,#N/A,FALSE,"USMED 3";#N/A,#N/A,FALSE,"MARCHALLENGER 1";#N/A,#N/A,FALSE,"MARCHALLENGER 2";#N/A,#N/A,FALSE,"MARCHALLENGER 3";#N/A,#N/A,FALSE,"MARCHALLENGER 4"}</definedName>
    <definedName name="maerskseal3" localSheetId="10" hidden="1">{#N/A,#N/A,FALSE,"USMED 3";#N/A,#N/A,FALSE,"MARCHALLENGER 1";#N/A,#N/A,FALSE,"MARCHALLENGER 2";#N/A,#N/A,FALSE,"MARCHALLENGER 3";#N/A,#N/A,FALSE,"MARCHALLENGER 4"}</definedName>
    <definedName name="maerskseal3" hidden="1">{#N/A,#N/A,FALSE,"USMED 3";#N/A,#N/A,FALSE,"MARCHALLENGER 1";#N/A,#N/A,FALSE,"MARCHALLENGER 2";#N/A,#N/A,FALSE,"MARCHALLENGER 3";#N/A,#N/A,FALSE,"MARCHALLENGER 4"}</definedName>
    <definedName name="maersksl3" localSheetId="30" hidden="1">{#N/A,#N/A,FALSE,"USMED 3";#N/A,#N/A,FALSE,"MARCHALLENGER 1";#N/A,#N/A,FALSE,"MARCHALLENGER 2";#N/A,#N/A,FALSE,"MARCHALLENGER 3";#N/A,#N/A,FALSE,"MARCHALLENGER 4"}</definedName>
    <definedName name="maersksl3" localSheetId="31" hidden="1">{#N/A,#N/A,FALSE,"USMED 3";#N/A,#N/A,FALSE,"MARCHALLENGER 1";#N/A,#N/A,FALSE,"MARCHALLENGER 2";#N/A,#N/A,FALSE,"MARCHALLENGER 3";#N/A,#N/A,FALSE,"MARCHALLENGER 4"}</definedName>
    <definedName name="maersksl3" localSheetId="32" hidden="1">{#N/A,#N/A,FALSE,"USMED 3";#N/A,#N/A,FALSE,"MARCHALLENGER 1";#N/A,#N/A,FALSE,"MARCHALLENGER 2";#N/A,#N/A,FALSE,"MARCHALLENGER 3";#N/A,#N/A,FALSE,"MARCHALLENGER 4"}</definedName>
    <definedName name="maersksl3" localSheetId="10" hidden="1">{#N/A,#N/A,FALSE,"USMED 3";#N/A,#N/A,FALSE,"MARCHALLENGER 1";#N/A,#N/A,FALSE,"MARCHALLENGER 2";#N/A,#N/A,FALSE,"MARCHALLENGER 3";#N/A,#N/A,FALSE,"MARCHALLENGER 4"}</definedName>
    <definedName name="maersksl3" hidden="1">{#N/A,#N/A,FALSE,"USMED 3";#N/A,#N/A,FALSE,"MARCHALLENGER 1";#N/A,#N/A,FALSE,"MARCHALLENGER 2";#N/A,#N/A,FALSE,"MARCHALLENGER 3";#N/A,#N/A,FALSE,"MARCHALLENGER 4"}</definedName>
    <definedName name="maersl3" localSheetId="30" hidden="1">{#N/A,#N/A,FALSE,"USMED 3";#N/A,#N/A,FALSE,"MARCHALLENGER 1";#N/A,#N/A,FALSE,"MARCHALLENGER 2";#N/A,#N/A,FALSE,"MARCHALLENGER 3";#N/A,#N/A,FALSE,"MARCHALLENGER 4"}</definedName>
    <definedName name="maersl3" localSheetId="31" hidden="1">{#N/A,#N/A,FALSE,"USMED 3";#N/A,#N/A,FALSE,"MARCHALLENGER 1";#N/A,#N/A,FALSE,"MARCHALLENGER 2";#N/A,#N/A,FALSE,"MARCHALLENGER 3";#N/A,#N/A,FALSE,"MARCHALLENGER 4"}</definedName>
    <definedName name="maersl3" localSheetId="32" hidden="1">{#N/A,#N/A,FALSE,"USMED 3";#N/A,#N/A,FALSE,"MARCHALLENGER 1";#N/A,#N/A,FALSE,"MARCHALLENGER 2";#N/A,#N/A,FALSE,"MARCHALLENGER 3";#N/A,#N/A,FALSE,"MARCHALLENGER 4"}</definedName>
    <definedName name="maersl3" localSheetId="10" hidden="1">{#N/A,#N/A,FALSE,"USMED 3";#N/A,#N/A,FALSE,"MARCHALLENGER 1";#N/A,#N/A,FALSE,"MARCHALLENGER 2";#N/A,#N/A,FALSE,"MARCHALLENGER 3";#N/A,#N/A,FALSE,"MARCHALLENGER 4"}</definedName>
    <definedName name="maersl3" hidden="1">{#N/A,#N/A,FALSE,"USMED 3";#N/A,#N/A,FALSE,"MARCHALLENGER 1";#N/A,#N/A,FALSE,"MARCHALLENGER 2";#N/A,#N/A,FALSE,"MARCHALLENGER 3";#N/A,#N/A,FALSE,"MARCHALLENGER 4"}</definedName>
    <definedName name="maerssl3" localSheetId="30" hidden="1">{#N/A,#N/A,FALSE,"USMED 3";#N/A,#N/A,FALSE,"MARCHALLENGER 1";#N/A,#N/A,FALSE,"MARCHALLENGER 2";#N/A,#N/A,FALSE,"MARCHALLENGER 3";#N/A,#N/A,FALSE,"MARCHALLENGER 4"}</definedName>
    <definedName name="maerssl3" localSheetId="31" hidden="1">{#N/A,#N/A,FALSE,"USMED 3";#N/A,#N/A,FALSE,"MARCHALLENGER 1";#N/A,#N/A,FALSE,"MARCHALLENGER 2";#N/A,#N/A,FALSE,"MARCHALLENGER 3";#N/A,#N/A,FALSE,"MARCHALLENGER 4"}</definedName>
    <definedName name="maerssl3" localSheetId="32" hidden="1">{#N/A,#N/A,FALSE,"USMED 3";#N/A,#N/A,FALSE,"MARCHALLENGER 1";#N/A,#N/A,FALSE,"MARCHALLENGER 2";#N/A,#N/A,FALSE,"MARCHALLENGER 3";#N/A,#N/A,FALSE,"MARCHALLENGER 4"}</definedName>
    <definedName name="maerssl3" localSheetId="10" hidden="1">{#N/A,#N/A,FALSE,"USMED 3";#N/A,#N/A,FALSE,"MARCHALLENGER 1";#N/A,#N/A,FALSE,"MARCHALLENGER 2";#N/A,#N/A,FALSE,"MARCHALLENGER 3";#N/A,#N/A,FALSE,"MARCHALLENGER 4"}</definedName>
    <definedName name="maerssl3" hidden="1">{#N/A,#N/A,FALSE,"USMED 3";#N/A,#N/A,FALSE,"MARCHALLENGER 1";#N/A,#N/A,FALSE,"MARCHALLENGER 2";#N/A,#N/A,FALSE,"MARCHALLENGER 3";#N/A,#N/A,FALSE,"MARCHALLENGER 4"}</definedName>
    <definedName name="maesl3" localSheetId="30" hidden="1">{#N/A,#N/A,FALSE,"USMED 3";#N/A,#N/A,FALSE,"MARCHALLENGER 1";#N/A,#N/A,FALSE,"MARCHALLENGER 2";#N/A,#N/A,FALSE,"MARCHALLENGER 3";#N/A,#N/A,FALSE,"MARCHALLENGER 4"}</definedName>
    <definedName name="maesl3" localSheetId="31" hidden="1">{#N/A,#N/A,FALSE,"USMED 3";#N/A,#N/A,FALSE,"MARCHALLENGER 1";#N/A,#N/A,FALSE,"MARCHALLENGER 2";#N/A,#N/A,FALSE,"MARCHALLENGER 3";#N/A,#N/A,FALSE,"MARCHALLENGER 4"}</definedName>
    <definedName name="maesl3" localSheetId="32" hidden="1">{#N/A,#N/A,FALSE,"USMED 3";#N/A,#N/A,FALSE,"MARCHALLENGER 1";#N/A,#N/A,FALSE,"MARCHALLENGER 2";#N/A,#N/A,FALSE,"MARCHALLENGER 3";#N/A,#N/A,FALSE,"MARCHALLENGER 4"}</definedName>
    <definedName name="maesl3" localSheetId="10" hidden="1">{#N/A,#N/A,FALSE,"USMED 3";#N/A,#N/A,FALSE,"MARCHALLENGER 1";#N/A,#N/A,FALSE,"MARCHALLENGER 2";#N/A,#N/A,FALSE,"MARCHALLENGER 3";#N/A,#N/A,FALSE,"MARCHALLENGER 4"}</definedName>
    <definedName name="maesl3" hidden="1">{#N/A,#N/A,FALSE,"USMED 3";#N/A,#N/A,FALSE,"MARCHALLENGER 1";#N/A,#N/A,FALSE,"MARCHALLENGER 2";#N/A,#N/A,FALSE,"MARCHALLENGER 3";#N/A,#N/A,FALSE,"MARCHALLENGER 4"}</definedName>
    <definedName name="mahantesh" localSheetId="30" hidden="1">{"'Typical Costs Estimates'!$C$158:$H$161"}</definedName>
    <definedName name="mahantesh" localSheetId="31" hidden="1">{"'Typical Costs Estimates'!$C$158:$H$161"}</definedName>
    <definedName name="mahantesh" localSheetId="32" hidden="1">{"'Typical Costs Estimates'!$C$158:$H$161"}</definedName>
    <definedName name="mahantesh" localSheetId="10" hidden="1">{"'Typical Costs Estimates'!$C$158:$H$161"}</definedName>
    <definedName name="mahantesh" hidden="1">{"'Typical Costs Estimates'!$C$158:$H$161"}</definedName>
    <definedName name="mam" localSheetId="30" hidden="1">{#N/A,#N/A,TRUE,"TOTALS";#N/A,#N/A,TRUE,"ROUTES"}</definedName>
    <definedName name="mam" localSheetId="31" hidden="1">{#N/A,#N/A,TRUE,"TOTALS";#N/A,#N/A,TRUE,"ROUTES"}</definedName>
    <definedName name="mam" localSheetId="32" hidden="1">{#N/A,#N/A,TRUE,"TOTALS";#N/A,#N/A,TRUE,"ROUTES"}</definedName>
    <definedName name="mam" localSheetId="10" hidden="1">{#N/A,#N/A,TRUE,"TOTALS";#N/A,#N/A,TRUE,"ROUTES"}</definedName>
    <definedName name="mam" localSheetId="1" hidden="1">{#N/A,#N/A,TRUE,"TOTALS";#N/A,#N/A,TRUE,"ROUTES"}</definedName>
    <definedName name="mam" localSheetId="6" hidden="1">{#N/A,#N/A,TRUE,"TOTALS";#N/A,#N/A,TRUE,"ROUTES"}</definedName>
    <definedName name="mam" hidden="1">{#N/A,#N/A,TRUE,"TOTALS";#N/A,#N/A,TRUE,"ROUTES"}</definedName>
    <definedName name="mamma" localSheetId="30" hidden="1">{"inventory",#N/A,FALSE,"Inven. Turns 97 Rep";"sales",#N/A,FALSE,"Inven. Turns 97 Rep";"turns",#N/A,FALSE,"Inven. Turns 97 Rep";"days",#N/A,FALSE,"Inven. Turns 97 Rep"}</definedName>
    <definedName name="mamma" localSheetId="31" hidden="1">{"inventory",#N/A,FALSE,"Inven. Turns 97 Rep";"sales",#N/A,FALSE,"Inven. Turns 97 Rep";"turns",#N/A,FALSE,"Inven. Turns 97 Rep";"days",#N/A,FALSE,"Inven. Turns 97 Rep"}</definedName>
    <definedName name="mamma" localSheetId="32" hidden="1">{"inventory",#N/A,FALSE,"Inven. Turns 97 Rep";"sales",#N/A,FALSE,"Inven. Turns 97 Rep";"turns",#N/A,FALSE,"Inven. Turns 97 Rep";"days",#N/A,FALSE,"Inven. Turns 97 Rep"}</definedName>
    <definedName name="mamma" localSheetId="10" hidden="1">{"inventory",#N/A,FALSE,"Inven. Turns 97 Rep";"sales",#N/A,FALSE,"Inven. Turns 97 Rep";"turns",#N/A,FALSE,"Inven. Turns 97 Rep";"days",#N/A,FALSE,"Inven. Turns 97 Rep"}</definedName>
    <definedName name="mamma" localSheetId="6" hidden="1">{"inventory",#N/A,FALSE,"Inven. Turns 97 Rep";"sales",#N/A,FALSE,"Inven. Turns 97 Rep";"turns",#N/A,FALSE,"Inven. Turns 97 Rep";"days",#N/A,FALSE,"Inven. Turns 97 Rep"}</definedName>
    <definedName name="mamma" hidden="1">{"inventory",#N/A,FALSE,"Inven. Turns 97 Rep";"sales",#N/A,FALSE,"Inven. Turns 97 Rep";"turns",#N/A,FALSE,"Inven. Turns 97 Rep";"days",#N/A,FALSE,"Inven. Turns 97 Rep"}</definedName>
    <definedName name="Man" hidden="1">1</definedName>
    <definedName name="mark" hidden="1">{"summary",#N/A,FALSE,"2000 vs 1999";"detail",#N/A,FALSE,"2000 vs 1999"}</definedName>
    <definedName name="masl" localSheetId="30" hidden="1">{#N/A,#N/A,FALSE,"USMED 3";#N/A,#N/A,FALSE,"MARCHALLENGER 1";#N/A,#N/A,FALSE,"MARCHALLENGER 2";#N/A,#N/A,FALSE,"MARCHALLENGER 3";#N/A,#N/A,FALSE,"MARCHALLENGER 4"}</definedName>
    <definedName name="masl" localSheetId="31" hidden="1">{#N/A,#N/A,FALSE,"USMED 3";#N/A,#N/A,FALSE,"MARCHALLENGER 1";#N/A,#N/A,FALSE,"MARCHALLENGER 2";#N/A,#N/A,FALSE,"MARCHALLENGER 3";#N/A,#N/A,FALSE,"MARCHALLENGER 4"}</definedName>
    <definedName name="masl" localSheetId="32" hidden="1">{#N/A,#N/A,FALSE,"USMED 3";#N/A,#N/A,FALSE,"MARCHALLENGER 1";#N/A,#N/A,FALSE,"MARCHALLENGER 2";#N/A,#N/A,FALSE,"MARCHALLENGER 3";#N/A,#N/A,FALSE,"MARCHALLENGER 4"}</definedName>
    <definedName name="masl" localSheetId="10" hidden="1">{#N/A,#N/A,FALSE,"USMED 3";#N/A,#N/A,FALSE,"MARCHALLENGER 1";#N/A,#N/A,FALSE,"MARCHALLENGER 2";#N/A,#N/A,FALSE,"MARCHALLENGER 3";#N/A,#N/A,FALSE,"MARCHALLENGER 4"}</definedName>
    <definedName name="masl" hidden="1">{#N/A,#N/A,FALSE,"USMED 3";#N/A,#N/A,FALSE,"MARCHALLENGER 1";#N/A,#N/A,FALSE,"MARCHALLENGER 2";#N/A,#N/A,FALSE,"MARCHALLENGER 3";#N/A,#N/A,FALSE,"MARCHALLENGER 4"}</definedName>
    <definedName name="MBL" localSheetId="6" hidden="1">#REF!</definedName>
    <definedName name="MBL" hidden="1">#REF!</definedName>
    <definedName name="mbm" localSheetId="30" hidden="1">{#N/A,#N/A,FALSE,"3";#N/A,#N/A,FALSE,"5";#N/A,#N/A,FALSE,"6";#N/A,#N/A,FALSE,"8";#N/A,#N/A,FALSE,"10";#N/A,#N/A,FALSE,"13";#N/A,#N/A,FALSE,"14";#N/A,#N/A,FALSE,"15";#N/A,#N/A,FALSE,"16"}</definedName>
    <definedName name="mbm" localSheetId="31" hidden="1">{#N/A,#N/A,FALSE,"3";#N/A,#N/A,FALSE,"5";#N/A,#N/A,FALSE,"6";#N/A,#N/A,FALSE,"8";#N/A,#N/A,FALSE,"10";#N/A,#N/A,FALSE,"13";#N/A,#N/A,FALSE,"14";#N/A,#N/A,FALSE,"15";#N/A,#N/A,FALSE,"16"}</definedName>
    <definedName name="mbm" localSheetId="32" hidden="1">{#N/A,#N/A,FALSE,"3";#N/A,#N/A,FALSE,"5";#N/A,#N/A,FALSE,"6";#N/A,#N/A,FALSE,"8";#N/A,#N/A,FALSE,"10";#N/A,#N/A,FALSE,"13";#N/A,#N/A,FALSE,"14";#N/A,#N/A,FALSE,"15";#N/A,#N/A,FALSE,"16"}</definedName>
    <definedName name="mbm" localSheetId="10" hidden="1">{#N/A,#N/A,FALSE,"3";#N/A,#N/A,FALSE,"5";#N/A,#N/A,FALSE,"6";#N/A,#N/A,FALSE,"8";#N/A,#N/A,FALSE,"10";#N/A,#N/A,FALSE,"13";#N/A,#N/A,FALSE,"14";#N/A,#N/A,FALSE,"15";#N/A,#N/A,FALSE,"16"}</definedName>
    <definedName name="mbm" localSheetId="6" hidden="1">{#N/A,#N/A,FALSE,"3";#N/A,#N/A,FALSE,"5";#N/A,#N/A,FALSE,"6";#N/A,#N/A,FALSE,"8";#N/A,#N/A,FALSE,"10";#N/A,#N/A,FALSE,"13";#N/A,#N/A,FALSE,"14";#N/A,#N/A,FALSE,"15";#N/A,#N/A,FALSE,"16"}</definedName>
    <definedName name="mbm" hidden="1">{#N/A,#N/A,FALSE,"3";#N/A,#N/A,FALSE,"5";#N/A,#N/A,FALSE,"6";#N/A,#N/A,FALSE,"8";#N/A,#N/A,FALSE,"10";#N/A,#N/A,FALSE,"13";#N/A,#N/A,FALSE,"14";#N/A,#N/A,FALSE,"15";#N/A,#N/A,FALSE,"16"}</definedName>
    <definedName name="mbmb" localSheetId="30" hidden="1">{#N/A,#N/A,FALSE,"3";#N/A,#N/A,FALSE,"5";#N/A,#N/A,FALSE,"6";#N/A,#N/A,FALSE,"8";#N/A,#N/A,FALSE,"10";#N/A,#N/A,FALSE,"13";#N/A,#N/A,FALSE,"14";#N/A,#N/A,FALSE,"15";#N/A,#N/A,FALSE,"16"}</definedName>
    <definedName name="mbmb" localSheetId="31" hidden="1">{#N/A,#N/A,FALSE,"3";#N/A,#N/A,FALSE,"5";#N/A,#N/A,FALSE,"6";#N/A,#N/A,FALSE,"8";#N/A,#N/A,FALSE,"10";#N/A,#N/A,FALSE,"13";#N/A,#N/A,FALSE,"14";#N/A,#N/A,FALSE,"15";#N/A,#N/A,FALSE,"16"}</definedName>
    <definedName name="mbmb" localSheetId="32" hidden="1">{#N/A,#N/A,FALSE,"3";#N/A,#N/A,FALSE,"5";#N/A,#N/A,FALSE,"6";#N/A,#N/A,FALSE,"8";#N/A,#N/A,FALSE,"10";#N/A,#N/A,FALSE,"13";#N/A,#N/A,FALSE,"14";#N/A,#N/A,FALSE,"15";#N/A,#N/A,FALSE,"16"}</definedName>
    <definedName name="mbmb" localSheetId="10" hidden="1">{#N/A,#N/A,FALSE,"3";#N/A,#N/A,FALSE,"5";#N/A,#N/A,FALSE,"6";#N/A,#N/A,FALSE,"8";#N/A,#N/A,FALSE,"10";#N/A,#N/A,FALSE,"13";#N/A,#N/A,FALSE,"14";#N/A,#N/A,FALSE,"15";#N/A,#N/A,FALSE,"16"}</definedName>
    <definedName name="mbmb" localSheetId="6" hidden="1">{#N/A,#N/A,FALSE,"3";#N/A,#N/A,FALSE,"5";#N/A,#N/A,FALSE,"6";#N/A,#N/A,FALSE,"8";#N/A,#N/A,FALSE,"10";#N/A,#N/A,FALSE,"13";#N/A,#N/A,FALSE,"14";#N/A,#N/A,FALSE,"15";#N/A,#N/A,FALSE,"16"}</definedName>
    <definedName name="mbmb" hidden="1">{#N/A,#N/A,FALSE,"3";#N/A,#N/A,FALSE,"5";#N/A,#N/A,FALSE,"6";#N/A,#N/A,FALSE,"8";#N/A,#N/A,FALSE,"10";#N/A,#N/A,FALSE,"13";#N/A,#N/A,FALSE,"14";#N/A,#N/A,FALSE,"15";#N/A,#N/A,FALSE,"16"}</definedName>
    <definedName name="michelle" localSheetId="30" hidden="1">{"Summary analysis",#N/A,FALSE,"Total";"OCPH analysis",#N/A,FALSE,"Total";"detail analysis",#N/A,FALSE,"Total"}</definedName>
    <definedName name="michelle" localSheetId="31" hidden="1">{"Summary analysis",#N/A,FALSE,"Total";"OCPH analysis",#N/A,FALSE,"Total";"detail analysis",#N/A,FALSE,"Total"}</definedName>
    <definedName name="michelle" localSheetId="32" hidden="1">{"Summary analysis",#N/A,FALSE,"Total";"OCPH analysis",#N/A,FALSE,"Total";"detail analysis",#N/A,FALSE,"Total"}</definedName>
    <definedName name="michelle" localSheetId="10" hidden="1">{"Summary analysis",#N/A,FALSE,"Total";"OCPH analysis",#N/A,FALSE,"Total";"detail analysis",#N/A,FALSE,"Total"}</definedName>
    <definedName name="michelle" localSheetId="6" hidden="1">{"Summary analysis",#N/A,FALSE,"Total";"OCPH analysis",#N/A,FALSE,"Total";"detail analysis",#N/A,FALSE,"Total"}</definedName>
    <definedName name="michelle" hidden="1">{"Summary analysis",#N/A,FALSE,"Total";"OCPH analysis",#N/A,FALSE,"Total";"detail analysis",#N/A,FALSE,"Total"}</definedName>
    <definedName name="Milano" localSheetId="30" hidden="1">{#N/A,#N/A,FALSE,"Cipta-All";#N/A,#N/A,FALSE,"Individual"}</definedName>
    <definedName name="Milano" localSheetId="31" hidden="1">{#N/A,#N/A,FALSE,"Cipta-All";#N/A,#N/A,FALSE,"Individual"}</definedName>
    <definedName name="Milano" localSheetId="32" hidden="1">{#N/A,#N/A,FALSE,"Cipta-All";#N/A,#N/A,FALSE,"Individual"}</definedName>
    <definedName name="Milano" localSheetId="10" hidden="1">{#N/A,#N/A,FALSE,"Cipta-All";#N/A,#N/A,FALSE,"Individual"}</definedName>
    <definedName name="Milano" localSheetId="1" hidden="1">{#N/A,#N/A,FALSE,"Cipta-All";#N/A,#N/A,FALSE,"Individual"}</definedName>
    <definedName name="Milano" localSheetId="6" hidden="1">{#N/A,#N/A,FALSE,"Cipta-All";#N/A,#N/A,FALSE,"Individual"}</definedName>
    <definedName name="Milano" hidden="1">{#N/A,#N/A,FALSE,"Cipta-All";#N/A,#N/A,FALSE,"Individual"}</definedName>
    <definedName name="miscpy" localSheetId="30" hidden="1">{"page1",#N/A,FALSE,"Taean 1&amp;2";"page2",#N/A,FALSE,"Taean 1&amp;2"}</definedName>
    <definedName name="miscpy" localSheetId="31" hidden="1">{"page1",#N/A,FALSE,"Taean 1&amp;2";"page2",#N/A,FALSE,"Taean 1&amp;2"}</definedName>
    <definedName name="miscpy" localSheetId="32" hidden="1">{"page1",#N/A,FALSE,"Taean 1&amp;2";"page2",#N/A,FALSE,"Taean 1&amp;2"}</definedName>
    <definedName name="miscpy" localSheetId="10" hidden="1">{"page1",#N/A,FALSE,"Taean 1&amp;2";"page2",#N/A,FALSE,"Taean 1&amp;2"}</definedName>
    <definedName name="miscpy" localSheetId="6" hidden="1">{"page1",#N/A,FALSE,"Taean 1&amp;2";"page2",#N/A,FALSE,"Taean 1&amp;2"}</definedName>
    <definedName name="miscpy" hidden="1">{"page1",#N/A,FALSE,"Taean 1&amp;2";"page2",#N/A,FALSE,"Taean 1&amp;2"}</definedName>
    <definedName name="Mix_Var_PJB" localSheetId="1" hidden="1">#REF!</definedName>
    <definedName name="Mix_Var_PJB" localSheetId="6" hidden="1">#REF!</definedName>
    <definedName name="Mix_Var_PJB" hidden="1">#REF!</definedName>
    <definedName name="ML" localSheetId="30" hidden="1">{#N/A,#N/A,FALSE,"USMED 3";#N/A,#N/A,FALSE,"MARCHALLENGER 1";#N/A,#N/A,FALSE,"MARCHALLENGER 2";#N/A,#N/A,FALSE,"MARCHALLENGER 3";#N/A,#N/A,FALSE,"MARCHALLENGER 4"}</definedName>
    <definedName name="ML" localSheetId="31" hidden="1">{#N/A,#N/A,FALSE,"USMED 3";#N/A,#N/A,FALSE,"MARCHALLENGER 1";#N/A,#N/A,FALSE,"MARCHALLENGER 2";#N/A,#N/A,FALSE,"MARCHALLENGER 3";#N/A,#N/A,FALSE,"MARCHALLENGER 4"}</definedName>
    <definedName name="ML" localSheetId="32" hidden="1">{#N/A,#N/A,FALSE,"USMED 3";#N/A,#N/A,FALSE,"MARCHALLENGER 1";#N/A,#N/A,FALSE,"MARCHALLENGER 2";#N/A,#N/A,FALSE,"MARCHALLENGER 3";#N/A,#N/A,FALSE,"MARCHALLENGER 4"}</definedName>
    <definedName name="ML" localSheetId="10" hidden="1">{#N/A,#N/A,FALSE,"USMED 3";#N/A,#N/A,FALSE,"MARCHALLENGER 1";#N/A,#N/A,FALSE,"MARCHALLENGER 2";#N/A,#N/A,FALSE,"MARCHALLENGER 3";#N/A,#N/A,FALSE,"MARCHALLENGER 4"}</definedName>
    <definedName name="ML" hidden="1">{#N/A,#N/A,FALSE,"USMED 3";#N/A,#N/A,FALSE,"MARCHALLENGER 1";#N/A,#N/A,FALSE,"MARCHALLENGER 2";#N/A,#N/A,FALSE,"MARCHALLENGER 3";#N/A,#N/A,FALSE,"MARCHALLENGER 4"}</definedName>
    <definedName name="mnmn" localSheetId="30" hidden="1">{#N/A,#N/A,FALSE,"3";#N/A,#N/A,FALSE,"5";#N/A,#N/A,FALSE,"6";#N/A,#N/A,FALSE,"8";#N/A,#N/A,FALSE,"10";#N/A,#N/A,FALSE,"13";#N/A,#N/A,FALSE,"14";#N/A,#N/A,FALSE,"15";#N/A,#N/A,FALSE,"16"}</definedName>
    <definedName name="mnmn" localSheetId="31" hidden="1">{#N/A,#N/A,FALSE,"3";#N/A,#N/A,FALSE,"5";#N/A,#N/A,FALSE,"6";#N/A,#N/A,FALSE,"8";#N/A,#N/A,FALSE,"10";#N/A,#N/A,FALSE,"13";#N/A,#N/A,FALSE,"14";#N/A,#N/A,FALSE,"15";#N/A,#N/A,FALSE,"16"}</definedName>
    <definedName name="mnmn" localSheetId="32" hidden="1">{#N/A,#N/A,FALSE,"3";#N/A,#N/A,FALSE,"5";#N/A,#N/A,FALSE,"6";#N/A,#N/A,FALSE,"8";#N/A,#N/A,FALSE,"10";#N/A,#N/A,FALSE,"13";#N/A,#N/A,FALSE,"14";#N/A,#N/A,FALSE,"15";#N/A,#N/A,FALSE,"16"}</definedName>
    <definedName name="mnmn" localSheetId="10" hidden="1">{#N/A,#N/A,FALSE,"3";#N/A,#N/A,FALSE,"5";#N/A,#N/A,FALSE,"6";#N/A,#N/A,FALSE,"8";#N/A,#N/A,FALSE,"10";#N/A,#N/A,FALSE,"13";#N/A,#N/A,FALSE,"14";#N/A,#N/A,FALSE,"15";#N/A,#N/A,FALSE,"16"}</definedName>
    <definedName name="mnmn" localSheetId="6" hidden="1">{#N/A,#N/A,FALSE,"3";#N/A,#N/A,FALSE,"5";#N/A,#N/A,FALSE,"6";#N/A,#N/A,FALSE,"8";#N/A,#N/A,FALSE,"10";#N/A,#N/A,FALSE,"13";#N/A,#N/A,FALSE,"14";#N/A,#N/A,FALSE,"15";#N/A,#N/A,FALSE,"16"}</definedName>
    <definedName name="mnmn" hidden="1">{#N/A,#N/A,FALSE,"3";#N/A,#N/A,FALSE,"5";#N/A,#N/A,FALSE,"6";#N/A,#N/A,FALSE,"8";#N/A,#N/A,FALSE,"10";#N/A,#N/A,FALSE,"13";#N/A,#N/A,FALSE,"14";#N/A,#N/A,FALSE,"15";#N/A,#N/A,FALSE,"16"}</definedName>
    <definedName name="mucwip" localSheetId="30" hidden="1">{#N/A,#N/A,TRUE,"RM-June"}</definedName>
    <definedName name="mucwip" localSheetId="31" hidden="1">{#N/A,#N/A,TRUE,"RM-June"}</definedName>
    <definedName name="mucwip" localSheetId="32" hidden="1">{#N/A,#N/A,TRUE,"RM-June"}</definedName>
    <definedName name="mucwip" localSheetId="10" hidden="1">{#N/A,#N/A,TRUE,"RM-June"}</definedName>
    <definedName name="mucwip" localSheetId="1" hidden="1">{#N/A,#N/A,TRUE,"RM-June"}</definedName>
    <definedName name="mucwip" localSheetId="6" hidden="1">{#N/A,#N/A,TRUE,"RM-June"}</definedName>
    <definedName name="mucwip" hidden="1">{#N/A,#N/A,TRUE,"RM-June"}</definedName>
    <definedName name="navneet" localSheetId="30" hidden="1">{"'Sheet3'!$A$1:$B$30"}</definedName>
    <definedName name="navneet" localSheetId="31" hidden="1">{"'Sheet3'!$A$1:$B$30"}</definedName>
    <definedName name="navneet" localSheetId="32" hidden="1">{"'Sheet3'!$A$1:$B$30"}</definedName>
    <definedName name="navneet" localSheetId="10" hidden="1">{"'Sheet3'!$A$1:$B$30"}</definedName>
    <definedName name="navneet" localSheetId="1" hidden="1">{"'Sheet3'!$A$1:$B$30"}</definedName>
    <definedName name="navneet" localSheetId="6" hidden="1">{"'Sheet3'!$A$1:$B$30"}</definedName>
    <definedName name="navneet" hidden="1">{"'Sheet3'!$A$1:$B$30"}</definedName>
    <definedName name="NDGNDN" localSheetId="30" hidden="1">{"'Mach'!$A$1:$D$39"}</definedName>
    <definedName name="NDGNDN" localSheetId="31" hidden="1">{"'Mach'!$A$1:$D$39"}</definedName>
    <definedName name="NDGNDN" localSheetId="32" hidden="1">{"'Mach'!$A$1:$D$39"}</definedName>
    <definedName name="NDGNDN" localSheetId="10" hidden="1">{"'Mach'!$A$1:$D$39"}</definedName>
    <definedName name="NDGNDN" localSheetId="1" hidden="1">{"'Mach'!$A$1:$D$39"}</definedName>
    <definedName name="NDGNDN" localSheetId="6" hidden="1">{"'Mach'!$A$1:$D$39"}</definedName>
    <definedName name="NDGNDN" hidden="1">{"'Mach'!$A$1:$D$39"}</definedName>
    <definedName name="Newone" localSheetId="30" hidden="1">{#N/A,#N/A,FALSE,"COMP"}</definedName>
    <definedName name="Newone" localSheetId="31" hidden="1">{#N/A,#N/A,FALSE,"COMP"}</definedName>
    <definedName name="Newone" localSheetId="32" hidden="1">{#N/A,#N/A,FALSE,"COMP"}</definedName>
    <definedName name="Newone" localSheetId="10" hidden="1">{#N/A,#N/A,FALSE,"COMP"}</definedName>
    <definedName name="Newone" localSheetId="1" hidden="1">{#N/A,#N/A,FALSE,"COMP"}</definedName>
    <definedName name="Newone" localSheetId="6" hidden="1">{#N/A,#N/A,FALSE,"COMP"}</definedName>
    <definedName name="Newone" hidden="1">{#N/A,#N/A,FALSE,"COMP"}</definedName>
    <definedName name="news" localSheetId="30" hidden="1">{#N/A,#N/A,FALSE,"COMICRO";#N/A,#N/A,FALSE,"BALSCH";#N/A,#N/A,FALSE,"GLASS";#N/A,#N/A,FALSE,"DEPRE";#N/A,#N/A,FALSE,"A&amp;MCUR";#N/A,#N/A,FALSE,"AGEANAlysis";#N/A,#N/A,FALSE,"CHECKS";#N/A,#N/A,FALSE,"CHECKS"}</definedName>
    <definedName name="news" localSheetId="31" hidden="1">{#N/A,#N/A,FALSE,"COMICRO";#N/A,#N/A,FALSE,"BALSCH";#N/A,#N/A,FALSE,"GLASS";#N/A,#N/A,FALSE,"DEPRE";#N/A,#N/A,FALSE,"A&amp;MCUR";#N/A,#N/A,FALSE,"AGEANAlysis";#N/A,#N/A,FALSE,"CHECKS";#N/A,#N/A,FALSE,"CHECKS"}</definedName>
    <definedName name="news" localSheetId="32" hidden="1">{#N/A,#N/A,FALSE,"COMICRO";#N/A,#N/A,FALSE,"BALSCH";#N/A,#N/A,FALSE,"GLASS";#N/A,#N/A,FALSE,"DEPRE";#N/A,#N/A,FALSE,"A&amp;MCUR";#N/A,#N/A,FALSE,"AGEANAlysis";#N/A,#N/A,FALSE,"CHECKS";#N/A,#N/A,FALSE,"CHECKS"}</definedName>
    <definedName name="news" localSheetId="10" hidden="1">{#N/A,#N/A,FALSE,"COMICRO";#N/A,#N/A,FALSE,"BALSCH";#N/A,#N/A,FALSE,"GLASS";#N/A,#N/A,FALSE,"DEPRE";#N/A,#N/A,FALSE,"A&amp;MCUR";#N/A,#N/A,FALSE,"AGEANAlysis";#N/A,#N/A,FALSE,"CHECKS";#N/A,#N/A,FALSE,"CHECKS"}</definedName>
    <definedName name="news" localSheetId="1" hidden="1">{#N/A,#N/A,FALSE,"COMICRO";#N/A,#N/A,FALSE,"BALSCH";#N/A,#N/A,FALSE,"GLASS";#N/A,#N/A,FALSE,"DEPRE";#N/A,#N/A,FALSE,"A&amp;MCUR";#N/A,#N/A,FALSE,"AGEANAlysis";#N/A,#N/A,FALSE,"CHECKS";#N/A,#N/A,FALSE,"CHECKS"}</definedName>
    <definedName name="news" localSheetId="6" hidden="1">{#N/A,#N/A,FALSE,"COMICRO";#N/A,#N/A,FALSE,"BALSCH";#N/A,#N/A,FALSE,"GLASS";#N/A,#N/A,FALSE,"DEPRE";#N/A,#N/A,FALSE,"A&amp;MCUR";#N/A,#N/A,FALSE,"AGEANAlysis";#N/A,#N/A,FALSE,"CHECKS";#N/A,#N/A,FALSE,"CHECKS"}</definedName>
    <definedName name="news" hidden="1">{#N/A,#N/A,FALSE,"COMICRO";#N/A,#N/A,FALSE,"BALSCH";#N/A,#N/A,FALSE,"GLASS";#N/A,#N/A,FALSE,"DEPRE";#N/A,#N/A,FALSE,"A&amp;MCUR";#N/A,#N/A,FALSE,"AGEANAlysis";#N/A,#N/A,FALSE,"CHECKS";#N/A,#N/A,FALSE,"CHECKS"}</definedName>
    <definedName name="newt" localSheetId="30" hidden="1">{#N/A,#N/A,TRUE,"Summary";#N/A,#N/A,TRUE,"IS";#N/A,#N/A,TRUE,"Adj";#N/A,#N/A,TRUE,"BS";#N/A,#N/A,TRUE,"CF";#N/A,#N/A,TRUE,"Debt";#N/A,#N/A,TRUE,"IRR"}</definedName>
    <definedName name="newt" localSheetId="31" hidden="1">{#N/A,#N/A,TRUE,"Summary";#N/A,#N/A,TRUE,"IS";#N/A,#N/A,TRUE,"Adj";#N/A,#N/A,TRUE,"BS";#N/A,#N/A,TRUE,"CF";#N/A,#N/A,TRUE,"Debt";#N/A,#N/A,TRUE,"IRR"}</definedName>
    <definedName name="newt" localSheetId="32" hidden="1">{#N/A,#N/A,TRUE,"Summary";#N/A,#N/A,TRUE,"IS";#N/A,#N/A,TRUE,"Adj";#N/A,#N/A,TRUE,"BS";#N/A,#N/A,TRUE,"CF";#N/A,#N/A,TRUE,"Debt";#N/A,#N/A,TRUE,"IRR"}</definedName>
    <definedName name="newt" localSheetId="10" hidden="1">{#N/A,#N/A,TRUE,"Summary";#N/A,#N/A,TRUE,"IS";#N/A,#N/A,TRUE,"Adj";#N/A,#N/A,TRUE,"BS";#N/A,#N/A,TRUE,"CF";#N/A,#N/A,TRUE,"Debt";#N/A,#N/A,TRUE,"IRR"}</definedName>
    <definedName name="newt" localSheetId="1" hidden="1">{#N/A,#N/A,TRUE,"Summary";#N/A,#N/A,TRUE,"IS";#N/A,#N/A,TRUE,"Adj";#N/A,#N/A,TRUE,"BS";#N/A,#N/A,TRUE,"CF";#N/A,#N/A,TRUE,"Debt";#N/A,#N/A,TRUE,"IRR"}</definedName>
    <definedName name="newt" localSheetId="6" hidden="1">{#N/A,#N/A,TRUE,"Summary";#N/A,#N/A,TRUE,"IS";#N/A,#N/A,TRUE,"Adj";#N/A,#N/A,TRUE,"BS";#N/A,#N/A,TRUE,"CF";#N/A,#N/A,TRUE,"Debt";#N/A,#N/A,TRUE,"IRR"}</definedName>
    <definedName name="newt" hidden="1">{#N/A,#N/A,TRUE,"Summary";#N/A,#N/A,TRUE,"IS";#N/A,#N/A,TRUE,"Adj";#N/A,#N/A,TRUE,"BS";#N/A,#N/A,TRUE,"CF";#N/A,#N/A,TRUE,"Debt";#N/A,#N/A,TRUE,"IRR"}</definedName>
    <definedName name="neww4" localSheetId="30" hidden="1">{#N/A,#N/A,FALSE,"3";#N/A,#N/A,FALSE,"5";#N/A,#N/A,FALSE,"6";#N/A,#N/A,FALSE,"8";#N/A,#N/A,FALSE,"10";#N/A,#N/A,FALSE,"13";#N/A,#N/A,FALSE,"14";#N/A,#N/A,FALSE,"15";#N/A,#N/A,FALSE,"16"}</definedName>
    <definedName name="neww4" localSheetId="31" hidden="1">{#N/A,#N/A,FALSE,"3";#N/A,#N/A,FALSE,"5";#N/A,#N/A,FALSE,"6";#N/A,#N/A,FALSE,"8";#N/A,#N/A,FALSE,"10";#N/A,#N/A,FALSE,"13";#N/A,#N/A,FALSE,"14";#N/A,#N/A,FALSE,"15";#N/A,#N/A,FALSE,"16"}</definedName>
    <definedName name="neww4" localSheetId="32" hidden="1">{#N/A,#N/A,FALSE,"3";#N/A,#N/A,FALSE,"5";#N/A,#N/A,FALSE,"6";#N/A,#N/A,FALSE,"8";#N/A,#N/A,FALSE,"10";#N/A,#N/A,FALSE,"13";#N/A,#N/A,FALSE,"14";#N/A,#N/A,FALSE,"15";#N/A,#N/A,FALSE,"16"}</definedName>
    <definedName name="neww4" localSheetId="10" hidden="1">{#N/A,#N/A,FALSE,"3";#N/A,#N/A,FALSE,"5";#N/A,#N/A,FALSE,"6";#N/A,#N/A,FALSE,"8";#N/A,#N/A,FALSE,"10";#N/A,#N/A,FALSE,"13";#N/A,#N/A,FALSE,"14";#N/A,#N/A,FALSE,"15";#N/A,#N/A,FALSE,"16"}</definedName>
    <definedName name="neww4" localSheetId="6" hidden="1">{#N/A,#N/A,FALSE,"3";#N/A,#N/A,FALSE,"5";#N/A,#N/A,FALSE,"6";#N/A,#N/A,FALSE,"8";#N/A,#N/A,FALSE,"10";#N/A,#N/A,FALSE,"13";#N/A,#N/A,FALSE,"14";#N/A,#N/A,FALSE,"15";#N/A,#N/A,FALSE,"16"}</definedName>
    <definedName name="neww4" hidden="1">{#N/A,#N/A,FALSE,"3";#N/A,#N/A,FALSE,"5";#N/A,#N/A,FALSE,"6";#N/A,#N/A,FALSE,"8";#N/A,#N/A,FALSE,"10";#N/A,#N/A,FALSE,"13";#N/A,#N/A,FALSE,"14";#N/A,#N/A,FALSE,"15";#N/A,#N/A,FALSE,"16"}</definedName>
    <definedName name="NHR" localSheetId="30" hidden="1">{"raatios",#N/A,FALSE,"A";"ratios",#N/A,FALSE,"B";"ratios",#N/A,FALSE,"C";"ratios",#N/A,FALSE,"D";"ratios",#N/A,FALSE,"F"}</definedName>
    <definedName name="NHR" localSheetId="31" hidden="1">{"raatios",#N/A,FALSE,"A";"ratios",#N/A,FALSE,"B";"ratios",#N/A,FALSE,"C";"ratios",#N/A,FALSE,"D";"ratios",#N/A,FALSE,"F"}</definedName>
    <definedName name="NHR" localSheetId="32" hidden="1">{"raatios",#N/A,FALSE,"A";"ratios",#N/A,FALSE,"B";"ratios",#N/A,FALSE,"C";"ratios",#N/A,FALSE,"D";"ratios",#N/A,FALSE,"F"}</definedName>
    <definedName name="NHR" localSheetId="10" hidden="1">{"raatios",#N/A,FALSE,"A";"ratios",#N/A,FALSE,"B";"ratios",#N/A,FALSE,"C";"ratios",#N/A,FALSE,"D";"ratios",#N/A,FALSE,"F"}</definedName>
    <definedName name="NHR" localSheetId="6" hidden="1">{"raatios",#N/A,FALSE,"A";"ratios",#N/A,FALSE,"B";"ratios",#N/A,FALSE,"C";"ratios",#N/A,FALSE,"D";"ratios",#N/A,FALSE,"F"}</definedName>
    <definedName name="NHR" hidden="1">{"raatios",#N/A,FALSE,"A";"ratios",#N/A,FALSE,"B";"ratios",#N/A,FALSE,"C";"ratios",#N/A,FALSE,"D";"ratios",#N/A,FALSE,"F"}</definedName>
    <definedName name="Nil" localSheetId="30" hidden="1">{#N/A,#N/A,FALSE,"Aging Summary";#N/A,#N/A,FALSE,"Ratio Analysis";#N/A,#N/A,FALSE,"Test 120 Day Accts";#N/A,#N/A,FALSE,"Tickmarks"}</definedName>
    <definedName name="Nil" localSheetId="31" hidden="1">{#N/A,#N/A,FALSE,"Aging Summary";#N/A,#N/A,FALSE,"Ratio Analysis";#N/A,#N/A,FALSE,"Test 120 Day Accts";#N/A,#N/A,FALSE,"Tickmarks"}</definedName>
    <definedName name="Nil" localSheetId="32" hidden="1">{#N/A,#N/A,FALSE,"Aging Summary";#N/A,#N/A,FALSE,"Ratio Analysis";#N/A,#N/A,FALSE,"Test 120 Day Accts";#N/A,#N/A,FALSE,"Tickmarks"}</definedName>
    <definedName name="Nil" localSheetId="10" hidden="1">{#N/A,#N/A,FALSE,"Aging Summary";#N/A,#N/A,FALSE,"Ratio Analysis";#N/A,#N/A,FALSE,"Test 120 Day Accts";#N/A,#N/A,FALSE,"Tickmarks"}</definedName>
    <definedName name="Nil" localSheetId="1" hidden="1">{#N/A,#N/A,FALSE,"Aging Summary";#N/A,#N/A,FALSE,"Ratio Analysis";#N/A,#N/A,FALSE,"Test 120 Day Accts";#N/A,#N/A,FALSE,"Tickmarks"}</definedName>
    <definedName name="Nil" localSheetId="6" hidden="1">{#N/A,#N/A,FALSE,"Aging Summary";#N/A,#N/A,FALSE,"Ratio Analysis";#N/A,#N/A,FALSE,"Test 120 Day Accts";#N/A,#N/A,FALSE,"Tickmarks"}</definedName>
    <definedName name="Nil" hidden="1">{#N/A,#N/A,FALSE,"Aging Summary";#N/A,#N/A,FALSE,"Ratio Analysis";#N/A,#N/A,FALSE,"Test 120 Day Accts";#N/A,#N/A,FALSE,"Tickmarks"}</definedName>
    <definedName name="nir" hidden="1">#REF!</definedName>
    <definedName name="nn" hidden="1">{"'Posting Dates'!$A$4:$G$4","'Posting Dates'!$A$1:$L$22"}</definedName>
    <definedName name="NOD" hidden="1">{"Detail analysis",#N/A,FALSE,"Model";"Summary analysis",#N/A,FALSE,"Model";"OCPH analysis",#N/A,FALSE,"Model"}</definedName>
    <definedName name="None" localSheetId="30" hidden="1">{"Summary analysis",#N/A,FALSE,"Total";"OCPH analysis",#N/A,FALSE,"Total";"detail analysis",#N/A,FALSE,"Total"}</definedName>
    <definedName name="None" localSheetId="31" hidden="1">{"Summary analysis",#N/A,FALSE,"Total";"OCPH analysis",#N/A,FALSE,"Total";"detail analysis",#N/A,FALSE,"Total"}</definedName>
    <definedName name="None" localSheetId="32" hidden="1">{"Summary analysis",#N/A,FALSE,"Total";"OCPH analysis",#N/A,FALSE,"Total";"detail analysis",#N/A,FALSE,"Total"}</definedName>
    <definedName name="None" localSheetId="10" hidden="1">{"Summary analysis",#N/A,FALSE,"Total";"OCPH analysis",#N/A,FALSE,"Total";"detail analysis",#N/A,FALSE,"Total"}</definedName>
    <definedName name="None" localSheetId="6" hidden="1">{"Summary analysis",#N/A,FALSE,"Total";"OCPH analysis",#N/A,FALSE,"Total";"detail analysis",#N/A,FALSE,"Total"}</definedName>
    <definedName name="None" hidden="1">{"Summary analysis",#N/A,FALSE,"Total";"OCPH analysis",#N/A,FALSE,"Total";"detail analysis",#N/A,FALSE,"Total"}</definedName>
    <definedName name="noura" localSheetId="30" hidden="1">{#N/A,#N/A,FALSE,"3";#N/A,#N/A,FALSE,"5";#N/A,#N/A,FALSE,"6";#N/A,#N/A,FALSE,"8";#N/A,#N/A,FALSE,"10";#N/A,#N/A,FALSE,"13";#N/A,#N/A,FALSE,"14";#N/A,#N/A,FALSE,"15";#N/A,#N/A,FALSE,"16"}</definedName>
    <definedName name="noura" localSheetId="31" hidden="1">{#N/A,#N/A,FALSE,"3";#N/A,#N/A,FALSE,"5";#N/A,#N/A,FALSE,"6";#N/A,#N/A,FALSE,"8";#N/A,#N/A,FALSE,"10";#N/A,#N/A,FALSE,"13";#N/A,#N/A,FALSE,"14";#N/A,#N/A,FALSE,"15";#N/A,#N/A,FALSE,"16"}</definedName>
    <definedName name="noura" localSheetId="32" hidden="1">{#N/A,#N/A,FALSE,"3";#N/A,#N/A,FALSE,"5";#N/A,#N/A,FALSE,"6";#N/A,#N/A,FALSE,"8";#N/A,#N/A,FALSE,"10";#N/A,#N/A,FALSE,"13";#N/A,#N/A,FALSE,"14";#N/A,#N/A,FALSE,"15";#N/A,#N/A,FALSE,"16"}</definedName>
    <definedName name="noura" localSheetId="10" hidden="1">{#N/A,#N/A,FALSE,"3";#N/A,#N/A,FALSE,"5";#N/A,#N/A,FALSE,"6";#N/A,#N/A,FALSE,"8";#N/A,#N/A,FALSE,"10";#N/A,#N/A,FALSE,"13";#N/A,#N/A,FALSE,"14";#N/A,#N/A,FALSE,"15";#N/A,#N/A,FALSE,"16"}</definedName>
    <definedName name="noura" localSheetId="6" hidden="1">{#N/A,#N/A,FALSE,"3";#N/A,#N/A,FALSE,"5";#N/A,#N/A,FALSE,"6";#N/A,#N/A,FALSE,"8";#N/A,#N/A,FALSE,"10";#N/A,#N/A,FALSE,"13";#N/A,#N/A,FALSE,"14";#N/A,#N/A,FALSE,"15";#N/A,#N/A,FALSE,"16"}</definedName>
    <definedName name="noura" hidden="1">{#N/A,#N/A,FALSE,"3";#N/A,#N/A,FALSE,"5";#N/A,#N/A,FALSE,"6";#N/A,#N/A,FALSE,"8";#N/A,#N/A,FALSE,"10";#N/A,#N/A,FALSE,"13";#N/A,#N/A,FALSE,"14";#N/A,#N/A,FALSE,"15";#N/A,#N/A,FALSE,"16"}</definedName>
    <definedName name="NOURA1" localSheetId="30" hidden="1">{#N/A,#N/A,FALSE,"3";#N/A,#N/A,FALSE,"5";#N/A,#N/A,FALSE,"6";#N/A,#N/A,FALSE,"8";#N/A,#N/A,FALSE,"10";#N/A,#N/A,FALSE,"13";#N/A,#N/A,FALSE,"14";#N/A,#N/A,FALSE,"15";#N/A,#N/A,FALSE,"16"}</definedName>
    <definedName name="NOURA1" localSheetId="31" hidden="1">{#N/A,#N/A,FALSE,"3";#N/A,#N/A,FALSE,"5";#N/A,#N/A,FALSE,"6";#N/A,#N/A,FALSE,"8";#N/A,#N/A,FALSE,"10";#N/A,#N/A,FALSE,"13";#N/A,#N/A,FALSE,"14";#N/A,#N/A,FALSE,"15";#N/A,#N/A,FALSE,"16"}</definedName>
    <definedName name="NOURA1" localSheetId="32" hidden="1">{#N/A,#N/A,FALSE,"3";#N/A,#N/A,FALSE,"5";#N/A,#N/A,FALSE,"6";#N/A,#N/A,FALSE,"8";#N/A,#N/A,FALSE,"10";#N/A,#N/A,FALSE,"13";#N/A,#N/A,FALSE,"14";#N/A,#N/A,FALSE,"15";#N/A,#N/A,FALSE,"16"}</definedName>
    <definedName name="NOURA1" localSheetId="10" hidden="1">{#N/A,#N/A,FALSE,"3";#N/A,#N/A,FALSE,"5";#N/A,#N/A,FALSE,"6";#N/A,#N/A,FALSE,"8";#N/A,#N/A,FALSE,"10";#N/A,#N/A,FALSE,"13";#N/A,#N/A,FALSE,"14";#N/A,#N/A,FALSE,"15";#N/A,#N/A,FALSE,"16"}</definedName>
    <definedName name="NOURA1" localSheetId="6" hidden="1">{#N/A,#N/A,FALSE,"3";#N/A,#N/A,FALSE,"5";#N/A,#N/A,FALSE,"6";#N/A,#N/A,FALSE,"8";#N/A,#N/A,FALSE,"10";#N/A,#N/A,FALSE,"13";#N/A,#N/A,FALSE,"14";#N/A,#N/A,FALSE,"15";#N/A,#N/A,FALSE,"16"}</definedName>
    <definedName name="NOURA1" hidden="1">{#N/A,#N/A,FALSE,"3";#N/A,#N/A,FALSE,"5";#N/A,#N/A,FALSE,"6";#N/A,#N/A,FALSE,"8";#N/A,#N/A,FALSE,"10";#N/A,#N/A,FALSE,"13";#N/A,#N/A,FALSE,"14";#N/A,#N/A,FALSE,"15";#N/A,#N/A,FALSE,"16"}</definedName>
    <definedName name="Noveif" hidden="1">{"Detail analysis",#N/A,FALSE,"Model";"Summary analysis",#N/A,FALSE,"Model";"OCPH analysis",#N/A,FALSE,"Model"}</definedName>
    <definedName name="o" localSheetId="3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 localSheetId="3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 localSheetId="3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 localSheetId="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 localSheetI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 localSheetI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 localSheetId="6" hidden="1">#REF!</definedName>
    <definedName name="o\" hidden="1">#REF!</definedName>
    <definedName name="oiuouio" localSheetId="30" hidden="1">{#N/A,#N/A,FALSE,"3";#N/A,#N/A,FALSE,"5";#N/A,#N/A,FALSE,"6";#N/A,#N/A,FALSE,"8";#N/A,#N/A,FALSE,"10";#N/A,#N/A,FALSE,"13";#N/A,#N/A,FALSE,"14";#N/A,#N/A,FALSE,"15";#N/A,#N/A,FALSE,"16"}</definedName>
    <definedName name="oiuouio" localSheetId="31" hidden="1">{#N/A,#N/A,FALSE,"3";#N/A,#N/A,FALSE,"5";#N/A,#N/A,FALSE,"6";#N/A,#N/A,FALSE,"8";#N/A,#N/A,FALSE,"10";#N/A,#N/A,FALSE,"13";#N/A,#N/A,FALSE,"14";#N/A,#N/A,FALSE,"15";#N/A,#N/A,FALSE,"16"}</definedName>
    <definedName name="oiuouio" localSheetId="32" hidden="1">{#N/A,#N/A,FALSE,"3";#N/A,#N/A,FALSE,"5";#N/A,#N/A,FALSE,"6";#N/A,#N/A,FALSE,"8";#N/A,#N/A,FALSE,"10";#N/A,#N/A,FALSE,"13";#N/A,#N/A,FALSE,"14";#N/A,#N/A,FALSE,"15";#N/A,#N/A,FALSE,"16"}</definedName>
    <definedName name="oiuouio" localSheetId="10" hidden="1">{#N/A,#N/A,FALSE,"3";#N/A,#N/A,FALSE,"5";#N/A,#N/A,FALSE,"6";#N/A,#N/A,FALSE,"8";#N/A,#N/A,FALSE,"10";#N/A,#N/A,FALSE,"13";#N/A,#N/A,FALSE,"14";#N/A,#N/A,FALSE,"15";#N/A,#N/A,FALSE,"16"}</definedName>
    <definedName name="oiuouio" localSheetId="6" hidden="1">{#N/A,#N/A,FALSE,"3";#N/A,#N/A,FALSE,"5";#N/A,#N/A,FALSE,"6";#N/A,#N/A,FALSE,"8";#N/A,#N/A,FALSE,"10";#N/A,#N/A,FALSE,"13";#N/A,#N/A,FALSE,"14";#N/A,#N/A,FALSE,"15";#N/A,#N/A,FALSE,"16"}</definedName>
    <definedName name="oiuouio" hidden="1">{#N/A,#N/A,FALSE,"3";#N/A,#N/A,FALSE,"5";#N/A,#N/A,FALSE,"6";#N/A,#N/A,FALSE,"8";#N/A,#N/A,FALSE,"10";#N/A,#N/A,FALSE,"13";#N/A,#N/A,FALSE,"14";#N/A,#N/A,FALSE,"15";#N/A,#N/A,FALSE,"16"}</definedName>
    <definedName name="ok" localSheetId="30" hidden="1">{#N/A,#N/A,TRUE,"KEY DATA";#N/A,#N/A,TRUE,"KEY DATA Base Case";#N/A,#N/A,TRUE,"JULY";#N/A,#N/A,TRUE,"AUG";#N/A,#N/A,TRUE,"SEPT";#N/A,#N/A,TRUE,"3Q"}</definedName>
    <definedName name="ok" localSheetId="31" hidden="1">{#N/A,#N/A,TRUE,"KEY DATA";#N/A,#N/A,TRUE,"KEY DATA Base Case";#N/A,#N/A,TRUE,"JULY";#N/A,#N/A,TRUE,"AUG";#N/A,#N/A,TRUE,"SEPT";#N/A,#N/A,TRUE,"3Q"}</definedName>
    <definedName name="ok" localSheetId="32" hidden="1">{#N/A,#N/A,TRUE,"KEY DATA";#N/A,#N/A,TRUE,"KEY DATA Base Case";#N/A,#N/A,TRUE,"JULY";#N/A,#N/A,TRUE,"AUG";#N/A,#N/A,TRUE,"SEPT";#N/A,#N/A,TRUE,"3Q"}</definedName>
    <definedName name="ok" localSheetId="10" hidden="1">{#N/A,#N/A,TRUE,"KEY DATA";#N/A,#N/A,TRUE,"KEY DATA Base Case";#N/A,#N/A,TRUE,"JULY";#N/A,#N/A,TRUE,"AUG";#N/A,#N/A,TRUE,"SEPT";#N/A,#N/A,TRUE,"3Q"}</definedName>
    <definedName name="ok" localSheetId="6" hidden="1">{#N/A,#N/A,TRUE,"KEY DATA";#N/A,#N/A,TRUE,"KEY DATA Base Case";#N/A,#N/A,TRUE,"JULY";#N/A,#N/A,TRUE,"AUG";#N/A,#N/A,TRUE,"SEPT";#N/A,#N/A,TRUE,"3Q"}</definedName>
    <definedName name="ok" hidden="1">{#N/A,#N/A,TRUE,"KEY DATA";#N/A,#N/A,TRUE,"KEY DATA Base Case";#N/A,#N/A,TRUE,"JULY";#N/A,#N/A,TRUE,"AUG";#N/A,#N/A,TRUE,"SEPT";#N/A,#N/A,TRUE,"3Q"}</definedName>
    <definedName name="okkk" localSheetId="30" hidden="1">{#N/A,#N/A,TRUE,"KEY DATA";#N/A,#N/A,TRUE,"KEY DATA Base Case";#N/A,#N/A,TRUE,"JULY";#N/A,#N/A,TRUE,"AUG";#N/A,#N/A,TRUE,"SEPT";#N/A,#N/A,TRUE,"3Q"}</definedName>
    <definedName name="okkk" localSheetId="31" hidden="1">{#N/A,#N/A,TRUE,"KEY DATA";#N/A,#N/A,TRUE,"KEY DATA Base Case";#N/A,#N/A,TRUE,"JULY";#N/A,#N/A,TRUE,"AUG";#N/A,#N/A,TRUE,"SEPT";#N/A,#N/A,TRUE,"3Q"}</definedName>
    <definedName name="okkk" localSheetId="32" hidden="1">{#N/A,#N/A,TRUE,"KEY DATA";#N/A,#N/A,TRUE,"KEY DATA Base Case";#N/A,#N/A,TRUE,"JULY";#N/A,#N/A,TRUE,"AUG";#N/A,#N/A,TRUE,"SEPT";#N/A,#N/A,TRUE,"3Q"}</definedName>
    <definedName name="okkk" localSheetId="10" hidden="1">{#N/A,#N/A,TRUE,"KEY DATA";#N/A,#N/A,TRUE,"KEY DATA Base Case";#N/A,#N/A,TRUE,"JULY";#N/A,#N/A,TRUE,"AUG";#N/A,#N/A,TRUE,"SEPT";#N/A,#N/A,TRUE,"3Q"}</definedName>
    <definedName name="okkk" localSheetId="6" hidden="1">{#N/A,#N/A,TRUE,"KEY DATA";#N/A,#N/A,TRUE,"KEY DATA Base Case";#N/A,#N/A,TRUE,"JULY";#N/A,#N/A,TRUE,"AUG";#N/A,#N/A,TRUE,"SEPT";#N/A,#N/A,TRUE,"3Q"}</definedName>
    <definedName name="okkk" hidden="1">{#N/A,#N/A,TRUE,"KEY DATA";#N/A,#N/A,TRUE,"KEY DATA Base Case";#N/A,#N/A,TRUE,"JULY";#N/A,#N/A,TRUE,"AUG";#N/A,#N/A,TRUE,"SEPT";#N/A,#N/A,TRUE,"3Q"}</definedName>
    <definedName name="open" localSheetId="30" hidden="1">{"plansummary",#N/A,FALSE,"PlanSummary";"sales",#N/A,FALSE,"Sales Rec";"productivity",#N/A,FALSE,"Productivity Rec";"capitalspending",#N/A,FALSE,"Capital Spending"}</definedName>
    <definedName name="open" localSheetId="31" hidden="1">{"plansummary",#N/A,FALSE,"PlanSummary";"sales",#N/A,FALSE,"Sales Rec";"productivity",#N/A,FALSE,"Productivity Rec";"capitalspending",#N/A,FALSE,"Capital Spending"}</definedName>
    <definedName name="open" localSheetId="32" hidden="1">{"plansummary",#N/A,FALSE,"PlanSummary";"sales",#N/A,FALSE,"Sales Rec";"productivity",#N/A,FALSE,"Productivity Rec";"capitalspending",#N/A,FALSE,"Capital Spending"}</definedName>
    <definedName name="open" localSheetId="10" hidden="1">{"plansummary",#N/A,FALSE,"PlanSummary";"sales",#N/A,FALSE,"Sales Rec";"productivity",#N/A,FALSE,"Productivity Rec";"capitalspending",#N/A,FALSE,"Capital Spending"}</definedName>
    <definedName name="open" localSheetId="1" hidden="1">{"plansummary",#N/A,FALSE,"PlanSummary";"sales",#N/A,FALSE,"Sales Rec";"productivity",#N/A,FALSE,"Productivity Rec";"capitalspending",#N/A,FALSE,"Capital Spending"}</definedName>
    <definedName name="open" localSheetId="6" hidden="1">{"plansummary",#N/A,FALSE,"PlanSummary";"sales",#N/A,FALSE,"Sales Rec";"productivity",#N/A,FALSE,"Productivity Rec";"capitalspending",#N/A,FALSE,"Capital Spending"}</definedName>
    <definedName name="open" localSheetId="3" hidden="1">{"plansummary",#N/A,FALSE,"PlanSummary";"sales",#N/A,FALSE,"Sales Rec";"productivity",#N/A,FALSE,"Productivity Rec";"capitalspending",#N/A,FALSE,"Capital Spending"}</definedName>
    <definedName name="open" hidden="1">{"plansummary",#N/A,FALSE,"PlanSummary";"sales",#N/A,FALSE,"Sales Rec";"productivity",#N/A,FALSE,"Productivity Rec";"capitalspending",#N/A,FALSE,"Capital Spending"}</definedName>
    <definedName name="Opening" localSheetId="30" hidden="1">{"plansummary",#N/A,FALSE,"PlanSummary";"sales",#N/A,FALSE,"Sales Rec";"productivity",#N/A,FALSE,"Productivity Rec";"capitalspending",#N/A,FALSE,"Capital Spending"}</definedName>
    <definedName name="Opening" localSheetId="31" hidden="1">{"plansummary",#N/A,FALSE,"PlanSummary";"sales",#N/A,FALSE,"Sales Rec";"productivity",#N/A,FALSE,"Productivity Rec";"capitalspending",#N/A,FALSE,"Capital Spending"}</definedName>
    <definedName name="Opening" localSheetId="32" hidden="1">{"plansummary",#N/A,FALSE,"PlanSummary";"sales",#N/A,FALSE,"Sales Rec";"productivity",#N/A,FALSE,"Productivity Rec";"capitalspending",#N/A,FALSE,"Capital Spending"}</definedName>
    <definedName name="Opening" localSheetId="10" hidden="1">{"plansummary",#N/A,FALSE,"PlanSummary";"sales",#N/A,FALSE,"Sales Rec";"productivity",#N/A,FALSE,"Productivity Rec";"capitalspending",#N/A,FALSE,"Capital Spending"}</definedName>
    <definedName name="Opening" localSheetId="1" hidden="1">{"plansummary",#N/A,FALSE,"PlanSummary";"sales",#N/A,FALSE,"Sales Rec";"productivity",#N/A,FALSE,"Productivity Rec";"capitalspending",#N/A,FALSE,"Capital Spending"}</definedName>
    <definedName name="Opening" localSheetId="6" hidden="1">{"plansummary",#N/A,FALSE,"PlanSummary";"sales",#N/A,FALSE,"Sales Rec";"productivity",#N/A,FALSE,"Productivity Rec";"capitalspending",#N/A,FALSE,"Capital Spending"}</definedName>
    <definedName name="Opening" localSheetId="3" hidden="1">{"plansummary",#N/A,FALSE,"PlanSummary";"sales",#N/A,FALSE,"Sales Rec";"productivity",#N/A,FALSE,"Productivity Rec";"capitalspending",#N/A,FALSE,"Capital Spending"}</definedName>
    <definedName name="Opening" hidden="1">{"plansummary",#N/A,FALSE,"PlanSummary";"sales",#N/A,FALSE,"Sales Rec";"productivity",#N/A,FALSE,"Productivity Rec";"capitalspending",#N/A,FALSE,"Capital Spending"}</definedName>
    <definedName name="opop" localSheetId="30" hidden="1">{#N/A,#N/A,FALSE,"3";#N/A,#N/A,FALSE,"5";#N/A,#N/A,FALSE,"6";#N/A,#N/A,FALSE,"8";#N/A,#N/A,FALSE,"10";#N/A,#N/A,FALSE,"13";#N/A,#N/A,FALSE,"14";#N/A,#N/A,FALSE,"15";#N/A,#N/A,FALSE,"16"}</definedName>
    <definedName name="opop" localSheetId="31" hidden="1">{#N/A,#N/A,FALSE,"3";#N/A,#N/A,FALSE,"5";#N/A,#N/A,FALSE,"6";#N/A,#N/A,FALSE,"8";#N/A,#N/A,FALSE,"10";#N/A,#N/A,FALSE,"13";#N/A,#N/A,FALSE,"14";#N/A,#N/A,FALSE,"15";#N/A,#N/A,FALSE,"16"}</definedName>
    <definedName name="opop" localSheetId="32" hidden="1">{#N/A,#N/A,FALSE,"3";#N/A,#N/A,FALSE,"5";#N/A,#N/A,FALSE,"6";#N/A,#N/A,FALSE,"8";#N/A,#N/A,FALSE,"10";#N/A,#N/A,FALSE,"13";#N/A,#N/A,FALSE,"14";#N/A,#N/A,FALSE,"15";#N/A,#N/A,FALSE,"16"}</definedName>
    <definedName name="opop" localSheetId="10" hidden="1">{#N/A,#N/A,FALSE,"3";#N/A,#N/A,FALSE,"5";#N/A,#N/A,FALSE,"6";#N/A,#N/A,FALSE,"8";#N/A,#N/A,FALSE,"10";#N/A,#N/A,FALSE,"13";#N/A,#N/A,FALSE,"14";#N/A,#N/A,FALSE,"15";#N/A,#N/A,FALSE,"16"}</definedName>
    <definedName name="opop" localSheetId="6" hidden="1">{#N/A,#N/A,FALSE,"3";#N/A,#N/A,FALSE,"5";#N/A,#N/A,FALSE,"6";#N/A,#N/A,FALSE,"8";#N/A,#N/A,FALSE,"10";#N/A,#N/A,FALSE,"13";#N/A,#N/A,FALSE,"14";#N/A,#N/A,FALSE,"15";#N/A,#N/A,FALSE,"16"}</definedName>
    <definedName name="opop" hidden="1">{#N/A,#N/A,FALSE,"3";#N/A,#N/A,FALSE,"5";#N/A,#N/A,FALSE,"6";#N/A,#N/A,FALSE,"8";#N/A,#N/A,FALSE,"10";#N/A,#N/A,FALSE,"13";#N/A,#N/A,FALSE,"14";#N/A,#N/A,FALSE,"15";#N/A,#N/A,FALSE,"16"}</definedName>
    <definedName name="Order1" hidden="1">0</definedName>
    <definedName name="OrderTable" localSheetId="1" hidden="1">#REF!</definedName>
    <definedName name="OrderTable" hidden="1">#REF!</definedName>
    <definedName name="ownership" localSheetId="30" hidden="1">{#N/A,#N/A,TRUE,"Summary";#N/A,#N/A,TRUE,"IS";#N/A,#N/A,TRUE,"Adj";#N/A,#N/A,TRUE,"BS";#N/A,#N/A,TRUE,"CF";#N/A,#N/A,TRUE,"Debt";#N/A,#N/A,TRUE,"IRR"}</definedName>
    <definedName name="ownership" localSheetId="31" hidden="1">{#N/A,#N/A,TRUE,"Summary";#N/A,#N/A,TRUE,"IS";#N/A,#N/A,TRUE,"Adj";#N/A,#N/A,TRUE,"BS";#N/A,#N/A,TRUE,"CF";#N/A,#N/A,TRUE,"Debt";#N/A,#N/A,TRUE,"IRR"}</definedName>
    <definedName name="ownership" localSheetId="32" hidden="1">{#N/A,#N/A,TRUE,"Summary";#N/A,#N/A,TRUE,"IS";#N/A,#N/A,TRUE,"Adj";#N/A,#N/A,TRUE,"BS";#N/A,#N/A,TRUE,"CF";#N/A,#N/A,TRUE,"Debt";#N/A,#N/A,TRUE,"IRR"}</definedName>
    <definedName name="ownership" localSheetId="10" hidden="1">{#N/A,#N/A,TRUE,"Summary";#N/A,#N/A,TRUE,"IS";#N/A,#N/A,TRUE,"Adj";#N/A,#N/A,TRUE,"BS";#N/A,#N/A,TRUE,"CF";#N/A,#N/A,TRUE,"Debt";#N/A,#N/A,TRUE,"IRR"}</definedName>
    <definedName name="ownership" localSheetId="1" hidden="1">{#N/A,#N/A,TRUE,"Summary";#N/A,#N/A,TRUE,"IS";#N/A,#N/A,TRUE,"Adj";#N/A,#N/A,TRUE,"BS";#N/A,#N/A,TRUE,"CF";#N/A,#N/A,TRUE,"Debt";#N/A,#N/A,TRUE,"IRR"}</definedName>
    <definedName name="ownership" localSheetId="6" hidden="1">{#N/A,#N/A,TRUE,"Summary";#N/A,#N/A,TRUE,"IS";#N/A,#N/A,TRUE,"Adj";#N/A,#N/A,TRUE,"BS";#N/A,#N/A,TRUE,"CF";#N/A,#N/A,TRUE,"Debt";#N/A,#N/A,TRUE,"IRR"}</definedName>
    <definedName name="ownership" hidden="1">{#N/A,#N/A,TRUE,"Summary";#N/A,#N/A,TRUE,"IS";#N/A,#N/A,TRUE,"Adj";#N/A,#N/A,TRUE,"BS";#N/A,#N/A,TRUE,"CF";#N/A,#N/A,TRUE,"Debt";#N/A,#N/A,TRUE,"IRR"}</definedName>
    <definedName name="P" localSheetId="30" hidden="1">{#N/A,#N/A,FALSE,"USMED 3";#N/A,#N/A,FALSE,"MARCHALLENGER 1";#N/A,#N/A,FALSE,"MARCHALLENGER 2";#N/A,#N/A,FALSE,"MARCHALLENGER 3";#N/A,#N/A,FALSE,"MARCHALLENGER 4"}</definedName>
    <definedName name="P" localSheetId="31" hidden="1">{#N/A,#N/A,FALSE,"USMED 3";#N/A,#N/A,FALSE,"MARCHALLENGER 1";#N/A,#N/A,FALSE,"MARCHALLENGER 2";#N/A,#N/A,FALSE,"MARCHALLENGER 3";#N/A,#N/A,FALSE,"MARCHALLENGER 4"}</definedName>
    <definedName name="P" localSheetId="32" hidden="1">{#N/A,#N/A,FALSE,"USMED 3";#N/A,#N/A,FALSE,"MARCHALLENGER 1";#N/A,#N/A,FALSE,"MARCHALLENGER 2";#N/A,#N/A,FALSE,"MARCHALLENGER 3";#N/A,#N/A,FALSE,"MARCHALLENGER 4"}</definedName>
    <definedName name="P" localSheetId="10" hidden="1">{#N/A,#N/A,FALSE,"USMED 3";#N/A,#N/A,FALSE,"MARCHALLENGER 1";#N/A,#N/A,FALSE,"MARCHALLENGER 2";#N/A,#N/A,FALSE,"MARCHALLENGER 3";#N/A,#N/A,FALSE,"MARCHALLENGER 4"}</definedName>
    <definedName name="P" hidden="1">{#N/A,#N/A,FALSE,"USMED 3";#N/A,#N/A,FALSE,"MARCHALLENGER 1";#N/A,#N/A,FALSE,"MARCHALLENGER 2";#N/A,#N/A,FALSE,"MARCHALLENGER 3";#N/A,#N/A,FALSE,"MARCHALLENGER 4"}</definedName>
    <definedName name="PACKAGE3" localSheetId="30" hidden="1">{#N/A,#N/A,FALSE,"단축1";#N/A,#N/A,FALSE,"단축2";#N/A,#N/A,FALSE,"단축3";#N/A,#N/A,FALSE,"장축";#N/A,#N/A,FALSE,"4WD"}</definedName>
    <definedName name="PACKAGE3" localSheetId="31" hidden="1">{#N/A,#N/A,FALSE,"단축1";#N/A,#N/A,FALSE,"단축2";#N/A,#N/A,FALSE,"단축3";#N/A,#N/A,FALSE,"장축";#N/A,#N/A,FALSE,"4WD"}</definedName>
    <definedName name="PACKAGE3" localSheetId="32" hidden="1">{#N/A,#N/A,FALSE,"단축1";#N/A,#N/A,FALSE,"단축2";#N/A,#N/A,FALSE,"단축3";#N/A,#N/A,FALSE,"장축";#N/A,#N/A,FALSE,"4WD"}</definedName>
    <definedName name="PACKAGE3" localSheetId="10" hidden="1">{#N/A,#N/A,FALSE,"단축1";#N/A,#N/A,FALSE,"단축2";#N/A,#N/A,FALSE,"단축3";#N/A,#N/A,FALSE,"장축";#N/A,#N/A,FALSE,"4WD"}</definedName>
    <definedName name="PACKAGE3" localSheetId="1" hidden="1">{#N/A,#N/A,FALSE,"단축1";#N/A,#N/A,FALSE,"단축2";#N/A,#N/A,FALSE,"단축3";#N/A,#N/A,FALSE,"장축";#N/A,#N/A,FALSE,"4WD"}</definedName>
    <definedName name="PACKAGE3" localSheetId="6" hidden="1">{#N/A,#N/A,FALSE,"단축1";#N/A,#N/A,FALSE,"단축2";#N/A,#N/A,FALSE,"단축3";#N/A,#N/A,FALSE,"장축";#N/A,#N/A,FALSE,"4WD"}</definedName>
    <definedName name="PACKAGE3" hidden="1">{#N/A,#N/A,FALSE,"단축1";#N/A,#N/A,FALSE,"단축2";#N/A,#N/A,FALSE,"단축3";#N/A,#N/A,FALSE,"장축";#N/A,#N/A,FALSE,"4WD"}</definedName>
    <definedName name="Parte1a." localSheetId="30" hidden="1">{"PARTE1",#N/A,FALSE,"Plan1"}</definedName>
    <definedName name="Parte1a." localSheetId="31" hidden="1">{"PARTE1",#N/A,FALSE,"Plan1"}</definedName>
    <definedName name="Parte1a." localSheetId="32" hidden="1">{"PARTE1",#N/A,FALSE,"Plan1"}</definedName>
    <definedName name="Parte1a." localSheetId="10" hidden="1">{"PARTE1",#N/A,FALSE,"Plan1"}</definedName>
    <definedName name="Parte1a." localSheetId="6" hidden="1">{"PARTE1",#N/A,FALSE,"Plan1"}</definedName>
    <definedName name="Parte1a." hidden="1">{"PARTE1",#N/A,FALSE,"Plan1"}</definedName>
    <definedName name="Parte2" localSheetId="30" hidden="1">{"PARTE1",#N/A,FALSE,"Plan1"}</definedName>
    <definedName name="Parte2" localSheetId="31" hidden="1">{"PARTE1",#N/A,FALSE,"Plan1"}</definedName>
    <definedName name="Parte2" localSheetId="32" hidden="1">{"PARTE1",#N/A,FALSE,"Plan1"}</definedName>
    <definedName name="Parte2" localSheetId="10" hidden="1">{"PARTE1",#N/A,FALSE,"Plan1"}</definedName>
    <definedName name="Parte2" localSheetId="6" hidden="1">{"PARTE1",#N/A,FALSE,"Plan1"}</definedName>
    <definedName name="Parte2" hidden="1">{"PARTE1",#N/A,FALSE,"Plan1"}</definedName>
    <definedName name="pass" localSheetId="30" hidden="1">{#N/A,#N/A,FALSE,"COMICRO";#N/A,#N/A,FALSE,"BALSCH";#N/A,#N/A,FALSE,"GLASS";#N/A,#N/A,FALSE,"DEPRE";#N/A,#N/A,FALSE,"A&amp;MCUR";#N/A,#N/A,FALSE,"AGEANAlysis";#N/A,#N/A,FALSE,"CHECKS";#N/A,#N/A,FALSE,"CHECKS"}</definedName>
    <definedName name="pass" localSheetId="31" hidden="1">{#N/A,#N/A,FALSE,"COMICRO";#N/A,#N/A,FALSE,"BALSCH";#N/A,#N/A,FALSE,"GLASS";#N/A,#N/A,FALSE,"DEPRE";#N/A,#N/A,FALSE,"A&amp;MCUR";#N/A,#N/A,FALSE,"AGEANAlysis";#N/A,#N/A,FALSE,"CHECKS";#N/A,#N/A,FALSE,"CHECKS"}</definedName>
    <definedName name="pass" localSheetId="32" hidden="1">{#N/A,#N/A,FALSE,"COMICRO";#N/A,#N/A,FALSE,"BALSCH";#N/A,#N/A,FALSE,"GLASS";#N/A,#N/A,FALSE,"DEPRE";#N/A,#N/A,FALSE,"A&amp;MCUR";#N/A,#N/A,FALSE,"AGEANAlysis";#N/A,#N/A,FALSE,"CHECKS";#N/A,#N/A,FALSE,"CHECKS"}</definedName>
    <definedName name="pass" localSheetId="10" hidden="1">{#N/A,#N/A,FALSE,"COMICRO";#N/A,#N/A,FALSE,"BALSCH";#N/A,#N/A,FALSE,"GLASS";#N/A,#N/A,FALSE,"DEPRE";#N/A,#N/A,FALSE,"A&amp;MCUR";#N/A,#N/A,FALSE,"AGEANAlysis";#N/A,#N/A,FALSE,"CHECKS";#N/A,#N/A,FALSE,"CHECKS"}</definedName>
    <definedName name="pass" localSheetId="1" hidden="1">{#N/A,#N/A,FALSE,"COMICRO";#N/A,#N/A,FALSE,"BALSCH";#N/A,#N/A,FALSE,"GLASS";#N/A,#N/A,FALSE,"DEPRE";#N/A,#N/A,FALSE,"A&amp;MCUR";#N/A,#N/A,FALSE,"AGEANAlysis";#N/A,#N/A,FALSE,"CHECKS";#N/A,#N/A,FALSE,"CHECKS"}</definedName>
    <definedName name="pass" localSheetId="6" hidden="1">{#N/A,#N/A,FALSE,"COMICRO";#N/A,#N/A,FALSE,"BALSCH";#N/A,#N/A,FALSE,"GLASS";#N/A,#N/A,FALSE,"DEPRE";#N/A,#N/A,FALSE,"A&amp;MCUR";#N/A,#N/A,FALSE,"AGEANAlysis";#N/A,#N/A,FALSE,"CHECKS";#N/A,#N/A,FALSE,"CHECKS"}</definedName>
    <definedName name="pass" hidden="1">{#N/A,#N/A,FALSE,"COMICRO";#N/A,#N/A,FALSE,"BALSCH";#N/A,#N/A,FALSE,"GLASS";#N/A,#N/A,FALSE,"DEPRE";#N/A,#N/A,FALSE,"A&amp;MCUR";#N/A,#N/A,FALSE,"AGEANAlysis";#N/A,#N/A,FALSE,"CHECKS";#N/A,#N/A,FALSE,"CHECKS"}</definedName>
    <definedName name="Paul" localSheetId="30" hidden="1">{#N/A,#N/A,TRUE,"GEM Total";#N/A,#N/A,TRUE,"Final Assembly";#N/A,#N/A,TRUE,"Cleaning";#N/A,#N/A,TRUE,"Schooping,Clearing";#N/A,#N/A,TRUE,"Winding"}</definedName>
    <definedName name="Paul" localSheetId="31" hidden="1">{#N/A,#N/A,TRUE,"GEM Total";#N/A,#N/A,TRUE,"Final Assembly";#N/A,#N/A,TRUE,"Cleaning";#N/A,#N/A,TRUE,"Schooping,Clearing";#N/A,#N/A,TRUE,"Winding"}</definedName>
    <definedName name="Paul" localSheetId="32" hidden="1">{#N/A,#N/A,TRUE,"GEM Total";#N/A,#N/A,TRUE,"Final Assembly";#N/A,#N/A,TRUE,"Cleaning";#N/A,#N/A,TRUE,"Schooping,Clearing";#N/A,#N/A,TRUE,"Winding"}</definedName>
    <definedName name="Paul" localSheetId="10" hidden="1">{#N/A,#N/A,TRUE,"GEM Total";#N/A,#N/A,TRUE,"Final Assembly";#N/A,#N/A,TRUE,"Cleaning";#N/A,#N/A,TRUE,"Schooping,Clearing";#N/A,#N/A,TRUE,"Winding"}</definedName>
    <definedName name="Paul" localSheetId="6" hidden="1">{#N/A,#N/A,TRUE,"GEM Total";#N/A,#N/A,TRUE,"Final Assembly";#N/A,#N/A,TRUE,"Cleaning";#N/A,#N/A,TRUE,"Schooping,Clearing";#N/A,#N/A,TRUE,"Winding"}</definedName>
    <definedName name="Paul" hidden="1">{#N/A,#N/A,TRUE,"GEM Total";#N/A,#N/A,TRUE,"Final Assembly";#N/A,#N/A,TRUE,"Cleaning";#N/A,#N/A,TRUE,"Schooping,Clearing";#N/A,#N/A,TRUE,"Winding"}</definedName>
    <definedName name="payal" localSheetId="30" hidden="1">{"'Sheet3'!$A$1:$B$30"}</definedName>
    <definedName name="payal" localSheetId="31" hidden="1">{"'Sheet3'!$A$1:$B$30"}</definedName>
    <definedName name="payal" localSheetId="32" hidden="1">{"'Sheet3'!$A$1:$B$30"}</definedName>
    <definedName name="payal" localSheetId="10" hidden="1">{"'Sheet3'!$A$1:$B$30"}</definedName>
    <definedName name="payal" localSheetId="1" hidden="1">{"'Sheet3'!$A$1:$B$30"}</definedName>
    <definedName name="payal" localSheetId="6" hidden="1">{"'Sheet3'!$A$1:$B$30"}</definedName>
    <definedName name="payal" hidden="1">{"'Sheet3'!$A$1:$B$30"}</definedName>
    <definedName name="Payroll" localSheetId="30" hidden="1">{"summary",#N/A,FALSE,"2000 vs 1999";"detail",#N/A,FALSE,"2000 vs 1999"}</definedName>
    <definedName name="Payroll" localSheetId="31" hidden="1">{"summary",#N/A,FALSE,"2000 vs 1999";"detail",#N/A,FALSE,"2000 vs 1999"}</definedName>
    <definedName name="Payroll" localSheetId="32" hidden="1">{"summary",#N/A,FALSE,"2000 vs 1999";"detail",#N/A,FALSE,"2000 vs 1999"}</definedName>
    <definedName name="Payroll" localSheetId="10" hidden="1">{"summary",#N/A,FALSE,"2000 vs 1999";"detail",#N/A,FALSE,"2000 vs 1999"}</definedName>
    <definedName name="Payroll" localSheetId="6" hidden="1">{"summary",#N/A,FALSE,"2000 vs 1999";"detail",#N/A,FALSE,"2000 vs 1999"}</definedName>
    <definedName name="Payroll" hidden="1">{"summary",#N/A,FALSE,"2000 vs 1999";"detail",#N/A,FALSE,"2000 vs 1999"}</definedName>
    <definedName name="PDC" hidden="1">#REF!</definedName>
    <definedName name="pep" localSheetId="30" hidden="1">{#N/A,#N/A,FALSE,"COMICRO";#N/A,#N/A,FALSE,"BALSCH";#N/A,#N/A,FALSE,"GLASS";#N/A,#N/A,FALSE,"DEPRE";#N/A,#N/A,FALSE,"A&amp;MCUR";#N/A,#N/A,FALSE,"AGEANAlysis";#N/A,#N/A,FALSE,"CHECKS";#N/A,#N/A,FALSE,"CHECKS"}</definedName>
    <definedName name="pep" localSheetId="31" hidden="1">{#N/A,#N/A,FALSE,"COMICRO";#N/A,#N/A,FALSE,"BALSCH";#N/A,#N/A,FALSE,"GLASS";#N/A,#N/A,FALSE,"DEPRE";#N/A,#N/A,FALSE,"A&amp;MCUR";#N/A,#N/A,FALSE,"AGEANAlysis";#N/A,#N/A,FALSE,"CHECKS";#N/A,#N/A,FALSE,"CHECKS"}</definedName>
    <definedName name="pep" localSheetId="32" hidden="1">{#N/A,#N/A,FALSE,"COMICRO";#N/A,#N/A,FALSE,"BALSCH";#N/A,#N/A,FALSE,"GLASS";#N/A,#N/A,FALSE,"DEPRE";#N/A,#N/A,FALSE,"A&amp;MCUR";#N/A,#N/A,FALSE,"AGEANAlysis";#N/A,#N/A,FALSE,"CHECKS";#N/A,#N/A,FALSE,"CHECKS"}</definedName>
    <definedName name="pep" localSheetId="10" hidden="1">{#N/A,#N/A,FALSE,"COMICRO";#N/A,#N/A,FALSE,"BALSCH";#N/A,#N/A,FALSE,"GLASS";#N/A,#N/A,FALSE,"DEPRE";#N/A,#N/A,FALSE,"A&amp;MCUR";#N/A,#N/A,FALSE,"AGEANAlysis";#N/A,#N/A,FALSE,"CHECKS";#N/A,#N/A,FALSE,"CHECKS"}</definedName>
    <definedName name="pep" localSheetId="1" hidden="1">{#N/A,#N/A,FALSE,"COMICRO";#N/A,#N/A,FALSE,"BALSCH";#N/A,#N/A,FALSE,"GLASS";#N/A,#N/A,FALSE,"DEPRE";#N/A,#N/A,FALSE,"A&amp;MCUR";#N/A,#N/A,FALSE,"AGEANAlysis";#N/A,#N/A,FALSE,"CHECKS";#N/A,#N/A,FALSE,"CHECKS"}</definedName>
    <definedName name="pep" localSheetId="6" hidden="1">{#N/A,#N/A,FALSE,"COMICRO";#N/A,#N/A,FALSE,"BALSCH";#N/A,#N/A,FALSE,"GLASS";#N/A,#N/A,FALSE,"DEPRE";#N/A,#N/A,FALSE,"A&amp;MCUR";#N/A,#N/A,FALSE,"AGEANAlysis";#N/A,#N/A,FALSE,"CHECKS";#N/A,#N/A,FALSE,"CHECKS"}</definedName>
    <definedName name="pep" hidden="1">{#N/A,#N/A,FALSE,"COMICRO";#N/A,#N/A,FALSE,"BALSCH";#N/A,#N/A,FALSE,"GLASS";#N/A,#N/A,FALSE,"DEPRE";#N/A,#N/A,FALSE,"A&amp;MCUR";#N/A,#N/A,FALSE,"AGEANAlysis";#N/A,#N/A,FALSE,"CHECKS";#N/A,#N/A,FALSE,"CHECKS"}</definedName>
    <definedName name="pepsi" localSheetId="30" hidden="1">{#N/A,#N/A,FALSE,"COMICRO";#N/A,#N/A,FALSE,"BALSCH";#N/A,#N/A,FALSE,"GLASS";#N/A,#N/A,FALSE,"DEPRE";#N/A,#N/A,FALSE,"A&amp;MCUR";#N/A,#N/A,FALSE,"AGEANAlysis";#N/A,#N/A,FALSE,"CHECKS";#N/A,#N/A,FALSE,"CHECKS"}</definedName>
    <definedName name="pepsi" localSheetId="31" hidden="1">{#N/A,#N/A,FALSE,"COMICRO";#N/A,#N/A,FALSE,"BALSCH";#N/A,#N/A,FALSE,"GLASS";#N/A,#N/A,FALSE,"DEPRE";#N/A,#N/A,FALSE,"A&amp;MCUR";#N/A,#N/A,FALSE,"AGEANAlysis";#N/A,#N/A,FALSE,"CHECKS";#N/A,#N/A,FALSE,"CHECKS"}</definedName>
    <definedName name="pepsi" localSheetId="32" hidden="1">{#N/A,#N/A,FALSE,"COMICRO";#N/A,#N/A,FALSE,"BALSCH";#N/A,#N/A,FALSE,"GLASS";#N/A,#N/A,FALSE,"DEPRE";#N/A,#N/A,FALSE,"A&amp;MCUR";#N/A,#N/A,FALSE,"AGEANAlysis";#N/A,#N/A,FALSE,"CHECKS";#N/A,#N/A,FALSE,"CHECKS"}</definedName>
    <definedName name="pepsi" localSheetId="10" hidden="1">{#N/A,#N/A,FALSE,"COMICRO";#N/A,#N/A,FALSE,"BALSCH";#N/A,#N/A,FALSE,"GLASS";#N/A,#N/A,FALSE,"DEPRE";#N/A,#N/A,FALSE,"A&amp;MCUR";#N/A,#N/A,FALSE,"AGEANAlysis";#N/A,#N/A,FALSE,"CHECKS";#N/A,#N/A,FALSE,"CHECKS"}</definedName>
    <definedName name="pepsi" localSheetId="1" hidden="1">{#N/A,#N/A,FALSE,"COMICRO";#N/A,#N/A,FALSE,"BALSCH";#N/A,#N/A,FALSE,"GLASS";#N/A,#N/A,FALSE,"DEPRE";#N/A,#N/A,FALSE,"A&amp;MCUR";#N/A,#N/A,FALSE,"AGEANAlysis";#N/A,#N/A,FALSE,"CHECKS";#N/A,#N/A,FALSE,"CHECKS"}</definedName>
    <definedName name="pepsi" localSheetId="6" hidden="1">{#N/A,#N/A,FALSE,"COMICRO";#N/A,#N/A,FALSE,"BALSCH";#N/A,#N/A,FALSE,"GLASS";#N/A,#N/A,FALSE,"DEPRE";#N/A,#N/A,FALSE,"A&amp;MCUR";#N/A,#N/A,FALSE,"AGEANAlysis";#N/A,#N/A,FALSE,"CHECKS";#N/A,#N/A,FALSE,"CHECKS"}</definedName>
    <definedName name="pepsi" hidden="1">{#N/A,#N/A,FALSE,"COMICRO";#N/A,#N/A,FALSE,"BALSCH";#N/A,#N/A,FALSE,"GLASS";#N/A,#N/A,FALSE,"DEPRE";#N/A,#N/A,FALSE,"A&amp;MCUR";#N/A,#N/A,FALSE,"AGEANAlysis";#N/A,#N/A,FALSE,"CHECKS";#N/A,#N/A,FALSE,"CHECKS"}</definedName>
    <definedName name="PerA" hidden="1">1</definedName>
    <definedName name="PerB" hidden="1">2</definedName>
    <definedName name="pinco" localSheetId="6" hidden="1">#REF!</definedName>
    <definedName name="pinco" hidden="1">#REF!</definedName>
    <definedName name="pipe" localSheetId="30" hidden="1">{"'Typical Costs Estimates'!$C$158:$H$161"}</definedName>
    <definedName name="pipe" localSheetId="31" hidden="1">{"'Typical Costs Estimates'!$C$158:$H$161"}</definedName>
    <definedName name="pipe" localSheetId="32" hidden="1">{"'Typical Costs Estimates'!$C$158:$H$161"}</definedName>
    <definedName name="pipe" localSheetId="10" hidden="1">{"'Typical Costs Estimates'!$C$158:$H$161"}</definedName>
    <definedName name="pipe" hidden="1">{"'Typical Costs Estimates'!$C$158:$H$161"}</definedName>
    <definedName name="pippo_" localSheetId="30" hidden="1">{"receivables",#N/A,FALSE,"Receiv. Turns 3Q 98 Est";"sales",#N/A,FALSE,"Receiv. Turns 3Q 98 Est";"turns",#N/A,FALSE,"Receiv. Turns 3Q 98 Est";"pastdue",#N/A,FALSE,"Receiv. Turns 3Q 98 Est"}</definedName>
    <definedName name="pippo_" localSheetId="31" hidden="1">{"receivables",#N/A,FALSE,"Receiv. Turns 3Q 98 Est";"sales",#N/A,FALSE,"Receiv. Turns 3Q 98 Est";"turns",#N/A,FALSE,"Receiv. Turns 3Q 98 Est";"pastdue",#N/A,FALSE,"Receiv. Turns 3Q 98 Est"}</definedName>
    <definedName name="pippo_" localSheetId="32" hidden="1">{"receivables",#N/A,FALSE,"Receiv. Turns 3Q 98 Est";"sales",#N/A,FALSE,"Receiv. Turns 3Q 98 Est";"turns",#N/A,FALSE,"Receiv. Turns 3Q 98 Est";"pastdue",#N/A,FALSE,"Receiv. Turns 3Q 98 Est"}</definedName>
    <definedName name="pippo_" localSheetId="10" hidden="1">{"receivables",#N/A,FALSE,"Receiv. Turns 3Q 98 Est";"sales",#N/A,FALSE,"Receiv. Turns 3Q 98 Est";"turns",#N/A,FALSE,"Receiv. Turns 3Q 98 Est";"pastdue",#N/A,FALSE,"Receiv. Turns 3Q 98 Est"}</definedName>
    <definedName name="pippo_" localSheetId="6" hidden="1">{"receivables",#N/A,FALSE,"Receiv. Turns 3Q 98 Est";"sales",#N/A,FALSE,"Receiv. Turns 3Q 98 Est";"turns",#N/A,FALSE,"Receiv. Turns 3Q 98 Est";"pastdue",#N/A,FALSE,"Receiv. Turns 3Q 98 Est"}</definedName>
    <definedName name="pippo_" hidden="1">{"receivables",#N/A,FALSE,"Receiv. Turns 3Q 98 Est";"sales",#N/A,FALSE,"Receiv. Turns 3Q 98 Est";"turns",#N/A,FALSE,"Receiv. Turns 3Q 98 Est";"pastdue",#N/A,FALSE,"Receiv. Turns 3Q 98 Est"}</definedName>
    <definedName name="PopCache_GL_INTERFACE_REFERENCE7" localSheetId="6" hidden="1">#REF!</definedName>
    <definedName name="PopCache_GL_INTERFACE_REFERENCE7" hidden="1">#REF!</definedName>
    <definedName name="Post" hidden="1">2</definedName>
    <definedName name="pppp" localSheetId="30" hidden="1">{#N/A,#N/A,FALSE,"COMICRO";#N/A,#N/A,FALSE,"BALSCH";#N/A,#N/A,FALSE,"GLASS";#N/A,#N/A,FALSE,"DEPRE";#N/A,#N/A,FALSE,"A&amp;MCUR";#N/A,#N/A,FALSE,"AGEANAlysis";#N/A,#N/A,FALSE,"CHECKS";#N/A,#N/A,FALSE,"CHECKS"}</definedName>
    <definedName name="pppp" localSheetId="31" hidden="1">{#N/A,#N/A,FALSE,"COMICRO";#N/A,#N/A,FALSE,"BALSCH";#N/A,#N/A,FALSE,"GLASS";#N/A,#N/A,FALSE,"DEPRE";#N/A,#N/A,FALSE,"A&amp;MCUR";#N/A,#N/A,FALSE,"AGEANAlysis";#N/A,#N/A,FALSE,"CHECKS";#N/A,#N/A,FALSE,"CHECKS"}</definedName>
    <definedName name="pppp" localSheetId="32" hidden="1">{#N/A,#N/A,FALSE,"COMICRO";#N/A,#N/A,FALSE,"BALSCH";#N/A,#N/A,FALSE,"GLASS";#N/A,#N/A,FALSE,"DEPRE";#N/A,#N/A,FALSE,"A&amp;MCUR";#N/A,#N/A,FALSE,"AGEANAlysis";#N/A,#N/A,FALSE,"CHECKS";#N/A,#N/A,FALSE,"CHECKS"}</definedName>
    <definedName name="pppp" localSheetId="10" hidden="1">{#N/A,#N/A,FALSE,"COMICRO";#N/A,#N/A,FALSE,"BALSCH";#N/A,#N/A,FALSE,"GLASS";#N/A,#N/A,FALSE,"DEPRE";#N/A,#N/A,FALSE,"A&amp;MCUR";#N/A,#N/A,FALSE,"AGEANAlysis";#N/A,#N/A,FALSE,"CHECKS";#N/A,#N/A,FALSE,"CHECKS"}</definedName>
    <definedName name="pppp" localSheetId="1" hidden="1">{#N/A,#N/A,FALSE,"COMICRO";#N/A,#N/A,FALSE,"BALSCH";#N/A,#N/A,FALSE,"GLASS";#N/A,#N/A,FALSE,"DEPRE";#N/A,#N/A,FALSE,"A&amp;MCUR";#N/A,#N/A,FALSE,"AGEANAlysis";#N/A,#N/A,FALSE,"CHECKS";#N/A,#N/A,FALSE,"CHECKS"}</definedName>
    <definedName name="pppp" localSheetId="6" hidden="1">{#N/A,#N/A,FALSE,"COMICRO";#N/A,#N/A,FALSE,"BALSCH";#N/A,#N/A,FALSE,"GLASS";#N/A,#N/A,FALSE,"DEPRE";#N/A,#N/A,FALSE,"A&amp;MCUR";#N/A,#N/A,FALSE,"AGEANAlysis";#N/A,#N/A,FALSE,"CHECKS";#N/A,#N/A,FALSE,"CHECKS"}</definedName>
    <definedName name="pppp" hidden="1">{#N/A,#N/A,FALSE,"COMICRO";#N/A,#N/A,FALSE,"BALSCH";#N/A,#N/A,FALSE,"GLASS";#N/A,#N/A,FALSE,"DEPRE";#N/A,#N/A,FALSE,"A&amp;MCUR";#N/A,#N/A,FALSE,"AGEANAlysis";#N/A,#N/A,FALSE,"CHECKS";#N/A,#N/A,FALSE,"CHECKS"}</definedName>
    <definedName name="Prae" hidden="1">0</definedName>
    <definedName name="prakash" localSheetId="30" hidden="1">{#N/A,#N/A,FALSE,"COMICRO";#N/A,#N/A,FALSE,"BALSCH";#N/A,#N/A,FALSE,"GLASS";#N/A,#N/A,FALSE,"DEPRE";#N/A,#N/A,FALSE,"A&amp;MCUR";#N/A,#N/A,FALSE,"AGEANAlysis";#N/A,#N/A,FALSE,"CHECKS";#N/A,#N/A,FALSE,"CHECKS"}</definedName>
    <definedName name="prakash" localSheetId="31" hidden="1">{#N/A,#N/A,FALSE,"COMICRO";#N/A,#N/A,FALSE,"BALSCH";#N/A,#N/A,FALSE,"GLASS";#N/A,#N/A,FALSE,"DEPRE";#N/A,#N/A,FALSE,"A&amp;MCUR";#N/A,#N/A,FALSE,"AGEANAlysis";#N/A,#N/A,FALSE,"CHECKS";#N/A,#N/A,FALSE,"CHECKS"}</definedName>
    <definedName name="prakash" localSheetId="32" hidden="1">{#N/A,#N/A,FALSE,"COMICRO";#N/A,#N/A,FALSE,"BALSCH";#N/A,#N/A,FALSE,"GLASS";#N/A,#N/A,FALSE,"DEPRE";#N/A,#N/A,FALSE,"A&amp;MCUR";#N/A,#N/A,FALSE,"AGEANAlysis";#N/A,#N/A,FALSE,"CHECKS";#N/A,#N/A,FALSE,"CHECKS"}</definedName>
    <definedName name="prakash" localSheetId="10" hidden="1">{#N/A,#N/A,FALSE,"COMICRO";#N/A,#N/A,FALSE,"BALSCH";#N/A,#N/A,FALSE,"GLASS";#N/A,#N/A,FALSE,"DEPRE";#N/A,#N/A,FALSE,"A&amp;MCUR";#N/A,#N/A,FALSE,"AGEANAlysis";#N/A,#N/A,FALSE,"CHECKS";#N/A,#N/A,FALSE,"CHECKS"}</definedName>
    <definedName name="prakash" localSheetId="1" hidden="1">{#N/A,#N/A,FALSE,"COMICRO";#N/A,#N/A,FALSE,"BALSCH";#N/A,#N/A,FALSE,"GLASS";#N/A,#N/A,FALSE,"DEPRE";#N/A,#N/A,FALSE,"A&amp;MCUR";#N/A,#N/A,FALSE,"AGEANAlysis";#N/A,#N/A,FALSE,"CHECKS";#N/A,#N/A,FALSE,"CHECKS"}</definedName>
    <definedName name="prakash" localSheetId="6" hidden="1">{#N/A,#N/A,FALSE,"COMICRO";#N/A,#N/A,FALSE,"BALSCH";#N/A,#N/A,FALSE,"GLASS";#N/A,#N/A,FALSE,"DEPRE";#N/A,#N/A,FALSE,"A&amp;MCUR";#N/A,#N/A,FALSE,"AGEANAlysis";#N/A,#N/A,FALSE,"CHECKS";#N/A,#N/A,FALSE,"CHECKS"}</definedName>
    <definedName name="prakash" hidden="1">{#N/A,#N/A,FALSE,"COMICRO";#N/A,#N/A,FALSE,"BALSCH";#N/A,#N/A,FALSE,"GLASS";#N/A,#N/A,FALSE,"DEPRE";#N/A,#N/A,FALSE,"A&amp;MCUR";#N/A,#N/A,FALSE,"AGEANAlysis";#N/A,#N/A,FALSE,"CHECKS";#N/A,#N/A,FALSE,"CHECKS"}</definedName>
    <definedName name="prem" localSheetId="30" hidden="1">{"Summary analysis",#N/A,FALSE,"Total";"OCPH analysis",#N/A,FALSE,"Total";"detail analysis",#N/A,FALSE,"Total"}</definedName>
    <definedName name="prem" localSheetId="31" hidden="1">{"Summary analysis",#N/A,FALSE,"Total";"OCPH analysis",#N/A,FALSE,"Total";"detail analysis",#N/A,FALSE,"Total"}</definedName>
    <definedName name="prem" localSheetId="32" hidden="1">{"Summary analysis",#N/A,FALSE,"Total";"OCPH analysis",#N/A,FALSE,"Total";"detail analysis",#N/A,FALSE,"Total"}</definedName>
    <definedName name="prem" localSheetId="10" hidden="1">{"Summary analysis",#N/A,FALSE,"Total";"OCPH analysis",#N/A,FALSE,"Total";"detail analysis",#N/A,FALSE,"Total"}</definedName>
    <definedName name="prem" localSheetId="6" hidden="1">{"Summary analysis",#N/A,FALSE,"Total";"OCPH analysis",#N/A,FALSE,"Total";"detail analysis",#N/A,FALSE,"Total"}</definedName>
    <definedName name="prem" hidden="1">{"Summary analysis",#N/A,FALSE,"Total";"OCPH analysis",#N/A,FALSE,"Total";"detail analysis",#N/A,FALSE,"Total"}</definedName>
    <definedName name="Print_Tiles" hidden="1">#REF!</definedName>
    <definedName name="prod" hidden="1">{"Detail analysis",#N/A,FALSE,"Model";"Summary analysis",#N/A,FALSE,"Model";"OCPH analysis",#N/A,FALSE,"Model"}</definedName>
    <definedName name="prod." hidden="1">{"summary",#N/A,FALSE,"2000 vs 1999";"detail",#N/A,FALSE,"2000 vs 1999"}</definedName>
    <definedName name="ProdForm" localSheetId="1" hidden="1">#REF!</definedName>
    <definedName name="ProdForm" hidden="1">#REF!</definedName>
    <definedName name="ProdForm1" hidden="1">#REF!</definedName>
    <definedName name="Product" localSheetId="6" hidden="1">#REF!</definedName>
    <definedName name="Product" localSheetId="3" hidden="1">#REF!</definedName>
    <definedName name="Product" hidden="1">#REF!</definedName>
    <definedName name="Provision2" localSheetId="30" hidden="1">{"plansummary",#N/A,FALSE,"PlanSummary";"sales",#N/A,FALSE,"Sales Rec";"productivity",#N/A,FALSE,"Productivity Rec";"capitalspending",#N/A,FALSE,"Capital Spending"}</definedName>
    <definedName name="Provision2" localSheetId="31" hidden="1">{"plansummary",#N/A,FALSE,"PlanSummary";"sales",#N/A,FALSE,"Sales Rec";"productivity",#N/A,FALSE,"Productivity Rec";"capitalspending",#N/A,FALSE,"Capital Spending"}</definedName>
    <definedName name="Provision2" localSheetId="32" hidden="1">{"plansummary",#N/A,FALSE,"PlanSummary";"sales",#N/A,FALSE,"Sales Rec";"productivity",#N/A,FALSE,"Productivity Rec";"capitalspending",#N/A,FALSE,"Capital Spending"}</definedName>
    <definedName name="Provision2" localSheetId="10" hidden="1">{"plansummary",#N/A,FALSE,"PlanSummary";"sales",#N/A,FALSE,"Sales Rec";"productivity",#N/A,FALSE,"Productivity Rec";"capitalspending",#N/A,FALSE,"Capital Spending"}</definedName>
    <definedName name="Provision2" localSheetId="1" hidden="1">{"plansummary",#N/A,FALSE,"PlanSummary";"sales",#N/A,FALSE,"Sales Rec";"productivity",#N/A,FALSE,"Productivity Rec";"capitalspending",#N/A,FALSE,"Capital Spending"}</definedName>
    <definedName name="Provision2" localSheetId="6" hidden="1">{"plansummary",#N/A,FALSE,"PlanSummary";"sales",#N/A,FALSE,"Sales Rec";"productivity",#N/A,FALSE,"Productivity Rec";"capitalspending",#N/A,FALSE,"Capital Spending"}</definedName>
    <definedName name="Provision2" hidden="1">{"plansummary",#N/A,FALSE,"PlanSummary";"sales",#N/A,FALSE,"Sales Rec";"productivity",#N/A,FALSE,"Productivity Rec";"capitalspending",#N/A,FALSE,"Capital Spending"}</definedName>
    <definedName name="pss" localSheetId="30" hidden="1">{#N/A,#N/A,FALSE,"COMICRO";#N/A,#N/A,FALSE,"BALSCH";#N/A,#N/A,FALSE,"GLASS";#N/A,#N/A,FALSE,"DEPRE";#N/A,#N/A,FALSE,"A&amp;MCUR";#N/A,#N/A,FALSE,"AGEANAlysis";#N/A,#N/A,FALSE,"CHECKS";#N/A,#N/A,FALSE,"CHECKS"}</definedName>
    <definedName name="pss" localSheetId="31" hidden="1">{#N/A,#N/A,FALSE,"COMICRO";#N/A,#N/A,FALSE,"BALSCH";#N/A,#N/A,FALSE,"GLASS";#N/A,#N/A,FALSE,"DEPRE";#N/A,#N/A,FALSE,"A&amp;MCUR";#N/A,#N/A,FALSE,"AGEANAlysis";#N/A,#N/A,FALSE,"CHECKS";#N/A,#N/A,FALSE,"CHECKS"}</definedName>
    <definedName name="pss" localSheetId="32" hidden="1">{#N/A,#N/A,FALSE,"COMICRO";#N/A,#N/A,FALSE,"BALSCH";#N/A,#N/A,FALSE,"GLASS";#N/A,#N/A,FALSE,"DEPRE";#N/A,#N/A,FALSE,"A&amp;MCUR";#N/A,#N/A,FALSE,"AGEANAlysis";#N/A,#N/A,FALSE,"CHECKS";#N/A,#N/A,FALSE,"CHECKS"}</definedName>
    <definedName name="pss" localSheetId="10" hidden="1">{#N/A,#N/A,FALSE,"COMICRO";#N/A,#N/A,FALSE,"BALSCH";#N/A,#N/A,FALSE,"GLASS";#N/A,#N/A,FALSE,"DEPRE";#N/A,#N/A,FALSE,"A&amp;MCUR";#N/A,#N/A,FALSE,"AGEANAlysis";#N/A,#N/A,FALSE,"CHECKS";#N/A,#N/A,FALSE,"CHECKS"}</definedName>
    <definedName name="pss" localSheetId="1" hidden="1">{#N/A,#N/A,FALSE,"COMICRO";#N/A,#N/A,FALSE,"BALSCH";#N/A,#N/A,FALSE,"GLASS";#N/A,#N/A,FALSE,"DEPRE";#N/A,#N/A,FALSE,"A&amp;MCUR";#N/A,#N/A,FALSE,"AGEANAlysis";#N/A,#N/A,FALSE,"CHECKS";#N/A,#N/A,FALSE,"CHECKS"}</definedName>
    <definedName name="pss" localSheetId="6" hidden="1">{#N/A,#N/A,FALSE,"COMICRO";#N/A,#N/A,FALSE,"BALSCH";#N/A,#N/A,FALSE,"GLASS";#N/A,#N/A,FALSE,"DEPRE";#N/A,#N/A,FALSE,"A&amp;MCUR";#N/A,#N/A,FALSE,"AGEANAlysis";#N/A,#N/A,FALSE,"CHECKS";#N/A,#N/A,FALSE,"CHECKS"}</definedName>
    <definedName name="pss" hidden="1">{#N/A,#N/A,FALSE,"COMICRO";#N/A,#N/A,FALSE,"BALSCH";#N/A,#N/A,FALSE,"GLASS";#N/A,#N/A,FALSE,"DEPRE";#N/A,#N/A,FALSE,"A&amp;MCUR";#N/A,#N/A,FALSE,"AGEANAlysis";#N/A,#N/A,FALSE,"CHECKS";#N/A,#N/A,FALSE,"CHECKS"}</definedName>
    <definedName name="pssq" localSheetId="30" hidden="1">{#N/A,#N/A,FALSE,"COMICRO";#N/A,#N/A,FALSE,"BALSCH";#N/A,#N/A,FALSE,"GLASS";#N/A,#N/A,FALSE,"DEPRE";#N/A,#N/A,FALSE,"A&amp;MCUR";#N/A,#N/A,FALSE,"AGEANAlysis";#N/A,#N/A,FALSE,"CHECKS";#N/A,#N/A,FALSE,"CHECKS"}</definedName>
    <definedName name="pssq" localSheetId="31" hidden="1">{#N/A,#N/A,FALSE,"COMICRO";#N/A,#N/A,FALSE,"BALSCH";#N/A,#N/A,FALSE,"GLASS";#N/A,#N/A,FALSE,"DEPRE";#N/A,#N/A,FALSE,"A&amp;MCUR";#N/A,#N/A,FALSE,"AGEANAlysis";#N/A,#N/A,FALSE,"CHECKS";#N/A,#N/A,FALSE,"CHECKS"}</definedName>
    <definedName name="pssq" localSheetId="32" hidden="1">{#N/A,#N/A,FALSE,"COMICRO";#N/A,#N/A,FALSE,"BALSCH";#N/A,#N/A,FALSE,"GLASS";#N/A,#N/A,FALSE,"DEPRE";#N/A,#N/A,FALSE,"A&amp;MCUR";#N/A,#N/A,FALSE,"AGEANAlysis";#N/A,#N/A,FALSE,"CHECKS";#N/A,#N/A,FALSE,"CHECKS"}</definedName>
    <definedName name="pssq" localSheetId="10" hidden="1">{#N/A,#N/A,FALSE,"COMICRO";#N/A,#N/A,FALSE,"BALSCH";#N/A,#N/A,FALSE,"GLASS";#N/A,#N/A,FALSE,"DEPRE";#N/A,#N/A,FALSE,"A&amp;MCUR";#N/A,#N/A,FALSE,"AGEANAlysis";#N/A,#N/A,FALSE,"CHECKS";#N/A,#N/A,FALSE,"CHECKS"}</definedName>
    <definedName name="pssq" localSheetId="1" hidden="1">{#N/A,#N/A,FALSE,"COMICRO";#N/A,#N/A,FALSE,"BALSCH";#N/A,#N/A,FALSE,"GLASS";#N/A,#N/A,FALSE,"DEPRE";#N/A,#N/A,FALSE,"A&amp;MCUR";#N/A,#N/A,FALSE,"AGEANAlysis";#N/A,#N/A,FALSE,"CHECKS";#N/A,#N/A,FALSE,"CHECKS"}</definedName>
    <definedName name="pssq" localSheetId="6" hidden="1">{#N/A,#N/A,FALSE,"COMICRO";#N/A,#N/A,FALSE,"BALSCH";#N/A,#N/A,FALSE,"GLASS";#N/A,#N/A,FALSE,"DEPRE";#N/A,#N/A,FALSE,"A&amp;MCUR";#N/A,#N/A,FALSE,"AGEANAlysis";#N/A,#N/A,FALSE,"CHECKS";#N/A,#N/A,FALSE,"CHECKS"}</definedName>
    <definedName name="pssq" hidden="1">{#N/A,#N/A,FALSE,"COMICRO";#N/A,#N/A,FALSE,"BALSCH";#N/A,#N/A,FALSE,"GLASS";#N/A,#N/A,FALSE,"DEPRE";#N/A,#N/A,FALSE,"A&amp;MCUR";#N/A,#N/A,FALSE,"AGEANAlysis";#N/A,#N/A,FALSE,"CHECKS";#N/A,#N/A,FALSE,"CHECKS"}</definedName>
    <definedName name="PTDATA" localSheetId="30" hidden="1">{"page1",#N/A,FALSE,"Taean 1&amp;2";"page2",#N/A,FALSE,"Taean 1&amp;2"}</definedName>
    <definedName name="PTDATA" localSheetId="31" hidden="1">{"page1",#N/A,FALSE,"Taean 1&amp;2";"page2",#N/A,FALSE,"Taean 1&amp;2"}</definedName>
    <definedName name="PTDATA" localSheetId="32" hidden="1">{"page1",#N/A,FALSE,"Taean 1&amp;2";"page2",#N/A,FALSE,"Taean 1&amp;2"}</definedName>
    <definedName name="PTDATA" localSheetId="10" hidden="1">{"page1",#N/A,FALSE,"Taean 1&amp;2";"page2",#N/A,FALSE,"Taean 1&amp;2"}</definedName>
    <definedName name="PTDATA" localSheetId="6" hidden="1">{"page1",#N/A,FALSE,"Taean 1&amp;2";"page2",#N/A,FALSE,"Taean 1&amp;2"}</definedName>
    <definedName name="PTDATA" hidden="1">{"page1",#N/A,FALSE,"Taean 1&amp;2";"page2",#N/A,FALSE,"Taean 1&amp;2"}</definedName>
    <definedName name="puoipui" localSheetId="30" hidden="1">{#N/A,#N/A,FALSE,"3";#N/A,#N/A,FALSE,"5";#N/A,#N/A,FALSE,"6";#N/A,#N/A,FALSE,"8";#N/A,#N/A,FALSE,"10";#N/A,#N/A,FALSE,"13";#N/A,#N/A,FALSE,"14";#N/A,#N/A,FALSE,"15";#N/A,#N/A,FALSE,"16"}</definedName>
    <definedName name="puoipui" localSheetId="31" hidden="1">{#N/A,#N/A,FALSE,"3";#N/A,#N/A,FALSE,"5";#N/A,#N/A,FALSE,"6";#N/A,#N/A,FALSE,"8";#N/A,#N/A,FALSE,"10";#N/A,#N/A,FALSE,"13";#N/A,#N/A,FALSE,"14";#N/A,#N/A,FALSE,"15";#N/A,#N/A,FALSE,"16"}</definedName>
    <definedName name="puoipui" localSheetId="32" hidden="1">{#N/A,#N/A,FALSE,"3";#N/A,#N/A,FALSE,"5";#N/A,#N/A,FALSE,"6";#N/A,#N/A,FALSE,"8";#N/A,#N/A,FALSE,"10";#N/A,#N/A,FALSE,"13";#N/A,#N/A,FALSE,"14";#N/A,#N/A,FALSE,"15";#N/A,#N/A,FALSE,"16"}</definedName>
    <definedName name="puoipui" localSheetId="10" hidden="1">{#N/A,#N/A,FALSE,"3";#N/A,#N/A,FALSE,"5";#N/A,#N/A,FALSE,"6";#N/A,#N/A,FALSE,"8";#N/A,#N/A,FALSE,"10";#N/A,#N/A,FALSE,"13";#N/A,#N/A,FALSE,"14";#N/A,#N/A,FALSE,"15";#N/A,#N/A,FALSE,"16"}</definedName>
    <definedName name="puoipui" localSheetId="6" hidden="1">{#N/A,#N/A,FALSE,"3";#N/A,#N/A,FALSE,"5";#N/A,#N/A,FALSE,"6";#N/A,#N/A,FALSE,"8";#N/A,#N/A,FALSE,"10";#N/A,#N/A,FALSE,"13";#N/A,#N/A,FALSE,"14";#N/A,#N/A,FALSE,"15";#N/A,#N/A,FALSE,"16"}</definedName>
    <definedName name="puoipui" hidden="1">{#N/A,#N/A,FALSE,"3";#N/A,#N/A,FALSE,"5";#N/A,#N/A,FALSE,"6";#N/A,#N/A,FALSE,"8";#N/A,#N/A,FALSE,"10";#N/A,#N/A,FALSE,"13";#N/A,#N/A,FALSE,"14";#N/A,#N/A,FALSE,"15";#N/A,#N/A,FALSE,"16"}</definedName>
    <definedName name="Pupuroe" hidden="1">{"summary",#N/A,FALSE,"2000 vs 1999";"detail",#N/A,FALSE,"2000 vs 1999"}</definedName>
    <definedName name="q" localSheetId="3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q" localSheetId="3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q" localSheetId="3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q" localSheetId="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q" localSheetI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q" localSheetI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q"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qa" hidden="1">{"summary",#N/A,FALSE,"2000 vs 1999";"detail",#N/A,FALSE,"2000 vs 1999"}</definedName>
    <definedName name="qsdf" localSheetId="30" hidden="1">{#N/A,#N/A,FALSE,"Ventilation";#N/A,#N/A,FALSE,"Courbe1";#N/A,#N/A,FALSE,"Courbe2"}</definedName>
    <definedName name="qsdf" localSheetId="31" hidden="1">{#N/A,#N/A,FALSE,"Ventilation";#N/A,#N/A,FALSE,"Courbe1";#N/A,#N/A,FALSE,"Courbe2"}</definedName>
    <definedName name="qsdf" localSheetId="32" hidden="1">{#N/A,#N/A,FALSE,"Ventilation";#N/A,#N/A,FALSE,"Courbe1";#N/A,#N/A,FALSE,"Courbe2"}</definedName>
    <definedName name="qsdf" localSheetId="10" hidden="1">{#N/A,#N/A,FALSE,"Ventilation";#N/A,#N/A,FALSE,"Courbe1";#N/A,#N/A,FALSE,"Courbe2"}</definedName>
    <definedName name="qsdf" localSheetId="6" hidden="1">{#N/A,#N/A,FALSE,"Ventilation";#N/A,#N/A,FALSE,"Courbe1";#N/A,#N/A,FALSE,"Courbe2"}</definedName>
    <definedName name="qsdf" hidden="1">{#N/A,#N/A,FALSE,"Ventilation";#N/A,#N/A,FALSE,"Courbe1";#N/A,#N/A,FALSE,"Courbe2"}</definedName>
    <definedName name="qweqw" localSheetId="30" hidden="1">{#N/A,#N/A,FALSE,"3";#N/A,#N/A,FALSE,"5";#N/A,#N/A,FALSE,"6";#N/A,#N/A,FALSE,"8";#N/A,#N/A,FALSE,"10";#N/A,#N/A,FALSE,"13";#N/A,#N/A,FALSE,"14";#N/A,#N/A,FALSE,"15";#N/A,#N/A,FALSE,"16"}</definedName>
    <definedName name="qweqw" localSheetId="31" hidden="1">{#N/A,#N/A,FALSE,"3";#N/A,#N/A,FALSE,"5";#N/A,#N/A,FALSE,"6";#N/A,#N/A,FALSE,"8";#N/A,#N/A,FALSE,"10";#N/A,#N/A,FALSE,"13";#N/A,#N/A,FALSE,"14";#N/A,#N/A,FALSE,"15";#N/A,#N/A,FALSE,"16"}</definedName>
    <definedName name="qweqw" localSheetId="32" hidden="1">{#N/A,#N/A,FALSE,"3";#N/A,#N/A,FALSE,"5";#N/A,#N/A,FALSE,"6";#N/A,#N/A,FALSE,"8";#N/A,#N/A,FALSE,"10";#N/A,#N/A,FALSE,"13";#N/A,#N/A,FALSE,"14";#N/A,#N/A,FALSE,"15";#N/A,#N/A,FALSE,"16"}</definedName>
    <definedName name="qweqw" localSheetId="10" hidden="1">{#N/A,#N/A,FALSE,"3";#N/A,#N/A,FALSE,"5";#N/A,#N/A,FALSE,"6";#N/A,#N/A,FALSE,"8";#N/A,#N/A,FALSE,"10";#N/A,#N/A,FALSE,"13";#N/A,#N/A,FALSE,"14";#N/A,#N/A,FALSE,"15";#N/A,#N/A,FALSE,"16"}</definedName>
    <definedName name="qweqw" localSheetId="6" hidden="1">{#N/A,#N/A,FALSE,"3";#N/A,#N/A,FALSE,"5";#N/A,#N/A,FALSE,"6";#N/A,#N/A,FALSE,"8";#N/A,#N/A,FALSE,"10";#N/A,#N/A,FALSE,"13";#N/A,#N/A,FALSE,"14";#N/A,#N/A,FALSE,"15";#N/A,#N/A,FALSE,"16"}</definedName>
    <definedName name="qweqw" hidden="1">{#N/A,#N/A,FALSE,"3";#N/A,#N/A,FALSE,"5";#N/A,#N/A,FALSE,"6";#N/A,#N/A,FALSE,"8";#N/A,#N/A,FALSE,"10";#N/A,#N/A,FALSE,"13";#N/A,#N/A,FALSE,"14";#N/A,#N/A,FALSE,"15";#N/A,#N/A,FALSE,"16"}</definedName>
    <definedName name="qwqewqe" localSheetId="30" hidden="1">{#N/A,#N/A,FALSE,"3";#N/A,#N/A,FALSE,"5";#N/A,#N/A,FALSE,"6";#N/A,#N/A,FALSE,"8";#N/A,#N/A,FALSE,"10";#N/A,#N/A,FALSE,"13";#N/A,#N/A,FALSE,"14";#N/A,#N/A,FALSE,"15";#N/A,#N/A,FALSE,"16"}</definedName>
    <definedName name="qwqewqe" localSheetId="31" hidden="1">{#N/A,#N/A,FALSE,"3";#N/A,#N/A,FALSE,"5";#N/A,#N/A,FALSE,"6";#N/A,#N/A,FALSE,"8";#N/A,#N/A,FALSE,"10";#N/A,#N/A,FALSE,"13";#N/A,#N/A,FALSE,"14";#N/A,#N/A,FALSE,"15";#N/A,#N/A,FALSE,"16"}</definedName>
    <definedName name="qwqewqe" localSheetId="32" hidden="1">{#N/A,#N/A,FALSE,"3";#N/A,#N/A,FALSE,"5";#N/A,#N/A,FALSE,"6";#N/A,#N/A,FALSE,"8";#N/A,#N/A,FALSE,"10";#N/A,#N/A,FALSE,"13";#N/A,#N/A,FALSE,"14";#N/A,#N/A,FALSE,"15";#N/A,#N/A,FALSE,"16"}</definedName>
    <definedName name="qwqewqe" localSheetId="10" hidden="1">{#N/A,#N/A,FALSE,"3";#N/A,#N/A,FALSE,"5";#N/A,#N/A,FALSE,"6";#N/A,#N/A,FALSE,"8";#N/A,#N/A,FALSE,"10";#N/A,#N/A,FALSE,"13";#N/A,#N/A,FALSE,"14";#N/A,#N/A,FALSE,"15";#N/A,#N/A,FALSE,"16"}</definedName>
    <definedName name="qwqewqe" localSheetId="6" hidden="1">{#N/A,#N/A,FALSE,"3";#N/A,#N/A,FALSE,"5";#N/A,#N/A,FALSE,"6";#N/A,#N/A,FALSE,"8";#N/A,#N/A,FALSE,"10";#N/A,#N/A,FALSE,"13";#N/A,#N/A,FALSE,"14";#N/A,#N/A,FALSE,"15";#N/A,#N/A,FALSE,"16"}</definedName>
    <definedName name="qwqewqe" hidden="1">{#N/A,#N/A,FALSE,"3";#N/A,#N/A,FALSE,"5";#N/A,#N/A,FALSE,"6";#N/A,#N/A,FALSE,"8";#N/A,#N/A,FALSE,"10";#N/A,#N/A,FALSE,"13";#N/A,#N/A,FALSE,"14";#N/A,#N/A,FALSE,"15";#N/A,#N/A,FALSE,"16"}</definedName>
    <definedName name="RATUO" localSheetId="30" hidden="1">{#N/A,#N/A,FALSE,"COMICRO";#N/A,#N/A,FALSE,"BALSCH";#N/A,#N/A,FALSE,"GLASS";#N/A,#N/A,FALSE,"DEPRE";#N/A,#N/A,FALSE,"A&amp;MCUR";#N/A,#N/A,FALSE,"AGEANAlysis";#N/A,#N/A,FALSE,"CHECKS";#N/A,#N/A,FALSE,"CHECKS"}</definedName>
    <definedName name="RATUO" localSheetId="31" hidden="1">{#N/A,#N/A,FALSE,"COMICRO";#N/A,#N/A,FALSE,"BALSCH";#N/A,#N/A,FALSE,"GLASS";#N/A,#N/A,FALSE,"DEPRE";#N/A,#N/A,FALSE,"A&amp;MCUR";#N/A,#N/A,FALSE,"AGEANAlysis";#N/A,#N/A,FALSE,"CHECKS";#N/A,#N/A,FALSE,"CHECKS"}</definedName>
    <definedName name="RATUO" localSheetId="32" hidden="1">{#N/A,#N/A,FALSE,"COMICRO";#N/A,#N/A,FALSE,"BALSCH";#N/A,#N/A,FALSE,"GLASS";#N/A,#N/A,FALSE,"DEPRE";#N/A,#N/A,FALSE,"A&amp;MCUR";#N/A,#N/A,FALSE,"AGEANAlysis";#N/A,#N/A,FALSE,"CHECKS";#N/A,#N/A,FALSE,"CHECKS"}</definedName>
    <definedName name="RATUO" localSheetId="10" hidden="1">{#N/A,#N/A,FALSE,"COMICRO";#N/A,#N/A,FALSE,"BALSCH";#N/A,#N/A,FALSE,"GLASS";#N/A,#N/A,FALSE,"DEPRE";#N/A,#N/A,FALSE,"A&amp;MCUR";#N/A,#N/A,FALSE,"AGEANAlysis";#N/A,#N/A,FALSE,"CHECKS";#N/A,#N/A,FALSE,"CHECKS"}</definedName>
    <definedName name="RATUO" localSheetId="1" hidden="1">{#N/A,#N/A,FALSE,"COMICRO";#N/A,#N/A,FALSE,"BALSCH";#N/A,#N/A,FALSE,"GLASS";#N/A,#N/A,FALSE,"DEPRE";#N/A,#N/A,FALSE,"A&amp;MCUR";#N/A,#N/A,FALSE,"AGEANAlysis";#N/A,#N/A,FALSE,"CHECKS";#N/A,#N/A,FALSE,"CHECKS"}</definedName>
    <definedName name="RATUO" localSheetId="6" hidden="1">{#N/A,#N/A,FALSE,"COMICRO";#N/A,#N/A,FALSE,"BALSCH";#N/A,#N/A,FALSE,"GLASS";#N/A,#N/A,FALSE,"DEPRE";#N/A,#N/A,FALSE,"A&amp;MCUR";#N/A,#N/A,FALSE,"AGEANAlysis";#N/A,#N/A,FALSE,"CHECKS";#N/A,#N/A,FALSE,"CHECKS"}</definedName>
    <definedName name="RATUO" hidden="1">{#N/A,#N/A,FALSE,"COMICRO";#N/A,#N/A,FALSE,"BALSCH";#N/A,#N/A,FALSE,"GLASS";#N/A,#N/A,FALSE,"DEPRE";#N/A,#N/A,FALSE,"A&amp;MCUR";#N/A,#N/A,FALSE,"AGEANAlysis";#N/A,#N/A,FALSE,"CHECKS";#N/A,#N/A,FALSE,"CHECKS"}</definedName>
    <definedName name="ravi" localSheetId="30" hidden="1">{#N/A,#N/A,FALSE,"COMICRO";#N/A,#N/A,FALSE,"BALSCH";#N/A,#N/A,FALSE,"GLASS";#N/A,#N/A,FALSE,"DEPRE";#N/A,#N/A,FALSE,"A&amp;MCUR";#N/A,#N/A,FALSE,"AGEANAlysis";#N/A,#N/A,FALSE,"CHECKS";#N/A,#N/A,FALSE,"CHECKS"}</definedName>
    <definedName name="ravi" localSheetId="31" hidden="1">{#N/A,#N/A,FALSE,"COMICRO";#N/A,#N/A,FALSE,"BALSCH";#N/A,#N/A,FALSE,"GLASS";#N/A,#N/A,FALSE,"DEPRE";#N/A,#N/A,FALSE,"A&amp;MCUR";#N/A,#N/A,FALSE,"AGEANAlysis";#N/A,#N/A,FALSE,"CHECKS";#N/A,#N/A,FALSE,"CHECKS"}</definedName>
    <definedName name="ravi" localSheetId="32" hidden="1">{#N/A,#N/A,FALSE,"COMICRO";#N/A,#N/A,FALSE,"BALSCH";#N/A,#N/A,FALSE,"GLASS";#N/A,#N/A,FALSE,"DEPRE";#N/A,#N/A,FALSE,"A&amp;MCUR";#N/A,#N/A,FALSE,"AGEANAlysis";#N/A,#N/A,FALSE,"CHECKS";#N/A,#N/A,FALSE,"CHECKS"}</definedName>
    <definedName name="ravi" localSheetId="10" hidden="1">{#N/A,#N/A,FALSE,"COMICRO";#N/A,#N/A,FALSE,"BALSCH";#N/A,#N/A,FALSE,"GLASS";#N/A,#N/A,FALSE,"DEPRE";#N/A,#N/A,FALSE,"A&amp;MCUR";#N/A,#N/A,FALSE,"AGEANAlysis";#N/A,#N/A,FALSE,"CHECKS";#N/A,#N/A,FALSE,"CHECKS"}</definedName>
    <definedName name="ravi" localSheetId="1" hidden="1">{#N/A,#N/A,FALSE,"COMICRO";#N/A,#N/A,FALSE,"BALSCH";#N/A,#N/A,FALSE,"GLASS";#N/A,#N/A,FALSE,"DEPRE";#N/A,#N/A,FALSE,"A&amp;MCUR";#N/A,#N/A,FALSE,"AGEANAlysis";#N/A,#N/A,FALSE,"CHECKS";#N/A,#N/A,FALSE,"CHECKS"}</definedName>
    <definedName name="ravi" localSheetId="6" hidden="1">{#N/A,#N/A,FALSE,"COMICRO";#N/A,#N/A,FALSE,"BALSCH";#N/A,#N/A,FALSE,"GLASS";#N/A,#N/A,FALSE,"DEPRE";#N/A,#N/A,FALSE,"A&amp;MCUR";#N/A,#N/A,FALSE,"AGEANAlysis";#N/A,#N/A,FALSE,"CHECKS";#N/A,#N/A,FALSE,"CHECKS"}</definedName>
    <definedName name="ravi" hidden="1">{#N/A,#N/A,FALSE,"COMICRO";#N/A,#N/A,FALSE,"BALSCH";#N/A,#N/A,FALSE,"GLASS";#N/A,#N/A,FALSE,"DEPRE";#N/A,#N/A,FALSE,"A&amp;MCUR";#N/A,#N/A,FALSE,"AGEANAlysis";#N/A,#N/A,FALSE,"CHECKS";#N/A,#N/A,FALSE,"CHECKS"}</definedName>
    <definedName name="rawtwaeg" hidden="1">#REF!</definedName>
    <definedName name="RCArea" localSheetId="1" hidden="1">#REF!</definedName>
    <definedName name="RCArea" hidden="1">#REF!</definedName>
    <definedName name="reer" localSheetId="30" hidden="1">{#N/A,#N/A,FALSE,"3";#N/A,#N/A,FALSE,"5";#N/A,#N/A,FALSE,"6";#N/A,#N/A,FALSE,"8";#N/A,#N/A,FALSE,"10";#N/A,#N/A,FALSE,"13";#N/A,#N/A,FALSE,"14";#N/A,#N/A,FALSE,"15";#N/A,#N/A,FALSE,"16"}</definedName>
    <definedName name="reer" localSheetId="31" hidden="1">{#N/A,#N/A,FALSE,"3";#N/A,#N/A,FALSE,"5";#N/A,#N/A,FALSE,"6";#N/A,#N/A,FALSE,"8";#N/A,#N/A,FALSE,"10";#N/A,#N/A,FALSE,"13";#N/A,#N/A,FALSE,"14";#N/A,#N/A,FALSE,"15";#N/A,#N/A,FALSE,"16"}</definedName>
    <definedName name="reer" localSheetId="32" hidden="1">{#N/A,#N/A,FALSE,"3";#N/A,#N/A,FALSE,"5";#N/A,#N/A,FALSE,"6";#N/A,#N/A,FALSE,"8";#N/A,#N/A,FALSE,"10";#N/A,#N/A,FALSE,"13";#N/A,#N/A,FALSE,"14";#N/A,#N/A,FALSE,"15";#N/A,#N/A,FALSE,"16"}</definedName>
    <definedName name="reer" localSheetId="10" hidden="1">{#N/A,#N/A,FALSE,"3";#N/A,#N/A,FALSE,"5";#N/A,#N/A,FALSE,"6";#N/A,#N/A,FALSE,"8";#N/A,#N/A,FALSE,"10";#N/A,#N/A,FALSE,"13";#N/A,#N/A,FALSE,"14";#N/A,#N/A,FALSE,"15";#N/A,#N/A,FALSE,"16"}</definedName>
    <definedName name="reer" localSheetId="6" hidden="1">{#N/A,#N/A,FALSE,"3";#N/A,#N/A,FALSE,"5";#N/A,#N/A,FALSE,"6";#N/A,#N/A,FALSE,"8";#N/A,#N/A,FALSE,"10";#N/A,#N/A,FALSE,"13";#N/A,#N/A,FALSE,"14";#N/A,#N/A,FALSE,"15";#N/A,#N/A,FALSE,"16"}</definedName>
    <definedName name="reer" hidden="1">{#N/A,#N/A,FALSE,"3";#N/A,#N/A,FALSE,"5";#N/A,#N/A,FALSE,"6";#N/A,#N/A,FALSE,"8";#N/A,#N/A,FALSE,"10";#N/A,#N/A,FALSE,"13";#N/A,#N/A,FALSE,"14";#N/A,#N/A,FALSE,"15";#N/A,#N/A,FALSE,"16"}</definedName>
    <definedName name="REF" localSheetId="30" hidden="1">{#N/A,#N/A,FALSE,"COMP"}</definedName>
    <definedName name="REF" localSheetId="31" hidden="1">{#N/A,#N/A,FALSE,"COMP"}</definedName>
    <definedName name="REF" localSheetId="32" hidden="1">{#N/A,#N/A,FALSE,"COMP"}</definedName>
    <definedName name="REF" localSheetId="10" hidden="1">{#N/A,#N/A,FALSE,"COMP"}</definedName>
    <definedName name="REF" localSheetId="1" hidden="1">{#N/A,#N/A,FALSE,"COMP"}</definedName>
    <definedName name="REF" localSheetId="6" hidden="1">{#N/A,#N/A,FALSE,"COMP"}</definedName>
    <definedName name="REF" hidden="1">{#N/A,#N/A,FALSE,"COMP"}</definedName>
    <definedName name="regerge" localSheetId="30" hidden="1">{#N/A,#N/A,FALSE,"3";#N/A,#N/A,FALSE,"5";#N/A,#N/A,FALSE,"6";#N/A,#N/A,FALSE,"8";#N/A,#N/A,FALSE,"10";#N/A,#N/A,FALSE,"13";#N/A,#N/A,FALSE,"14";#N/A,#N/A,FALSE,"15";#N/A,#N/A,FALSE,"16"}</definedName>
    <definedName name="regerge" localSheetId="31" hidden="1">{#N/A,#N/A,FALSE,"3";#N/A,#N/A,FALSE,"5";#N/A,#N/A,FALSE,"6";#N/A,#N/A,FALSE,"8";#N/A,#N/A,FALSE,"10";#N/A,#N/A,FALSE,"13";#N/A,#N/A,FALSE,"14";#N/A,#N/A,FALSE,"15";#N/A,#N/A,FALSE,"16"}</definedName>
    <definedName name="regerge" localSheetId="32" hidden="1">{#N/A,#N/A,FALSE,"3";#N/A,#N/A,FALSE,"5";#N/A,#N/A,FALSE,"6";#N/A,#N/A,FALSE,"8";#N/A,#N/A,FALSE,"10";#N/A,#N/A,FALSE,"13";#N/A,#N/A,FALSE,"14";#N/A,#N/A,FALSE,"15";#N/A,#N/A,FALSE,"16"}</definedName>
    <definedName name="regerge" localSheetId="10" hidden="1">{#N/A,#N/A,FALSE,"3";#N/A,#N/A,FALSE,"5";#N/A,#N/A,FALSE,"6";#N/A,#N/A,FALSE,"8";#N/A,#N/A,FALSE,"10";#N/A,#N/A,FALSE,"13";#N/A,#N/A,FALSE,"14";#N/A,#N/A,FALSE,"15";#N/A,#N/A,FALSE,"16"}</definedName>
    <definedName name="regerge" localSheetId="6" hidden="1">{#N/A,#N/A,FALSE,"3";#N/A,#N/A,FALSE,"5";#N/A,#N/A,FALSE,"6";#N/A,#N/A,FALSE,"8";#N/A,#N/A,FALSE,"10";#N/A,#N/A,FALSE,"13";#N/A,#N/A,FALSE,"14";#N/A,#N/A,FALSE,"15";#N/A,#N/A,FALSE,"16"}</definedName>
    <definedName name="regerge" hidden="1">{#N/A,#N/A,FALSE,"3";#N/A,#N/A,FALSE,"5";#N/A,#N/A,FALSE,"6";#N/A,#N/A,FALSE,"8";#N/A,#N/A,FALSE,"10";#N/A,#N/A,FALSE,"13";#N/A,#N/A,FALSE,"14";#N/A,#N/A,FALSE,"15";#N/A,#N/A,FALSE,"16"}</definedName>
    <definedName name="remove" localSheetId="30" hidden="1">{#N/A,#N/A,TRUE,"KEY DATA";#N/A,#N/A,TRUE,"KEY DATA Base Case";#N/A,#N/A,TRUE,"JULY";#N/A,#N/A,TRUE,"AUG";#N/A,#N/A,TRUE,"SEPT";#N/A,#N/A,TRUE,"3Q"}</definedName>
    <definedName name="remove" localSheetId="31" hidden="1">{#N/A,#N/A,TRUE,"KEY DATA";#N/A,#N/A,TRUE,"KEY DATA Base Case";#N/A,#N/A,TRUE,"JULY";#N/A,#N/A,TRUE,"AUG";#N/A,#N/A,TRUE,"SEPT";#N/A,#N/A,TRUE,"3Q"}</definedName>
    <definedName name="remove" localSheetId="32" hidden="1">{#N/A,#N/A,TRUE,"KEY DATA";#N/A,#N/A,TRUE,"KEY DATA Base Case";#N/A,#N/A,TRUE,"JULY";#N/A,#N/A,TRUE,"AUG";#N/A,#N/A,TRUE,"SEPT";#N/A,#N/A,TRUE,"3Q"}</definedName>
    <definedName name="remove" localSheetId="10" hidden="1">{#N/A,#N/A,TRUE,"KEY DATA";#N/A,#N/A,TRUE,"KEY DATA Base Case";#N/A,#N/A,TRUE,"JULY";#N/A,#N/A,TRUE,"AUG";#N/A,#N/A,TRUE,"SEPT";#N/A,#N/A,TRUE,"3Q"}</definedName>
    <definedName name="remove" localSheetId="6" hidden="1">{#N/A,#N/A,TRUE,"KEY DATA";#N/A,#N/A,TRUE,"KEY DATA Base Case";#N/A,#N/A,TRUE,"JULY";#N/A,#N/A,TRUE,"AUG";#N/A,#N/A,TRUE,"SEPT";#N/A,#N/A,TRUE,"3Q"}</definedName>
    <definedName name="remove" hidden="1">{#N/A,#N/A,TRUE,"KEY DATA";#N/A,#N/A,TRUE,"KEY DATA Base Case";#N/A,#N/A,TRUE,"JULY";#N/A,#N/A,TRUE,"AUG";#N/A,#N/A,TRUE,"SEPT";#N/A,#N/A,TRUE,"3Q"}</definedName>
    <definedName name="remove2" localSheetId="30" hidden="1">{#N/A,#N/A,TRUE,"KEY DATA";#N/A,#N/A,TRUE,"KEY DATA Base Case";#N/A,#N/A,TRUE,"JULY";#N/A,#N/A,TRUE,"AUG";#N/A,#N/A,TRUE,"SEPT";#N/A,#N/A,TRUE,"3Q"}</definedName>
    <definedName name="remove2" localSheetId="31" hidden="1">{#N/A,#N/A,TRUE,"KEY DATA";#N/A,#N/A,TRUE,"KEY DATA Base Case";#N/A,#N/A,TRUE,"JULY";#N/A,#N/A,TRUE,"AUG";#N/A,#N/A,TRUE,"SEPT";#N/A,#N/A,TRUE,"3Q"}</definedName>
    <definedName name="remove2" localSheetId="32" hidden="1">{#N/A,#N/A,TRUE,"KEY DATA";#N/A,#N/A,TRUE,"KEY DATA Base Case";#N/A,#N/A,TRUE,"JULY";#N/A,#N/A,TRUE,"AUG";#N/A,#N/A,TRUE,"SEPT";#N/A,#N/A,TRUE,"3Q"}</definedName>
    <definedName name="remove2" localSheetId="10" hidden="1">{#N/A,#N/A,TRUE,"KEY DATA";#N/A,#N/A,TRUE,"KEY DATA Base Case";#N/A,#N/A,TRUE,"JULY";#N/A,#N/A,TRUE,"AUG";#N/A,#N/A,TRUE,"SEPT";#N/A,#N/A,TRUE,"3Q"}</definedName>
    <definedName name="remove2" localSheetId="6" hidden="1">{#N/A,#N/A,TRUE,"KEY DATA";#N/A,#N/A,TRUE,"KEY DATA Base Case";#N/A,#N/A,TRUE,"JULY";#N/A,#N/A,TRUE,"AUG";#N/A,#N/A,TRUE,"SEPT";#N/A,#N/A,TRUE,"3Q"}</definedName>
    <definedName name="remove2" hidden="1">{#N/A,#N/A,TRUE,"KEY DATA";#N/A,#N/A,TRUE,"KEY DATA Base Case";#N/A,#N/A,TRUE,"JULY";#N/A,#N/A,TRUE,"AUG";#N/A,#N/A,TRUE,"SEPT";#N/A,#N/A,TRUE,"3Q"}</definedName>
    <definedName name="Reserve" hidden="1">{"summary",#N/A,FALSE,"2000 vs 1999";"detail",#N/A,FALSE,"2000 vs 1999"}</definedName>
    <definedName name="rewqfe" localSheetId="30" hidden="1">{#N/A,#N/A,FALSE,"3";#N/A,#N/A,FALSE,"5";#N/A,#N/A,FALSE,"6";#N/A,#N/A,FALSE,"8";#N/A,#N/A,FALSE,"10";#N/A,#N/A,FALSE,"13";#N/A,#N/A,FALSE,"14";#N/A,#N/A,FALSE,"15";#N/A,#N/A,FALSE,"16"}</definedName>
    <definedName name="rewqfe" localSheetId="31" hidden="1">{#N/A,#N/A,FALSE,"3";#N/A,#N/A,FALSE,"5";#N/A,#N/A,FALSE,"6";#N/A,#N/A,FALSE,"8";#N/A,#N/A,FALSE,"10";#N/A,#N/A,FALSE,"13";#N/A,#N/A,FALSE,"14";#N/A,#N/A,FALSE,"15";#N/A,#N/A,FALSE,"16"}</definedName>
    <definedName name="rewqfe" localSheetId="32" hidden="1">{#N/A,#N/A,FALSE,"3";#N/A,#N/A,FALSE,"5";#N/A,#N/A,FALSE,"6";#N/A,#N/A,FALSE,"8";#N/A,#N/A,FALSE,"10";#N/A,#N/A,FALSE,"13";#N/A,#N/A,FALSE,"14";#N/A,#N/A,FALSE,"15";#N/A,#N/A,FALSE,"16"}</definedName>
    <definedName name="rewqfe" localSheetId="10" hidden="1">{#N/A,#N/A,FALSE,"3";#N/A,#N/A,FALSE,"5";#N/A,#N/A,FALSE,"6";#N/A,#N/A,FALSE,"8";#N/A,#N/A,FALSE,"10";#N/A,#N/A,FALSE,"13";#N/A,#N/A,FALSE,"14";#N/A,#N/A,FALSE,"15";#N/A,#N/A,FALSE,"16"}</definedName>
    <definedName name="rewqfe" localSheetId="6" hidden="1">{#N/A,#N/A,FALSE,"3";#N/A,#N/A,FALSE,"5";#N/A,#N/A,FALSE,"6";#N/A,#N/A,FALSE,"8";#N/A,#N/A,FALSE,"10";#N/A,#N/A,FALSE,"13";#N/A,#N/A,FALSE,"14";#N/A,#N/A,FALSE,"15";#N/A,#N/A,FALSE,"16"}</definedName>
    <definedName name="rewqfe" hidden="1">{#N/A,#N/A,FALSE,"3";#N/A,#N/A,FALSE,"5";#N/A,#N/A,FALSE,"6";#N/A,#N/A,FALSE,"8";#N/A,#N/A,FALSE,"10";#N/A,#N/A,FALSE,"13";#N/A,#N/A,FALSE,"14";#N/A,#N/A,FALSE,"15";#N/A,#N/A,FALSE,"16"}</definedName>
    <definedName name="reyrey" localSheetId="30" hidden="1">{#N/A,#N/A,FALSE,"3";#N/A,#N/A,FALSE,"5";#N/A,#N/A,FALSE,"6";#N/A,#N/A,FALSE,"8";#N/A,#N/A,FALSE,"10";#N/A,#N/A,FALSE,"13";#N/A,#N/A,FALSE,"14";#N/A,#N/A,FALSE,"15";#N/A,#N/A,FALSE,"16"}</definedName>
    <definedName name="reyrey" localSheetId="31" hidden="1">{#N/A,#N/A,FALSE,"3";#N/A,#N/A,FALSE,"5";#N/A,#N/A,FALSE,"6";#N/A,#N/A,FALSE,"8";#N/A,#N/A,FALSE,"10";#N/A,#N/A,FALSE,"13";#N/A,#N/A,FALSE,"14";#N/A,#N/A,FALSE,"15";#N/A,#N/A,FALSE,"16"}</definedName>
    <definedName name="reyrey" localSheetId="32" hidden="1">{#N/A,#N/A,FALSE,"3";#N/A,#N/A,FALSE,"5";#N/A,#N/A,FALSE,"6";#N/A,#N/A,FALSE,"8";#N/A,#N/A,FALSE,"10";#N/A,#N/A,FALSE,"13";#N/A,#N/A,FALSE,"14";#N/A,#N/A,FALSE,"15";#N/A,#N/A,FALSE,"16"}</definedName>
    <definedName name="reyrey" localSheetId="10" hidden="1">{#N/A,#N/A,FALSE,"3";#N/A,#N/A,FALSE,"5";#N/A,#N/A,FALSE,"6";#N/A,#N/A,FALSE,"8";#N/A,#N/A,FALSE,"10";#N/A,#N/A,FALSE,"13";#N/A,#N/A,FALSE,"14";#N/A,#N/A,FALSE,"15";#N/A,#N/A,FALSE,"16"}</definedName>
    <definedName name="reyrey" localSheetId="6" hidden="1">{#N/A,#N/A,FALSE,"3";#N/A,#N/A,FALSE,"5";#N/A,#N/A,FALSE,"6";#N/A,#N/A,FALSE,"8";#N/A,#N/A,FALSE,"10";#N/A,#N/A,FALSE,"13";#N/A,#N/A,FALSE,"14";#N/A,#N/A,FALSE,"15";#N/A,#N/A,FALSE,"16"}</definedName>
    <definedName name="reyrey" hidden="1">{#N/A,#N/A,FALSE,"3";#N/A,#N/A,FALSE,"5";#N/A,#N/A,FALSE,"6";#N/A,#N/A,FALSE,"8";#N/A,#N/A,FALSE,"10";#N/A,#N/A,FALSE,"13";#N/A,#N/A,FALSE,"14";#N/A,#N/A,FALSE,"15";#N/A,#N/A,FALSE,"16"}</definedName>
    <definedName name="rhs" localSheetId="30" hidden="1">{#N/A,#N/A,TRUE,"KEY DATA";#N/A,#N/A,TRUE,"KEY DATA Base Case";#N/A,#N/A,TRUE,"JULY";#N/A,#N/A,TRUE,"AUG";#N/A,#N/A,TRUE,"SEPT";#N/A,#N/A,TRUE,"3Q"}</definedName>
    <definedName name="rhs" localSheetId="31" hidden="1">{#N/A,#N/A,TRUE,"KEY DATA";#N/A,#N/A,TRUE,"KEY DATA Base Case";#N/A,#N/A,TRUE,"JULY";#N/A,#N/A,TRUE,"AUG";#N/A,#N/A,TRUE,"SEPT";#N/A,#N/A,TRUE,"3Q"}</definedName>
    <definedName name="rhs" localSheetId="32" hidden="1">{#N/A,#N/A,TRUE,"KEY DATA";#N/A,#N/A,TRUE,"KEY DATA Base Case";#N/A,#N/A,TRUE,"JULY";#N/A,#N/A,TRUE,"AUG";#N/A,#N/A,TRUE,"SEPT";#N/A,#N/A,TRUE,"3Q"}</definedName>
    <definedName name="rhs" localSheetId="10" hidden="1">{#N/A,#N/A,TRUE,"KEY DATA";#N/A,#N/A,TRUE,"KEY DATA Base Case";#N/A,#N/A,TRUE,"JULY";#N/A,#N/A,TRUE,"AUG";#N/A,#N/A,TRUE,"SEPT";#N/A,#N/A,TRUE,"3Q"}</definedName>
    <definedName name="rhs" localSheetId="6" hidden="1">{#N/A,#N/A,TRUE,"KEY DATA";#N/A,#N/A,TRUE,"KEY DATA Base Case";#N/A,#N/A,TRUE,"JULY";#N/A,#N/A,TRUE,"AUG";#N/A,#N/A,TRUE,"SEPT";#N/A,#N/A,TRUE,"3Q"}</definedName>
    <definedName name="rhs" hidden="1">{#N/A,#N/A,TRUE,"KEY DATA";#N/A,#N/A,TRUE,"KEY DATA Base Case";#N/A,#N/A,TRUE,"JULY";#N/A,#N/A,TRUE,"AUG";#N/A,#N/A,TRUE,"SEPT";#N/A,#N/A,TRUE,"3Q"}</definedName>
    <definedName name="rich" hidden="1">{"summary",#N/A,FALSE,"2000 vs 1999";"detail",#N/A,FALSE,"2000 vs 1999"}</definedName>
    <definedName name="rich1" hidden="1">{"summary",#N/A,FALSE,"2000 vs 1999";"detail",#N/A,FALSE,"2000 vs 1999"}</definedName>
    <definedName name="rich3" hidden="1">{"summary",#N/A,FALSE,"2000 vs 1999";"detail",#N/A,FALSE,"2000 vs 1999"}</definedName>
    <definedName name="roy" localSheetId="30" hidden="1">{"Summary analysis",#N/A,FALSE,"Total";"OCPH analysis",#N/A,FALSE,"Total";"detail analysis",#N/A,FALSE,"Total"}</definedName>
    <definedName name="roy" localSheetId="31" hidden="1">{"Summary analysis",#N/A,FALSE,"Total";"OCPH analysis",#N/A,FALSE,"Total";"detail analysis",#N/A,FALSE,"Total"}</definedName>
    <definedName name="roy" localSheetId="32" hidden="1">{"Summary analysis",#N/A,FALSE,"Total";"OCPH analysis",#N/A,FALSE,"Total";"detail analysis",#N/A,FALSE,"Total"}</definedName>
    <definedName name="roy" localSheetId="10" hidden="1">{"Summary analysis",#N/A,FALSE,"Total";"OCPH analysis",#N/A,FALSE,"Total";"detail analysis",#N/A,FALSE,"Total"}</definedName>
    <definedName name="roy" localSheetId="6" hidden="1">{"Summary analysis",#N/A,FALSE,"Total";"OCPH analysis",#N/A,FALSE,"Total";"detail analysis",#N/A,FALSE,"Total"}</definedName>
    <definedName name="roy" hidden="1">{"Summary analysis",#N/A,FALSE,"Total";"OCPH analysis",#N/A,FALSE,"Total";"detail analysis",#N/A,FALSE,"Total"}</definedName>
    <definedName name="rqwrqwrq" localSheetId="30" hidden="1">{#N/A,#N/A,FALSE,"3";#N/A,#N/A,FALSE,"5";#N/A,#N/A,FALSE,"6";#N/A,#N/A,FALSE,"8";#N/A,#N/A,FALSE,"10";#N/A,#N/A,FALSE,"13";#N/A,#N/A,FALSE,"14";#N/A,#N/A,FALSE,"15";#N/A,#N/A,FALSE,"16"}</definedName>
    <definedName name="rqwrqwrq" localSheetId="31" hidden="1">{#N/A,#N/A,FALSE,"3";#N/A,#N/A,FALSE,"5";#N/A,#N/A,FALSE,"6";#N/A,#N/A,FALSE,"8";#N/A,#N/A,FALSE,"10";#N/A,#N/A,FALSE,"13";#N/A,#N/A,FALSE,"14";#N/A,#N/A,FALSE,"15";#N/A,#N/A,FALSE,"16"}</definedName>
    <definedName name="rqwrqwrq" localSheetId="32" hidden="1">{#N/A,#N/A,FALSE,"3";#N/A,#N/A,FALSE,"5";#N/A,#N/A,FALSE,"6";#N/A,#N/A,FALSE,"8";#N/A,#N/A,FALSE,"10";#N/A,#N/A,FALSE,"13";#N/A,#N/A,FALSE,"14";#N/A,#N/A,FALSE,"15";#N/A,#N/A,FALSE,"16"}</definedName>
    <definedName name="rqwrqwrq" localSheetId="10" hidden="1">{#N/A,#N/A,FALSE,"3";#N/A,#N/A,FALSE,"5";#N/A,#N/A,FALSE,"6";#N/A,#N/A,FALSE,"8";#N/A,#N/A,FALSE,"10";#N/A,#N/A,FALSE,"13";#N/A,#N/A,FALSE,"14";#N/A,#N/A,FALSE,"15";#N/A,#N/A,FALSE,"16"}</definedName>
    <definedName name="rqwrqwrq" localSheetId="6" hidden="1">{#N/A,#N/A,FALSE,"3";#N/A,#N/A,FALSE,"5";#N/A,#N/A,FALSE,"6";#N/A,#N/A,FALSE,"8";#N/A,#N/A,FALSE,"10";#N/A,#N/A,FALSE,"13";#N/A,#N/A,FALSE,"14";#N/A,#N/A,FALSE,"15";#N/A,#N/A,FALSE,"16"}</definedName>
    <definedName name="rqwrqwrq" hidden="1">{#N/A,#N/A,FALSE,"3";#N/A,#N/A,FALSE,"5";#N/A,#N/A,FALSE,"6";#N/A,#N/A,FALSE,"8";#N/A,#N/A,FALSE,"10";#N/A,#N/A,FALSE,"13";#N/A,#N/A,FALSE,"14";#N/A,#N/A,FALSE,"15";#N/A,#N/A,FALSE,"16"}</definedName>
    <definedName name="rr" localSheetId="30" hidden="1">{"plansummary",#N/A,FALSE,"PlanSummary";"sales",#N/A,FALSE,"Sales Rec";"productivity",#N/A,FALSE,"Productivity Rec";"capitalspending",#N/A,FALSE,"Capital Spending"}</definedName>
    <definedName name="rr" localSheetId="31" hidden="1">{"plansummary",#N/A,FALSE,"PlanSummary";"sales",#N/A,FALSE,"Sales Rec";"productivity",#N/A,FALSE,"Productivity Rec";"capitalspending",#N/A,FALSE,"Capital Spending"}</definedName>
    <definedName name="rr" localSheetId="32" hidden="1">{"plansummary",#N/A,FALSE,"PlanSummary";"sales",#N/A,FALSE,"Sales Rec";"productivity",#N/A,FALSE,"Productivity Rec";"capitalspending",#N/A,FALSE,"Capital Spending"}</definedName>
    <definedName name="rr" localSheetId="10" hidden="1">{"plansummary",#N/A,FALSE,"PlanSummary";"sales",#N/A,FALSE,"Sales Rec";"productivity",#N/A,FALSE,"Productivity Rec";"capitalspending",#N/A,FALSE,"Capital Spending"}</definedName>
    <definedName name="rr" localSheetId="1" hidden="1">{"plansummary",#N/A,FALSE,"PlanSummary";"sales",#N/A,FALSE,"Sales Rec";"productivity",#N/A,FALSE,"Productivity Rec";"capitalspending",#N/A,FALSE,"Capital Spending"}</definedName>
    <definedName name="rr" localSheetId="6" hidden="1">{"plansummary",#N/A,FALSE,"PlanSummary";"sales",#N/A,FALSE,"Sales Rec";"productivity",#N/A,FALSE,"Productivity Rec";"capitalspending",#N/A,FALSE,"Capital Spending"}</definedName>
    <definedName name="rr" hidden="1">{"plansummary",#N/A,FALSE,"PlanSummary";"sales",#N/A,FALSE,"Sales Rec";"productivity",#N/A,FALSE,"Productivity Rec";"capitalspending",#N/A,FALSE,"Capital Spending"}</definedName>
    <definedName name="rrrrrrrrrrrrrr" hidden="1">#REF!</definedName>
    <definedName name="rturtu" localSheetId="30" hidden="1">{#N/A,#N/A,FALSE,"3";#N/A,#N/A,FALSE,"5";#N/A,#N/A,FALSE,"6";#N/A,#N/A,FALSE,"8";#N/A,#N/A,FALSE,"10";#N/A,#N/A,FALSE,"13";#N/A,#N/A,FALSE,"14";#N/A,#N/A,FALSE,"15";#N/A,#N/A,FALSE,"16"}</definedName>
    <definedName name="rturtu" localSheetId="31" hidden="1">{#N/A,#N/A,FALSE,"3";#N/A,#N/A,FALSE,"5";#N/A,#N/A,FALSE,"6";#N/A,#N/A,FALSE,"8";#N/A,#N/A,FALSE,"10";#N/A,#N/A,FALSE,"13";#N/A,#N/A,FALSE,"14";#N/A,#N/A,FALSE,"15";#N/A,#N/A,FALSE,"16"}</definedName>
    <definedName name="rturtu" localSheetId="32" hidden="1">{#N/A,#N/A,FALSE,"3";#N/A,#N/A,FALSE,"5";#N/A,#N/A,FALSE,"6";#N/A,#N/A,FALSE,"8";#N/A,#N/A,FALSE,"10";#N/A,#N/A,FALSE,"13";#N/A,#N/A,FALSE,"14";#N/A,#N/A,FALSE,"15";#N/A,#N/A,FALSE,"16"}</definedName>
    <definedName name="rturtu" localSheetId="10" hidden="1">{#N/A,#N/A,FALSE,"3";#N/A,#N/A,FALSE,"5";#N/A,#N/A,FALSE,"6";#N/A,#N/A,FALSE,"8";#N/A,#N/A,FALSE,"10";#N/A,#N/A,FALSE,"13";#N/A,#N/A,FALSE,"14";#N/A,#N/A,FALSE,"15";#N/A,#N/A,FALSE,"16"}</definedName>
    <definedName name="rturtu" localSheetId="6" hidden="1">{#N/A,#N/A,FALSE,"3";#N/A,#N/A,FALSE,"5";#N/A,#N/A,FALSE,"6";#N/A,#N/A,FALSE,"8";#N/A,#N/A,FALSE,"10";#N/A,#N/A,FALSE,"13";#N/A,#N/A,FALSE,"14";#N/A,#N/A,FALSE,"15";#N/A,#N/A,FALSE,"16"}</definedName>
    <definedName name="rturtu" hidden="1">{#N/A,#N/A,FALSE,"3";#N/A,#N/A,FALSE,"5";#N/A,#N/A,FALSE,"6";#N/A,#N/A,FALSE,"8";#N/A,#N/A,FALSE,"10";#N/A,#N/A,FALSE,"13";#N/A,#N/A,FALSE,"14";#N/A,#N/A,FALSE,"15";#N/A,#N/A,FALSE,"16"}</definedName>
    <definedName name="rturtutr" localSheetId="30" hidden="1">{#N/A,#N/A,FALSE,"3";#N/A,#N/A,FALSE,"5";#N/A,#N/A,FALSE,"6";#N/A,#N/A,FALSE,"8";#N/A,#N/A,FALSE,"10";#N/A,#N/A,FALSE,"13";#N/A,#N/A,FALSE,"14";#N/A,#N/A,FALSE,"15";#N/A,#N/A,FALSE,"16"}</definedName>
    <definedName name="rturtutr" localSheetId="31" hidden="1">{#N/A,#N/A,FALSE,"3";#N/A,#N/A,FALSE,"5";#N/A,#N/A,FALSE,"6";#N/A,#N/A,FALSE,"8";#N/A,#N/A,FALSE,"10";#N/A,#N/A,FALSE,"13";#N/A,#N/A,FALSE,"14";#N/A,#N/A,FALSE,"15";#N/A,#N/A,FALSE,"16"}</definedName>
    <definedName name="rturtutr" localSheetId="32" hidden="1">{#N/A,#N/A,FALSE,"3";#N/A,#N/A,FALSE,"5";#N/A,#N/A,FALSE,"6";#N/A,#N/A,FALSE,"8";#N/A,#N/A,FALSE,"10";#N/A,#N/A,FALSE,"13";#N/A,#N/A,FALSE,"14";#N/A,#N/A,FALSE,"15";#N/A,#N/A,FALSE,"16"}</definedName>
    <definedName name="rturtutr" localSheetId="10" hidden="1">{#N/A,#N/A,FALSE,"3";#N/A,#N/A,FALSE,"5";#N/A,#N/A,FALSE,"6";#N/A,#N/A,FALSE,"8";#N/A,#N/A,FALSE,"10";#N/A,#N/A,FALSE,"13";#N/A,#N/A,FALSE,"14";#N/A,#N/A,FALSE,"15";#N/A,#N/A,FALSE,"16"}</definedName>
    <definedName name="rturtutr" localSheetId="6" hidden="1">{#N/A,#N/A,FALSE,"3";#N/A,#N/A,FALSE,"5";#N/A,#N/A,FALSE,"6";#N/A,#N/A,FALSE,"8";#N/A,#N/A,FALSE,"10";#N/A,#N/A,FALSE,"13";#N/A,#N/A,FALSE,"14";#N/A,#N/A,FALSE,"15";#N/A,#N/A,FALSE,"16"}</definedName>
    <definedName name="rturtutr" hidden="1">{#N/A,#N/A,FALSE,"3";#N/A,#N/A,FALSE,"5";#N/A,#N/A,FALSE,"6";#N/A,#N/A,FALSE,"8";#N/A,#N/A,FALSE,"10";#N/A,#N/A,FALSE,"13";#N/A,#N/A,FALSE,"14";#N/A,#N/A,FALSE,"15";#N/A,#N/A,FALSE,"16"}</definedName>
    <definedName name="rturtutrut" localSheetId="30" hidden="1">{#N/A,#N/A,FALSE,"3";#N/A,#N/A,FALSE,"5";#N/A,#N/A,FALSE,"6";#N/A,#N/A,FALSE,"8";#N/A,#N/A,FALSE,"10";#N/A,#N/A,FALSE,"13";#N/A,#N/A,FALSE,"14";#N/A,#N/A,FALSE,"15";#N/A,#N/A,FALSE,"16"}</definedName>
    <definedName name="rturtutrut" localSheetId="31" hidden="1">{#N/A,#N/A,FALSE,"3";#N/A,#N/A,FALSE,"5";#N/A,#N/A,FALSE,"6";#N/A,#N/A,FALSE,"8";#N/A,#N/A,FALSE,"10";#N/A,#N/A,FALSE,"13";#N/A,#N/A,FALSE,"14";#N/A,#N/A,FALSE,"15";#N/A,#N/A,FALSE,"16"}</definedName>
    <definedName name="rturtutrut" localSheetId="32" hidden="1">{#N/A,#N/A,FALSE,"3";#N/A,#N/A,FALSE,"5";#N/A,#N/A,FALSE,"6";#N/A,#N/A,FALSE,"8";#N/A,#N/A,FALSE,"10";#N/A,#N/A,FALSE,"13";#N/A,#N/A,FALSE,"14";#N/A,#N/A,FALSE,"15";#N/A,#N/A,FALSE,"16"}</definedName>
    <definedName name="rturtutrut" localSheetId="10" hidden="1">{#N/A,#N/A,FALSE,"3";#N/A,#N/A,FALSE,"5";#N/A,#N/A,FALSE,"6";#N/A,#N/A,FALSE,"8";#N/A,#N/A,FALSE,"10";#N/A,#N/A,FALSE,"13";#N/A,#N/A,FALSE,"14";#N/A,#N/A,FALSE,"15";#N/A,#N/A,FALSE,"16"}</definedName>
    <definedName name="rturtutrut" localSheetId="6" hidden="1">{#N/A,#N/A,FALSE,"3";#N/A,#N/A,FALSE,"5";#N/A,#N/A,FALSE,"6";#N/A,#N/A,FALSE,"8";#N/A,#N/A,FALSE,"10";#N/A,#N/A,FALSE,"13";#N/A,#N/A,FALSE,"14";#N/A,#N/A,FALSE,"15";#N/A,#N/A,FALSE,"16"}</definedName>
    <definedName name="rturtutrut" hidden="1">{#N/A,#N/A,FALSE,"3";#N/A,#N/A,FALSE,"5";#N/A,#N/A,FALSE,"6";#N/A,#N/A,FALSE,"8";#N/A,#N/A,FALSE,"10";#N/A,#N/A,FALSE,"13";#N/A,#N/A,FALSE,"14";#N/A,#N/A,FALSE,"15";#N/A,#N/A,FALSE,"16"}</definedName>
    <definedName name="rtut" localSheetId="30" hidden="1">{#N/A,#N/A,FALSE,"3";#N/A,#N/A,FALSE,"5";#N/A,#N/A,FALSE,"6";#N/A,#N/A,FALSE,"8";#N/A,#N/A,FALSE,"10";#N/A,#N/A,FALSE,"13";#N/A,#N/A,FALSE,"14";#N/A,#N/A,FALSE,"15";#N/A,#N/A,FALSE,"16"}</definedName>
    <definedName name="rtut" localSheetId="31" hidden="1">{#N/A,#N/A,FALSE,"3";#N/A,#N/A,FALSE,"5";#N/A,#N/A,FALSE,"6";#N/A,#N/A,FALSE,"8";#N/A,#N/A,FALSE,"10";#N/A,#N/A,FALSE,"13";#N/A,#N/A,FALSE,"14";#N/A,#N/A,FALSE,"15";#N/A,#N/A,FALSE,"16"}</definedName>
    <definedName name="rtut" localSheetId="32" hidden="1">{#N/A,#N/A,FALSE,"3";#N/A,#N/A,FALSE,"5";#N/A,#N/A,FALSE,"6";#N/A,#N/A,FALSE,"8";#N/A,#N/A,FALSE,"10";#N/A,#N/A,FALSE,"13";#N/A,#N/A,FALSE,"14";#N/A,#N/A,FALSE,"15";#N/A,#N/A,FALSE,"16"}</definedName>
    <definedName name="rtut" localSheetId="10" hidden="1">{#N/A,#N/A,FALSE,"3";#N/A,#N/A,FALSE,"5";#N/A,#N/A,FALSE,"6";#N/A,#N/A,FALSE,"8";#N/A,#N/A,FALSE,"10";#N/A,#N/A,FALSE,"13";#N/A,#N/A,FALSE,"14";#N/A,#N/A,FALSE,"15";#N/A,#N/A,FALSE,"16"}</definedName>
    <definedName name="rtut" localSheetId="6" hidden="1">{#N/A,#N/A,FALSE,"3";#N/A,#N/A,FALSE,"5";#N/A,#N/A,FALSE,"6";#N/A,#N/A,FALSE,"8";#N/A,#N/A,FALSE,"10";#N/A,#N/A,FALSE,"13";#N/A,#N/A,FALSE,"14";#N/A,#N/A,FALSE,"15";#N/A,#N/A,FALSE,"16"}</definedName>
    <definedName name="rtut" hidden="1">{#N/A,#N/A,FALSE,"3";#N/A,#N/A,FALSE,"5";#N/A,#N/A,FALSE,"6";#N/A,#N/A,FALSE,"8";#N/A,#N/A,FALSE,"10";#N/A,#N/A,FALSE,"13";#N/A,#N/A,FALSE,"14";#N/A,#N/A,FALSE,"15";#N/A,#N/A,FALSE,"16"}</definedName>
    <definedName name="rtutrut" localSheetId="30" hidden="1">{#N/A,#N/A,FALSE,"3";#N/A,#N/A,FALSE,"5";#N/A,#N/A,FALSE,"6";#N/A,#N/A,FALSE,"8";#N/A,#N/A,FALSE,"10";#N/A,#N/A,FALSE,"13";#N/A,#N/A,FALSE,"14";#N/A,#N/A,FALSE,"15";#N/A,#N/A,FALSE,"16"}</definedName>
    <definedName name="rtutrut" localSheetId="31" hidden="1">{#N/A,#N/A,FALSE,"3";#N/A,#N/A,FALSE,"5";#N/A,#N/A,FALSE,"6";#N/A,#N/A,FALSE,"8";#N/A,#N/A,FALSE,"10";#N/A,#N/A,FALSE,"13";#N/A,#N/A,FALSE,"14";#N/A,#N/A,FALSE,"15";#N/A,#N/A,FALSE,"16"}</definedName>
    <definedName name="rtutrut" localSheetId="32" hidden="1">{#N/A,#N/A,FALSE,"3";#N/A,#N/A,FALSE,"5";#N/A,#N/A,FALSE,"6";#N/A,#N/A,FALSE,"8";#N/A,#N/A,FALSE,"10";#N/A,#N/A,FALSE,"13";#N/A,#N/A,FALSE,"14";#N/A,#N/A,FALSE,"15";#N/A,#N/A,FALSE,"16"}</definedName>
    <definedName name="rtutrut" localSheetId="10" hidden="1">{#N/A,#N/A,FALSE,"3";#N/A,#N/A,FALSE,"5";#N/A,#N/A,FALSE,"6";#N/A,#N/A,FALSE,"8";#N/A,#N/A,FALSE,"10";#N/A,#N/A,FALSE,"13";#N/A,#N/A,FALSE,"14";#N/A,#N/A,FALSE,"15";#N/A,#N/A,FALSE,"16"}</definedName>
    <definedName name="rtutrut" localSheetId="6" hidden="1">{#N/A,#N/A,FALSE,"3";#N/A,#N/A,FALSE,"5";#N/A,#N/A,FALSE,"6";#N/A,#N/A,FALSE,"8";#N/A,#N/A,FALSE,"10";#N/A,#N/A,FALSE,"13";#N/A,#N/A,FALSE,"14";#N/A,#N/A,FALSE,"15";#N/A,#N/A,FALSE,"16"}</definedName>
    <definedName name="rtutrut" hidden="1">{#N/A,#N/A,FALSE,"3";#N/A,#N/A,FALSE,"5";#N/A,#N/A,FALSE,"6";#N/A,#N/A,FALSE,"8";#N/A,#N/A,FALSE,"10";#N/A,#N/A,FALSE,"13";#N/A,#N/A,FALSE,"14";#N/A,#N/A,FALSE,"15";#N/A,#N/A,FALSE,"16"}</definedName>
    <definedName name="RVI_Italy" hidden="1">{#N/A,#N/A,FALSE,"P 1";#N/A,#N/A,FALSE,"P 2";#N/A,#N/A,FALSE,"P 3";#N/A,#N/A,FALSE,"P 4";#N/A,#N/A,FALSE,"P 5";#N/A,#N/A,FALSE,"P 25";#N/A,#N/A,FALSE,"P 26";#N/A,#N/A,FALSE,"P 27"}</definedName>
    <definedName name="rwafwaf" hidden="1">#REF!</definedName>
    <definedName name="rwqrqwrw" localSheetId="30" hidden="1">{#N/A,#N/A,FALSE,"3";#N/A,#N/A,FALSE,"5";#N/A,#N/A,FALSE,"6";#N/A,#N/A,FALSE,"8";#N/A,#N/A,FALSE,"10";#N/A,#N/A,FALSE,"13";#N/A,#N/A,FALSE,"14";#N/A,#N/A,FALSE,"15";#N/A,#N/A,FALSE,"16"}</definedName>
    <definedName name="rwqrqwrw" localSheetId="31" hidden="1">{#N/A,#N/A,FALSE,"3";#N/A,#N/A,FALSE,"5";#N/A,#N/A,FALSE,"6";#N/A,#N/A,FALSE,"8";#N/A,#N/A,FALSE,"10";#N/A,#N/A,FALSE,"13";#N/A,#N/A,FALSE,"14";#N/A,#N/A,FALSE,"15";#N/A,#N/A,FALSE,"16"}</definedName>
    <definedName name="rwqrqwrw" localSheetId="32" hidden="1">{#N/A,#N/A,FALSE,"3";#N/A,#N/A,FALSE,"5";#N/A,#N/A,FALSE,"6";#N/A,#N/A,FALSE,"8";#N/A,#N/A,FALSE,"10";#N/A,#N/A,FALSE,"13";#N/A,#N/A,FALSE,"14";#N/A,#N/A,FALSE,"15";#N/A,#N/A,FALSE,"16"}</definedName>
    <definedName name="rwqrqwrw" localSheetId="10" hidden="1">{#N/A,#N/A,FALSE,"3";#N/A,#N/A,FALSE,"5";#N/A,#N/A,FALSE,"6";#N/A,#N/A,FALSE,"8";#N/A,#N/A,FALSE,"10";#N/A,#N/A,FALSE,"13";#N/A,#N/A,FALSE,"14";#N/A,#N/A,FALSE,"15";#N/A,#N/A,FALSE,"16"}</definedName>
    <definedName name="rwqrqwrw" localSheetId="6" hidden="1">{#N/A,#N/A,FALSE,"3";#N/A,#N/A,FALSE,"5";#N/A,#N/A,FALSE,"6";#N/A,#N/A,FALSE,"8";#N/A,#N/A,FALSE,"10";#N/A,#N/A,FALSE,"13";#N/A,#N/A,FALSE,"14";#N/A,#N/A,FALSE,"15";#N/A,#N/A,FALSE,"16"}</definedName>
    <definedName name="rwqrqwrw" hidden="1">{#N/A,#N/A,FALSE,"3";#N/A,#N/A,FALSE,"5";#N/A,#N/A,FALSE,"6";#N/A,#N/A,FALSE,"8";#N/A,#N/A,FALSE,"10";#N/A,#N/A,FALSE,"13";#N/A,#N/A,FALSE,"14";#N/A,#N/A,FALSE,"15";#N/A,#N/A,FALSE,"16"}</definedName>
    <definedName name="rwrw" hidden="1">#REF!</definedName>
    <definedName name="ryer" localSheetId="30" hidden="1">{#N/A,#N/A,FALSE,"3";#N/A,#N/A,FALSE,"5";#N/A,#N/A,FALSE,"6";#N/A,#N/A,FALSE,"8";#N/A,#N/A,FALSE,"10";#N/A,#N/A,FALSE,"13";#N/A,#N/A,FALSE,"14";#N/A,#N/A,FALSE,"15";#N/A,#N/A,FALSE,"16"}</definedName>
    <definedName name="ryer" localSheetId="31" hidden="1">{#N/A,#N/A,FALSE,"3";#N/A,#N/A,FALSE,"5";#N/A,#N/A,FALSE,"6";#N/A,#N/A,FALSE,"8";#N/A,#N/A,FALSE,"10";#N/A,#N/A,FALSE,"13";#N/A,#N/A,FALSE,"14";#N/A,#N/A,FALSE,"15";#N/A,#N/A,FALSE,"16"}</definedName>
    <definedName name="ryer" localSheetId="32" hidden="1">{#N/A,#N/A,FALSE,"3";#N/A,#N/A,FALSE,"5";#N/A,#N/A,FALSE,"6";#N/A,#N/A,FALSE,"8";#N/A,#N/A,FALSE,"10";#N/A,#N/A,FALSE,"13";#N/A,#N/A,FALSE,"14";#N/A,#N/A,FALSE,"15";#N/A,#N/A,FALSE,"16"}</definedName>
    <definedName name="ryer" localSheetId="10" hidden="1">{#N/A,#N/A,FALSE,"3";#N/A,#N/A,FALSE,"5";#N/A,#N/A,FALSE,"6";#N/A,#N/A,FALSE,"8";#N/A,#N/A,FALSE,"10";#N/A,#N/A,FALSE,"13";#N/A,#N/A,FALSE,"14";#N/A,#N/A,FALSE,"15";#N/A,#N/A,FALSE,"16"}</definedName>
    <definedName name="ryer" localSheetId="6" hidden="1">{#N/A,#N/A,FALSE,"3";#N/A,#N/A,FALSE,"5";#N/A,#N/A,FALSE,"6";#N/A,#N/A,FALSE,"8";#N/A,#N/A,FALSE,"10";#N/A,#N/A,FALSE,"13";#N/A,#N/A,FALSE,"14";#N/A,#N/A,FALSE,"15";#N/A,#N/A,FALSE,"16"}</definedName>
    <definedName name="ryer" hidden="1">{#N/A,#N/A,FALSE,"3";#N/A,#N/A,FALSE,"5";#N/A,#N/A,FALSE,"6";#N/A,#N/A,FALSE,"8";#N/A,#N/A,FALSE,"10";#N/A,#N/A,FALSE,"13";#N/A,#N/A,FALSE,"14";#N/A,#N/A,FALSE,"15";#N/A,#N/A,FALSE,"16"}</definedName>
    <definedName name="ryyry" localSheetId="30" hidden="1">{#N/A,#N/A,FALSE,"3";#N/A,#N/A,FALSE,"5";#N/A,#N/A,FALSE,"6";#N/A,#N/A,FALSE,"8";#N/A,#N/A,FALSE,"10";#N/A,#N/A,FALSE,"13";#N/A,#N/A,FALSE,"14";#N/A,#N/A,FALSE,"15";#N/A,#N/A,FALSE,"16"}</definedName>
    <definedName name="ryyry" localSheetId="31" hidden="1">{#N/A,#N/A,FALSE,"3";#N/A,#N/A,FALSE,"5";#N/A,#N/A,FALSE,"6";#N/A,#N/A,FALSE,"8";#N/A,#N/A,FALSE,"10";#N/A,#N/A,FALSE,"13";#N/A,#N/A,FALSE,"14";#N/A,#N/A,FALSE,"15";#N/A,#N/A,FALSE,"16"}</definedName>
    <definedName name="ryyry" localSheetId="32" hidden="1">{#N/A,#N/A,FALSE,"3";#N/A,#N/A,FALSE,"5";#N/A,#N/A,FALSE,"6";#N/A,#N/A,FALSE,"8";#N/A,#N/A,FALSE,"10";#N/A,#N/A,FALSE,"13";#N/A,#N/A,FALSE,"14";#N/A,#N/A,FALSE,"15";#N/A,#N/A,FALSE,"16"}</definedName>
    <definedName name="ryyry" localSheetId="10" hidden="1">{#N/A,#N/A,FALSE,"3";#N/A,#N/A,FALSE,"5";#N/A,#N/A,FALSE,"6";#N/A,#N/A,FALSE,"8";#N/A,#N/A,FALSE,"10";#N/A,#N/A,FALSE,"13";#N/A,#N/A,FALSE,"14";#N/A,#N/A,FALSE,"15";#N/A,#N/A,FALSE,"16"}</definedName>
    <definedName name="ryyry" localSheetId="6" hidden="1">{#N/A,#N/A,FALSE,"3";#N/A,#N/A,FALSE,"5";#N/A,#N/A,FALSE,"6";#N/A,#N/A,FALSE,"8";#N/A,#N/A,FALSE,"10";#N/A,#N/A,FALSE,"13";#N/A,#N/A,FALSE,"14";#N/A,#N/A,FALSE,"15";#N/A,#N/A,FALSE,"16"}</definedName>
    <definedName name="ryyry" hidden="1">{#N/A,#N/A,FALSE,"3";#N/A,#N/A,FALSE,"5";#N/A,#N/A,FALSE,"6";#N/A,#N/A,FALSE,"8";#N/A,#N/A,FALSE,"10";#N/A,#N/A,FALSE,"13";#N/A,#N/A,FALSE,"14";#N/A,#N/A,FALSE,"15";#N/A,#N/A,FALSE,"16"}</definedName>
    <definedName name="S3a" localSheetId="30" hidden="1">{#N/A,#N/A,TRUE,"CONTENTS";#N/A,#N/A,TRUE,"M2";#N/A,#N/A,TRUE,"M2a";#N/A,#N/A,TRUE,"M2b";#N/A,#N/A,TRUE,"M3";#N/A,#N/A,TRUE,"M3a";#N/A,#N/A,TRUE,"M4-P";#N/A,#N/A,TRUE,"M5";#N/A,#N/A,TRUE,"M6";#N/A,#N/A,TRUE,"M7";#N/A,#N/A,TRUE,"M8";#N/A,#N/A,TRUE,"M9";#N/A,#N/A,TRUE,"M10";#N/A,#N/A,TRUE,"M11";#N/A,#N/A,TRUE,"M13";#N/A,#N/A,TRUE,"M14";#N/A,#N/A,TRUE,"M15";#N/A,#N/A,TRUE,"K1"}</definedName>
    <definedName name="S3a" localSheetId="31" hidden="1">{#N/A,#N/A,TRUE,"CONTENTS";#N/A,#N/A,TRUE,"M2";#N/A,#N/A,TRUE,"M2a";#N/A,#N/A,TRUE,"M2b";#N/A,#N/A,TRUE,"M3";#N/A,#N/A,TRUE,"M3a";#N/A,#N/A,TRUE,"M4-P";#N/A,#N/A,TRUE,"M5";#N/A,#N/A,TRUE,"M6";#N/A,#N/A,TRUE,"M7";#N/A,#N/A,TRUE,"M8";#N/A,#N/A,TRUE,"M9";#N/A,#N/A,TRUE,"M10";#N/A,#N/A,TRUE,"M11";#N/A,#N/A,TRUE,"M13";#N/A,#N/A,TRUE,"M14";#N/A,#N/A,TRUE,"M15";#N/A,#N/A,TRUE,"K1"}</definedName>
    <definedName name="S3a" localSheetId="32" hidden="1">{#N/A,#N/A,TRUE,"CONTENTS";#N/A,#N/A,TRUE,"M2";#N/A,#N/A,TRUE,"M2a";#N/A,#N/A,TRUE,"M2b";#N/A,#N/A,TRUE,"M3";#N/A,#N/A,TRUE,"M3a";#N/A,#N/A,TRUE,"M4-P";#N/A,#N/A,TRUE,"M5";#N/A,#N/A,TRUE,"M6";#N/A,#N/A,TRUE,"M7";#N/A,#N/A,TRUE,"M8";#N/A,#N/A,TRUE,"M9";#N/A,#N/A,TRUE,"M10";#N/A,#N/A,TRUE,"M11";#N/A,#N/A,TRUE,"M13";#N/A,#N/A,TRUE,"M14";#N/A,#N/A,TRUE,"M15";#N/A,#N/A,TRUE,"K1"}</definedName>
    <definedName name="S3a" localSheetId="10" hidden="1">{#N/A,#N/A,TRUE,"CONTENTS";#N/A,#N/A,TRUE,"M2";#N/A,#N/A,TRUE,"M2a";#N/A,#N/A,TRUE,"M2b";#N/A,#N/A,TRUE,"M3";#N/A,#N/A,TRUE,"M3a";#N/A,#N/A,TRUE,"M4-P";#N/A,#N/A,TRUE,"M5";#N/A,#N/A,TRUE,"M6";#N/A,#N/A,TRUE,"M7";#N/A,#N/A,TRUE,"M8";#N/A,#N/A,TRUE,"M9";#N/A,#N/A,TRUE,"M10";#N/A,#N/A,TRUE,"M11";#N/A,#N/A,TRUE,"M13";#N/A,#N/A,TRUE,"M14";#N/A,#N/A,TRUE,"M15";#N/A,#N/A,TRUE,"K1"}</definedName>
    <definedName name="S3a" localSheetId="6" hidden="1">{#N/A,#N/A,TRUE,"CONTENTS";#N/A,#N/A,TRUE,"M2";#N/A,#N/A,TRUE,"M2a";#N/A,#N/A,TRUE,"M2b";#N/A,#N/A,TRUE,"M3";#N/A,#N/A,TRUE,"M3a";#N/A,#N/A,TRUE,"M4-P";#N/A,#N/A,TRUE,"M5";#N/A,#N/A,TRUE,"M6";#N/A,#N/A,TRUE,"M7";#N/A,#N/A,TRUE,"M8";#N/A,#N/A,TRUE,"M9";#N/A,#N/A,TRUE,"M10";#N/A,#N/A,TRUE,"M11";#N/A,#N/A,TRUE,"M13";#N/A,#N/A,TRUE,"M14";#N/A,#N/A,TRUE,"M15";#N/A,#N/A,TRUE,"K1"}</definedName>
    <definedName name="S3a" hidden="1">{#N/A,#N/A,TRUE,"CONTENTS";#N/A,#N/A,TRUE,"M2";#N/A,#N/A,TRUE,"M2a";#N/A,#N/A,TRUE,"M2b";#N/A,#N/A,TRUE,"M3";#N/A,#N/A,TRUE,"M3a";#N/A,#N/A,TRUE,"M4-P";#N/A,#N/A,TRUE,"M5";#N/A,#N/A,TRUE,"M6";#N/A,#N/A,TRUE,"M7";#N/A,#N/A,TRUE,"M8";#N/A,#N/A,TRUE,"M9";#N/A,#N/A,TRUE,"M10";#N/A,#N/A,TRUE,"M11";#N/A,#N/A,TRUE,"M13";#N/A,#N/A,TRUE,"M14";#N/A,#N/A,TRUE,"M15";#N/A,#N/A,TRUE,"K1"}</definedName>
    <definedName name="safasf" localSheetId="30" hidden="1">{#N/A,#N/A,FALSE,"3";#N/A,#N/A,FALSE,"5";#N/A,#N/A,FALSE,"6";#N/A,#N/A,FALSE,"8";#N/A,#N/A,FALSE,"10";#N/A,#N/A,FALSE,"13";#N/A,#N/A,FALSE,"14";#N/A,#N/A,FALSE,"15";#N/A,#N/A,FALSE,"16"}</definedName>
    <definedName name="safasf" localSheetId="31" hidden="1">{#N/A,#N/A,FALSE,"3";#N/A,#N/A,FALSE,"5";#N/A,#N/A,FALSE,"6";#N/A,#N/A,FALSE,"8";#N/A,#N/A,FALSE,"10";#N/A,#N/A,FALSE,"13";#N/A,#N/A,FALSE,"14";#N/A,#N/A,FALSE,"15";#N/A,#N/A,FALSE,"16"}</definedName>
    <definedName name="safasf" localSheetId="32" hidden="1">{#N/A,#N/A,FALSE,"3";#N/A,#N/A,FALSE,"5";#N/A,#N/A,FALSE,"6";#N/A,#N/A,FALSE,"8";#N/A,#N/A,FALSE,"10";#N/A,#N/A,FALSE,"13";#N/A,#N/A,FALSE,"14";#N/A,#N/A,FALSE,"15";#N/A,#N/A,FALSE,"16"}</definedName>
    <definedName name="safasf" localSheetId="10" hidden="1">{#N/A,#N/A,FALSE,"3";#N/A,#N/A,FALSE,"5";#N/A,#N/A,FALSE,"6";#N/A,#N/A,FALSE,"8";#N/A,#N/A,FALSE,"10";#N/A,#N/A,FALSE,"13";#N/A,#N/A,FALSE,"14";#N/A,#N/A,FALSE,"15";#N/A,#N/A,FALSE,"16"}</definedName>
    <definedName name="safasf" localSheetId="6" hidden="1">{#N/A,#N/A,FALSE,"3";#N/A,#N/A,FALSE,"5";#N/A,#N/A,FALSE,"6";#N/A,#N/A,FALSE,"8";#N/A,#N/A,FALSE,"10";#N/A,#N/A,FALSE,"13";#N/A,#N/A,FALSE,"14";#N/A,#N/A,FALSE,"15";#N/A,#N/A,FALSE,"16"}</definedName>
    <definedName name="safasf" hidden="1">{#N/A,#N/A,FALSE,"3";#N/A,#N/A,FALSE,"5";#N/A,#N/A,FALSE,"6";#N/A,#N/A,FALSE,"8";#N/A,#N/A,FALSE,"10";#N/A,#N/A,FALSE,"13";#N/A,#N/A,FALSE,"14";#N/A,#N/A,FALSE,"15";#N/A,#N/A,FALSE,"16"}</definedName>
    <definedName name="saff" localSheetId="30" hidden="1">{#N/A,#N/A,FALSE,"3";#N/A,#N/A,FALSE,"5";#N/A,#N/A,FALSE,"6";#N/A,#N/A,FALSE,"8";#N/A,#N/A,FALSE,"10";#N/A,#N/A,FALSE,"13";#N/A,#N/A,FALSE,"14";#N/A,#N/A,FALSE,"15";#N/A,#N/A,FALSE,"16"}</definedName>
    <definedName name="saff" localSheetId="31" hidden="1">{#N/A,#N/A,FALSE,"3";#N/A,#N/A,FALSE,"5";#N/A,#N/A,FALSE,"6";#N/A,#N/A,FALSE,"8";#N/A,#N/A,FALSE,"10";#N/A,#N/A,FALSE,"13";#N/A,#N/A,FALSE,"14";#N/A,#N/A,FALSE,"15";#N/A,#N/A,FALSE,"16"}</definedName>
    <definedName name="saff" localSheetId="32" hidden="1">{#N/A,#N/A,FALSE,"3";#N/A,#N/A,FALSE,"5";#N/A,#N/A,FALSE,"6";#N/A,#N/A,FALSE,"8";#N/A,#N/A,FALSE,"10";#N/A,#N/A,FALSE,"13";#N/A,#N/A,FALSE,"14";#N/A,#N/A,FALSE,"15";#N/A,#N/A,FALSE,"16"}</definedName>
    <definedName name="saff" localSheetId="10" hidden="1">{#N/A,#N/A,FALSE,"3";#N/A,#N/A,FALSE,"5";#N/A,#N/A,FALSE,"6";#N/A,#N/A,FALSE,"8";#N/A,#N/A,FALSE,"10";#N/A,#N/A,FALSE,"13";#N/A,#N/A,FALSE,"14";#N/A,#N/A,FALSE,"15";#N/A,#N/A,FALSE,"16"}</definedName>
    <definedName name="saff" localSheetId="6" hidden="1">{#N/A,#N/A,FALSE,"3";#N/A,#N/A,FALSE,"5";#N/A,#N/A,FALSE,"6";#N/A,#N/A,FALSE,"8";#N/A,#N/A,FALSE,"10";#N/A,#N/A,FALSE,"13";#N/A,#N/A,FALSE,"14";#N/A,#N/A,FALSE,"15";#N/A,#N/A,FALSE,"16"}</definedName>
    <definedName name="saff" hidden="1">{#N/A,#N/A,FALSE,"3";#N/A,#N/A,FALSE,"5";#N/A,#N/A,FALSE,"6";#N/A,#N/A,FALSE,"8";#N/A,#N/A,FALSE,"10";#N/A,#N/A,FALSE,"13";#N/A,#N/A,FALSE,"14";#N/A,#N/A,FALSE,"15";#N/A,#N/A,FALSE,"16"}</definedName>
    <definedName name="san" localSheetId="30" hidden="1">{#N/A,#N/A,FALSE,"COMICRO";#N/A,#N/A,FALSE,"BALSCH";#N/A,#N/A,FALSE,"GLASS";#N/A,#N/A,FALSE,"DEPRE";#N/A,#N/A,FALSE,"A&amp;MCUR";#N/A,#N/A,FALSE,"AGEANAlysis";#N/A,#N/A,FALSE,"CHECKS";#N/A,#N/A,FALSE,"CHECKS"}</definedName>
    <definedName name="san" localSheetId="31" hidden="1">{#N/A,#N/A,FALSE,"COMICRO";#N/A,#N/A,FALSE,"BALSCH";#N/A,#N/A,FALSE,"GLASS";#N/A,#N/A,FALSE,"DEPRE";#N/A,#N/A,FALSE,"A&amp;MCUR";#N/A,#N/A,FALSE,"AGEANAlysis";#N/A,#N/A,FALSE,"CHECKS";#N/A,#N/A,FALSE,"CHECKS"}</definedName>
    <definedName name="san" localSheetId="32" hidden="1">{#N/A,#N/A,FALSE,"COMICRO";#N/A,#N/A,FALSE,"BALSCH";#N/A,#N/A,FALSE,"GLASS";#N/A,#N/A,FALSE,"DEPRE";#N/A,#N/A,FALSE,"A&amp;MCUR";#N/A,#N/A,FALSE,"AGEANAlysis";#N/A,#N/A,FALSE,"CHECKS";#N/A,#N/A,FALSE,"CHECKS"}</definedName>
    <definedName name="san" localSheetId="10" hidden="1">{#N/A,#N/A,FALSE,"COMICRO";#N/A,#N/A,FALSE,"BALSCH";#N/A,#N/A,FALSE,"GLASS";#N/A,#N/A,FALSE,"DEPRE";#N/A,#N/A,FALSE,"A&amp;MCUR";#N/A,#N/A,FALSE,"AGEANAlysis";#N/A,#N/A,FALSE,"CHECKS";#N/A,#N/A,FALSE,"CHECKS"}</definedName>
    <definedName name="san" localSheetId="1" hidden="1">{#N/A,#N/A,FALSE,"COMICRO";#N/A,#N/A,FALSE,"BALSCH";#N/A,#N/A,FALSE,"GLASS";#N/A,#N/A,FALSE,"DEPRE";#N/A,#N/A,FALSE,"A&amp;MCUR";#N/A,#N/A,FALSE,"AGEANAlysis";#N/A,#N/A,FALSE,"CHECKS";#N/A,#N/A,FALSE,"CHECKS"}</definedName>
    <definedName name="san" localSheetId="6" hidden="1">{#N/A,#N/A,FALSE,"COMICRO";#N/A,#N/A,FALSE,"BALSCH";#N/A,#N/A,FALSE,"GLASS";#N/A,#N/A,FALSE,"DEPRE";#N/A,#N/A,FALSE,"A&amp;MCUR";#N/A,#N/A,FALSE,"AGEANAlysis";#N/A,#N/A,FALSE,"CHECKS";#N/A,#N/A,FALSE,"CHECKS"}</definedName>
    <definedName name="san" hidden="1">{#N/A,#N/A,FALSE,"COMICRO";#N/A,#N/A,FALSE,"BALSCH";#N/A,#N/A,FALSE,"GLASS";#N/A,#N/A,FALSE,"DEPRE";#N/A,#N/A,FALSE,"A&amp;MCUR";#N/A,#N/A,FALSE,"AGEANAlysis";#N/A,#N/A,FALSE,"CHECKS";#N/A,#N/A,FALSE,"CHECKS"}</definedName>
    <definedName name="sand" localSheetId="30" hidden="1">{#N/A,#N/A,FALSE,"COMICRO";#N/A,#N/A,FALSE,"BALSCH";#N/A,#N/A,FALSE,"GLASS";#N/A,#N/A,FALSE,"DEPRE";#N/A,#N/A,FALSE,"A&amp;MCUR";#N/A,#N/A,FALSE,"AGEANAlysis";#N/A,#N/A,FALSE,"CHECKS";#N/A,#N/A,FALSE,"CHECKS"}</definedName>
    <definedName name="sand" localSheetId="31" hidden="1">{#N/A,#N/A,FALSE,"COMICRO";#N/A,#N/A,FALSE,"BALSCH";#N/A,#N/A,FALSE,"GLASS";#N/A,#N/A,FALSE,"DEPRE";#N/A,#N/A,FALSE,"A&amp;MCUR";#N/A,#N/A,FALSE,"AGEANAlysis";#N/A,#N/A,FALSE,"CHECKS";#N/A,#N/A,FALSE,"CHECKS"}</definedName>
    <definedName name="sand" localSheetId="32" hidden="1">{#N/A,#N/A,FALSE,"COMICRO";#N/A,#N/A,FALSE,"BALSCH";#N/A,#N/A,FALSE,"GLASS";#N/A,#N/A,FALSE,"DEPRE";#N/A,#N/A,FALSE,"A&amp;MCUR";#N/A,#N/A,FALSE,"AGEANAlysis";#N/A,#N/A,FALSE,"CHECKS";#N/A,#N/A,FALSE,"CHECKS"}</definedName>
    <definedName name="sand" localSheetId="10" hidden="1">{#N/A,#N/A,FALSE,"COMICRO";#N/A,#N/A,FALSE,"BALSCH";#N/A,#N/A,FALSE,"GLASS";#N/A,#N/A,FALSE,"DEPRE";#N/A,#N/A,FALSE,"A&amp;MCUR";#N/A,#N/A,FALSE,"AGEANAlysis";#N/A,#N/A,FALSE,"CHECKS";#N/A,#N/A,FALSE,"CHECKS"}</definedName>
    <definedName name="sand" localSheetId="1" hidden="1">{#N/A,#N/A,FALSE,"COMICRO";#N/A,#N/A,FALSE,"BALSCH";#N/A,#N/A,FALSE,"GLASS";#N/A,#N/A,FALSE,"DEPRE";#N/A,#N/A,FALSE,"A&amp;MCUR";#N/A,#N/A,FALSE,"AGEANAlysis";#N/A,#N/A,FALSE,"CHECKS";#N/A,#N/A,FALSE,"CHECKS"}</definedName>
    <definedName name="sand" localSheetId="6" hidden="1">{#N/A,#N/A,FALSE,"COMICRO";#N/A,#N/A,FALSE,"BALSCH";#N/A,#N/A,FALSE,"GLASS";#N/A,#N/A,FALSE,"DEPRE";#N/A,#N/A,FALSE,"A&amp;MCUR";#N/A,#N/A,FALSE,"AGEANAlysis";#N/A,#N/A,FALSE,"CHECKS";#N/A,#N/A,FALSE,"CHECKS"}</definedName>
    <definedName name="sand" hidden="1">{#N/A,#N/A,FALSE,"COMICRO";#N/A,#N/A,FALSE,"BALSCH";#N/A,#N/A,FALSE,"GLASS";#N/A,#N/A,FALSE,"DEPRE";#N/A,#N/A,FALSE,"A&amp;MCUR";#N/A,#N/A,FALSE,"AGEANAlysis";#N/A,#N/A,FALSE,"CHECKS";#N/A,#N/A,FALSE,"CHECKS"}</definedName>
    <definedName name="SANDE" localSheetId="30" hidden="1">{#N/A,#N/A,TRUE,"BALSCH";#N/A,#N/A,TRUE,"COMICRO";#N/A,#N/A,TRUE,"CHECKS";#N/A,#N/A,TRUE,"GLASS";#N/A,#N/A,TRUE,"DEPRE";#N/A,#N/A,TRUE,"A&amp;MCUR";#N/A,#N/A,TRUE,"AGEANAlysis";#N/A,#N/A,TRUE,"CHECKS"}</definedName>
    <definedName name="SANDE" localSheetId="31" hidden="1">{#N/A,#N/A,TRUE,"BALSCH";#N/A,#N/A,TRUE,"COMICRO";#N/A,#N/A,TRUE,"CHECKS";#N/A,#N/A,TRUE,"GLASS";#N/A,#N/A,TRUE,"DEPRE";#N/A,#N/A,TRUE,"A&amp;MCUR";#N/A,#N/A,TRUE,"AGEANAlysis";#N/A,#N/A,TRUE,"CHECKS"}</definedName>
    <definedName name="SANDE" localSheetId="32" hidden="1">{#N/A,#N/A,TRUE,"BALSCH";#N/A,#N/A,TRUE,"COMICRO";#N/A,#N/A,TRUE,"CHECKS";#N/A,#N/A,TRUE,"GLASS";#N/A,#N/A,TRUE,"DEPRE";#N/A,#N/A,TRUE,"A&amp;MCUR";#N/A,#N/A,TRUE,"AGEANAlysis";#N/A,#N/A,TRUE,"CHECKS"}</definedName>
    <definedName name="SANDE" localSheetId="10" hidden="1">{#N/A,#N/A,TRUE,"BALSCH";#N/A,#N/A,TRUE,"COMICRO";#N/A,#N/A,TRUE,"CHECKS";#N/A,#N/A,TRUE,"GLASS";#N/A,#N/A,TRUE,"DEPRE";#N/A,#N/A,TRUE,"A&amp;MCUR";#N/A,#N/A,TRUE,"AGEANAlysis";#N/A,#N/A,TRUE,"CHECKS"}</definedName>
    <definedName name="SANDE" localSheetId="1" hidden="1">{#N/A,#N/A,TRUE,"BALSCH";#N/A,#N/A,TRUE,"COMICRO";#N/A,#N/A,TRUE,"CHECKS";#N/A,#N/A,TRUE,"GLASS";#N/A,#N/A,TRUE,"DEPRE";#N/A,#N/A,TRUE,"A&amp;MCUR";#N/A,#N/A,TRUE,"AGEANAlysis";#N/A,#N/A,TRUE,"CHECKS"}</definedName>
    <definedName name="SANDE" localSheetId="6" hidden="1">{#N/A,#N/A,TRUE,"BALSCH";#N/A,#N/A,TRUE,"COMICRO";#N/A,#N/A,TRUE,"CHECKS";#N/A,#N/A,TRUE,"GLASS";#N/A,#N/A,TRUE,"DEPRE";#N/A,#N/A,TRUE,"A&amp;MCUR";#N/A,#N/A,TRUE,"AGEANAlysis";#N/A,#N/A,TRUE,"CHECKS"}</definedName>
    <definedName name="SANDE" hidden="1">{#N/A,#N/A,TRUE,"BALSCH";#N/A,#N/A,TRUE,"COMICRO";#N/A,#N/A,TRUE,"CHECKS";#N/A,#N/A,TRUE,"GLASS";#N/A,#N/A,TRUE,"DEPRE";#N/A,#N/A,TRUE,"A&amp;MCUR";#N/A,#N/A,TRUE,"AGEANAlysis";#N/A,#N/A,TRUE,"CHECKS"}</definedName>
    <definedName name="sangeetha" hidden="1">{"Detail analysis",#N/A,FALSE,"Model";"Summary analysis",#N/A,FALSE,"Model";"OCPH analysis",#N/A,FALSE,"Model"}</definedName>
    <definedName name="SAPBEXdnldView" hidden="1">"41W694JY1NET1MDZ6YC6MKGTB"</definedName>
    <definedName name="SAPBEXhrIndnt" hidden="1">1</definedName>
    <definedName name="SAPBEXrevision" localSheetId="3" hidden="1">1</definedName>
    <definedName name="SAPBEXrevision" hidden="1">5</definedName>
    <definedName name="SAPBEXsysID" localSheetId="3" hidden="1">"BW1"</definedName>
    <definedName name="SAPBEXsysID" hidden="1">"BP0"</definedName>
    <definedName name="SAPBEXwbID" localSheetId="3" hidden="1">"3QT0BTWC3TQB8KP7V6RUO13JY"</definedName>
    <definedName name="SAPBEXwbID" hidden="1">"3OL6VG88FWB4CUKP9H8ZYSRJ1"</definedName>
    <definedName name="sASa" localSheetId="30" hidden="1">{#N/A,#N/A,FALSE,"3";#N/A,#N/A,FALSE,"5";#N/A,#N/A,FALSE,"6";#N/A,#N/A,FALSE,"8";#N/A,#N/A,FALSE,"10";#N/A,#N/A,FALSE,"13";#N/A,#N/A,FALSE,"14";#N/A,#N/A,FALSE,"15";#N/A,#N/A,FALSE,"16"}</definedName>
    <definedName name="sASa" localSheetId="31" hidden="1">{#N/A,#N/A,FALSE,"3";#N/A,#N/A,FALSE,"5";#N/A,#N/A,FALSE,"6";#N/A,#N/A,FALSE,"8";#N/A,#N/A,FALSE,"10";#N/A,#N/A,FALSE,"13";#N/A,#N/A,FALSE,"14";#N/A,#N/A,FALSE,"15";#N/A,#N/A,FALSE,"16"}</definedName>
    <definedName name="sASa" localSheetId="32" hidden="1">{#N/A,#N/A,FALSE,"3";#N/A,#N/A,FALSE,"5";#N/A,#N/A,FALSE,"6";#N/A,#N/A,FALSE,"8";#N/A,#N/A,FALSE,"10";#N/A,#N/A,FALSE,"13";#N/A,#N/A,FALSE,"14";#N/A,#N/A,FALSE,"15";#N/A,#N/A,FALSE,"16"}</definedName>
    <definedName name="sASa" localSheetId="10" hidden="1">{#N/A,#N/A,FALSE,"3";#N/A,#N/A,FALSE,"5";#N/A,#N/A,FALSE,"6";#N/A,#N/A,FALSE,"8";#N/A,#N/A,FALSE,"10";#N/A,#N/A,FALSE,"13";#N/A,#N/A,FALSE,"14";#N/A,#N/A,FALSE,"15";#N/A,#N/A,FALSE,"16"}</definedName>
    <definedName name="sASa" localSheetId="6" hidden="1">{#N/A,#N/A,FALSE,"3";#N/A,#N/A,FALSE,"5";#N/A,#N/A,FALSE,"6";#N/A,#N/A,FALSE,"8";#N/A,#N/A,FALSE,"10";#N/A,#N/A,FALSE,"13";#N/A,#N/A,FALSE,"14";#N/A,#N/A,FALSE,"15";#N/A,#N/A,FALSE,"16"}</definedName>
    <definedName name="sASa" hidden="1">{#N/A,#N/A,FALSE,"3";#N/A,#N/A,FALSE,"5";#N/A,#N/A,FALSE,"6";#N/A,#N/A,FALSE,"8";#N/A,#N/A,FALSE,"10";#N/A,#N/A,FALSE,"13";#N/A,#N/A,FALSE,"14";#N/A,#N/A,FALSE,"15";#N/A,#N/A,FALSE,"16"}</definedName>
    <definedName name="saurabh" localSheetId="30" hidden="1">{"'Mach'!$A$1:$D$39"}</definedName>
    <definedName name="saurabh" localSheetId="31" hidden="1">{"'Mach'!$A$1:$D$39"}</definedName>
    <definedName name="saurabh" localSheetId="32" hidden="1">{"'Mach'!$A$1:$D$39"}</definedName>
    <definedName name="saurabh" localSheetId="10" hidden="1">{"'Mach'!$A$1:$D$39"}</definedName>
    <definedName name="saurabh" localSheetId="1" hidden="1">{"'Mach'!$A$1:$D$39"}</definedName>
    <definedName name="saurabh" localSheetId="6" hidden="1">{"'Mach'!$A$1:$D$39"}</definedName>
    <definedName name="saurabh" hidden="1">{"'Mach'!$A$1:$D$39"}</definedName>
    <definedName name="scasc" localSheetId="30" hidden="1">{#N/A,#N/A,FALSE,"3";#N/A,#N/A,FALSE,"5";#N/A,#N/A,FALSE,"6";#N/A,#N/A,FALSE,"8";#N/A,#N/A,FALSE,"10";#N/A,#N/A,FALSE,"13";#N/A,#N/A,FALSE,"14";#N/A,#N/A,FALSE,"15";#N/A,#N/A,FALSE,"16"}</definedName>
    <definedName name="scasc" localSheetId="31" hidden="1">{#N/A,#N/A,FALSE,"3";#N/A,#N/A,FALSE,"5";#N/A,#N/A,FALSE,"6";#N/A,#N/A,FALSE,"8";#N/A,#N/A,FALSE,"10";#N/A,#N/A,FALSE,"13";#N/A,#N/A,FALSE,"14";#N/A,#N/A,FALSE,"15";#N/A,#N/A,FALSE,"16"}</definedName>
    <definedName name="scasc" localSheetId="32" hidden="1">{#N/A,#N/A,FALSE,"3";#N/A,#N/A,FALSE,"5";#N/A,#N/A,FALSE,"6";#N/A,#N/A,FALSE,"8";#N/A,#N/A,FALSE,"10";#N/A,#N/A,FALSE,"13";#N/A,#N/A,FALSE,"14";#N/A,#N/A,FALSE,"15";#N/A,#N/A,FALSE,"16"}</definedName>
    <definedName name="scasc" localSheetId="10" hidden="1">{#N/A,#N/A,FALSE,"3";#N/A,#N/A,FALSE,"5";#N/A,#N/A,FALSE,"6";#N/A,#N/A,FALSE,"8";#N/A,#N/A,FALSE,"10";#N/A,#N/A,FALSE,"13";#N/A,#N/A,FALSE,"14";#N/A,#N/A,FALSE,"15";#N/A,#N/A,FALSE,"16"}</definedName>
    <definedName name="scasc" localSheetId="6" hidden="1">{#N/A,#N/A,FALSE,"3";#N/A,#N/A,FALSE,"5";#N/A,#N/A,FALSE,"6";#N/A,#N/A,FALSE,"8";#N/A,#N/A,FALSE,"10";#N/A,#N/A,FALSE,"13";#N/A,#N/A,FALSE,"14";#N/A,#N/A,FALSE,"15";#N/A,#N/A,FALSE,"16"}</definedName>
    <definedName name="scasc" hidden="1">{#N/A,#N/A,FALSE,"3";#N/A,#N/A,FALSE,"5";#N/A,#N/A,FALSE,"6";#N/A,#N/A,FALSE,"8";#N/A,#N/A,FALSE,"10";#N/A,#N/A,FALSE,"13";#N/A,#N/A,FALSE,"14";#N/A,#N/A,FALSE,"15";#N/A,#N/A,FALSE,"16"}</definedName>
    <definedName name="scedule" localSheetId="30" hidden="1">{"'CQ1-4'!$B$1:$L$49"}</definedName>
    <definedName name="scedule" localSheetId="31" hidden="1">{"'CQ1-4'!$B$1:$L$49"}</definedName>
    <definedName name="scedule" localSheetId="32" hidden="1">{"'CQ1-4'!$B$1:$L$49"}</definedName>
    <definedName name="scedule" localSheetId="10" hidden="1">{"'CQ1-4'!$B$1:$L$49"}</definedName>
    <definedName name="scedule" localSheetId="1" hidden="1">{"'CQ1-4'!$B$1:$L$49"}</definedName>
    <definedName name="scedule" localSheetId="6" hidden="1">{"'CQ1-4'!$B$1:$L$49"}</definedName>
    <definedName name="scedule" hidden="1">{"'CQ1-4'!$B$1:$L$49"}</definedName>
    <definedName name="scen_name1" hidden="1">"high1 normal"</definedName>
    <definedName name="scen_name2" hidden="1">"high1 high"</definedName>
    <definedName name="scen_name3" hidden="1">"low1 normal"</definedName>
    <definedName name="scen_name4" hidden="1">"low 2 normal"</definedName>
    <definedName name="scen_name5" hidden="1">"low2 high"</definedName>
    <definedName name="scen_name6" hidden="1">"low1 high"</definedName>
    <definedName name="scen_user1" hidden="1">"Dorit Timman"</definedName>
    <definedName name="scen_user2" hidden="1">"Dorit Timman"</definedName>
    <definedName name="scen_user3" hidden="1">"Dorit Timman"</definedName>
    <definedName name="scen_user4" hidden="1">"Dorit Timman"</definedName>
    <definedName name="scen_user5" hidden="1">"Dorit Timman"</definedName>
    <definedName name="scen_user6" hidden="1">"Dorit Timman"</definedName>
    <definedName name="Schdule1" localSheetId="30" hidden="1">{#N/A,#N/A,FALSE,"COMP"}</definedName>
    <definedName name="Schdule1" localSheetId="31" hidden="1">{#N/A,#N/A,FALSE,"COMP"}</definedName>
    <definedName name="Schdule1" localSheetId="32" hidden="1">{#N/A,#N/A,FALSE,"COMP"}</definedName>
    <definedName name="Schdule1" localSheetId="10" hidden="1">{#N/A,#N/A,FALSE,"COMP"}</definedName>
    <definedName name="Schdule1" localSheetId="1" hidden="1">{#N/A,#N/A,FALSE,"COMP"}</definedName>
    <definedName name="Schdule1" localSheetId="6" hidden="1">{#N/A,#N/A,FALSE,"COMP"}</definedName>
    <definedName name="Schdule1" hidden="1">{#N/A,#N/A,FALSE,"COMP"}</definedName>
    <definedName name="sched" localSheetId="30" hidden="1">{"'CQ1-4'!$B$1:$L$49"}</definedName>
    <definedName name="sched" localSheetId="31" hidden="1">{"'CQ1-4'!$B$1:$L$49"}</definedName>
    <definedName name="sched" localSheetId="32" hidden="1">{"'CQ1-4'!$B$1:$L$49"}</definedName>
    <definedName name="sched" localSheetId="10" hidden="1">{"'CQ1-4'!$B$1:$L$49"}</definedName>
    <definedName name="sched" localSheetId="1" hidden="1">{"'CQ1-4'!$B$1:$L$49"}</definedName>
    <definedName name="sched" localSheetId="6" hidden="1">{"'CQ1-4'!$B$1:$L$49"}</definedName>
    <definedName name="sched" hidden="1">{"'CQ1-4'!$B$1:$L$49"}</definedName>
    <definedName name="schedu" localSheetId="30" hidden="1">{"'CQ1-4'!$B$1:$L$49"}</definedName>
    <definedName name="schedu" localSheetId="31" hidden="1">{"'CQ1-4'!$B$1:$L$49"}</definedName>
    <definedName name="schedu" localSheetId="32" hidden="1">{"'CQ1-4'!$B$1:$L$49"}</definedName>
    <definedName name="schedu" localSheetId="10" hidden="1">{"'CQ1-4'!$B$1:$L$49"}</definedName>
    <definedName name="schedu" localSheetId="1" hidden="1">{"'CQ1-4'!$B$1:$L$49"}</definedName>
    <definedName name="schedu" localSheetId="6" hidden="1">{"'CQ1-4'!$B$1:$L$49"}</definedName>
    <definedName name="schedu" hidden="1">{"'CQ1-4'!$B$1:$L$49"}</definedName>
    <definedName name="schedule" localSheetId="30" hidden="1">{#N/A,#N/A,FALSE,"COMP"}</definedName>
    <definedName name="schedule" localSheetId="31" hidden="1">{#N/A,#N/A,FALSE,"COMP"}</definedName>
    <definedName name="schedule" localSheetId="32" hidden="1">{#N/A,#N/A,FALSE,"COMP"}</definedName>
    <definedName name="schedule" localSheetId="10" hidden="1">{#N/A,#N/A,FALSE,"COMP"}</definedName>
    <definedName name="schedule" localSheetId="1" hidden="1">{#N/A,#N/A,FALSE,"COMP"}</definedName>
    <definedName name="schedule" localSheetId="6" hidden="1">{#N/A,#N/A,FALSE,"COMP"}</definedName>
    <definedName name="schedule" hidden="1">{#N/A,#N/A,FALSE,"COMP"}</definedName>
    <definedName name="scsdaf" localSheetId="30" hidden="1">{#N/A,#N/A,FALSE,"3";#N/A,#N/A,FALSE,"5";#N/A,#N/A,FALSE,"6";#N/A,#N/A,FALSE,"8";#N/A,#N/A,FALSE,"10";#N/A,#N/A,FALSE,"13";#N/A,#N/A,FALSE,"14";#N/A,#N/A,FALSE,"15";#N/A,#N/A,FALSE,"16"}</definedName>
    <definedName name="scsdaf" localSheetId="31" hidden="1">{#N/A,#N/A,FALSE,"3";#N/A,#N/A,FALSE,"5";#N/A,#N/A,FALSE,"6";#N/A,#N/A,FALSE,"8";#N/A,#N/A,FALSE,"10";#N/A,#N/A,FALSE,"13";#N/A,#N/A,FALSE,"14";#N/A,#N/A,FALSE,"15";#N/A,#N/A,FALSE,"16"}</definedName>
    <definedName name="scsdaf" localSheetId="32" hidden="1">{#N/A,#N/A,FALSE,"3";#N/A,#N/A,FALSE,"5";#N/A,#N/A,FALSE,"6";#N/A,#N/A,FALSE,"8";#N/A,#N/A,FALSE,"10";#N/A,#N/A,FALSE,"13";#N/A,#N/A,FALSE,"14";#N/A,#N/A,FALSE,"15";#N/A,#N/A,FALSE,"16"}</definedName>
    <definedName name="scsdaf" localSheetId="10" hidden="1">{#N/A,#N/A,FALSE,"3";#N/A,#N/A,FALSE,"5";#N/A,#N/A,FALSE,"6";#N/A,#N/A,FALSE,"8";#N/A,#N/A,FALSE,"10";#N/A,#N/A,FALSE,"13";#N/A,#N/A,FALSE,"14";#N/A,#N/A,FALSE,"15";#N/A,#N/A,FALSE,"16"}</definedName>
    <definedName name="scsdaf" localSheetId="6" hidden="1">{#N/A,#N/A,FALSE,"3";#N/A,#N/A,FALSE,"5";#N/A,#N/A,FALSE,"6";#N/A,#N/A,FALSE,"8";#N/A,#N/A,FALSE,"10";#N/A,#N/A,FALSE,"13";#N/A,#N/A,FALSE,"14";#N/A,#N/A,FALSE,"15";#N/A,#N/A,FALSE,"16"}</definedName>
    <definedName name="scsdaf" hidden="1">{#N/A,#N/A,FALSE,"3";#N/A,#N/A,FALSE,"5";#N/A,#N/A,FALSE,"6";#N/A,#N/A,FALSE,"8";#N/A,#N/A,FALSE,"10";#N/A,#N/A,FALSE,"13";#N/A,#N/A,FALSE,"14";#N/A,#N/A,FALSE,"15";#N/A,#N/A,FALSE,"16"}</definedName>
    <definedName name="sdd" localSheetId="1" hidden="1">#REF!</definedName>
    <definedName name="sdd" localSheetId="6" hidden="1">#REF!</definedName>
    <definedName name="sdd" hidden="1">#REF!</definedName>
    <definedName name="sdf" hidden="1">#REF!</definedName>
    <definedName name="sdfgdsg" localSheetId="30" hidden="1">{#N/A,#N/A,FALSE,"3";#N/A,#N/A,FALSE,"5";#N/A,#N/A,FALSE,"6";#N/A,#N/A,FALSE,"8";#N/A,#N/A,FALSE,"10";#N/A,#N/A,FALSE,"13";#N/A,#N/A,FALSE,"14";#N/A,#N/A,FALSE,"15";#N/A,#N/A,FALSE,"16"}</definedName>
    <definedName name="sdfgdsg" localSheetId="31" hidden="1">{#N/A,#N/A,FALSE,"3";#N/A,#N/A,FALSE,"5";#N/A,#N/A,FALSE,"6";#N/A,#N/A,FALSE,"8";#N/A,#N/A,FALSE,"10";#N/A,#N/A,FALSE,"13";#N/A,#N/A,FALSE,"14";#N/A,#N/A,FALSE,"15";#N/A,#N/A,FALSE,"16"}</definedName>
    <definedName name="sdfgdsg" localSheetId="32" hidden="1">{#N/A,#N/A,FALSE,"3";#N/A,#N/A,FALSE,"5";#N/A,#N/A,FALSE,"6";#N/A,#N/A,FALSE,"8";#N/A,#N/A,FALSE,"10";#N/A,#N/A,FALSE,"13";#N/A,#N/A,FALSE,"14";#N/A,#N/A,FALSE,"15";#N/A,#N/A,FALSE,"16"}</definedName>
    <definedName name="sdfgdsg" localSheetId="10" hidden="1">{#N/A,#N/A,FALSE,"3";#N/A,#N/A,FALSE,"5";#N/A,#N/A,FALSE,"6";#N/A,#N/A,FALSE,"8";#N/A,#N/A,FALSE,"10";#N/A,#N/A,FALSE,"13";#N/A,#N/A,FALSE,"14";#N/A,#N/A,FALSE,"15";#N/A,#N/A,FALSE,"16"}</definedName>
    <definedName name="sdfgdsg" localSheetId="6" hidden="1">{#N/A,#N/A,FALSE,"3";#N/A,#N/A,FALSE,"5";#N/A,#N/A,FALSE,"6";#N/A,#N/A,FALSE,"8";#N/A,#N/A,FALSE,"10";#N/A,#N/A,FALSE,"13";#N/A,#N/A,FALSE,"14";#N/A,#N/A,FALSE,"15";#N/A,#N/A,FALSE,"16"}</definedName>
    <definedName name="sdfgdsg" hidden="1">{#N/A,#N/A,FALSE,"3";#N/A,#N/A,FALSE,"5";#N/A,#N/A,FALSE,"6";#N/A,#N/A,FALSE,"8";#N/A,#N/A,FALSE,"10";#N/A,#N/A,FALSE,"13";#N/A,#N/A,FALSE,"14";#N/A,#N/A,FALSE,"15";#N/A,#N/A,FALSE,"16"}</definedName>
    <definedName name="sdfs" localSheetId="30" hidden="1">{#N/A,#N/A,FALSE,"3";#N/A,#N/A,FALSE,"5";#N/A,#N/A,FALSE,"6";#N/A,#N/A,FALSE,"8";#N/A,#N/A,FALSE,"10";#N/A,#N/A,FALSE,"13";#N/A,#N/A,FALSE,"14";#N/A,#N/A,FALSE,"15";#N/A,#N/A,FALSE,"16"}</definedName>
    <definedName name="sdfs" localSheetId="31" hidden="1">{#N/A,#N/A,FALSE,"3";#N/A,#N/A,FALSE,"5";#N/A,#N/A,FALSE,"6";#N/A,#N/A,FALSE,"8";#N/A,#N/A,FALSE,"10";#N/A,#N/A,FALSE,"13";#N/A,#N/A,FALSE,"14";#N/A,#N/A,FALSE,"15";#N/A,#N/A,FALSE,"16"}</definedName>
    <definedName name="sdfs" localSheetId="32" hidden="1">{#N/A,#N/A,FALSE,"3";#N/A,#N/A,FALSE,"5";#N/A,#N/A,FALSE,"6";#N/A,#N/A,FALSE,"8";#N/A,#N/A,FALSE,"10";#N/A,#N/A,FALSE,"13";#N/A,#N/A,FALSE,"14";#N/A,#N/A,FALSE,"15";#N/A,#N/A,FALSE,"16"}</definedName>
    <definedName name="sdfs" localSheetId="10" hidden="1">{#N/A,#N/A,FALSE,"3";#N/A,#N/A,FALSE,"5";#N/A,#N/A,FALSE,"6";#N/A,#N/A,FALSE,"8";#N/A,#N/A,FALSE,"10";#N/A,#N/A,FALSE,"13";#N/A,#N/A,FALSE,"14";#N/A,#N/A,FALSE,"15";#N/A,#N/A,FALSE,"16"}</definedName>
    <definedName name="sdfs" localSheetId="6" hidden="1">{#N/A,#N/A,FALSE,"3";#N/A,#N/A,FALSE,"5";#N/A,#N/A,FALSE,"6";#N/A,#N/A,FALSE,"8";#N/A,#N/A,FALSE,"10";#N/A,#N/A,FALSE,"13";#N/A,#N/A,FALSE,"14";#N/A,#N/A,FALSE,"15";#N/A,#N/A,FALSE,"16"}</definedName>
    <definedName name="sdfs" hidden="1">{#N/A,#N/A,FALSE,"3";#N/A,#N/A,FALSE,"5";#N/A,#N/A,FALSE,"6";#N/A,#N/A,FALSE,"8";#N/A,#N/A,FALSE,"10";#N/A,#N/A,FALSE,"13";#N/A,#N/A,FALSE,"14";#N/A,#N/A,FALSE,"15";#N/A,#N/A,FALSE,"16"}</definedName>
    <definedName name="sdqsdfg" localSheetId="30" hidden="1">{#N/A,#N/A,FALSE,"Ventilation";#N/A,#N/A,FALSE,"Courbe1";#N/A,#N/A,FALSE,"Courbe2"}</definedName>
    <definedName name="sdqsdfg" localSheetId="31" hidden="1">{#N/A,#N/A,FALSE,"Ventilation";#N/A,#N/A,FALSE,"Courbe1";#N/A,#N/A,FALSE,"Courbe2"}</definedName>
    <definedName name="sdqsdfg" localSheetId="32" hidden="1">{#N/A,#N/A,FALSE,"Ventilation";#N/A,#N/A,FALSE,"Courbe1";#N/A,#N/A,FALSE,"Courbe2"}</definedName>
    <definedName name="sdqsdfg" localSheetId="10" hidden="1">{#N/A,#N/A,FALSE,"Ventilation";#N/A,#N/A,FALSE,"Courbe1";#N/A,#N/A,FALSE,"Courbe2"}</definedName>
    <definedName name="sdqsdfg" localSheetId="6" hidden="1">{#N/A,#N/A,FALSE,"Ventilation";#N/A,#N/A,FALSE,"Courbe1";#N/A,#N/A,FALSE,"Courbe2"}</definedName>
    <definedName name="sdqsdfg" hidden="1">{#N/A,#N/A,FALSE,"Ventilation";#N/A,#N/A,FALSE,"Courbe1";#N/A,#N/A,FALSE,"Courbe2"}</definedName>
    <definedName name="sds" localSheetId="30" hidden="1">{"plansummary",#N/A,FALSE,"PlanSummary";"sales",#N/A,FALSE,"Sales Rec";"productivity",#N/A,FALSE,"Productivity Rec";"capitalspending",#N/A,FALSE,"Capital Spending"}</definedName>
    <definedName name="sds" localSheetId="31" hidden="1">{"plansummary",#N/A,FALSE,"PlanSummary";"sales",#N/A,FALSE,"Sales Rec";"productivity",#N/A,FALSE,"Productivity Rec";"capitalspending",#N/A,FALSE,"Capital Spending"}</definedName>
    <definedName name="sds" localSheetId="32" hidden="1">{"plansummary",#N/A,FALSE,"PlanSummary";"sales",#N/A,FALSE,"Sales Rec";"productivity",#N/A,FALSE,"Productivity Rec";"capitalspending",#N/A,FALSE,"Capital Spending"}</definedName>
    <definedName name="sds" localSheetId="10" hidden="1">{"plansummary",#N/A,FALSE,"PlanSummary";"sales",#N/A,FALSE,"Sales Rec";"productivity",#N/A,FALSE,"Productivity Rec";"capitalspending",#N/A,FALSE,"Capital Spending"}</definedName>
    <definedName name="sds" localSheetId="1" hidden="1">{"plansummary",#N/A,FALSE,"PlanSummary";"sales",#N/A,FALSE,"Sales Rec";"productivity",#N/A,FALSE,"Productivity Rec";"capitalspending",#N/A,FALSE,"Capital Spending"}</definedName>
    <definedName name="sds" localSheetId="6" hidden="1">{"plansummary",#N/A,FALSE,"PlanSummary";"sales",#N/A,FALSE,"Sales Rec";"productivity",#N/A,FALSE,"Productivity Rec";"capitalspending",#N/A,FALSE,"Capital Spending"}</definedName>
    <definedName name="sds" hidden="1">{"plansummary",#N/A,FALSE,"PlanSummary";"sales",#N/A,FALSE,"Sales Rec";"productivity",#N/A,FALSE,"Productivity Rec";"capitalspending",#N/A,FALSE,"Capital Spending"}</definedName>
    <definedName name="sdsad" localSheetId="30" hidden="1">{#N/A,#N/A,FALSE,"3";#N/A,#N/A,FALSE,"5";#N/A,#N/A,FALSE,"6";#N/A,#N/A,FALSE,"8";#N/A,#N/A,FALSE,"10";#N/A,#N/A,FALSE,"13";#N/A,#N/A,FALSE,"14";#N/A,#N/A,FALSE,"15";#N/A,#N/A,FALSE,"16"}</definedName>
    <definedName name="sdsad" localSheetId="31" hidden="1">{#N/A,#N/A,FALSE,"3";#N/A,#N/A,FALSE,"5";#N/A,#N/A,FALSE,"6";#N/A,#N/A,FALSE,"8";#N/A,#N/A,FALSE,"10";#N/A,#N/A,FALSE,"13";#N/A,#N/A,FALSE,"14";#N/A,#N/A,FALSE,"15";#N/A,#N/A,FALSE,"16"}</definedName>
    <definedName name="sdsad" localSheetId="32" hidden="1">{#N/A,#N/A,FALSE,"3";#N/A,#N/A,FALSE,"5";#N/A,#N/A,FALSE,"6";#N/A,#N/A,FALSE,"8";#N/A,#N/A,FALSE,"10";#N/A,#N/A,FALSE,"13";#N/A,#N/A,FALSE,"14";#N/A,#N/A,FALSE,"15";#N/A,#N/A,FALSE,"16"}</definedName>
    <definedName name="sdsad" localSheetId="10" hidden="1">{#N/A,#N/A,FALSE,"3";#N/A,#N/A,FALSE,"5";#N/A,#N/A,FALSE,"6";#N/A,#N/A,FALSE,"8";#N/A,#N/A,FALSE,"10";#N/A,#N/A,FALSE,"13";#N/A,#N/A,FALSE,"14";#N/A,#N/A,FALSE,"15";#N/A,#N/A,FALSE,"16"}</definedName>
    <definedName name="sdsad" localSheetId="6" hidden="1">{#N/A,#N/A,FALSE,"3";#N/A,#N/A,FALSE,"5";#N/A,#N/A,FALSE,"6";#N/A,#N/A,FALSE,"8";#N/A,#N/A,FALSE,"10";#N/A,#N/A,FALSE,"13";#N/A,#N/A,FALSE,"14";#N/A,#N/A,FALSE,"15";#N/A,#N/A,FALSE,"16"}</definedName>
    <definedName name="sdsad" hidden="1">{#N/A,#N/A,FALSE,"3";#N/A,#N/A,FALSE,"5";#N/A,#N/A,FALSE,"6";#N/A,#N/A,FALSE,"8";#N/A,#N/A,FALSE,"10";#N/A,#N/A,FALSE,"13";#N/A,#N/A,FALSE,"14";#N/A,#N/A,FALSE,"15";#N/A,#N/A,FALSE,"16"}</definedName>
    <definedName name="sealand3" localSheetId="30" hidden="1">{#N/A,#N/A,FALSE,"USMED 3";#N/A,#N/A,FALSE,"MARCHALLENGER 1";#N/A,#N/A,FALSE,"MARCHALLENGER 2";#N/A,#N/A,FALSE,"MARCHALLENGER 3";#N/A,#N/A,FALSE,"MARCHALLENGER 4"}</definedName>
    <definedName name="sealand3" localSheetId="31" hidden="1">{#N/A,#N/A,FALSE,"USMED 3";#N/A,#N/A,FALSE,"MARCHALLENGER 1";#N/A,#N/A,FALSE,"MARCHALLENGER 2";#N/A,#N/A,FALSE,"MARCHALLENGER 3";#N/A,#N/A,FALSE,"MARCHALLENGER 4"}</definedName>
    <definedName name="sealand3" localSheetId="32" hidden="1">{#N/A,#N/A,FALSE,"USMED 3";#N/A,#N/A,FALSE,"MARCHALLENGER 1";#N/A,#N/A,FALSE,"MARCHALLENGER 2";#N/A,#N/A,FALSE,"MARCHALLENGER 3";#N/A,#N/A,FALSE,"MARCHALLENGER 4"}</definedName>
    <definedName name="sealand3" localSheetId="10" hidden="1">{#N/A,#N/A,FALSE,"USMED 3";#N/A,#N/A,FALSE,"MARCHALLENGER 1";#N/A,#N/A,FALSE,"MARCHALLENGER 2";#N/A,#N/A,FALSE,"MARCHALLENGER 3";#N/A,#N/A,FALSE,"MARCHALLENGER 4"}</definedName>
    <definedName name="sealand3" hidden="1">{#N/A,#N/A,FALSE,"USMED 3";#N/A,#N/A,FALSE,"MARCHALLENGER 1";#N/A,#N/A,FALSE,"MARCHALLENGER 2";#N/A,#N/A,FALSE,"MARCHALLENGER 3";#N/A,#N/A,FALSE,"MARCHALLENGER 4"}</definedName>
    <definedName name="sencount" hidden="1">1</definedName>
    <definedName name="sfaf" localSheetId="30" hidden="1">{#N/A,#N/A,FALSE,"3";#N/A,#N/A,FALSE,"5";#N/A,#N/A,FALSE,"6";#N/A,#N/A,FALSE,"8";#N/A,#N/A,FALSE,"10";#N/A,#N/A,FALSE,"13";#N/A,#N/A,FALSE,"14";#N/A,#N/A,FALSE,"15";#N/A,#N/A,FALSE,"16"}</definedName>
    <definedName name="sfaf" localSheetId="31" hidden="1">{#N/A,#N/A,FALSE,"3";#N/A,#N/A,FALSE,"5";#N/A,#N/A,FALSE,"6";#N/A,#N/A,FALSE,"8";#N/A,#N/A,FALSE,"10";#N/A,#N/A,FALSE,"13";#N/A,#N/A,FALSE,"14";#N/A,#N/A,FALSE,"15";#N/A,#N/A,FALSE,"16"}</definedName>
    <definedName name="sfaf" localSheetId="32" hidden="1">{#N/A,#N/A,FALSE,"3";#N/A,#N/A,FALSE,"5";#N/A,#N/A,FALSE,"6";#N/A,#N/A,FALSE,"8";#N/A,#N/A,FALSE,"10";#N/A,#N/A,FALSE,"13";#N/A,#N/A,FALSE,"14";#N/A,#N/A,FALSE,"15";#N/A,#N/A,FALSE,"16"}</definedName>
    <definedName name="sfaf" localSheetId="10" hidden="1">{#N/A,#N/A,FALSE,"3";#N/A,#N/A,FALSE,"5";#N/A,#N/A,FALSE,"6";#N/A,#N/A,FALSE,"8";#N/A,#N/A,FALSE,"10";#N/A,#N/A,FALSE,"13";#N/A,#N/A,FALSE,"14";#N/A,#N/A,FALSE,"15";#N/A,#N/A,FALSE,"16"}</definedName>
    <definedName name="sfaf" localSheetId="6" hidden="1">{#N/A,#N/A,FALSE,"3";#N/A,#N/A,FALSE,"5";#N/A,#N/A,FALSE,"6";#N/A,#N/A,FALSE,"8";#N/A,#N/A,FALSE,"10";#N/A,#N/A,FALSE,"13";#N/A,#N/A,FALSE,"14";#N/A,#N/A,FALSE,"15";#N/A,#N/A,FALSE,"16"}</definedName>
    <definedName name="sfaf" hidden="1">{#N/A,#N/A,FALSE,"3";#N/A,#N/A,FALSE,"5";#N/A,#N/A,FALSE,"6";#N/A,#N/A,FALSE,"8";#N/A,#N/A,FALSE,"10";#N/A,#N/A,FALSE,"13";#N/A,#N/A,FALSE,"14";#N/A,#N/A,FALSE,"15";#N/A,#N/A,FALSE,"16"}</definedName>
    <definedName name="sfsaf" localSheetId="30" hidden="1">{#N/A,#N/A,FALSE,"3";#N/A,#N/A,FALSE,"5";#N/A,#N/A,FALSE,"6";#N/A,#N/A,FALSE,"8";#N/A,#N/A,FALSE,"10";#N/A,#N/A,FALSE,"13";#N/A,#N/A,FALSE,"14";#N/A,#N/A,FALSE,"15";#N/A,#N/A,FALSE,"16"}</definedName>
    <definedName name="sfsaf" localSheetId="31" hidden="1">{#N/A,#N/A,FALSE,"3";#N/A,#N/A,FALSE,"5";#N/A,#N/A,FALSE,"6";#N/A,#N/A,FALSE,"8";#N/A,#N/A,FALSE,"10";#N/A,#N/A,FALSE,"13";#N/A,#N/A,FALSE,"14";#N/A,#N/A,FALSE,"15";#N/A,#N/A,FALSE,"16"}</definedName>
    <definedName name="sfsaf" localSheetId="32" hidden="1">{#N/A,#N/A,FALSE,"3";#N/A,#N/A,FALSE,"5";#N/A,#N/A,FALSE,"6";#N/A,#N/A,FALSE,"8";#N/A,#N/A,FALSE,"10";#N/A,#N/A,FALSE,"13";#N/A,#N/A,FALSE,"14";#N/A,#N/A,FALSE,"15";#N/A,#N/A,FALSE,"16"}</definedName>
    <definedName name="sfsaf" localSheetId="10" hidden="1">{#N/A,#N/A,FALSE,"3";#N/A,#N/A,FALSE,"5";#N/A,#N/A,FALSE,"6";#N/A,#N/A,FALSE,"8";#N/A,#N/A,FALSE,"10";#N/A,#N/A,FALSE,"13";#N/A,#N/A,FALSE,"14";#N/A,#N/A,FALSE,"15";#N/A,#N/A,FALSE,"16"}</definedName>
    <definedName name="sfsaf" localSheetId="6" hidden="1">{#N/A,#N/A,FALSE,"3";#N/A,#N/A,FALSE,"5";#N/A,#N/A,FALSE,"6";#N/A,#N/A,FALSE,"8";#N/A,#N/A,FALSE,"10";#N/A,#N/A,FALSE,"13";#N/A,#N/A,FALSE,"14";#N/A,#N/A,FALSE,"15";#N/A,#N/A,FALSE,"16"}</definedName>
    <definedName name="sfsaf" hidden="1">{#N/A,#N/A,FALSE,"3";#N/A,#N/A,FALSE,"5";#N/A,#N/A,FALSE,"6";#N/A,#N/A,FALSE,"8";#N/A,#N/A,FALSE,"10";#N/A,#N/A,FALSE,"13";#N/A,#N/A,FALSE,"14";#N/A,#N/A,FALSE,"15";#N/A,#N/A,FALSE,"16"}</definedName>
    <definedName name="shankar" localSheetId="30" hidden="1">{#N/A,#N/A,FALSE,"COMICRO";#N/A,#N/A,FALSE,"BALSCH";#N/A,#N/A,FALSE,"GLASS";#N/A,#N/A,FALSE,"DEPRE";#N/A,#N/A,FALSE,"A&amp;MCUR";#N/A,#N/A,FALSE,"AGEANAlysis";#N/A,#N/A,FALSE,"CHECKS";#N/A,#N/A,FALSE,"CHECKS"}</definedName>
    <definedName name="shankar" localSheetId="31" hidden="1">{#N/A,#N/A,FALSE,"COMICRO";#N/A,#N/A,FALSE,"BALSCH";#N/A,#N/A,FALSE,"GLASS";#N/A,#N/A,FALSE,"DEPRE";#N/A,#N/A,FALSE,"A&amp;MCUR";#N/A,#N/A,FALSE,"AGEANAlysis";#N/A,#N/A,FALSE,"CHECKS";#N/A,#N/A,FALSE,"CHECKS"}</definedName>
    <definedName name="shankar" localSheetId="32" hidden="1">{#N/A,#N/A,FALSE,"COMICRO";#N/A,#N/A,FALSE,"BALSCH";#N/A,#N/A,FALSE,"GLASS";#N/A,#N/A,FALSE,"DEPRE";#N/A,#N/A,FALSE,"A&amp;MCUR";#N/A,#N/A,FALSE,"AGEANAlysis";#N/A,#N/A,FALSE,"CHECKS";#N/A,#N/A,FALSE,"CHECKS"}</definedName>
    <definedName name="shankar" localSheetId="10" hidden="1">{#N/A,#N/A,FALSE,"COMICRO";#N/A,#N/A,FALSE,"BALSCH";#N/A,#N/A,FALSE,"GLASS";#N/A,#N/A,FALSE,"DEPRE";#N/A,#N/A,FALSE,"A&amp;MCUR";#N/A,#N/A,FALSE,"AGEANAlysis";#N/A,#N/A,FALSE,"CHECKS";#N/A,#N/A,FALSE,"CHECKS"}</definedName>
    <definedName name="shankar" localSheetId="1" hidden="1">{#N/A,#N/A,FALSE,"COMICRO";#N/A,#N/A,FALSE,"BALSCH";#N/A,#N/A,FALSE,"GLASS";#N/A,#N/A,FALSE,"DEPRE";#N/A,#N/A,FALSE,"A&amp;MCUR";#N/A,#N/A,FALSE,"AGEANAlysis";#N/A,#N/A,FALSE,"CHECKS";#N/A,#N/A,FALSE,"CHECKS"}</definedName>
    <definedName name="shankar" localSheetId="6" hidden="1">{#N/A,#N/A,FALSE,"COMICRO";#N/A,#N/A,FALSE,"BALSCH";#N/A,#N/A,FALSE,"GLASS";#N/A,#N/A,FALSE,"DEPRE";#N/A,#N/A,FALSE,"A&amp;MCUR";#N/A,#N/A,FALSE,"AGEANAlysis";#N/A,#N/A,FALSE,"CHECKS";#N/A,#N/A,FALSE,"CHECKS"}</definedName>
    <definedName name="shankar" hidden="1">{#N/A,#N/A,FALSE,"COMICRO";#N/A,#N/A,FALSE,"BALSCH";#N/A,#N/A,FALSE,"GLASS";#N/A,#N/A,FALSE,"DEPRE";#N/A,#N/A,FALSE,"A&amp;MCUR";#N/A,#N/A,FALSE,"AGEANAlysis";#N/A,#N/A,FALSE,"CHECKS";#N/A,#N/A,FALSE,"CHECKS"}</definedName>
    <definedName name="she" hidden="1">{"summary",#N/A,FALSE,"2000 vs 1999";"detail",#N/A,FALSE,"2000 vs 1999"}</definedName>
    <definedName name="sheireen" hidden="1">{"summary",#N/A,FALSE,"2000 vs 1999";"detail",#N/A,FALSE,"2000 vs 1999"}</definedName>
    <definedName name="shiva" localSheetId="30" hidden="1">{#N/A,#N/A,TRUE,"BALSCH";#N/A,#N/A,TRUE,"COMICRO";#N/A,#N/A,TRUE,"CHECKS";#N/A,#N/A,TRUE,"GLASS";#N/A,#N/A,TRUE,"DEPRE";#N/A,#N/A,TRUE,"A&amp;MCUR";#N/A,#N/A,TRUE,"AGEANAlysis";#N/A,#N/A,TRUE,"CHECKS"}</definedName>
    <definedName name="shiva" localSheetId="31" hidden="1">{#N/A,#N/A,TRUE,"BALSCH";#N/A,#N/A,TRUE,"COMICRO";#N/A,#N/A,TRUE,"CHECKS";#N/A,#N/A,TRUE,"GLASS";#N/A,#N/A,TRUE,"DEPRE";#N/A,#N/A,TRUE,"A&amp;MCUR";#N/A,#N/A,TRUE,"AGEANAlysis";#N/A,#N/A,TRUE,"CHECKS"}</definedName>
    <definedName name="shiva" localSheetId="32" hidden="1">{#N/A,#N/A,TRUE,"BALSCH";#N/A,#N/A,TRUE,"COMICRO";#N/A,#N/A,TRUE,"CHECKS";#N/A,#N/A,TRUE,"GLASS";#N/A,#N/A,TRUE,"DEPRE";#N/A,#N/A,TRUE,"A&amp;MCUR";#N/A,#N/A,TRUE,"AGEANAlysis";#N/A,#N/A,TRUE,"CHECKS"}</definedName>
    <definedName name="shiva" localSheetId="10" hidden="1">{#N/A,#N/A,TRUE,"BALSCH";#N/A,#N/A,TRUE,"COMICRO";#N/A,#N/A,TRUE,"CHECKS";#N/A,#N/A,TRUE,"GLASS";#N/A,#N/A,TRUE,"DEPRE";#N/A,#N/A,TRUE,"A&amp;MCUR";#N/A,#N/A,TRUE,"AGEANAlysis";#N/A,#N/A,TRUE,"CHECKS"}</definedName>
    <definedName name="shiva" localSheetId="1" hidden="1">{#N/A,#N/A,TRUE,"BALSCH";#N/A,#N/A,TRUE,"COMICRO";#N/A,#N/A,TRUE,"CHECKS";#N/A,#N/A,TRUE,"GLASS";#N/A,#N/A,TRUE,"DEPRE";#N/A,#N/A,TRUE,"A&amp;MCUR";#N/A,#N/A,TRUE,"AGEANAlysis";#N/A,#N/A,TRUE,"CHECKS"}</definedName>
    <definedName name="shiva" localSheetId="6" hidden="1">{#N/A,#N/A,TRUE,"BALSCH";#N/A,#N/A,TRUE,"COMICRO";#N/A,#N/A,TRUE,"CHECKS";#N/A,#N/A,TRUE,"GLASS";#N/A,#N/A,TRUE,"DEPRE";#N/A,#N/A,TRUE,"A&amp;MCUR";#N/A,#N/A,TRUE,"AGEANAlysis";#N/A,#N/A,TRUE,"CHECKS"}</definedName>
    <definedName name="shiva" hidden="1">{#N/A,#N/A,TRUE,"BALSCH";#N/A,#N/A,TRUE,"COMICRO";#N/A,#N/A,TRUE,"CHECKS";#N/A,#N/A,TRUE,"GLASS";#N/A,#N/A,TRUE,"DEPRE";#N/A,#N/A,TRUE,"A&amp;MCUR";#N/A,#N/A,TRUE,"AGEANAlysis";#N/A,#N/A,TRUE,"CHECKS"}</definedName>
    <definedName name="sky" localSheetId="30" hidden="1">{"Summary analysis",#N/A,FALSE,"Total";"OCPH analysis",#N/A,FALSE,"Total";"detail analysis",#N/A,FALSE,"Total"}</definedName>
    <definedName name="sky" localSheetId="31" hidden="1">{"Summary analysis",#N/A,FALSE,"Total";"OCPH analysis",#N/A,FALSE,"Total";"detail analysis",#N/A,FALSE,"Total"}</definedName>
    <definedName name="sky" localSheetId="32" hidden="1">{"Summary analysis",#N/A,FALSE,"Total";"OCPH analysis",#N/A,FALSE,"Total";"detail analysis",#N/A,FALSE,"Total"}</definedName>
    <definedName name="sky" localSheetId="10" hidden="1">{"Summary analysis",#N/A,FALSE,"Total";"OCPH analysis",#N/A,FALSE,"Total";"detail analysis",#N/A,FALSE,"Total"}</definedName>
    <definedName name="sky" localSheetId="6" hidden="1">{"Summary analysis",#N/A,FALSE,"Total";"OCPH analysis",#N/A,FALSE,"Total";"detail analysis",#N/A,FALSE,"Total"}</definedName>
    <definedName name="sky" hidden="1">{"Summary analysis",#N/A,FALSE,"Total";"OCPH analysis",#N/A,FALSE,"Total";"detail analysis",#N/A,FALSE,"Total"}</definedName>
    <definedName name="slotcost21kts" localSheetId="30"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slotcost21kts" localSheetId="31"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slotcost21kts" localSheetId="32"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slotcost21kts" localSheetId="10"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slotcost21kts"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opt" localSheetId="6" hidden="1">#REF!</definedName>
    <definedName name="solver_opt" hidden="1">#REF!</definedName>
    <definedName name="solver_pre" hidden="1">0.000001</definedName>
    <definedName name="solver_rel1" hidden="1">3</definedName>
    <definedName name="solver_rel2" hidden="1">1</definedName>
    <definedName name="solver_rel3" hidden="1">3</definedName>
    <definedName name="solver_rhs1" hidden="1">1</definedName>
    <definedName name="solver_rhs2" hidden="1">0.5</definedName>
    <definedName name="solver_rhs3" hidden="1">-0.5</definedName>
    <definedName name="solver_scl" hidden="1">0</definedName>
    <definedName name="solver_sho" hidden="1">0</definedName>
    <definedName name="solver_tim" hidden="1">100</definedName>
    <definedName name="solver_tol" hidden="1">0.05</definedName>
    <definedName name="solver_typ" hidden="1">1</definedName>
    <definedName name="solver_val" hidden="1">0</definedName>
    <definedName name="SORT" hidden="1">#REF!</definedName>
    <definedName name="SpecialPrice" localSheetId="1" hidden="1">#REF!</definedName>
    <definedName name="SpecialPrice" hidden="1">#REF!</definedName>
    <definedName name="srtgh" localSheetId="30" hidden="1">{#N/A,#N/A,FALSE,"3";#N/A,#N/A,FALSE,"5";#N/A,#N/A,FALSE,"6";#N/A,#N/A,FALSE,"8";#N/A,#N/A,FALSE,"10";#N/A,#N/A,FALSE,"13";#N/A,#N/A,FALSE,"14";#N/A,#N/A,FALSE,"15";#N/A,#N/A,FALSE,"16"}</definedName>
    <definedName name="srtgh" localSheetId="31" hidden="1">{#N/A,#N/A,FALSE,"3";#N/A,#N/A,FALSE,"5";#N/A,#N/A,FALSE,"6";#N/A,#N/A,FALSE,"8";#N/A,#N/A,FALSE,"10";#N/A,#N/A,FALSE,"13";#N/A,#N/A,FALSE,"14";#N/A,#N/A,FALSE,"15";#N/A,#N/A,FALSE,"16"}</definedName>
    <definedName name="srtgh" localSheetId="32" hidden="1">{#N/A,#N/A,FALSE,"3";#N/A,#N/A,FALSE,"5";#N/A,#N/A,FALSE,"6";#N/A,#N/A,FALSE,"8";#N/A,#N/A,FALSE,"10";#N/A,#N/A,FALSE,"13";#N/A,#N/A,FALSE,"14";#N/A,#N/A,FALSE,"15";#N/A,#N/A,FALSE,"16"}</definedName>
    <definedName name="srtgh" localSheetId="10" hidden="1">{#N/A,#N/A,FALSE,"3";#N/A,#N/A,FALSE,"5";#N/A,#N/A,FALSE,"6";#N/A,#N/A,FALSE,"8";#N/A,#N/A,FALSE,"10";#N/A,#N/A,FALSE,"13";#N/A,#N/A,FALSE,"14";#N/A,#N/A,FALSE,"15";#N/A,#N/A,FALSE,"16"}</definedName>
    <definedName name="srtgh" localSheetId="6" hidden="1">{#N/A,#N/A,FALSE,"3";#N/A,#N/A,FALSE,"5";#N/A,#N/A,FALSE,"6";#N/A,#N/A,FALSE,"8";#N/A,#N/A,FALSE,"10";#N/A,#N/A,FALSE,"13";#N/A,#N/A,FALSE,"14";#N/A,#N/A,FALSE,"15";#N/A,#N/A,FALSE,"16"}</definedName>
    <definedName name="srtgh" hidden="1">{#N/A,#N/A,FALSE,"3";#N/A,#N/A,FALSE,"5";#N/A,#N/A,FALSE,"6";#N/A,#N/A,FALSE,"8";#N/A,#N/A,FALSE,"10";#N/A,#N/A,FALSE,"13";#N/A,#N/A,FALSE,"14";#N/A,#N/A,FALSE,"15";#N/A,#N/A,FALSE,"16"}</definedName>
    <definedName name="srweatfwa" hidden="1">#REF!</definedName>
    <definedName name="ss" localSheetId="30" hidden="1">{#N/A,#N/A,FALSE,"Cipta-All";#N/A,#N/A,FALSE,"Individual"}</definedName>
    <definedName name="ss" localSheetId="31" hidden="1">{#N/A,#N/A,FALSE,"Cipta-All";#N/A,#N/A,FALSE,"Individual"}</definedName>
    <definedName name="ss" localSheetId="32" hidden="1">{#N/A,#N/A,FALSE,"Cipta-All";#N/A,#N/A,FALSE,"Individual"}</definedName>
    <definedName name="ss" localSheetId="10" hidden="1">{#N/A,#N/A,FALSE,"Cipta-All";#N/A,#N/A,FALSE,"Individual"}</definedName>
    <definedName name="ss" localSheetId="1" hidden="1">{#N/A,#N/A,FALSE,"Cipta-All";#N/A,#N/A,FALSE,"Individual"}</definedName>
    <definedName name="ss" localSheetId="6" hidden="1">{#N/A,#N/A,FALSE,"Cipta-All";#N/A,#N/A,FALSE,"Individual"}</definedName>
    <definedName name="ss" hidden="1">{#N/A,#N/A,FALSE,"Cipta-All";#N/A,#N/A,FALSE,"Individual"}</definedName>
    <definedName name="ssdd" localSheetId="30" hidden="1">{"'Typical Costs Estimates'!$C$158:$H$161"}</definedName>
    <definedName name="ssdd" localSheetId="31" hidden="1">{"'Typical Costs Estimates'!$C$158:$H$161"}</definedName>
    <definedName name="ssdd" localSheetId="32" hidden="1">{"'Typical Costs Estimates'!$C$158:$H$161"}</definedName>
    <definedName name="ssdd" localSheetId="10" hidden="1">{"'Typical Costs Estimates'!$C$158:$H$161"}</definedName>
    <definedName name="ssdd" hidden="1">{"'Typical Costs Estimates'!$C$158:$H$161"}</definedName>
    <definedName name="SSDP" localSheetId="30" hidden="1">{#N/A,#N/A,FALSE,"Cipta-All";#N/A,#N/A,FALSE,"Individual"}</definedName>
    <definedName name="SSDP" localSheetId="31" hidden="1">{#N/A,#N/A,FALSE,"Cipta-All";#N/A,#N/A,FALSE,"Individual"}</definedName>
    <definedName name="SSDP" localSheetId="32" hidden="1">{#N/A,#N/A,FALSE,"Cipta-All";#N/A,#N/A,FALSE,"Individual"}</definedName>
    <definedName name="SSDP" localSheetId="10" hidden="1">{#N/A,#N/A,FALSE,"Cipta-All";#N/A,#N/A,FALSE,"Individual"}</definedName>
    <definedName name="SSDP" localSheetId="1" hidden="1">{#N/A,#N/A,FALSE,"Cipta-All";#N/A,#N/A,FALSE,"Individual"}</definedName>
    <definedName name="SSDP" localSheetId="6" hidden="1">{#N/A,#N/A,FALSE,"Cipta-All";#N/A,#N/A,FALSE,"Individual"}</definedName>
    <definedName name="SSDP" hidden="1">{#N/A,#N/A,FALSE,"Cipta-All";#N/A,#N/A,FALSE,"Individual"}</definedName>
    <definedName name="SSK" localSheetId="30" hidden="1">{#N/A,#N/A,FALSE,"COMP"}</definedName>
    <definedName name="SSK" localSheetId="31" hidden="1">{#N/A,#N/A,FALSE,"COMP"}</definedName>
    <definedName name="SSK" localSheetId="32" hidden="1">{#N/A,#N/A,FALSE,"COMP"}</definedName>
    <definedName name="SSK" localSheetId="10" hidden="1">{#N/A,#N/A,FALSE,"COMP"}</definedName>
    <definedName name="SSK" localSheetId="1" hidden="1">{#N/A,#N/A,FALSE,"COMP"}</definedName>
    <definedName name="SSK" localSheetId="6" hidden="1">{#N/A,#N/A,FALSE,"COMP"}</definedName>
    <definedName name="SSK" hidden="1">{#N/A,#N/A,FALSE,"COMP"}</definedName>
    <definedName name="SSSSS" localSheetId="30" hidden="1">{#N/A,#N/A,FALSE,"COMICRO";#N/A,#N/A,FALSE,"BALSCH";#N/A,#N/A,FALSE,"GLASS";#N/A,#N/A,FALSE,"DEPRE";#N/A,#N/A,FALSE,"A&amp;MCUR";#N/A,#N/A,FALSE,"AGEANAlysis";#N/A,#N/A,FALSE,"CHECKS";#N/A,#N/A,FALSE,"CHECKS"}</definedName>
    <definedName name="SSSSS" localSheetId="31" hidden="1">{#N/A,#N/A,FALSE,"COMICRO";#N/A,#N/A,FALSE,"BALSCH";#N/A,#N/A,FALSE,"GLASS";#N/A,#N/A,FALSE,"DEPRE";#N/A,#N/A,FALSE,"A&amp;MCUR";#N/A,#N/A,FALSE,"AGEANAlysis";#N/A,#N/A,FALSE,"CHECKS";#N/A,#N/A,FALSE,"CHECKS"}</definedName>
    <definedName name="SSSSS" localSheetId="32" hidden="1">{#N/A,#N/A,FALSE,"COMICRO";#N/A,#N/A,FALSE,"BALSCH";#N/A,#N/A,FALSE,"GLASS";#N/A,#N/A,FALSE,"DEPRE";#N/A,#N/A,FALSE,"A&amp;MCUR";#N/A,#N/A,FALSE,"AGEANAlysis";#N/A,#N/A,FALSE,"CHECKS";#N/A,#N/A,FALSE,"CHECKS"}</definedName>
    <definedName name="SSSSS" localSheetId="10" hidden="1">{#N/A,#N/A,FALSE,"COMICRO";#N/A,#N/A,FALSE,"BALSCH";#N/A,#N/A,FALSE,"GLASS";#N/A,#N/A,FALSE,"DEPRE";#N/A,#N/A,FALSE,"A&amp;MCUR";#N/A,#N/A,FALSE,"AGEANAlysis";#N/A,#N/A,FALSE,"CHECKS";#N/A,#N/A,FALSE,"CHECKS"}</definedName>
    <definedName name="SSSSS" localSheetId="1" hidden="1">{#N/A,#N/A,FALSE,"COMICRO";#N/A,#N/A,FALSE,"BALSCH";#N/A,#N/A,FALSE,"GLASS";#N/A,#N/A,FALSE,"DEPRE";#N/A,#N/A,FALSE,"A&amp;MCUR";#N/A,#N/A,FALSE,"AGEANAlysis";#N/A,#N/A,FALSE,"CHECKS";#N/A,#N/A,FALSE,"CHECKS"}</definedName>
    <definedName name="SSSSS" localSheetId="6" hidden="1">{#N/A,#N/A,FALSE,"COMICRO";#N/A,#N/A,FALSE,"BALSCH";#N/A,#N/A,FALSE,"GLASS";#N/A,#N/A,FALSE,"DEPRE";#N/A,#N/A,FALSE,"A&amp;MCUR";#N/A,#N/A,FALSE,"AGEANAlysis";#N/A,#N/A,FALSE,"CHECKS";#N/A,#N/A,FALSE,"CHECKS"}</definedName>
    <definedName name="SSSSS" hidden="1">{#N/A,#N/A,FALSE,"COMICRO";#N/A,#N/A,FALSE,"BALSCH";#N/A,#N/A,FALSE,"GLASS";#N/A,#N/A,FALSE,"DEPRE";#N/A,#N/A,FALSE,"A&amp;MCUR";#N/A,#N/A,FALSE,"AGEANAlysis";#N/A,#N/A,FALSE,"CHECKS";#N/A,#N/A,FALSE,"CHECKS"}</definedName>
    <definedName name="st" localSheetId="30" hidden="1">{#N/A,#N/A,FALSE,"USMED 3";#N/A,#N/A,FALSE,"MARCHALLENGER 1";#N/A,#N/A,FALSE,"MARCHALLENGER 2";#N/A,#N/A,FALSE,"MARCHALLENGER 3";#N/A,#N/A,FALSE,"MARCHALLENGER 4"}</definedName>
    <definedName name="st" localSheetId="31" hidden="1">{#N/A,#N/A,FALSE,"USMED 3";#N/A,#N/A,FALSE,"MARCHALLENGER 1";#N/A,#N/A,FALSE,"MARCHALLENGER 2";#N/A,#N/A,FALSE,"MARCHALLENGER 3";#N/A,#N/A,FALSE,"MARCHALLENGER 4"}</definedName>
    <definedName name="st" localSheetId="32" hidden="1">{#N/A,#N/A,FALSE,"USMED 3";#N/A,#N/A,FALSE,"MARCHALLENGER 1";#N/A,#N/A,FALSE,"MARCHALLENGER 2";#N/A,#N/A,FALSE,"MARCHALLENGER 3";#N/A,#N/A,FALSE,"MARCHALLENGER 4"}</definedName>
    <definedName name="st" localSheetId="10" hidden="1">{#N/A,#N/A,FALSE,"USMED 3";#N/A,#N/A,FALSE,"MARCHALLENGER 1";#N/A,#N/A,FALSE,"MARCHALLENGER 2";#N/A,#N/A,FALSE,"MARCHALLENGER 3";#N/A,#N/A,FALSE,"MARCHALLENGER 4"}</definedName>
    <definedName name="st" hidden="1">{#N/A,#N/A,FALSE,"USMED 3";#N/A,#N/A,FALSE,"MARCHALLENGER 1";#N/A,#N/A,FALSE,"MARCHALLENGER 2";#N/A,#N/A,FALSE,"MARCHALLENGER 3";#N/A,#N/A,FALSE,"MARCHALLENGER 4"}</definedName>
    <definedName name="stock" hidden="1">{"summary",#N/A,FALSE,"2000 vs 1999";"detail",#N/A,FALSE,"2000 vs 1999"}</definedName>
    <definedName name="Subha"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summaryty" localSheetId="30" hidden="1">{#N/A,#N/A,TRUE,"KEY DATA";#N/A,#N/A,TRUE,"KEY DATA Base Case";#N/A,#N/A,TRUE,"JULY";#N/A,#N/A,TRUE,"AUG";#N/A,#N/A,TRUE,"SEPT";#N/A,#N/A,TRUE,"3Q"}</definedName>
    <definedName name="summaryty" localSheetId="31" hidden="1">{#N/A,#N/A,TRUE,"KEY DATA";#N/A,#N/A,TRUE,"KEY DATA Base Case";#N/A,#N/A,TRUE,"JULY";#N/A,#N/A,TRUE,"AUG";#N/A,#N/A,TRUE,"SEPT";#N/A,#N/A,TRUE,"3Q"}</definedName>
    <definedName name="summaryty" localSheetId="32" hidden="1">{#N/A,#N/A,TRUE,"KEY DATA";#N/A,#N/A,TRUE,"KEY DATA Base Case";#N/A,#N/A,TRUE,"JULY";#N/A,#N/A,TRUE,"AUG";#N/A,#N/A,TRUE,"SEPT";#N/A,#N/A,TRUE,"3Q"}</definedName>
    <definedName name="summaryty" localSheetId="10" hidden="1">{#N/A,#N/A,TRUE,"KEY DATA";#N/A,#N/A,TRUE,"KEY DATA Base Case";#N/A,#N/A,TRUE,"JULY";#N/A,#N/A,TRUE,"AUG";#N/A,#N/A,TRUE,"SEPT";#N/A,#N/A,TRUE,"3Q"}</definedName>
    <definedName name="summaryty" localSheetId="6" hidden="1">{#N/A,#N/A,TRUE,"KEY DATA";#N/A,#N/A,TRUE,"KEY DATA Base Case";#N/A,#N/A,TRUE,"JULY";#N/A,#N/A,TRUE,"AUG";#N/A,#N/A,TRUE,"SEPT";#N/A,#N/A,TRUE,"3Q"}</definedName>
    <definedName name="summaryty" hidden="1">{#N/A,#N/A,TRUE,"KEY DATA";#N/A,#N/A,TRUE,"KEY DATA Base Case";#N/A,#N/A,TRUE,"JULY";#N/A,#N/A,TRUE,"AUG";#N/A,#N/A,TRUE,"SEPT";#N/A,#N/A,TRUE,"3Q"}</definedName>
    <definedName name="summaryty." localSheetId="30" hidden="1">{#N/A,#N/A,TRUE,"KEY DATA";#N/A,#N/A,TRUE,"KEY DATA Base Case";#N/A,#N/A,TRUE,"JULY";#N/A,#N/A,TRUE,"AUG";#N/A,#N/A,TRUE,"SEPT";#N/A,#N/A,TRUE,"3Q"}</definedName>
    <definedName name="summaryty." localSheetId="31" hidden="1">{#N/A,#N/A,TRUE,"KEY DATA";#N/A,#N/A,TRUE,"KEY DATA Base Case";#N/A,#N/A,TRUE,"JULY";#N/A,#N/A,TRUE,"AUG";#N/A,#N/A,TRUE,"SEPT";#N/A,#N/A,TRUE,"3Q"}</definedName>
    <definedName name="summaryty." localSheetId="32" hidden="1">{#N/A,#N/A,TRUE,"KEY DATA";#N/A,#N/A,TRUE,"KEY DATA Base Case";#N/A,#N/A,TRUE,"JULY";#N/A,#N/A,TRUE,"AUG";#N/A,#N/A,TRUE,"SEPT";#N/A,#N/A,TRUE,"3Q"}</definedName>
    <definedName name="summaryty." localSheetId="10" hidden="1">{#N/A,#N/A,TRUE,"KEY DATA";#N/A,#N/A,TRUE,"KEY DATA Base Case";#N/A,#N/A,TRUE,"JULY";#N/A,#N/A,TRUE,"AUG";#N/A,#N/A,TRUE,"SEPT";#N/A,#N/A,TRUE,"3Q"}</definedName>
    <definedName name="summaryty." localSheetId="6" hidden="1">{#N/A,#N/A,TRUE,"KEY DATA";#N/A,#N/A,TRUE,"KEY DATA Base Case";#N/A,#N/A,TRUE,"JULY";#N/A,#N/A,TRUE,"AUG";#N/A,#N/A,TRUE,"SEPT";#N/A,#N/A,TRUE,"3Q"}</definedName>
    <definedName name="summaryty." hidden="1">{#N/A,#N/A,TRUE,"KEY DATA";#N/A,#N/A,TRUE,"KEY DATA Base Case";#N/A,#N/A,TRUE,"JULY";#N/A,#N/A,TRUE,"AUG";#N/A,#N/A,TRUE,"SEPT";#N/A,#N/A,TRUE,"3Q"}</definedName>
    <definedName name="summmmmm" localSheetId="30" hidden="1">{#N/A,#N/A,TRUE,"KEY DATA";#N/A,#N/A,TRUE,"KEY DATA Base Case";#N/A,#N/A,TRUE,"JULY";#N/A,#N/A,TRUE,"AUG";#N/A,#N/A,TRUE,"SEPT";#N/A,#N/A,TRUE,"3Q"}</definedName>
    <definedName name="summmmmm" localSheetId="31" hidden="1">{#N/A,#N/A,TRUE,"KEY DATA";#N/A,#N/A,TRUE,"KEY DATA Base Case";#N/A,#N/A,TRUE,"JULY";#N/A,#N/A,TRUE,"AUG";#N/A,#N/A,TRUE,"SEPT";#N/A,#N/A,TRUE,"3Q"}</definedName>
    <definedName name="summmmmm" localSheetId="32" hidden="1">{#N/A,#N/A,TRUE,"KEY DATA";#N/A,#N/A,TRUE,"KEY DATA Base Case";#N/A,#N/A,TRUE,"JULY";#N/A,#N/A,TRUE,"AUG";#N/A,#N/A,TRUE,"SEPT";#N/A,#N/A,TRUE,"3Q"}</definedName>
    <definedName name="summmmmm" localSheetId="10" hidden="1">{#N/A,#N/A,TRUE,"KEY DATA";#N/A,#N/A,TRUE,"KEY DATA Base Case";#N/A,#N/A,TRUE,"JULY";#N/A,#N/A,TRUE,"AUG";#N/A,#N/A,TRUE,"SEPT";#N/A,#N/A,TRUE,"3Q"}</definedName>
    <definedName name="summmmmm" localSheetId="6" hidden="1">{#N/A,#N/A,TRUE,"KEY DATA";#N/A,#N/A,TRUE,"KEY DATA Base Case";#N/A,#N/A,TRUE,"JULY";#N/A,#N/A,TRUE,"AUG";#N/A,#N/A,TRUE,"SEPT";#N/A,#N/A,TRUE,"3Q"}</definedName>
    <definedName name="summmmmm" hidden="1">{#N/A,#N/A,TRUE,"KEY DATA";#N/A,#N/A,TRUE,"KEY DATA Base Case";#N/A,#N/A,TRUE,"JULY";#N/A,#N/A,TRUE,"AUG";#N/A,#N/A,TRUE,"SEPT";#N/A,#N/A,TRUE,"3Q"}</definedName>
    <definedName name="Sushil" localSheetId="30" hidden="1">{#N/A,#N/A,FALSE,"6"}</definedName>
    <definedName name="Sushil" localSheetId="31" hidden="1">{#N/A,#N/A,FALSE,"6"}</definedName>
    <definedName name="Sushil" localSheetId="32" hidden="1">{#N/A,#N/A,FALSE,"6"}</definedName>
    <definedName name="Sushil" localSheetId="10" hidden="1">{#N/A,#N/A,FALSE,"6"}</definedName>
    <definedName name="Sushil" hidden="1">{#N/A,#N/A,FALSE,"6"}</definedName>
    <definedName name="sw" localSheetId="30" hidden="1">{#N/A,#N/A,TRUE,"BALSCH";#N/A,#N/A,TRUE,"COMICRO";#N/A,#N/A,TRUE,"CHECKS";#N/A,#N/A,TRUE,"GLASS";#N/A,#N/A,TRUE,"DEPRE";#N/A,#N/A,TRUE,"A&amp;MCUR";#N/A,#N/A,TRUE,"AGEANAlysis";#N/A,#N/A,TRUE,"CHECKS"}</definedName>
    <definedName name="sw" localSheetId="31" hidden="1">{#N/A,#N/A,TRUE,"BALSCH";#N/A,#N/A,TRUE,"COMICRO";#N/A,#N/A,TRUE,"CHECKS";#N/A,#N/A,TRUE,"GLASS";#N/A,#N/A,TRUE,"DEPRE";#N/A,#N/A,TRUE,"A&amp;MCUR";#N/A,#N/A,TRUE,"AGEANAlysis";#N/A,#N/A,TRUE,"CHECKS"}</definedName>
    <definedName name="sw" localSheetId="32" hidden="1">{#N/A,#N/A,TRUE,"BALSCH";#N/A,#N/A,TRUE,"COMICRO";#N/A,#N/A,TRUE,"CHECKS";#N/A,#N/A,TRUE,"GLASS";#N/A,#N/A,TRUE,"DEPRE";#N/A,#N/A,TRUE,"A&amp;MCUR";#N/A,#N/A,TRUE,"AGEANAlysis";#N/A,#N/A,TRUE,"CHECKS"}</definedName>
    <definedName name="sw" localSheetId="10" hidden="1">{#N/A,#N/A,TRUE,"BALSCH";#N/A,#N/A,TRUE,"COMICRO";#N/A,#N/A,TRUE,"CHECKS";#N/A,#N/A,TRUE,"GLASS";#N/A,#N/A,TRUE,"DEPRE";#N/A,#N/A,TRUE,"A&amp;MCUR";#N/A,#N/A,TRUE,"AGEANAlysis";#N/A,#N/A,TRUE,"CHECKS"}</definedName>
    <definedName name="sw" localSheetId="1" hidden="1">{#N/A,#N/A,TRUE,"BALSCH";#N/A,#N/A,TRUE,"COMICRO";#N/A,#N/A,TRUE,"CHECKS";#N/A,#N/A,TRUE,"GLASS";#N/A,#N/A,TRUE,"DEPRE";#N/A,#N/A,TRUE,"A&amp;MCUR";#N/A,#N/A,TRUE,"AGEANAlysis";#N/A,#N/A,TRUE,"CHECKS"}</definedName>
    <definedName name="sw" localSheetId="6" hidden="1">{#N/A,#N/A,TRUE,"BALSCH";#N/A,#N/A,TRUE,"COMICRO";#N/A,#N/A,TRUE,"CHECKS";#N/A,#N/A,TRUE,"GLASS";#N/A,#N/A,TRUE,"DEPRE";#N/A,#N/A,TRUE,"A&amp;MCUR";#N/A,#N/A,TRUE,"AGEANAlysis";#N/A,#N/A,TRUE,"CHECKS"}</definedName>
    <definedName name="sw" hidden="1">{#N/A,#N/A,TRUE,"BALSCH";#N/A,#N/A,TRUE,"COMICRO";#N/A,#N/A,TRUE,"CHECKS";#N/A,#N/A,TRUE,"GLASS";#N/A,#N/A,TRUE,"DEPRE";#N/A,#N/A,TRUE,"A&amp;MCUR";#N/A,#N/A,TRUE,"AGEANAlysis";#N/A,#N/A,TRUE,"CHECKS"}</definedName>
    <definedName name="tae" hidden="1">{"summary",#N/A,FALSE,"2000 vs 1999";"detail",#N/A,FALSE,"2000 vs 1999"}</definedName>
    <definedName name="tbl_ProdInfo" localSheetId="1" hidden="1">#REF!</definedName>
    <definedName name="tbl_ProdInfo" hidden="1">#REF!</definedName>
    <definedName name="tdryr" hidden="1">#REF!</definedName>
    <definedName name="te" hidden="1">{"summary",#N/A,FALSE,"2000 vs 1999";"detail",#N/A,FALSE,"2000 vs 1999"}</definedName>
    <definedName name="Tech" localSheetId="30" hidden="1">{"Summary analysis",#N/A,FALSE,"Total";"OCPH analysis",#N/A,FALSE,"Total";"detail analysis",#N/A,FALSE,"Total"}</definedName>
    <definedName name="Tech" localSheetId="31" hidden="1">{"Summary analysis",#N/A,FALSE,"Total";"OCPH analysis",#N/A,FALSE,"Total";"detail analysis",#N/A,FALSE,"Total"}</definedName>
    <definedName name="Tech" localSheetId="32" hidden="1">{"Summary analysis",#N/A,FALSE,"Total";"OCPH analysis",#N/A,FALSE,"Total";"detail analysis",#N/A,FALSE,"Total"}</definedName>
    <definedName name="Tech" localSheetId="10" hidden="1">{"Summary analysis",#N/A,FALSE,"Total";"OCPH analysis",#N/A,FALSE,"Total";"detail analysis",#N/A,FALSE,"Total"}</definedName>
    <definedName name="Tech" localSheetId="6" hidden="1">{"Summary analysis",#N/A,FALSE,"Total";"OCPH analysis",#N/A,FALSE,"Total";"detail analysis",#N/A,FALSE,"Total"}</definedName>
    <definedName name="Tech" hidden="1">{"Summary analysis",#N/A,FALSE,"Total";"OCPH analysis",#N/A,FALSE,"Total";"detail analysis",#N/A,FALSE,"Total"}</definedName>
    <definedName name="TELE" localSheetId="30" hidden="1">{"'Mach'!$A$1:$D$39"}</definedName>
    <definedName name="TELE" localSheetId="31" hidden="1">{"'Mach'!$A$1:$D$39"}</definedName>
    <definedName name="TELE" localSheetId="32" hidden="1">{"'Mach'!$A$1:$D$39"}</definedName>
    <definedName name="TELE" localSheetId="10" hidden="1">{"'Mach'!$A$1:$D$39"}</definedName>
    <definedName name="TELE" localSheetId="1" hidden="1">{"'Mach'!$A$1:$D$39"}</definedName>
    <definedName name="TELE" localSheetId="6" hidden="1">{"'Mach'!$A$1:$D$39"}</definedName>
    <definedName name="TELE" hidden="1">{"'Mach'!$A$1:$D$39"}</definedName>
    <definedName name="temp." localSheetId="30" hidden="1">{#N/A,#N/A,TRUE,"KEY DATA";#N/A,#N/A,TRUE,"KEY DATA Base Case";#N/A,#N/A,TRUE,"JULY";#N/A,#N/A,TRUE,"AUG";#N/A,#N/A,TRUE,"SEPT";#N/A,#N/A,TRUE,"3Q"}</definedName>
    <definedName name="temp." localSheetId="31" hidden="1">{#N/A,#N/A,TRUE,"KEY DATA";#N/A,#N/A,TRUE,"KEY DATA Base Case";#N/A,#N/A,TRUE,"JULY";#N/A,#N/A,TRUE,"AUG";#N/A,#N/A,TRUE,"SEPT";#N/A,#N/A,TRUE,"3Q"}</definedName>
    <definedName name="temp." localSheetId="32" hidden="1">{#N/A,#N/A,TRUE,"KEY DATA";#N/A,#N/A,TRUE,"KEY DATA Base Case";#N/A,#N/A,TRUE,"JULY";#N/A,#N/A,TRUE,"AUG";#N/A,#N/A,TRUE,"SEPT";#N/A,#N/A,TRUE,"3Q"}</definedName>
    <definedName name="temp." localSheetId="10" hidden="1">{#N/A,#N/A,TRUE,"KEY DATA";#N/A,#N/A,TRUE,"KEY DATA Base Case";#N/A,#N/A,TRUE,"JULY";#N/A,#N/A,TRUE,"AUG";#N/A,#N/A,TRUE,"SEPT";#N/A,#N/A,TRUE,"3Q"}</definedName>
    <definedName name="temp." localSheetId="6" hidden="1">{#N/A,#N/A,TRUE,"KEY DATA";#N/A,#N/A,TRUE,"KEY DATA Base Case";#N/A,#N/A,TRUE,"JULY";#N/A,#N/A,TRUE,"AUG";#N/A,#N/A,TRUE,"SEPT";#N/A,#N/A,TRUE,"3Q"}</definedName>
    <definedName name="temp." hidden="1">{#N/A,#N/A,TRUE,"KEY DATA";#N/A,#N/A,TRUE,"KEY DATA Base Case";#N/A,#N/A,TRUE,"JULY";#N/A,#N/A,TRUE,"AUG";#N/A,#N/A,TRUE,"SEPT";#N/A,#N/A,TRUE,"3Q"}</definedName>
    <definedName name="temp12" localSheetId="30" hidden="1">{#N/A,#N/A,TRUE,"KEY DATA";#N/A,#N/A,TRUE,"KEY DATA Base Case";#N/A,#N/A,TRUE,"JULY";#N/A,#N/A,TRUE,"AUG";#N/A,#N/A,TRUE,"SEPT";#N/A,#N/A,TRUE,"3Q"}</definedName>
    <definedName name="temp12" localSheetId="31" hidden="1">{#N/A,#N/A,TRUE,"KEY DATA";#N/A,#N/A,TRUE,"KEY DATA Base Case";#N/A,#N/A,TRUE,"JULY";#N/A,#N/A,TRUE,"AUG";#N/A,#N/A,TRUE,"SEPT";#N/A,#N/A,TRUE,"3Q"}</definedName>
    <definedName name="temp12" localSheetId="32" hidden="1">{#N/A,#N/A,TRUE,"KEY DATA";#N/A,#N/A,TRUE,"KEY DATA Base Case";#N/A,#N/A,TRUE,"JULY";#N/A,#N/A,TRUE,"AUG";#N/A,#N/A,TRUE,"SEPT";#N/A,#N/A,TRUE,"3Q"}</definedName>
    <definedName name="temp12" localSheetId="10" hidden="1">{#N/A,#N/A,TRUE,"KEY DATA";#N/A,#N/A,TRUE,"KEY DATA Base Case";#N/A,#N/A,TRUE,"JULY";#N/A,#N/A,TRUE,"AUG";#N/A,#N/A,TRUE,"SEPT";#N/A,#N/A,TRUE,"3Q"}</definedName>
    <definedName name="temp12" localSheetId="6" hidden="1">{#N/A,#N/A,TRUE,"KEY DATA";#N/A,#N/A,TRUE,"KEY DATA Base Case";#N/A,#N/A,TRUE,"JULY";#N/A,#N/A,TRUE,"AUG";#N/A,#N/A,TRUE,"SEPT";#N/A,#N/A,TRUE,"3Q"}</definedName>
    <definedName name="temp12" hidden="1">{#N/A,#N/A,TRUE,"KEY DATA";#N/A,#N/A,TRUE,"KEY DATA Base Case";#N/A,#N/A,TRUE,"JULY";#N/A,#N/A,TRUE,"AUG";#N/A,#N/A,TRUE,"SEPT";#N/A,#N/A,TRUE,"3Q"}</definedName>
    <definedName name="temp12." localSheetId="30" hidden="1">{#N/A,#N/A,TRUE,"KEY DATA";#N/A,#N/A,TRUE,"KEY DATA Base Case";#N/A,#N/A,TRUE,"JULY";#N/A,#N/A,TRUE,"AUG";#N/A,#N/A,TRUE,"SEPT";#N/A,#N/A,TRUE,"3Q"}</definedName>
    <definedName name="temp12." localSheetId="31" hidden="1">{#N/A,#N/A,TRUE,"KEY DATA";#N/A,#N/A,TRUE,"KEY DATA Base Case";#N/A,#N/A,TRUE,"JULY";#N/A,#N/A,TRUE,"AUG";#N/A,#N/A,TRUE,"SEPT";#N/A,#N/A,TRUE,"3Q"}</definedName>
    <definedName name="temp12." localSheetId="32" hidden="1">{#N/A,#N/A,TRUE,"KEY DATA";#N/A,#N/A,TRUE,"KEY DATA Base Case";#N/A,#N/A,TRUE,"JULY";#N/A,#N/A,TRUE,"AUG";#N/A,#N/A,TRUE,"SEPT";#N/A,#N/A,TRUE,"3Q"}</definedName>
    <definedName name="temp12." localSheetId="10" hidden="1">{#N/A,#N/A,TRUE,"KEY DATA";#N/A,#N/A,TRUE,"KEY DATA Base Case";#N/A,#N/A,TRUE,"JULY";#N/A,#N/A,TRUE,"AUG";#N/A,#N/A,TRUE,"SEPT";#N/A,#N/A,TRUE,"3Q"}</definedName>
    <definedName name="temp12." localSheetId="6" hidden="1">{#N/A,#N/A,TRUE,"KEY DATA";#N/A,#N/A,TRUE,"KEY DATA Base Case";#N/A,#N/A,TRUE,"JULY";#N/A,#N/A,TRUE,"AUG";#N/A,#N/A,TRUE,"SEPT";#N/A,#N/A,TRUE,"3Q"}</definedName>
    <definedName name="temp12." hidden="1">{#N/A,#N/A,TRUE,"KEY DATA";#N/A,#N/A,TRUE,"KEY DATA Base Case";#N/A,#N/A,TRUE,"JULY";#N/A,#N/A,TRUE,"AUG";#N/A,#N/A,TRUE,"SEPT";#N/A,#N/A,TRUE,"3Q"}</definedName>
    <definedName name="TextRefCopyRangeCount" localSheetId="1" hidden="1">7</definedName>
    <definedName name="TextRefCopyRangeCount" hidden="1">31</definedName>
    <definedName name="tftchristine" localSheetId="30" hidden="1">{#N/A,#N/A,FALSE,"3";#N/A,#N/A,FALSE,"5";#N/A,#N/A,FALSE,"6";#N/A,#N/A,FALSE,"8";#N/A,#N/A,FALSE,"10";#N/A,#N/A,FALSE,"13";#N/A,#N/A,FALSE,"14";#N/A,#N/A,FALSE,"15";#N/A,#N/A,FALSE,"16"}</definedName>
    <definedName name="tftchristine" localSheetId="31" hidden="1">{#N/A,#N/A,FALSE,"3";#N/A,#N/A,FALSE,"5";#N/A,#N/A,FALSE,"6";#N/A,#N/A,FALSE,"8";#N/A,#N/A,FALSE,"10";#N/A,#N/A,FALSE,"13";#N/A,#N/A,FALSE,"14";#N/A,#N/A,FALSE,"15";#N/A,#N/A,FALSE,"16"}</definedName>
    <definedName name="tftchristine" localSheetId="32" hidden="1">{#N/A,#N/A,FALSE,"3";#N/A,#N/A,FALSE,"5";#N/A,#N/A,FALSE,"6";#N/A,#N/A,FALSE,"8";#N/A,#N/A,FALSE,"10";#N/A,#N/A,FALSE,"13";#N/A,#N/A,FALSE,"14";#N/A,#N/A,FALSE,"15";#N/A,#N/A,FALSE,"16"}</definedName>
    <definedName name="tftchristine" localSheetId="10" hidden="1">{#N/A,#N/A,FALSE,"3";#N/A,#N/A,FALSE,"5";#N/A,#N/A,FALSE,"6";#N/A,#N/A,FALSE,"8";#N/A,#N/A,FALSE,"10";#N/A,#N/A,FALSE,"13";#N/A,#N/A,FALSE,"14";#N/A,#N/A,FALSE,"15";#N/A,#N/A,FALSE,"16"}</definedName>
    <definedName name="tftchristine" localSheetId="6" hidden="1">{#N/A,#N/A,FALSE,"3";#N/A,#N/A,FALSE,"5";#N/A,#N/A,FALSE,"6";#N/A,#N/A,FALSE,"8";#N/A,#N/A,FALSE,"10";#N/A,#N/A,FALSE,"13";#N/A,#N/A,FALSE,"14";#N/A,#N/A,FALSE,"15";#N/A,#N/A,FALSE,"16"}</definedName>
    <definedName name="tftchristine" hidden="1">{#N/A,#N/A,FALSE,"3";#N/A,#N/A,FALSE,"5";#N/A,#N/A,FALSE,"6";#N/A,#N/A,FALSE,"8";#N/A,#N/A,FALSE,"10";#N/A,#N/A,FALSE,"13";#N/A,#N/A,FALSE,"14";#N/A,#N/A,FALSE,"15";#N/A,#N/A,FALSE,"16"}</definedName>
    <definedName name="tftchristine2" localSheetId="30" hidden="1">{#N/A,#N/A,FALSE,"3";#N/A,#N/A,FALSE,"5";#N/A,#N/A,FALSE,"6";#N/A,#N/A,FALSE,"8";#N/A,#N/A,FALSE,"10";#N/A,#N/A,FALSE,"13";#N/A,#N/A,FALSE,"14";#N/A,#N/A,FALSE,"15";#N/A,#N/A,FALSE,"16"}</definedName>
    <definedName name="tftchristine2" localSheetId="31" hidden="1">{#N/A,#N/A,FALSE,"3";#N/A,#N/A,FALSE,"5";#N/A,#N/A,FALSE,"6";#N/A,#N/A,FALSE,"8";#N/A,#N/A,FALSE,"10";#N/A,#N/A,FALSE,"13";#N/A,#N/A,FALSE,"14";#N/A,#N/A,FALSE,"15";#N/A,#N/A,FALSE,"16"}</definedName>
    <definedName name="tftchristine2" localSheetId="32" hidden="1">{#N/A,#N/A,FALSE,"3";#N/A,#N/A,FALSE,"5";#N/A,#N/A,FALSE,"6";#N/A,#N/A,FALSE,"8";#N/A,#N/A,FALSE,"10";#N/A,#N/A,FALSE,"13";#N/A,#N/A,FALSE,"14";#N/A,#N/A,FALSE,"15";#N/A,#N/A,FALSE,"16"}</definedName>
    <definedName name="tftchristine2" localSheetId="10" hidden="1">{#N/A,#N/A,FALSE,"3";#N/A,#N/A,FALSE,"5";#N/A,#N/A,FALSE,"6";#N/A,#N/A,FALSE,"8";#N/A,#N/A,FALSE,"10";#N/A,#N/A,FALSE,"13";#N/A,#N/A,FALSE,"14";#N/A,#N/A,FALSE,"15";#N/A,#N/A,FALSE,"16"}</definedName>
    <definedName name="tftchristine2" localSheetId="6" hidden="1">{#N/A,#N/A,FALSE,"3";#N/A,#N/A,FALSE,"5";#N/A,#N/A,FALSE,"6";#N/A,#N/A,FALSE,"8";#N/A,#N/A,FALSE,"10";#N/A,#N/A,FALSE,"13";#N/A,#N/A,FALSE,"14";#N/A,#N/A,FALSE,"15";#N/A,#N/A,FALSE,"16"}</definedName>
    <definedName name="tftchristine2" hidden="1">{#N/A,#N/A,FALSE,"3";#N/A,#N/A,FALSE,"5";#N/A,#N/A,FALSE,"6";#N/A,#N/A,FALSE,"8";#N/A,#N/A,FALSE,"10";#N/A,#N/A,FALSE,"13";#N/A,#N/A,FALSE,"14";#N/A,#N/A,FALSE,"15";#N/A,#N/A,FALSE,"16"}</definedName>
    <definedName name="tony" localSheetId="30" hidden="1">{"Summary analysis",#N/A,FALSE,"Total";"OCPH analysis",#N/A,FALSE,"Total";"detail analysis",#N/A,FALSE,"Total"}</definedName>
    <definedName name="tony" localSheetId="31" hidden="1">{"Summary analysis",#N/A,FALSE,"Total";"OCPH analysis",#N/A,FALSE,"Total";"detail analysis",#N/A,FALSE,"Total"}</definedName>
    <definedName name="tony" localSheetId="32" hidden="1">{"Summary analysis",#N/A,FALSE,"Total";"OCPH analysis",#N/A,FALSE,"Total";"detail analysis",#N/A,FALSE,"Total"}</definedName>
    <definedName name="tony" localSheetId="10" hidden="1">{"Summary analysis",#N/A,FALSE,"Total";"OCPH analysis",#N/A,FALSE,"Total";"detail analysis",#N/A,FALSE,"Total"}</definedName>
    <definedName name="tony" localSheetId="6" hidden="1">{"Summary analysis",#N/A,FALSE,"Total";"OCPH analysis",#N/A,FALSE,"Total";"detail analysis",#N/A,FALSE,"Total"}</definedName>
    <definedName name="tony" hidden="1">{"Summary analysis",#N/A,FALSE,"Total";"OCPH analysis",#N/A,FALSE,"Total";"detail analysis",#N/A,FALSE,"Total"}</definedName>
    <definedName name="tototo2" localSheetId="30" hidden="1">{#N/A,#N/A,FALSE,"3";#N/A,#N/A,FALSE,"5";#N/A,#N/A,FALSE,"6";#N/A,#N/A,FALSE,"8";#N/A,#N/A,FALSE,"10";#N/A,#N/A,FALSE,"13";#N/A,#N/A,FALSE,"14";#N/A,#N/A,FALSE,"15";#N/A,#N/A,FALSE,"16"}</definedName>
    <definedName name="tototo2" localSheetId="31" hidden="1">{#N/A,#N/A,FALSE,"3";#N/A,#N/A,FALSE,"5";#N/A,#N/A,FALSE,"6";#N/A,#N/A,FALSE,"8";#N/A,#N/A,FALSE,"10";#N/A,#N/A,FALSE,"13";#N/A,#N/A,FALSE,"14";#N/A,#N/A,FALSE,"15";#N/A,#N/A,FALSE,"16"}</definedName>
    <definedName name="tototo2" localSheetId="32" hidden="1">{#N/A,#N/A,FALSE,"3";#N/A,#N/A,FALSE,"5";#N/A,#N/A,FALSE,"6";#N/A,#N/A,FALSE,"8";#N/A,#N/A,FALSE,"10";#N/A,#N/A,FALSE,"13";#N/A,#N/A,FALSE,"14";#N/A,#N/A,FALSE,"15";#N/A,#N/A,FALSE,"16"}</definedName>
    <definedName name="tototo2" localSheetId="10" hidden="1">{#N/A,#N/A,FALSE,"3";#N/A,#N/A,FALSE,"5";#N/A,#N/A,FALSE,"6";#N/A,#N/A,FALSE,"8";#N/A,#N/A,FALSE,"10";#N/A,#N/A,FALSE,"13";#N/A,#N/A,FALSE,"14";#N/A,#N/A,FALSE,"15";#N/A,#N/A,FALSE,"16"}</definedName>
    <definedName name="tototo2" localSheetId="6" hidden="1">{#N/A,#N/A,FALSE,"3";#N/A,#N/A,FALSE,"5";#N/A,#N/A,FALSE,"6";#N/A,#N/A,FALSE,"8";#N/A,#N/A,FALSE,"10";#N/A,#N/A,FALSE,"13";#N/A,#N/A,FALSE,"14";#N/A,#N/A,FALSE,"15";#N/A,#N/A,FALSE,"16"}</definedName>
    <definedName name="tototo2" hidden="1">{#N/A,#N/A,FALSE,"3";#N/A,#N/A,FALSE,"5";#N/A,#N/A,FALSE,"6";#N/A,#N/A,FALSE,"8";#N/A,#N/A,FALSE,"10";#N/A,#N/A,FALSE,"13";#N/A,#N/A,FALSE,"14";#N/A,#N/A,FALSE,"15";#N/A,#N/A,FALSE,"16"}</definedName>
    <definedName name="TP_Footer_Path" hidden="1">"P:\CLILIST\GLOBAL_CLOSURE_SYSTEMS\95257\2006\001_EvalAct\Workfile\IAS 2006\Compta\"</definedName>
    <definedName name="TP_Footer_User" hidden="1">"FETZERB"</definedName>
    <definedName name="TP_Footer_Version" hidden="1">"v4.00"</definedName>
    <definedName name="tpfp" hidden="1">"P:\CLILIST\MICHELIN\50728\2000\002\Workfile\Due Diligence\france\"</definedName>
    <definedName name="Trend" hidden="1">{"summary",#N/A,FALSE,"2000 vs 1999";"detail",#N/A,FALSE,"2000 vs 1999"}</definedName>
    <definedName name="trurtu" localSheetId="30" hidden="1">{#N/A,#N/A,FALSE,"3";#N/A,#N/A,FALSE,"5";#N/A,#N/A,FALSE,"6";#N/A,#N/A,FALSE,"8";#N/A,#N/A,FALSE,"10";#N/A,#N/A,FALSE,"13";#N/A,#N/A,FALSE,"14";#N/A,#N/A,FALSE,"15";#N/A,#N/A,FALSE,"16"}</definedName>
    <definedName name="trurtu" localSheetId="31" hidden="1">{#N/A,#N/A,FALSE,"3";#N/A,#N/A,FALSE,"5";#N/A,#N/A,FALSE,"6";#N/A,#N/A,FALSE,"8";#N/A,#N/A,FALSE,"10";#N/A,#N/A,FALSE,"13";#N/A,#N/A,FALSE,"14";#N/A,#N/A,FALSE,"15";#N/A,#N/A,FALSE,"16"}</definedName>
    <definedName name="trurtu" localSheetId="32" hidden="1">{#N/A,#N/A,FALSE,"3";#N/A,#N/A,FALSE,"5";#N/A,#N/A,FALSE,"6";#N/A,#N/A,FALSE,"8";#N/A,#N/A,FALSE,"10";#N/A,#N/A,FALSE,"13";#N/A,#N/A,FALSE,"14";#N/A,#N/A,FALSE,"15";#N/A,#N/A,FALSE,"16"}</definedName>
    <definedName name="trurtu" localSheetId="10" hidden="1">{#N/A,#N/A,FALSE,"3";#N/A,#N/A,FALSE,"5";#N/A,#N/A,FALSE,"6";#N/A,#N/A,FALSE,"8";#N/A,#N/A,FALSE,"10";#N/A,#N/A,FALSE,"13";#N/A,#N/A,FALSE,"14";#N/A,#N/A,FALSE,"15";#N/A,#N/A,FALSE,"16"}</definedName>
    <definedName name="trurtu" localSheetId="6" hidden="1">{#N/A,#N/A,FALSE,"3";#N/A,#N/A,FALSE,"5";#N/A,#N/A,FALSE,"6";#N/A,#N/A,FALSE,"8";#N/A,#N/A,FALSE,"10";#N/A,#N/A,FALSE,"13";#N/A,#N/A,FALSE,"14";#N/A,#N/A,FALSE,"15";#N/A,#N/A,FALSE,"16"}</definedName>
    <definedName name="trurtu" hidden="1">{#N/A,#N/A,FALSE,"3";#N/A,#N/A,FALSE,"5";#N/A,#N/A,FALSE,"6";#N/A,#N/A,FALSE,"8";#N/A,#N/A,FALSE,"10";#N/A,#N/A,FALSE,"13";#N/A,#N/A,FALSE,"14";#N/A,#N/A,FALSE,"15";#N/A,#N/A,FALSE,"16"}</definedName>
    <definedName name="trurturturt" localSheetId="30" hidden="1">{#N/A,#N/A,FALSE,"3";#N/A,#N/A,FALSE,"5";#N/A,#N/A,FALSE,"6";#N/A,#N/A,FALSE,"8";#N/A,#N/A,FALSE,"10";#N/A,#N/A,FALSE,"13";#N/A,#N/A,FALSE,"14";#N/A,#N/A,FALSE,"15";#N/A,#N/A,FALSE,"16"}</definedName>
    <definedName name="trurturturt" localSheetId="31" hidden="1">{#N/A,#N/A,FALSE,"3";#N/A,#N/A,FALSE,"5";#N/A,#N/A,FALSE,"6";#N/A,#N/A,FALSE,"8";#N/A,#N/A,FALSE,"10";#N/A,#N/A,FALSE,"13";#N/A,#N/A,FALSE,"14";#N/A,#N/A,FALSE,"15";#N/A,#N/A,FALSE,"16"}</definedName>
    <definedName name="trurturturt" localSheetId="32" hidden="1">{#N/A,#N/A,FALSE,"3";#N/A,#N/A,FALSE,"5";#N/A,#N/A,FALSE,"6";#N/A,#N/A,FALSE,"8";#N/A,#N/A,FALSE,"10";#N/A,#N/A,FALSE,"13";#N/A,#N/A,FALSE,"14";#N/A,#N/A,FALSE,"15";#N/A,#N/A,FALSE,"16"}</definedName>
    <definedName name="trurturturt" localSheetId="10" hidden="1">{#N/A,#N/A,FALSE,"3";#N/A,#N/A,FALSE,"5";#N/A,#N/A,FALSE,"6";#N/A,#N/A,FALSE,"8";#N/A,#N/A,FALSE,"10";#N/A,#N/A,FALSE,"13";#N/A,#N/A,FALSE,"14";#N/A,#N/A,FALSE,"15";#N/A,#N/A,FALSE,"16"}</definedName>
    <definedName name="trurturturt" localSheetId="6" hidden="1">{#N/A,#N/A,FALSE,"3";#N/A,#N/A,FALSE,"5";#N/A,#N/A,FALSE,"6";#N/A,#N/A,FALSE,"8";#N/A,#N/A,FALSE,"10";#N/A,#N/A,FALSE,"13";#N/A,#N/A,FALSE,"14";#N/A,#N/A,FALSE,"15";#N/A,#N/A,FALSE,"16"}</definedName>
    <definedName name="trurturturt" hidden="1">{#N/A,#N/A,FALSE,"3";#N/A,#N/A,FALSE,"5";#N/A,#N/A,FALSE,"6";#N/A,#N/A,FALSE,"8";#N/A,#N/A,FALSE,"10";#N/A,#N/A,FALSE,"13";#N/A,#N/A,FALSE,"14";#N/A,#N/A,FALSE,"15";#N/A,#N/A,FALSE,"16"}</definedName>
    <definedName name="trurtutru" localSheetId="30" hidden="1">{#N/A,#N/A,FALSE,"3";#N/A,#N/A,FALSE,"5";#N/A,#N/A,FALSE,"6";#N/A,#N/A,FALSE,"8";#N/A,#N/A,FALSE,"10";#N/A,#N/A,FALSE,"13";#N/A,#N/A,FALSE,"14";#N/A,#N/A,FALSE,"15";#N/A,#N/A,FALSE,"16"}</definedName>
    <definedName name="trurtutru" localSheetId="31" hidden="1">{#N/A,#N/A,FALSE,"3";#N/A,#N/A,FALSE,"5";#N/A,#N/A,FALSE,"6";#N/A,#N/A,FALSE,"8";#N/A,#N/A,FALSE,"10";#N/A,#N/A,FALSE,"13";#N/A,#N/A,FALSE,"14";#N/A,#N/A,FALSE,"15";#N/A,#N/A,FALSE,"16"}</definedName>
    <definedName name="trurtutru" localSheetId="32" hidden="1">{#N/A,#N/A,FALSE,"3";#N/A,#N/A,FALSE,"5";#N/A,#N/A,FALSE,"6";#N/A,#N/A,FALSE,"8";#N/A,#N/A,FALSE,"10";#N/A,#N/A,FALSE,"13";#N/A,#N/A,FALSE,"14";#N/A,#N/A,FALSE,"15";#N/A,#N/A,FALSE,"16"}</definedName>
    <definedName name="trurtutru" localSheetId="10" hidden="1">{#N/A,#N/A,FALSE,"3";#N/A,#N/A,FALSE,"5";#N/A,#N/A,FALSE,"6";#N/A,#N/A,FALSE,"8";#N/A,#N/A,FALSE,"10";#N/A,#N/A,FALSE,"13";#N/A,#N/A,FALSE,"14";#N/A,#N/A,FALSE,"15";#N/A,#N/A,FALSE,"16"}</definedName>
    <definedName name="trurtutru" localSheetId="6" hidden="1">{#N/A,#N/A,FALSE,"3";#N/A,#N/A,FALSE,"5";#N/A,#N/A,FALSE,"6";#N/A,#N/A,FALSE,"8";#N/A,#N/A,FALSE,"10";#N/A,#N/A,FALSE,"13";#N/A,#N/A,FALSE,"14";#N/A,#N/A,FALSE,"15";#N/A,#N/A,FALSE,"16"}</definedName>
    <definedName name="trurtutru" hidden="1">{#N/A,#N/A,FALSE,"3";#N/A,#N/A,FALSE,"5";#N/A,#N/A,FALSE,"6";#N/A,#N/A,FALSE,"8";#N/A,#N/A,FALSE,"10";#N/A,#N/A,FALSE,"13";#N/A,#N/A,FALSE,"14";#N/A,#N/A,FALSE,"15";#N/A,#N/A,FALSE,"16"}</definedName>
    <definedName name="trutrturt" localSheetId="30" hidden="1">{#N/A,#N/A,FALSE,"3";#N/A,#N/A,FALSE,"5";#N/A,#N/A,FALSE,"6";#N/A,#N/A,FALSE,"8";#N/A,#N/A,FALSE,"10";#N/A,#N/A,FALSE,"13";#N/A,#N/A,FALSE,"14";#N/A,#N/A,FALSE,"15";#N/A,#N/A,FALSE,"16"}</definedName>
    <definedName name="trutrturt" localSheetId="31" hidden="1">{#N/A,#N/A,FALSE,"3";#N/A,#N/A,FALSE,"5";#N/A,#N/A,FALSE,"6";#N/A,#N/A,FALSE,"8";#N/A,#N/A,FALSE,"10";#N/A,#N/A,FALSE,"13";#N/A,#N/A,FALSE,"14";#N/A,#N/A,FALSE,"15";#N/A,#N/A,FALSE,"16"}</definedName>
    <definedName name="trutrturt" localSheetId="32" hidden="1">{#N/A,#N/A,FALSE,"3";#N/A,#N/A,FALSE,"5";#N/A,#N/A,FALSE,"6";#N/A,#N/A,FALSE,"8";#N/A,#N/A,FALSE,"10";#N/A,#N/A,FALSE,"13";#N/A,#N/A,FALSE,"14";#N/A,#N/A,FALSE,"15";#N/A,#N/A,FALSE,"16"}</definedName>
    <definedName name="trutrturt" localSheetId="10" hidden="1">{#N/A,#N/A,FALSE,"3";#N/A,#N/A,FALSE,"5";#N/A,#N/A,FALSE,"6";#N/A,#N/A,FALSE,"8";#N/A,#N/A,FALSE,"10";#N/A,#N/A,FALSE,"13";#N/A,#N/A,FALSE,"14";#N/A,#N/A,FALSE,"15";#N/A,#N/A,FALSE,"16"}</definedName>
    <definedName name="trutrturt" localSheetId="6" hidden="1">{#N/A,#N/A,FALSE,"3";#N/A,#N/A,FALSE,"5";#N/A,#N/A,FALSE,"6";#N/A,#N/A,FALSE,"8";#N/A,#N/A,FALSE,"10";#N/A,#N/A,FALSE,"13";#N/A,#N/A,FALSE,"14";#N/A,#N/A,FALSE,"15";#N/A,#N/A,FALSE,"16"}</definedName>
    <definedName name="trutrturt" hidden="1">{#N/A,#N/A,FALSE,"3";#N/A,#N/A,FALSE,"5";#N/A,#N/A,FALSE,"6";#N/A,#N/A,FALSE,"8";#N/A,#N/A,FALSE,"10";#N/A,#N/A,FALSE,"13";#N/A,#N/A,FALSE,"14";#N/A,#N/A,FALSE,"15";#N/A,#N/A,FALSE,"16"}</definedName>
    <definedName name="turu" localSheetId="30" hidden="1">{#N/A,#N/A,FALSE,"3";#N/A,#N/A,FALSE,"5";#N/A,#N/A,FALSE,"6";#N/A,#N/A,FALSE,"8";#N/A,#N/A,FALSE,"10";#N/A,#N/A,FALSE,"13";#N/A,#N/A,FALSE,"14";#N/A,#N/A,FALSE,"15";#N/A,#N/A,FALSE,"16"}</definedName>
    <definedName name="turu" localSheetId="31" hidden="1">{#N/A,#N/A,FALSE,"3";#N/A,#N/A,FALSE,"5";#N/A,#N/A,FALSE,"6";#N/A,#N/A,FALSE,"8";#N/A,#N/A,FALSE,"10";#N/A,#N/A,FALSE,"13";#N/A,#N/A,FALSE,"14";#N/A,#N/A,FALSE,"15";#N/A,#N/A,FALSE,"16"}</definedName>
    <definedName name="turu" localSheetId="32" hidden="1">{#N/A,#N/A,FALSE,"3";#N/A,#N/A,FALSE,"5";#N/A,#N/A,FALSE,"6";#N/A,#N/A,FALSE,"8";#N/A,#N/A,FALSE,"10";#N/A,#N/A,FALSE,"13";#N/A,#N/A,FALSE,"14";#N/A,#N/A,FALSE,"15";#N/A,#N/A,FALSE,"16"}</definedName>
    <definedName name="turu" localSheetId="10" hidden="1">{#N/A,#N/A,FALSE,"3";#N/A,#N/A,FALSE,"5";#N/A,#N/A,FALSE,"6";#N/A,#N/A,FALSE,"8";#N/A,#N/A,FALSE,"10";#N/A,#N/A,FALSE,"13";#N/A,#N/A,FALSE,"14";#N/A,#N/A,FALSE,"15";#N/A,#N/A,FALSE,"16"}</definedName>
    <definedName name="turu" localSheetId="6" hidden="1">{#N/A,#N/A,FALSE,"3";#N/A,#N/A,FALSE,"5";#N/A,#N/A,FALSE,"6";#N/A,#N/A,FALSE,"8";#N/A,#N/A,FALSE,"10";#N/A,#N/A,FALSE,"13";#N/A,#N/A,FALSE,"14";#N/A,#N/A,FALSE,"15";#N/A,#N/A,FALSE,"16"}</definedName>
    <definedName name="turu" hidden="1">{#N/A,#N/A,FALSE,"3";#N/A,#N/A,FALSE,"5";#N/A,#N/A,FALSE,"6";#N/A,#N/A,FALSE,"8";#N/A,#N/A,FALSE,"10";#N/A,#N/A,FALSE,"13";#N/A,#N/A,FALSE,"14";#N/A,#N/A,FALSE,"15";#N/A,#N/A,FALSE,"16"}</definedName>
    <definedName name="tuut" localSheetId="30" hidden="1">{#N/A,#N/A,FALSE,"3";#N/A,#N/A,FALSE,"5";#N/A,#N/A,FALSE,"6";#N/A,#N/A,FALSE,"8";#N/A,#N/A,FALSE,"10";#N/A,#N/A,FALSE,"13";#N/A,#N/A,FALSE,"14";#N/A,#N/A,FALSE,"15";#N/A,#N/A,FALSE,"16"}</definedName>
    <definedName name="tuut" localSheetId="31" hidden="1">{#N/A,#N/A,FALSE,"3";#N/A,#N/A,FALSE,"5";#N/A,#N/A,FALSE,"6";#N/A,#N/A,FALSE,"8";#N/A,#N/A,FALSE,"10";#N/A,#N/A,FALSE,"13";#N/A,#N/A,FALSE,"14";#N/A,#N/A,FALSE,"15";#N/A,#N/A,FALSE,"16"}</definedName>
    <definedName name="tuut" localSheetId="32" hidden="1">{#N/A,#N/A,FALSE,"3";#N/A,#N/A,FALSE,"5";#N/A,#N/A,FALSE,"6";#N/A,#N/A,FALSE,"8";#N/A,#N/A,FALSE,"10";#N/A,#N/A,FALSE,"13";#N/A,#N/A,FALSE,"14";#N/A,#N/A,FALSE,"15";#N/A,#N/A,FALSE,"16"}</definedName>
    <definedName name="tuut" localSheetId="10" hidden="1">{#N/A,#N/A,FALSE,"3";#N/A,#N/A,FALSE,"5";#N/A,#N/A,FALSE,"6";#N/A,#N/A,FALSE,"8";#N/A,#N/A,FALSE,"10";#N/A,#N/A,FALSE,"13";#N/A,#N/A,FALSE,"14";#N/A,#N/A,FALSE,"15";#N/A,#N/A,FALSE,"16"}</definedName>
    <definedName name="tuut" localSheetId="6" hidden="1">{#N/A,#N/A,FALSE,"3";#N/A,#N/A,FALSE,"5";#N/A,#N/A,FALSE,"6";#N/A,#N/A,FALSE,"8";#N/A,#N/A,FALSE,"10";#N/A,#N/A,FALSE,"13";#N/A,#N/A,FALSE,"14";#N/A,#N/A,FALSE,"15";#N/A,#N/A,FALSE,"16"}</definedName>
    <definedName name="tuut" hidden="1">{#N/A,#N/A,FALSE,"3";#N/A,#N/A,FALSE,"5";#N/A,#N/A,FALSE,"6";#N/A,#N/A,FALSE,"8";#N/A,#N/A,FALSE,"10";#N/A,#N/A,FALSE,"13";#N/A,#N/A,FALSE,"14";#N/A,#N/A,FALSE,"15";#N/A,#N/A,FALSE,"16"}</definedName>
    <definedName name="tuytu" localSheetId="30" hidden="1">{#N/A,#N/A,FALSE,"3";#N/A,#N/A,FALSE,"5";#N/A,#N/A,FALSE,"6";#N/A,#N/A,FALSE,"8";#N/A,#N/A,FALSE,"10";#N/A,#N/A,FALSE,"13";#N/A,#N/A,FALSE,"14";#N/A,#N/A,FALSE,"15";#N/A,#N/A,FALSE,"16"}</definedName>
    <definedName name="tuytu" localSheetId="31" hidden="1">{#N/A,#N/A,FALSE,"3";#N/A,#N/A,FALSE,"5";#N/A,#N/A,FALSE,"6";#N/A,#N/A,FALSE,"8";#N/A,#N/A,FALSE,"10";#N/A,#N/A,FALSE,"13";#N/A,#N/A,FALSE,"14";#N/A,#N/A,FALSE,"15";#N/A,#N/A,FALSE,"16"}</definedName>
    <definedName name="tuytu" localSheetId="32" hidden="1">{#N/A,#N/A,FALSE,"3";#N/A,#N/A,FALSE,"5";#N/A,#N/A,FALSE,"6";#N/A,#N/A,FALSE,"8";#N/A,#N/A,FALSE,"10";#N/A,#N/A,FALSE,"13";#N/A,#N/A,FALSE,"14";#N/A,#N/A,FALSE,"15";#N/A,#N/A,FALSE,"16"}</definedName>
    <definedName name="tuytu" localSheetId="10" hidden="1">{#N/A,#N/A,FALSE,"3";#N/A,#N/A,FALSE,"5";#N/A,#N/A,FALSE,"6";#N/A,#N/A,FALSE,"8";#N/A,#N/A,FALSE,"10";#N/A,#N/A,FALSE,"13";#N/A,#N/A,FALSE,"14";#N/A,#N/A,FALSE,"15";#N/A,#N/A,FALSE,"16"}</definedName>
    <definedName name="tuytu" localSheetId="6" hidden="1">{#N/A,#N/A,FALSE,"3";#N/A,#N/A,FALSE,"5";#N/A,#N/A,FALSE,"6";#N/A,#N/A,FALSE,"8";#N/A,#N/A,FALSE,"10";#N/A,#N/A,FALSE,"13";#N/A,#N/A,FALSE,"14";#N/A,#N/A,FALSE,"15";#N/A,#N/A,FALSE,"16"}</definedName>
    <definedName name="tuytu" hidden="1">{#N/A,#N/A,FALSE,"3";#N/A,#N/A,FALSE,"5";#N/A,#N/A,FALSE,"6";#N/A,#N/A,FALSE,"8";#N/A,#N/A,FALSE,"10";#N/A,#N/A,FALSE,"13";#N/A,#N/A,FALSE,"14";#N/A,#N/A,FALSE,"15";#N/A,#N/A,FALSE,"16"}</definedName>
    <definedName name="twregfasd" localSheetId="30" hidden="1">{#N/A,#N/A,FALSE,"3";#N/A,#N/A,FALSE,"5";#N/A,#N/A,FALSE,"6";#N/A,#N/A,FALSE,"8";#N/A,#N/A,FALSE,"10";#N/A,#N/A,FALSE,"13";#N/A,#N/A,FALSE,"14";#N/A,#N/A,FALSE,"15";#N/A,#N/A,FALSE,"16"}</definedName>
    <definedName name="twregfasd" localSheetId="31" hidden="1">{#N/A,#N/A,FALSE,"3";#N/A,#N/A,FALSE,"5";#N/A,#N/A,FALSE,"6";#N/A,#N/A,FALSE,"8";#N/A,#N/A,FALSE,"10";#N/A,#N/A,FALSE,"13";#N/A,#N/A,FALSE,"14";#N/A,#N/A,FALSE,"15";#N/A,#N/A,FALSE,"16"}</definedName>
    <definedName name="twregfasd" localSheetId="32" hidden="1">{#N/A,#N/A,FALSE,"3";#N/A,#N/A,FALSE,"5";#N/A,#N/A,FALSE,"6";#N/A,#N/A,FALSE,"8";#N/A,#N/A,FALSE,"10";#N/A,#N/A,FALSE,"13";#N/A,#N/A,FALSE,"14";#N/A,#N/A,FALSE,"15";#N/A,#N/A,FALSE,"16"}</definedName>
    <definedName name="twregfasd" localSheetId="10" hidden="1">{#N/A,#N/A,FALSE,"3";#N/A,#N/A,FALSE,"5";#N/A,#N/A,FALSE,"6";#N/A,#N/A,FALSE,"8";#N/A,#N/A,FALSE,"10";#N/A,#N/A,FALSE,"13";#N/A,#N/A,FALSE,"14";#N/A,#N/A,FALSE,"15";#N/A,#N/A,FALSE,"16"}</definedName>
    <definedName name="twregfasd" localSheetId="6" hidden="1">{#N/A,#N/A,FALSE,"3";#N/A,#N/A,FALSE,"5";#N/A,#N/A,FALSE,"6";#N/A,#N/A,FALSE,"8";#N/A,#N/A,FALSE,"10";#N/A,#N/A,FALSE,"13";#N/A,#N/A,FALSE,"14";#N/A,#N/A,FALSE,"15";#N/A,#N/A,FALSE,"16"}</definedName>
    <definedName name="twregfasd" hidden="1">{#N/A,#N/A,FALSE,"3";#N/A,#N/A,FALSE,"5";#N/A,#N/A,FALSE,"6";#N/A,#N/A,FALSE,"8";#N/A,#N/A,FALSE,"10";#N/A,#N/A,FALSE,"13";#N/A,#N/A,FALSE,"14";#N/A,#N/A,FALSE,"15";#N/A,#N/A,FALSE,"16"}</definedName>
    <definedName name="ty" localSheetId="30" hidden="1">{"plansummary",#N/A,FALSE,"PlanSummary";"sales",#N/A,FALSE,"Sales Rec";"productivity",#N/A,FALSE,"Productivity Rec";"capitalspending",#N/A,FALSE,"Capital Spending"}</definedName>
    <definedName name="ty" localSheetId="31" hidden="1">{"plansummary",#N/A,FALSE,"PlanSummary";"sales",#N/A,FALSE,"Sales Rec";"productivity",#N/A,FALSE,"Productivity Rec";"capitalspending",#N/A,FALSE,"Capital Spending"}</definedName>
    <definedName name="ty" localSheetId="32" hidden="1">{"plansummary",#N/A,FALSE,"PlanSummary";"sales",#N/A,FALSE,"Sales Rec";"productivity",#N/A,FALSE,"Productivity Rec";"capitalspending",#N/A,FALSE,"Capital Spending"}</definedName>
    <definedName name="ty" localSheetId="10" hidden="1">{"plansummary",#N/A,FALSE,"PlanSummary";"sales",#N/A,FALSE,"Sales Rec";"productivity",#N/A,FALSE,"Productivity Rec";"capitalspending",#N/A,FALSE,"Capital Spending"}</definedName>
    <definedName name="ty" localSheetId="1" hidden="1">{"plansummary",#N/A,FALSE,"PlanSummary";"sales",#N/A,FALSE,"Sales Rec";"productivity",#N/A,FALSE,"Productivity Rec";"capitalspending",#N/A,FALSE,"Capital Spending"}</definedName>
    <definedName name="ty" localSheetId="6" hidden="1">{"plansummary",#N/A,FALSE,"PlanSummary";"sales",#N/A,FALSE,"Sales Rec";"productivity",#N/A,FALSE,"Productivity Rec";"capitalspending",#N/A,FALSE,"Capital Spending"}</definedName>
    <definedName name="ty" hidden="1">{"plansummary",#N/A,FALSE,"PlanSummary";"sales",#N/A,FALSE,"Sales Rec";"productivity",#N/A,FALSE,"Productivity Rec";"capitalspending",#N/A,FALSE,"Capital Spending"}</definedName>
    <definedName name="tygrd5t4rd" hidden="1">#REF!</definedName>
    <definedName name="tyutyutyu" localSheetId="30" hidden="1">{#N/A,#N/A,FALSE,"3";#N/A,#N/A,FALSE,"5";#N/A,#N/A,FALSE,"6";#N/A,#N/A,FALSE,"8";#N/A,#N/A,FALSE,"10";#N/A,#N/A,FALSE,"13";#N/A,#N/A,FALSE,"14";#N/A,#N/A,FALSE,"15";#N/A,#N/A,FALSE,"16"}</definedName>
    <definedName name="tyutyutyu" localSheetId="31" hidden="1">{#N/A,#N/A,FALSE,"3";#N/A,#N/A,FALSE,"5";#N/A,#N/A,FALSE,"6";#N/A,#N/A,FALSE,"8";#N/A,#N/A,FALSE,"10";#N/A,#N/A,FALSE,"13";#N/A,#N/A,FALSE,"14";#N/A,#N/A,FALSE,"15";#N/A,#N/A,FALSE,"16"}</definedName>
    <definedName name="tyutyutyu" localSheetId="32" hidden="1">{#N/A,#N/A,FALSE,"3";#N/A,#N/A,FALSE,"5";#N/A,#N/A,FALSE,"6";#N/A,#N/A,FALSE,"8";#N/A,#N/A,FALSE,"10";#N/A,#N/A,FALSE,"13";#N/A,#N/A,FALSE,"14";#N/A,#N/A,FALSE,"15";#N/A,#N/A,FALSE,"16"}</definedName>
    <definedName name="tyutyutyu" localSheetId="10" hidden="1">{#N/A,#N/A,FALSE,"3";#N/A,#N/A,FALSE,"5";#N/A,#N/A,FALSE,"6";#N/A,#N/A,FALSE,"8";#N/A,#N/A,FALSE,"10";#N/A,#N/A,FALSE,"13";#N/A,#N/A,FALSE,"14";#N/A,#N/A,FALSE,"15";#N/A,#N/A,FALSE,"16"}</definedName>
    <definedName name="tyutyutyu" localSheetId="6" hidden="1">{#N/A,#N/A,FALSE,"3";#N/A,#N/A,FALSE,"5";#N/A,#N/A,FALSE,"6";#N/A,#N/A,FALSE,"8";#N/A,#N/A,FALSE,"10";#N/A,#N/A,FALSE,"13";#N/A,#N/A,FALSE,"14";#N/A,#N/A,FALSE,"15";#N/A,#N/A,FALSE,"16"}</definedName>
    <definedName name="tyutyutyu" hidden="1">{#N/A,#N/A,FALSE,"3";#N/A,#N/A,FALSE,"5";#N/A,#N/A,FALSE,"6";#N/A,#N/A,FALSE,"8";#N/A,#N/A,FALSE,"10";#N/A,#N/A,FALSE,"13";#N/A,#N/A,FALSE,"14";#N/A,#N/A,FALSE,"15";#N/A,#N/A,FALSE,"16"}</definedName>
    <definedName name="uiluliuliul" localSheetId="30" hidden="1">{#N/A,#N/A,FALSE,"3";#N/A,#N/A,FALSE,"5";#N/A,#N/A,FALSE,"6";#N/A,#N/A,FALSE,"8";#N/A,#N/A,FALSE,"10";#N/A,#N/A,FALSE,"13";#N/A,#N/A,FALSE,"14";#N/A,#N/A,FALSE,"15";#N/A,#N/A,FALSE,"16"}</definedName>
    <definedName name="uiluliuliul" localSheetId="31" hidden="1">{#N/A,#N/A,FALSE,"3";#N/A,#N/A,FALSE,"5";#N/A,#N/A,FALSE,"6";#N/A,#N/A,FALSE,"8";#N/A,#N/A,FALSE,"10";#N/A,#N/A,FALSE,"13";#N/A,#N/A,FALSE,"14";#N/A,#N/A,FALSE,"15";#N/A,#N/A,FALSE,"16"}</definedName>
    <definedName name="uiluliuliul" localSheetId="32" hidden="1">{#N/A,#N/A,FALSE,"3";#N/A,#N/A,FALSE,"5";#N/A,#N/A,FALSE,"6";#N/A,#N/A,FALSE,"8";#N/A,#N/A,FALSE,"10";#N/A,#N/A,FALSE,"13";#N/A,#N/A,FALSE,"14";#N/A,#N/A,FALSE,"15";#N/A,#N/A,FALSE,"16"}</definedName>
    <definedName name="uiluliuliul" localSheetId="10" hidden="1">{#N/A,#N/A,FALSE,"3";#N/A,#N/A,FALSE,"5";#N/A,#N/A,FALSE,"6";#N/A,#N/A,FALSE,"8";#N/A,#N/A,FALSE,"10";#N/A,#N/A,FALSE,"13";#N/A,#N/A,FALSE,"14";#N/A,#N/A,FALSE,"15";#N/A,#N/A,FALSE,"16"}</definedName>
    <definedName name="uiluliuliul" localSheetId="6" hidden="1">{#N/A,#N/A,FALSE,"3";#N/A,#N/A,FALSE,"5";#N/A,#N/A,FALSE,"6";#N/A,#N/A,FALSE,"8";#N/A,#N/A,FALSE,"10";#N/A,#N/A,FALSE,"13";#N/A,#N/A,FALSE,"14";#N/A,#N/A,FALSE,"15";#N/A,#N/A,FALSE,"16"}</definedName>
    <definedName name="uiluliuliul" hidden="1">{#N/A,#N/A,FALSE,"3";#N/A,#N/A,FALSE,"5";#N/A,#N/A,FALSE,"6";#N/A,#N/A,FALSE,"8";#N/A,#N/A,FALSE,"10";#N/A,#N/A,FALSE,"13";#N/A,#N/A,FALSE,"14";#N/A,#N/A,FALSE,"15";#N/A,#N/A,FALSE,"16"}</definedName>
    <definedName name="Uit" hidden="1">1</definedName>
    <definedName name="uiui" localSheetId="30" hidden="1">{#N/A,#N/A,FALSE,"3";#N/A,#N/A,FALSE,"5";#N/A,#N/A,FALSE,"6";#N/A,#N/A,FALSE,"8";#N/A,#N/A,FALSE,"10";#N/A,#N/A,FALSE,"13";#N/A,#N/A,FALSE,"14";#N/A,#N/A,FALSE,"15";#N/A,#N/A,FALSE,"16"}</definedName>
    <definedName name="uiui" localSheetId="31" hidden="1">{#N/A,#N/A,FALSE,"3";#N/A,#N/A,FALSE,"5";#N/A,#N/A,FALSE,"6";#N/A,#N/A,FALSE,"8";#N/A,#N/A,FALSE,"10";#N/A,#N/A,FALSE,"13";#N/A,#N/A,FALSE,"14";#N/A,#N/A,FALSE,"15";#N/A,#N/A,FALSE,"16"}</definedName>
    <definedName name="uiui" localSheetId="32" hidden="1">{#N/A,#N/A,FALSE,"3";#N/A,#N/A,FALSE,"5";#N/A,#N/A,FALSE,"6";#N/A,#N/A,FALSE,"8";#N/A,#N/A,FALSE,"10";#N/A,#N/A,FALSE,"13";#N/A,#N/A,FALSE,"14";#N/A,#N/A,FALSE,"15";#N/A,#N/A,FALSE,"16"}</definedName>
    <definedName name="uiui" localSheetId="10" hidden="1">{#N/A,#N/A,FALSE,"3";#N/A,#N/A,FALSE,"5";#N/A,#N/A,FALSE,"6";#N/A,#N/A,FALSE,"8";#N/A,#N/A,FALSE,"10";#N/A,#N/A,FALSE,"13";#N/A,#N/A,FALSE,"14";#N/A,#N/A,FALSE,"15";#N/A,#N/A,FALSE,"16"}</definedName>
    <definedName name="uiui" localSheetId="6" hidden="1">{#N/A,#N/A,FALSE,"3";#N/A,#N/A,FALSE,"5";#N/A,#N/A,FALSE,"6";#N/A,#N/A,FALSE,"8";#N/A,#N/A,FALSE,"10";#N/A,#N/A,FALSE,"13";#N/A,#N/A,FALSE,"14";#N/A,#N/A,FALSE,"15";#N/A,#N/A,FALSE,"16"}</definedName>
    <definedName name="uiui" hidden="1">{#N/A,#N/A,FALSE,"3";#N/A,#N/A,FALSE,"5";#N/A,#N/A,FALSE,"6";#N/A,#N/A,FALSE,"8";#N/A,#N/A,FALSE,"10";#N/A,#N/A,FALSE,"13";#N/A,#N/A,FALSE,"14";#N/A,#N/A,FALSE,"15";#N/A,#N/A,FALSE,"16"}</definedName>
    <definedName name="uiuyi" localSheetId="30" hidden="1">{#N/A,#N/A,FALSE,"3";#N/A,#N/A,FALSE,"5";#N/A,#N/A,FALSE,"6";#N/A,#N/A,FALSE,"8";#N/A,#N/A,FALSE,"10";#N/A,#N/A,FALSE,"13";#N/A,#N/A,FALSE,"14";#N/A,#N/A,FALSE,"15";#N/A,#N/A,FALSE,"16"}</definedName>
    <definedName name="uiuyi" localSheetId="31" hidden="1">{#N/A,#N/A,FALSE,"3";#N/A,#N/A,FALSE,"5";#N/A,#N/A,FALSE,"6";#N/A,#N/A,FALSE,"8";#N/A,#N/A,FALSE,"10";#N/A,#N/A,FALSE,"13";#N/A,#N/A,FALSE,"14";#N/A,#N/A,FALSE,"15";#N/A,#N/A,FALSE,"16"}</definedName>
    <definedName name="uiuyi" localSheetId="32" hidden="1">{#N/A,#N/A,FALSE,"3";#N/A,#N/A,FALSE,"5";#N/A,#N/A,FALSE,"6";#N/A,#N/A,FALSE,"8";#N/A,#N/A,FALSE,"10";#N/A,#N/A,FALSE,"13";#N/A,#N/A,FALSE,"14";#N/A,#N/A,FALSE,"15";#N/A,#N/A,FALSE,"16"}</definedName>
    <definedName name="uiuyi" localSheetId="10" hidden="1">{#N/A,#N/A,FALSE,"3";#N/A,#N/A,FALSE,"5";#N/A,#N/A,FALSE,"6";#N/A,#N/A,FALSE,"8";#N/A,#N/A,FALSE,"10";#N/A,#N/A,FALSE,"13";#N/A,#N/A,FALSE,"14";#N/A,#N/A,FALSE,"15";#N/A,#N/A,FALSE,"16"}</definedName>
    <definedName name="uiuyi" localSheetId="6" hidden="1">{#N/A,#N/A,FALSE,"3";#N/A,#N/A,FALSE,"5";#N/A,#N/A,FALSE,"6";#N/A,#N/A,FALSE,"8";#N/A,#N/A,FALSE,"10";#N/A,#N/A,FALSE,"13";#N/A,#N/A,FALSE,"14";#N/A,#N/A,FALSE,"15";#N/A,#N/A,FALSE,"16"}</definedName>
    <definedName name="uiuyi" hidden="1">{#N/A,#N/A,FALSE,"3";#N/A,#N/A,FALSE,"5";#N/A,#N/A,FALSE,"6";#N/A,#N/A,FALSE,"8";#N/A,#N/A,FALSE,"10";#N/A,#N/A,FALSE,"13";#N/A,#N/A,FALSE,"14";#N/A,#N/A,FALSE,"15";#N/A,#N/A,FALSE,"16"}</definedName>
    <definedName name="Unit_Risk" localSheetId="30" hidden="1">{#N/A,#N/A,FALSE,"CDA Plan"}</definedName>
    <definedName name="Unit_Risk" localSheetId="31" hidden="1">{#N/A,#N/A,FALSE,"CDA Plan"}</definedName>
    <definedName name="Unit_Risk" localSheetId="32" hidden="1">{#N/A,#N/A,FALSE,"CDA Plan"}</definedName>
    <definedName name="Unit_Risk" localSheetId="10" hidden="1">{#N/A,#N/A,FALSE,"CDA Plan"}</definedName>
    <definedName name="Unit_Risk" localSheetId="1" hidden="1">{#N/A,#N/A,FALSE,"CDA Plan"}</definedName>
    <definedName name="Unit_Risk" localSheetId="6" hidden="1">{#N/A,#N/A,FALSE,"CDA Plan"}</definedName>
    <definedName name="Unit_Risk" hidden="1">{#N/A,#N/A,FALSE,"CDA Plan"}</definedName>
    <definedName name="updated" hidden="1">#REF!</definedName>
    <definedName name="usmed7" localSheetId="30" hidden="1">{#N/A,#N/A,FALSE,"USMED 3";#N/A,#N/A,FALSE,"MARCHALLENGER 1";#N/A,#N/A,FALSE,"MARCHALLENGER 2";#N/A,#N/A,FALSE,"MARCHALLENGER 3";#N/A,#N/A,FALSE,"MARCHALLENGER 4"}</definedName>
    <definedName name="usmed7" localSheetId="31" hidden="1">{#N/A,#N/A,FALSE,"USMED 3";#N/A,#N/A,FALSE,"MARCHALLENGER 1";#N/A,#N/A,FALSE,"MARCHALLENGER 2";#N/A,#N/A,FALSE,"MARCHALLENGER 3";#N/A,#N/A,FALSE,"MARCHALLENGER 4"}</definedName>
    <definedName name="usmed7" localSheetId="32" hidden="1">{#N/A,#N/A,FALSE,"USMED 3";#N/A,#N/A,FALSE,"MARCHALLENGER 1";#N/A,#N/A,FALSE,"MARCHALLENGER 2";#N/A,#N/A,FALSE,"MARCHALLENGER 3";#N/A,#N/A,FALSE,"MARCHALLENGER 4"}</definedName>
    <definedName name="usmed7" localSheetId="10" hidden="1">{#N/A,#N/A,FALSE,"USMED 3";#N/A,#N/A,FALSE,"MARCHALLENGER 1";#N/A,#N/A,FALSE,"MARCHALLENGER 2";#N/A,#N/A,FALSE,"MARCHALLENGER 3";#N/A,#N/A,FALSE,"MARCHALLENGER 4"}</definedName>
    <definedName name="usmed7" hidden="1">{#N/A,#N/A,FALSE,"USMED 3";#N/A,#N/A,FALSE,"MARCHALLENGER 1";#N/A,#N/A,FALSE,"MARCHALLENGER 2";#N/A,#N/A,FALSE,"MARCHALLENGER 3";#N/A,#N/A,FALSE,"MARCHALLENGER 4"}</definedName>
    <definedName name="usmed9" localSheetId="30" hidden="1">{#N/A,#N/A,FALSE,"USMED 3";#N/A,#N/A,FALSE,"MARCHALLENGER 1";#N/A,#N/A,FALSE,"MARCHALLENGER 2";#N/A,#N/A,FALSE,"MARCHALLENGER 3";#N/A,#N/A,FALSE,"MARCHALLENGER 4"}</definedName>
    <definedName name="usmed9" localSheetId="31" hidden="1">{#N/A,#N/A,FALSE,"USMED 3";#N/A,#N/A,FALSE,"MARCHALLENGER 1";#N/A,#N/A,FALSE,"MARCHALLENGER 2";#N/A,#N/A,FALSE,"MARCHALLENGER 3";#N/A,#N/A,FALSE,"MARCHALLENGER 4"}</definedName>
    <definedName name="usmed9" localSheetId="32" hidden="1">{#N/A,#N/A,FALSE,"USMED 3";#N/A,#N/A,FALSE,"MARCHALLENGER 1";#N/A,#N/A,FALSE,"MARCHALLENGER 2";#N/A,#N/A,FALSE,"MARCHALLENGER 3";#N/A,#N/A,FALSE,"MARCHALLENGER 4"}</definedName>
    <definedName name="usmed9" localSheetId="10" hidden="1">{#N/A,#N/A,FALSE,"USMED 3";#N/A,#N/A,FALSE,"MARCHALLENGER 1";#N/A,#N/A,FALSE,"MARCHALLENGER 2";#N/A,#N/A,FALSE,"MARCHALLENGER 3";#N/A,#N/A,FALSE,"MARCHALLENGER 4"}</definedName>
    <definedName name="usmed9" hidden="1">{#N/A,#N/A,FALSE,"USMED 3";#N/A,#N/A,FALSE,"MARCHALLENGER 1";#N/A,#N/A,FALSE,"MARCHALLENGER 2";#N/A,#N/A,FALSE,"MARCHALLENGER 3";#N/A,#N/A,FALSE,"MARCHALLENGER 4"}</definedName>
    <definedName name="utyu" localSheetId="30" hidden="1">{#N/A,#N/A,FALSE,"3";#N/A,#N/A,FALSE,"5";#N/A,#N/A,FALSE,"6";#N/A,#N/A,FALSE,"8";#N/A,#N/A,FALSE,"10";#N/A,#N/A,FALSE,"13";#N/A,#N/A,FALSE,"14";#N/A,#N/A,FALSE,"15";#N/A,#N/A,FALSE,"16"}</definedName>
    <definedName name="utyu" localSheetId="31" hidden="1">{#N/A,#N/A,FALSE,"3";#N/A,#N/A,FALSE,"5";#N/A,#N/A,FALSE,"6";#N/A,#N/A,FALSE,"8";#N/A,#N/A,FALSE,"10";#N/A,#N/A,FALSE,"13";#N/A,#N/A,FALSE,"14";#N/A,#N/A,FALSE,"15";#N/A,#N/A,FALSE,"16"}</definedName>
    <definedName name="utyu" localSheetId="32" hidden="1">{#N/A,#N/A,FALSE,"3";#N/A,#N/A,FALSE,"5";#N/A,#N/A,FALSE,"6";#N/A,#N/A,FALSE,"8";#N/A,#N/A,FALSE,"10";#N/A,#N/A,FALSE,"13";#N/A,#N/A,FALSE,"14";#N/A,#N/A,FALSE,"15";#N/A,#N/A,FALSE,"16"}</definedName>
    <definedName name="utyu" localSheetId="10" hidden="1">{#N/A,#N/A,FALSE,"3";#N/A,#N/A,FALSE,"5";#N/A,#N/A,FALSE,"6";#N/A,#N/A,FALSE,"8";#N/A,#N/A,FALSE,"10";#N/A,#N/A,FALSE,"13";#N/A,#N/A,FALSE,"14";#N/A,#N/A,FALSE,"15";#N/A,#N/A,FALSE,"16"}</definedName>
    <definedName name="utyu" localSheetId="6" hidden="1">{#N/A,#N/A,FALSE,"3";#N/A,#N/A,FALSE,"5";#N/A,#N/A,FALSE,"6";#N/A,#N/A,FALSE,"8";#N/A,#N/A,FALSE,"10";#N/A,#N/A,FALSE,"13";#N/A,#N/A,FALSE,"14";#N/A,#N/A,FALSE,"15";#N/A,#N/A,FALSE,"16"}</definedName>
    <definedName name="utyu" hidden="1">{#N/A,#N/A,FALSE,"3";#N/A,#N/A,FALSE,"5";#N/A,#N/A,FALSE,"6";#N/A,#N/A,FALSE,"8";#N/A,#N/A,FALSE,"10";#N/A,#N/A,FALSE,"13";#N/A,#N/A,FALSE,"14";#N/A,#N/A,FALSE,"15";#N/A,#N/A,FALSE,"16"}</definedName>
    <definedName name="uyikuyik" localSheetId="30" hidden="1">{#N/A,#N/A,FALSE,"3";#N/A,#N/A,FALSE,"5";#N/A,#N/A,FALSE,"6";#N/A,#N/A,FALSE,"8";#N/A,#N/A,FALSE,"10";#N/A,#N/A,FALSE,"13";#N/A,#N/A,FALSE,"14";#N/A,#N/A,FALSE,"15";#N/A,#N/A,FALSE,"16"}</definedName>
    <definedName name="uyikuyik" localSheetId="31" hidden="1">{#N/A,#N/A,FALSE,"3";#N/A,#N/A,FALSE,"5";#N/A,#N/A,FALSE,"6";#N/A,#N/A,FALSE,"8";#N/A,#N/A,FALSE,"10";#N/A,#N/A,FALSE,"13";#N/A,#N/A,FALSE,"14";#N/A,#N/A,FALSE,"15";#N/A,#N/A,FALSE,"16"}</definedName>
    <definedName name="uyikuyik" localSheetId="32" hidden="1">{#N/A,#N/A,FALSE,"3";#N/A,#N/A,FALSE,"5";#N/A,#N/A,FALSE,"6";#N/A,#N/A,FALSE,"8";#N/A,#N/A,FALSE,"10";#N/A,#N/A,FALSE,"13";#N/A,#N/A,FALSE,"14";#N/A,#N/A,FALSE,"15";#N/A,#N/A,FALSE,"16"}</definedName>
    <definedName name="uyikuyik" localSheetId="10" hidden="1">{#N/A,#N/A,FALSE,"3";#N/A,#N/A,FALSE,"5";#N/A,#N/A,FALSE,"6";#N/A,#N/A,FALSE,"8";#N/A,#N/A,FALSE,"10";#N/A,#N/A,FALSE,"13";#N/A,#N/A,FALSE,"14";#N/A,#N/A,FALSE,"15";#N/A,#N/A,FALSE,"16"}</definedName>
    <definedName name="uyikuyik" localSheetId="6" hidden="1">{#N/A,#N/A,FALSE,"3";#N/A,#N/A,FALSE,"5";#N/A,#N/A,FALSE,"6";#N/A,#N/A,FALSE,"8";#N/A,#N/A,FALSE,"10";#N/A,#N/A,FALSE,"13";#N/A,#N/A,FALSE,"14";#N/A,#N/A,FALSE,"15";#N/A,#N/A,FALSE,"16"}</definedName>
    <definedName name="uyikuyik" hidden="1">{#N/A,#N/A,FALSE,"3";#N/A,#N/A,FALSE,"5";#N/A,#N/A,FALSE,"6";#N/A,#N/A,FALSE,"8";#N/A,#N/A,FALSE,"10";#N/A,#N/A,FALSE,"13";#N/A,#N/A,FALSE,"14";#N/A,#N/A,FALSE,"15";#N/A,#N/A,FALSE,"16"}</definedName>
    <definedName name="v" hidden="1">{"'Posting Dates'!$A$4:$G$4","'Posting Dates'!$A$1:$L$22"}</definedName>
    <definedName name="variancejan" hidden="1">{"summary",#N/A,FALSE,"2000 vs 1999";"detail",#N/A,FALSE,"2000 vs 1999"}</definedName>
    <definedName name="vcb" localSheetId="30" hidden="1">{#N/A,#N/A,FALSE,"3";#N/A,#N/A,FALSE,"5";#N/A,#N/A,FALSE,"6";#N/A,#N/A,FALSE,"8";#N/A,#N/A,FALSE,"10";#N/A,#N/A,FALSE,"13";#N/A,#N/A,FALSE,"14";#N/A,#N/A,FALSE,"15";#N/A,#N/A,FALSE,"16"}</definedName>
    <definedName name="vcb" localSheetId="31" hidden="1">{#N/A,#N/A,FALSE,"3";#N/A,#N/A,FALSE,"5";#N/A,#N/A,FALSE,"6";#N/A,#N/A,FALSE,"8";#N/A,#N/A,FALSE,"10";#N/A,#N/A,FALSE,"13";#N/A,#N/A,FALSE,"14";#N/A,#N/A,FALSE,"15";#N/A,#N/A,FALSE,"16"}</definedName>
    <definedName name="vcb" localSheetId="32" hidden="1">{#N/A,#N/A,FALSE,"3";#N/A,#N/A,FALSE,"5";#N/A,#N/A,FALSE,"6";#N/A,#N/A,FALSE,"8";#N/A,#N/A,FALSE,"10";#N/A,#N/A,FALSE,"13";#N/A,#N/A,FALSE,"14";#N/A,#N/A,FALSE,"15";#N/A,#N/A,FALSE,"16"}</definedName>
    <definedName name="vcb" localSheetId="10" hidden="1">{#N/A,#N/A,FALSE,"3";#N/A,#N/A,FALSE,"5";#N/A,#N/A,FALSE,"6";#N/A,#N/A,FALSE,"8";#N/A,#N/A,FALSE,"10";#N/A,#N/A,FALSE,"13";#N/A,#N/A,FALSE,"14";#N/A,#N/A,FALSE,"15";#N/A,#N/A,FALSE,"16"}</definedName>
    <definedName name="vcb" localSheetId="6" hidden="1">{#N/A,#N/A,FALSE,"3";#N/A,#N/A,FALSE,"5";#N/A,#N/A,FALSE,"6";#N/A,#N/A,FALSE,"8";#N/A,#N/A,FALSE,"10";#N/A,#N/A,FALSE,"13";#N/A,#N/A,FALSE,"14";#N/A,#N/A,FALSE,"15";#N/A,#N/A,FALSE,"16"}</definedName>
    <definedName name="vcb" hidden="1">{#N/A,#N/A,FALSE,"3";#N/A,#N/A,FALSE,"5";#N/A,#N/A,FALSE,"6";#N/A,#N/A,FALSE,"8";#N/A,#N/A,FALSE,"10";#N/A,#N/A,FALSE,"13";#N/A,#N/A,FALSE,"14";#N/A,#N/A,FALSE,"15";#N/A,#N/A,FALSE,"16"}</definedName>
    <definedName name="Vgl" localSheetId="30" hidden="1">{"K GuV o. Kommentar",#N/A,FALSE,"Kaufhof"}</definedName>
    <definedName name="Vgl" localSheetId="31" hidden="1">{"K GuV o. Kommentar",#N/A,FALSE,"Kaufhof"}</definedName>
    <definedName name="Vgl" localSheetId="32" hidden="1">{"K GuV o. Kommentar",#N/A,FALSE,"Kaufhof"}</definedName>
    <definedName name="Vgl" localSheetId="10" hidden="1">{"K GuV o. Kommentar",#N/A,FALSE,"Kaufhof"}</definedName>
    <definedName name="Vgl" localSheetId="6" hidden="1">{"K GuV o. Kommentar",#N/A,FALSE,"Kaufhof"}</definedName>
    <definedName name="Vgl" hidden="1">{"K GuV o. Kommentar",#N/A,FALSE,"Kaufhof"}</definedName>
    <definedName name="Vijay" localSheetId="6" hidden="1">#REF!</definedName>
    <definedName name="Vijay" hidden="1">#REF!</definedName>
    <definedName name="vinu" localSheetId="30" hidden="1">{#N/A,#N/A,FALSE,"COMICRO";#N/A,#N/A,FALSE,"BALSCH";#N/A,#N/A,FALSE,"GLASS";#N/A,#N/A,FALSE,"DEPRE";#N/A,#N/A,FALSE,"A&amp;MCUR";#N/A,#N/A,FALSE,"AGEANAlysis";#N/A,#N/A,FALSE,"CHECKS";#N/A,#N/A,FALSE,"CHECKS"}</definedName>
    <definedName name="vinu" localSheetId="31" hidden="1">{#N/A,#N/A,FALSE,"COMICRO";#N/A,#N/A,FALSE,"BALSCH";#N/A,#N/A,FALSE,"GLASS";#N/A,#N/A,FALSE,"DEPRE";#N/A,#N/A,FALSE,"A&amp;MCUR";#N/A,#N/A,FALSE,"AGEANAlysis";#N/A,#N/A,FALSE,"CHECKS";#N/A,#N/A,FALSE,"CHECKS"}</definedName>
    <definedName name="vinu" localSheetId="32" hidden="1">{#N/A,#N/A,FALSE,"COMICRO";#N/A,#N/A,FALSE,"BALSCH";#N/A,#N/A,FALSE,"GLASS";#N/A,#N/A,FALSE,"DEPRE";#N/A,#N/A,FALSE,"A&amp;MCUR";#N/A,#N/A,FALSE,"AGEANAlysis";#N/A,#N/A,FALSE,"CHECKS";#N/A,#N/A,FALSE,"CHECKS"}</definedName>
    <definedName name="vinu" localSheetId="10" hidden="1">{#N/A,#N/A,FALSE,"COMICRO";#N/A,#N/A,FALSE,"BALSCH";#N/A,#N/A,FALSE,"GLASS";#N/A,#N/A,FALSE,"DEPRE";#N/A,#N/A,FALSE,"A&amp;MCUR";#N/A,#N/A,FALSE,"AGEANAlysis";#N/A,#N/A,FALSE,"CHECKS";#N/A,#N/A,FALSE,"CHECKS"}</definedName>
    <definedName name="vinu" localSheetId="1" hidden="1">{#N/A,#N/A,FALSE,"COMICRO";#N/A,#N/A,FALSE,"BALSCH";#N/A,#N/A,FALSE,"GLASS";#N/A,#N/A,FALSE,"DEPRE";#N/A,#N/A,FALSE,"A&amp;MCUR";#N/A,#N/A,FALSE,"AGEANAlysis";#N/A,#N/A,FALSE,"CHECKS";#N/A,#N/A,FALSE,"CHECKS"}</definedName>
    <definedName name="vinu" localSheetId="6" hidden="1">{#N/A,#N/A,FALSE,"COMICRO";#N/A,#N/A,FALSE,"BALSCH";#N/A,#N/A,FALSE,"GLASS";#N/A,#N/A,FALSE,"DEPRE";#N/A,#N/A,FALSE,"A&amp;MCUR";#N/A,#N/A,FALSE,"AGEANAlysis";#N/A,#N/A,FALSE,"CHECKS";#N/A,#N/A,FALSE,"CHECKS"}</definedName>
    <definedName name="vinu" hidden="1">{#N/A,#N/A,FALSE,"COMICRO";#N/A,#N/A,FALSE,"BALSCH";#N/A,#N/A,FALSE,"GLASS";#N/A,#N/A,FALSE,"DEPRE";#N/A,#N/A,FALSE,"A&amp;MCUR";#N/A,#N/A,FALSE,"AGEANAlysis";#N/A,#N/A,FALSE,"CHECKS";#N/A,#N/A,FALSE,"CHECKS"}</definedName>
    <definedName name="VISHWA" localSheetId="30" hidden="1">{"'Mach'!$A$1:$D$39"}</definedName>
    <definedName name="VISHWA" localSheetId="31" hidden="1">{"'Mach'!$A$1:$D$39"}</definedName>
    <definedName name="VISHWA" localSheetId="32" hidden="1">{"'Mach'!$A$1:$D$39"}</definedName>
    <definedName name="VISHWA" localSheetId="10" hidden="1">{"'Mach'!$A$1:$D$39"}</definedName>
    <definedName name="VISHWA" localSheetId="1" hidden="1">{"'Mach'!$A$1:$D$39"}</definedName>
    <definedName name="VISHWA" localSheetId="6" hidden="1">{"'Mach'!$A$1:$D$39"}</definedName>
    <definedName name="VISHWA" hidden="1">{"'Mach'!$A$1:$D$39"}</definedName>
    <definedName name="vito" hidden="1">{"Summary analysis",#N/A,FALSE,"Total";"OCPH analysis",#N/A,FALSE,"Total";"detail analysis",#N/A,FALSE,"Total"}</definedName>
    <definedName name="vnb" localSheetId="30" hidden="1">{#N/A,#N/A,FALSE,"3";#N/A,#N/A,FALSE,"5";#N/A,#N/A,FALSE,"6";#N/A,#N/A,FALSE,"8";#N/A,#N/A,FALSE,"10";#N/A,#N/A,FALSE,"13";#N/A,#N/A,FALSE,"14";#N/A,#N/A,FALSE,"15";#N/A,#N/A,FALSE,"16"}</definedName>
    <definedName name="vnb" localSheetId="31" hidden="1">{#N/A,#N/A,FALSE,"3";#N/A,#N/A,FALSE,"5";#N/A,#N/A,FALSE,"6";#N/A,#N/A,FALSE,"8";#N/A,#N/A,FALSE,"10";#N/A,#N/A,FALSE,"13";#N/A,#N/A,FALSE,"14";#N/A,#N/A,FALSE,"15";#N/A,#N/A,FALSE,"16"}</definedName>
    <definedName name="vnb" localSheetId="32" hidden="1">{#N/A,#N/A,FALSE,"3";#N/A,#N/A,FALSE,"5";#N/A,#N/A,FALSE,"6";#N/A,#N/A,FALSE,"8";#N/A,#N/A,FALSE,"10";#N/A,#N/A,FALSE,"13";#N/A,#N/A,FALSE,"14";#N/A,#N/A,FALSE,"15";#N/A,#N/A,FALSE,"16"}</definedName>
    <definedName name="vnb" localSheetId="10" hidden="1">{#N/A,#N/A,FALSE,"3";#N/A,#N/A,FALSE,"5";#N/A,#N/A,FALSE,"6";#N/A,#N/A,FALSE,"8";#N/A,#N/A,FALSE,"10";#N/A,#N/A,FALSE,"13";#N/A,#N/A,FALSE,"14";#N/A,#N/A,FALSE,"15";#N/A,#N/A,FALSE,"16"}</definedName>
    <definedName name="vnb" localSheetId="6" hidden="1">{#N/A,#N/A,FALSE,"3";#N/A,#N/A,FALSE,"5";#N/A,#N/A,FALSE,"6";#N/A,#N/A,FALSE,"8";#N/A,#N/A,FALSE,"10";#N/A,#N/A,FALSE,"13";#N/A,#N/A,FALSE,"14";#N/A,#N/A,FALSE,"15";#N/A,#N/A,FALSE,"16"}</definedName>
    <definedName name="vnb" hidden="1">{#N/A,#N/A,FALSE,"3";#N/A,#N/A,FALSE,"5";#N/A,#N/A,FALSE,"6";#N/A,#N/A,FALSE,"8";#N/A,#N/A,FALSE,"10";#N/A,#N/A,FALSE,"13";#N/A,#N/A,FALSE,"14";#N/A,#N/A,FALSE,"15";#N/A,#N/A,FALSE,"16"}</definedName>
    <definedName name="Vrw" hidden="1">2</definedName>
    <definedName name="vss" localSheetId="30" hidden="1">{#N/A,#N/A,FALSE,"COMICRO";#N/A,#N/A,FALSE,"BALSCH";#N/A,#N/A,FALSE,"GLASS";#N/A,#N/A,FALSE,"DEPRE";#N/A,#N/A,FALSE,"A&amp;MCUR";#N/A,#N/A,FALSE,"AGEANAlysis";#N/A,#N/A,FALSE,"CHECKS";#N/A,#N/A,FALSE,"CHECKS"}</definedName>
    <definedName name="vss" localSheetId="31" hidden="1">{#N/A,#N/A,FALSE,"COMICRO";#N/A,#N/A,FALSE,"BALSCH";#N/A,#N/A,FALSE,"GLASS";#N/A,#N/A,FALSE,"DEPRE";#N/A,#N/A,FALSE,"A&amp;MCUR";#N/A,#N/A,FALSE,"AGEANAlysis";#N/A,#N/A,FALSE,"CHECKS";#N/A,#N/A,FALSE,"CHECKS"}</definedName>
    <definedName name="vss" localSheetId="32" hidden="1">{#N/A,#N/A,FALSE,"COMICRO";#N/A,#N/A,FALSE,"BALSCH";#N/A,#N/A,FALSE,"GLASS";#N/A,#N/A,FALSE,"DEPRE";#N/A,#N/A,FALSE,"A&amp;MCUR";#N/A,#N/A,FALSE,"AGEANAlysis";#N/A,#N/A,FALSE,"CHECKS";#N/A,#N/A,FALSE,"CHECKS"}</definedName>
    <definedName name="vss" localSheetId="10" hidden="1">{#N/A,#N/A,FALSE,"COMICRO";#N/A,#N/A,FALSE,"BALSCH";#N/A,#N/A,FALSE,"GLASS";#N/A,#N/A,FALSE,"DEPRE";#N/A,#N/A,FALSE,"A&amp;MCUR";#N/A,#N/A,FALSE,"AGEANAlysis";#N/A,#N/A,FALSE,"CHECKS";#N/A,#N/A,FALSE,"CHECKS"}</definedName>
    <definedName name="vss" localSheetId="1" hidden="1">{#N/A,#N/A,FALSE,"COMICRO";#N/A,#N/A,FALSE,"BALSCH";#N/A,#N/A,FALSE,"GLASS";#N/A,#N/A,FALSE,"DEPRE";#N/A,#N/A,FALSE,"A&amp;MCUR";#N/A,#N/A,FALSE,"AGEANAlysis";#N/A,#N/A,FALSE,"CHECKS";#N/A,#N/A,FALSE,"CHECKS"}</definedName>
    <definedName name="vss" localSheetId="6" hidden="1">{#N/A,#N/A,FALSE,"COMICRO";#N/A,#N/A,FALSE,"BALSCH";#N/A,#N/A,FALSE,"GLASS";#N/A,#N/A,FALSE,"DEPRE";#N/A,#N/A,FALSE,"A&amp;MCUR";#N/A,#N/A,FALSE,"AGEANAlysis";#N/A,#N/A,FALSE,"CHECKS";#N/A,#N/A,FALSE,"CHECKS"}</definedName>
    <definedName name="vss" hidden="1">{#N/A,#N/A,FALSE,"COMICRO";#N/A,#N/A,FALSE,"BALSCH";#N/A,#N/A,FALSE,"GLASS";#N/A,#N/A,FALSE,"DEPRE";#N/A,#N/A,FALSE,"A&amp;MCUR";#N/A,#N/A,FALSE,"AGEANAlysis";#N/A,#N/A,FALSE,"CHECKS";#N/A,#N/A,FALSE,"CHECKS"}</definedName>
    <definedName name="we" localSheetId="3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e" localSheetId="3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e" localSheetId="3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e" localSheetId="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e" localSheetI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e" localSheetI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eeeeeeeeeeeeeeeeeee" hidden="1">{"summary",#N/A,FALSE,"2000 vs 1999";"detail",#N/A,FALSE,"2000 vs 1999"}</definedName>
    <definedName name="weq" hidden="1">{"summary",#N/A,FALSE,"2000 vs 1999";"detail",#N/A,FALSE,"2000 vs 1999"}</definedName>
    <definedName name="werwq3rqw" hidden="1">#REF!</definedName>
    <definedName name="wn" localSheetId="30" hidden="1">{#N/A,#N/A,FALSE,"3";#N/A,#N/A,FALSE,"5";#N/A,#N/A,FALSE,"6";#N/A,#N/A,FALSE,"8";#N/A,#N/A,FALSE,"10";#N/A,#N/A,FALSE,"13";#N/A,#N/A,FALSE,"14";#N/A,#N/A,FALSE,"15";#N/A,#N/A,FALSE,"16"}</definedName>
    <definedName name="wn" localSheetId="31" hidden="1">{#N/A,#N/A,FALSE,"3";#N/A,#N/A,FALSE,"5";#N/A,#N/A,FALSE,"6";#N/A,#N/A,FALSE,"8";#N/A,#N/A,FALSE,"10";#N/A,#N/A,FALSE,"13";#N/A,#N/A,FALSE,"14";#N/A,#N/A,FALSE,"15";#N/A,#N/A,FALSE,"16"}</definedName>
    <definedName name="wn" localSheetId="32" hidden="1">{#N/A,#N/A,FALSE,"3";#N/A,#N/A,FALSE,"5";#N/A,#N/A,FALSE,"6";#N/A,#N/A,FALSE,"8";#N/A,#N/A,FALSE,"10";#N/A,#N/A,FALSE,"13";#N/A,#N/A,FALSE,"14";#N/A,#N/A,FALSE,"15";#N/A,#N/A,FALSE,"16"}</definedName>
    <definedName name="wn" localSheetId="10" hidden="1">{#N/A,#N/A,FALSE,"3";#N/A,#N/A,FALSE,"5";#N/A,#N/A,FALSE,"6";#N/A,#N/A,FALSE,"8";#N/A,#N/A,FALSE,"10";#N/A,#N/A,FALSE,"13";#N/A,#N/A,FALSE,"14";#N/A,#N/A,FALSE,"15";#N/A,#N/A,FALSE,"16"}</definedName>
    <definedName name="wn" localSheetId="6" hidden="1">{#N/A,#N/A,FALSE,"3";#N/A,#N/A,FALSE,"5";#N/A,#N/A,FALSE,"6";#N/A,#N/A,FALSE,"8";#N/A,#N/A,FALSE,"10";#N/A,#N/A,FALSE,"13";#N/A,#N/A,FALSE,"14";#N/A,#N/A,FALSE,"15";#N/A,#N/A,FALSE,"16"}</definedName>
    <definedName name="wn" hidden="1">{#N/A,#N/A,FALSE,"3";#N/A,#N/A,FALSE,"5";#N/A,#N/A,FALSE,"6";#N/A,#N/A,FALSE,"8";#N/A,#N/A,FALSE,"10";#N/A,#N/A,FALSE,"13";#N/A,#N/A,FALSE,"14";#N/A,#N/A,FALSE,"15";#N/A,#N/A,FALSE,"16"}</definedName>
    <definedName name="wnn" localSheetId="30" hidden="1">{"AFR200_P1",#N/A,FALSE,"AFR200";"AFR200_P2",#N/A,FALSE,"AFR200";"AFR200_P3",#N/A,FALSE,"AFR200";"AFR200_P4",#N/A,FALSE,"AFR200";"AFR200_P5",#N/A,FALSE,"AFR200"}</definedName>
    <definedName name="wnn" localSheetId="31" hidden="1">{"AFR200_P1",#N/A,FALSE,"AFR200";"AFR200_P2",#N/A,FALSE,"AFR200";"AFR200_P3",#N/A,FALSE,"AFR200";"AFR200_P4",#N/A,FALSE,"AFR200";"AFR200_P5",#N/A,FALSE,"AFR200"}</definedName>
    <definedName name="wnn" localSheetId="32" hidden="1">{"AFR200_P1",#N/A,FALSE,"AFR200";"AFR200_P2",#N/A,FALSE,"AFR200";"AFR200_P3",#N/A,FALSE,"AFR200";"AFR200_P4",#N/A,FALSE,"AFR200";"AFR200_P5",#N/A,FALSE,"AFR200"}</definedName>
    <definedName name="wnn" localSheetId="10" hidden="1">{"AFR200_P1",#N/A,FALSE,"AFR200";"AFR200_P2",#N/A,FALSE,"AFR200";"AFR200_P3",#N/A,FALSE,"AFR200";"AFR200_P4",#N/A,FALSE,"AFR200";"AFR200_P5",#N/A,FALSE,"AFR200"}</definedName>
    <definedName name="wnn" localSheetId="6" hidden="1">{"AFR200_P1",#N/A,FALSE,"AFR200";"AFR200_P2",#N/A,FALSE,"AFR200";"AFR200_P3",#N/A,FALSE,"AFR200";"AFR200_P4",#N/A,FALSE,"AFR200";"AFR200_P5",#N/A,FALSE,"AFR200"}</definedName>
    <definedName name="wnn" hidden="1">{"AFR200_P1",#N/A,FALSE,"AFR200";"AFR200_P2",#N/A,FALSE,"AFR200";"AFR200_P3",#N/A,FALSE,"AFR200";"AFR200_P4",#N/A,FALSE,"AFR200";"AFR200_P5",#N/A,FALSE,"AFR200"}</definedName>
    <definedName name="wnnn" localSheetId="30" hidden="1">{"AFR200_P1",#N/A,FALSE,"AFR200";"AFR200_P2",#N/A,FALSE,"AFR200";"AFR200_P3",#N/A,FALSE,"AFR200";"AFR200_P4",#N/A,FALSE,"AFR200";"AFR200_P5",#N/A,FALSE,"AFR200"}</definedName>
    <definedName name="wnnn" localSheetId="31" hidden="1">{"AFR200_P1",#N/A,FALSE,"AFR200";"AFR200_P2",#N/A,FALSE,"AFR200";"AFR200_P3",#N/A,FALSE,"AFR200";"AFR200_P4",#N/A,FALSE,"AFR200";"AFR200_P5",#N/A,FALSE,"AFR200"}</definedName>
    <definedName name="wnnn" localSheetId="32" hidden="1">{"AFR200_P1",#N/A,FALSE,"AFR200";"AFR200_P2",#N/A,FALSE,"AFR200";"AFR200_P3",#N/A,FALSE,"AFR200";"AFR200_P4",#N/A,FALSE,"AFR200";"AFR200_P5",#N/A,FALSE,"AFR200"}</definedName>
    <definedName name="wnnn" localSheetId="10" hidden="1">{"AFR200_P1",#N/A,FALSE,"AFR200";"AFR200_P2",#N/A,FALSE,"AFR200";"AFR200_P3",#N/A,FALSE,"AFR200";"AFR200_P4",#N/A,FALSE,"AFR200";"AFR200_P5",#N/A,FALSE,"AFR200"}</definedName>
    <definedName name="wnnn" localSheetId="6" hidden="1">{"AFR200_P1",#N/A,FALSE,"AFR200";"AFR200_P2",#N/A,FALSE,"AFR200";"AFR200_P3",#N/A,FALSE,"AFR200";"AFR200_P4",#N/A,FALSE,"AFR200";"AFR200_P5",#N/A,FALSE,"AFR200"}</definedName>
    <definedName name="wnnn" hidden="1">{"AFR200_P1",#N/A,FALSE,"AFR200";"AFR200_P2",#N/A,FALSE,"AFR200";"AFR200_P3",#N/A,FALSE,"AFR200";"AFR200_P4",#N/A,FALSE,"AFR200";"AFR200_P5",#N/A,FALSE,"AFR200"}</definedName>
    <definedName name="wns" localSheetId="30" hidden="1">{"AFR200_P1",#N/A,FALSE,"AFR200";"AFR200_P2",#N/A,FALSE,"AFR200";"AFR200_P3",#N/A,FALSE,"AFR200";"AFR200_P4",#N/A,FALSE,"AFR200";"AFR200_P5",#N/A,FALSE,"AFR200"}</definedName>
    <definedName name="wns" localSheetId="31" hidden="1">{"AFR200_P1",#N/A,FALSE,"AFR200";"AFR200_P2",#N/A,FALSE,"AFR200";"AFR200_P3",#N/A,FALSE,"AFR200";"AFR200_P4",#N/A,FALSE,"AFR200";"AFR200_P5",#N/A,FALSE,"AFR200"}</definedName>
    <definedName name="wns" localSheetId="32" hidden="1">{"AFR200_P1",#N/A,FALSE,"AFR200";"AFR200_P2",#N/A,FALSE,"AFR200";"AFR200_P3",#N/A,FALSE,"AFR200";"AFR200_P4",#N/A,FALSE,"AFR200";"AFR200_P5",#N/A,FALSE,"AFR200"}</definedName>
    <definedName name="wns" localSheetId="10" hidden="1">{"AFR200_P1",#N/A,FALSE,"AFR200";"AFR200_P2",#N/A,FALSE,"AFR200";"AFR200_P3",#N/A,FALSE,"AFR200";"AFR200_P4",#N/A,FALSE,"AFR200";"AFR200_P5",#N/A,FALSE,"AFR200"}</definedName>
    <definedName name="wns" localSheetId="6" hidden="1">{"AFR200_P1",#N/A,FALSE,"AFR200";"AFR200_P2",#N/A,FALSE,"AFR200";"AFR200_P3",#N/A,FALSE,"AFR200";"AFR200_P4",#N/A,FALSE,"AFR200";"AFR200_P5",#N/A,FALSE,"AFR200"}</definedName>
    <definedName name="wns" hidden="1">{"AFR200_P1",#N/A,FALSE,"AFR200";"AFR200_P2",#N/A,FALSE,"AFR200";"AFR200_P3",#N/A,FALSE,"AFR200";"AFR200_P4",#N/A,FALSE,"AFR200";"AFR200_P5",#N/A,FALSE,"AFR200"}</definedName>
    <definedName name="worksheet" localSheetId="30" hidden="1">{#N/A,#N/A,FALSE,"COMP"}</definedName>
    <definedName name="worksheet" localSheetId="31" hidden="1">{#N/A,#N/A,FALSE,"COMP"}</definedName>
    <definedName name="worksheet" localSheetId="32" hidden="1">{#N/A,#N/A,FALSE,"COMP"}</definedName>
    <definedName name="worksheet" localSheetId="10" hidden="1">{#N/A,#N/A,FALSE,"COMP"}</definedName>
    <definedName name="worksheet" localSheetId="1" hidden="1">{#N/A,#N/A,FALSE,"COMP"}</definedName>
    <definedName name="worksheet" localSheetId="6" hidden="1">{#N/A,#N/A,FALSE,"COMP"}</definedName>
    <definedName name="worksheet" hidden="1">{#N/A,#N/A,FALSE,"COMP"}</definedName>
    <definedName name="wqew" localSheetId="30" hidden="1">{#N/A,#N/A,FALSE,"3";#N/A,#N/A,FALSE,"5";#N/A,#N/A,FALSE,"6";#N/A,#N/A,FALSE,"8";#N/A,#N/A,FALSE,"10";#N/A,#N/A,FALSE,"13";#N/A,#N/A,FALSE,"14";#N/A,#N/A,FALSE,"15";#N/A,#N/A,FALSE,"16"}</definedName>
    <definedName name="wqew" localSheetId="31" hidden="1">{#N/A,#N/A,FALSE,"3";#N/A,#N/A,FALSE,"5";#N/A,#N/A,FALSE,"6";#N/A,#N/A,FALSE,"8";#N/A,#N/A,FALSE,"10";#N/A,#N/A,FALSE,"13";#N/A,#N/A,FALSE,"14";#N/A,#N/A,FALSE,"15";#N/A,#N/A,FALSE,"16"}</definedName>
    <definedName name="wqew" localSheetId="32" hidden="1">{#N/A,#N/A,FALSE,"3";#N/A,#N/A,FALSE,"5";#N/A,#N/A,FALSE,"6";#N/A,#N/A,FALSE,"8";#N/A,#N/A,FALSE,"10";#N/A,#N/A,FALSE,"13";#N/A,#N/A,FALSE,"14";#N/A,#N/A,FALSE,"15";#N/A,#N/A,FALSE,"16"}</definedName>
    <definedName name="wqew" localSheetId="10" hidden="1">{#N/A,#N/A,FALSE,"3";#N/A,#N/A,FALSE,"5";#N/A,#N/A,FALSE,"6";#N/A,#N/A,FALSE,"8";#N/A,#N/A,FALSE,"10";#N/A,#N/A,FALSE,"13";#N/A,#N/A,FALSE,"14";#N/A,#N/A,FALSE,"15";#N/A,#N/A,FALSE,"16"}</definedName>
    <definedName name="wqew" localSheetId="6" hidden="1">{#N/A,#N/A,FALSE,"3";#N/A,#N/A,FALSE,"5";#N/A,#N/A,FALSE,"6";#N/A,#N/A,FALSE,"8";#N/A,#N/A,FALSE,"10";#N/A,#N/A,FALSE,"13";#N/A,#N/A,FALSE,"14";#N/A,#N/A,FALSE,"15";#N/A,#N/A,FALSE,"16"}</definedName>
    <definedName name="wqew" hidden="1">{#N/A,#N/A,FALSE,"3";#N/A,#N/A,FALSE,"5";#N/A,#N/A,FALSE,"6";#N/A,#N/A,FALSE,"8";#N/A,#N/A,FALSE,"10";#N/A,#N/A,FALSE,"13";#N/A,#N/A,FALSE,"14";#N/A,#N/A,FALSE,"15";#N/A,#N/A,FALSE,"16"}</definedName>
    <definedName name="wqewqeqwe" localSheetId="30" hidden="1">{#N/A,#N/A,FALSE,"3";#N/A,#N/A,FALSE,"5";#N/A,#N/A,FALSE,"6";#N/A,#N/A,FALSE,"8";#N/A,#N/A,FALSE,"10";#N/A,#N/A,FALSE,"13";#N/A,#N/A,FALSE,"14";#N/A,#N/A,FALSE,"15";#N/A,#N/A,FALSE,"16"}</definedName>
    <definedName name="wqewqeqwe" localSheetId="31" hidden="1">{#N/A,#N/A,FALSE,"3";#N/A,#N/A,FALSE,"5";#N/A,#N/A,FALSE,"6";#N/A,#N/A,FALSE,"8";#N/A,#N/A,FALSE,"10";#N/A,#N/A,FALSE,"13";#N/A,#N/A,FALSE,"14";#N/A,#N/A,FALSE,"15";#N/A,#N/A,FALSE,"16"}</definedName>
    <definedName name="wqewqeqwe" localSheetId="32" hidden="1">{#N/A,#N/A,FALSE,"3";#N/A,#N/A,FALSE,"5";#N/A,#N/A,FALSE,"6";#N/A,#N/A,FALSE,"8";#N/A,#N/A,FALSE,"10";#N/A,#N/A,FALSE,"13";#N/A,#N/A,FALSE,"14";#N/A,#N/A,FALSE,"15";#N/A,#N/A,FALSE,"16"}</definedName>
    <definedName name="wqewqeqwe" localSheetId="10" hidden="1">{#N/A,#N/A,FALSE,"3";#N/A,#N/A,FALSE,"5";#N/A,#N/A,FALSE,"6";#N/A,#N/A,FALSE,"8";#N/A,#N/A,FALSE,"10";#N/A,#N/A,FALSE,"13";#N/A,#N/A,FALSE,"14";#N/A,#N/A,FALSE,"15";#N/A,#N/A,FALSE,"16"}</definedName>
    <definedName name="wqewqeqwe" localSheetId="6" hidden="1">{#N/A,#N/A,FALSE,"3";#N/A,#N/A,FALSE,"5";#N/A,#N/A,FALSE,"6";#N/A,#N/A,FALSE,"8";#N/A,#N/A,FALSE,"10";#N/A,#N/A,FALSE,"13";#N/A,#N/A,FALSE,"14";#N/A,#N/A,FALSE,"15";#N/A,#N/A,FALSE,"16"}</definedName>
    <definedName name="wqewqeqwe" hidden="1">{#N/A,#N/A,FALSE,"3";#N/A,#N/A,FALSE,"5";#N/A,#N/A,FALSE,"6";#N/A,#N/A,FALSE,"8";#N/A,#N/A,FALSE,"10";#N/A,#N/A,FALSE,"13";#N/A,#N/A,FALSE,"14";#N/A,#N/A,FALSE,"15";#N/A,#N/A,FALSE,"16"}</definedName>
    <definedName name="wr" localSheetId="30" hidden="1">{#N/A,#N/A,FALSE,"COMP"}</definedName>
    <definedName name="wr" localSheetId="31" hidden="1">{#N/A,#N/A,FALSE,"COMP"}</definedName>
    <definedName name="wr" localSheetId="32" hidden="1">{#N/A,#N/A,FALSE,"COMP"}</definedName>
    <definedName name="wr" localSheetId="10" hidden="1">{#N/A,#N/A,FALSE,"COMP"}</definedName>
    <definedName name="wr" localSheetId="1" hidden="1">{#N/A,#N/A,FALSE,"COMP"}</definedName>
    <definedName name="wr" localSheetId="6" hidden="1">{#N/A,#N/A,FALSE,"COMP"}</definedName>
    <definedName name="wr" hidden="1">{#N/A,#N/A,FALSE,"COMP"}</definedName>
    <definedName name="wreqwrwrw" localSheetId="30" hidden="1">{#N/A,#N/A,FALSE,"3";#N/A,#N/A,FALSE,"5";#N/A,#N/A,FALSE,"6";#N/A,#N/A,FALSE,"8";#N/A,#N/A,FALSE,"10";#N/A,#N/A,FALSE,"13";#N/A,#N/A,FALSE,"14";#N/A,#N/A,FALSE,"15";#N/A,#N/A,FALSE,"16"}</definedName>
    <definedName name="wreqwrwrw" localSheetId="31" hidden="1">{#N/A,#N/A,FALSE,"3";#N/A,#N/A,FALSE,"5";#N/A,#N/A,FALSE,"6";#N/A,#N/A,FALSE,"8";#N/A,#N/A,FALSE,"10";#N/A,#N/A,FALSE,"13";#N/A,#N/A,FALSE,"14";#N/A,#N/A,FALSE,"15";#N/A,#N/A,FALSE,"16"}</definedName>
    <definedName name="wreqwrwrw" localSheetId="32" hidden="1">{#N/A,#N/A,FALSE,"3";#N/A,#N/A,FALSE,"5";#N/A,#N/A,FALSE,"6";#N/A,#N/A,FALSE,"8";#N/A,#N/A,FALSE,"10";#N/A,#N/A,FALSE,"13";#N/A,#N/A,FALSE,"14";#N/A,#N/A,FALSE,"15";#N/A,#N/A,FALSE,"16"}</definedName>
    <definedName name="wreqwrwrw" localSheetId="10" hidden="1">{#N/A,#N/A,FALSE,"3";#N/A,#N/A,FALSE,"5";#N/A,#N/A,FALSE,"6";#N/A,#N/A,FALSE,"8";#N/A,#N/A,FALSE,"10";#N/A,#N/A,FALSE,"13";#N/A,#N/A,FALSE,"14";#N/A,#N/A,FALSE,"15";#N/A,#N/A,FALSE,"16"}</definedName>
    <definedName name="wreqwrwrw" localSheetId="6" hidden="1">{#N/A,#N/A,FALSE,"3";#N/A,#N/A,FALSE,"5";#N/A,#N/A,FALSE,"6";#N/A,#N/A,FALSE,"8";#N/A,#N/A,FALSE,"10";#N/A,#N/A,FALSE,"13";#N/A,#N/A,FALSE,"14";#N/A,#N/A,FALSE,"15";#N/A,#N/A,FALSE,"16"}</definedName>
    <definedName name="wreqwrwrw" hidden="1">{#N/A,#N/A,FALSE,"3";#N/A,#N/A,FALSE,"5";#N/A,#N/A,FALSE,"6";#N/A,#N/A,FALSE,"8";#N/A,#N/A,FALSE,"10";#N/A,#N/A,FALSE,"13";#N/A,#N/A,FALSE,"14";#N/A,#N/A,FALSE,"15";#N/A,#N/A,FALSE,"16"}</definedName>
    <definedName name="WRI" localSheetId="30" hidden="1">{#N/A,#N/A,FALSE,"COMP"}</definedName>
    <definedName name="WRI" localSheetId="31" hidden="1">{#N/A,#N/A,FALSE,"COMP"}</definedName>
    <definedName name="WRI" localSheetId="32" hidden="1">{#N/A,#N/A,FALSE,"COMP"}</definedName>
    <definedName name="WRI" localSheetId="10" hidden="1">{#N/A,#N/A,FALSE,"COMP"}</definedName>
    <definedName name="WRI" localSheetId="1" hidden="1">{#N/A,#N/A,FALSE,"COMP"}</definedName>
    <definedName name="WRI" localSheetId="6" hidden="1">{#N/A,#N/A,FALSE,"COMP"}</definedName>
    <definedName name="WRI" hidden="1">{#N/A,#N/A,FALSE,"COMP"}</definedName>
    <definedName name="wrn" localSheetId="30" hidden="1">{#N/A,#N/A,FALSE,"단축1";#N/A,#N/A,FALSE,"단축2";#N/A,#N/A,FALSE,"단축3";#N/A,#N/A,FALSE,"장축";#N/A,#N/A,FALSE,"4WD"}</definedName>
    <definedName name="wrn" localSheetId="31" hidden="1">{#N/A,#N/A,FALSE,"단축1";#N/A,#N/A,FALSE,"단축2";#N/A,#N/A,FALSE,"단축3";#N/A,#N/A,FALSE,"장축";#N/A,#N/A,FALSE,"4WD"}</definedName>
    <definedName name="wrn" localSheetId="32" hidden="1">{#N/A,#N/A,FALSE,"단축1";#N/A,#N/A,FALSE,"단축2";#N/A,#N/A,FALSE,"단축3";#N/A,#N/A,FALSE,"장축";#N/A,#N/A,FALSE,"4WD"}</definedName>
    <definedName name="wrn" localSheetId="10" hidden="1">{#N/A,#N/A,FALSE,"단축1";#N/A,#N/A,FALSE,"단축2";#N/A,#N/A,FALSE,"단축3";#N/A,#N/A,FALSE,"장축";#N/A,#N/A,FALSE,"4WD"}</definedName>
    <definedName name="wrn" localSheetId="1" hidden="1">{#N/A,#N/A,FALSE,"단축1";#N/A,#N/A,FALSE,"단축2";#N/A,#N/A,FALSE,"단축3";#N/A,#N/A,FALSE,"장축";#N/A,#N/A,FALSE,"4WD"}</definedName>
    <definedName name="wrn" localSheetId="6" hidden="1">{#N/A,#N/A,FALSE,"단축1";#N/A,#N/A,FALSE,"단축2";#N/A,#N/A,FALSE,"단축3";#N/A,#N/A,FALSE,"장축";#N/A,#N/A,FALSE,"4WD"}</definedName>
    <definedName name="wrn" hidden="1">{#N/A,#N/A,FALSE,"단축1";#N/A,#N/A,FALSE,"단축2";#N/A,#N/A,FALSE,"단축3";#N/A,#N/A,FALSE,"장축";#N/A,#N/A,FALSE,"4WD"}</definedName>
    <definedName name="wrn.01." localSheetId="30" hidden="1">{#N/A,#N/A,FALSE,"1321";#N/A,#N/A,FALSE,"1324";#N/A,#N/A,FALSE,"1333";#N/A,#N/A,FALSE,"1371"}</definedName>
    <definedName name="wrn.01." localSheetId="31" hidden="1">{#N/A,#N/A,FALSE,"1321";#N/A,#N/A,FALSE,"1324";#N/A,#N/A,FALSE,"1333";#N/A,#N/A,FALSE,"1371"}</definedName>
    <definedName name="wrn.01." localSheetId="32" hidden="1">{#N/A,#N/A,FALSE,"1321";#N/A,#N/A,FALSE,"1324";#N/A,#N/A,FALSE,"1333";#N/A,#N/A,FALSE,"1371"}</definedName>
    <definedName name="wrn.01." localSheetId="10" hidden="1">{#N/A,#N/A,FALSE,"1321";#N/A,#N/A,FALSE,"1324";#N/A,#N/A,FALSE,"1333";#N/A,#N/A,FALSE,"1371"}</definedName>
    <definedName name="wrn.01." localSheetId="6" hidden="1">{#N/A,#N/A,FALSE,"1321";#N/A,#N/A,FALSE,"1324";#N/A,#N/A,FALSE,"1333";#N/A,#N/A,FALSE,"1371"}</definedName>
    <definedName name="wrn.01." hidden="1">{#N/A,#N/A,FALSE,"1321";#N/A,#N/A,FALSE,"1324";#N/A,#N/A,FALSE,"1333";#N/A,#N/A,FALSE,"1371"}</definedName>
    <definedName name="wrn.3._.hojas." localSheetId="30" hidden="1">{"DESVI1",#N/A,FALSE,"JULIO";"DESVI2",#N/A,FALSE,"JULIO";"DESVI3",#N/A,FALSE,"JULIO"}</definedName>
    <definedName name="wrn.3._.hojas." localSheetId="31" hidden="1">{"DESVI1",#N/A,FALSE,"JULIO";"DESVI2",#N/A,FALSE,"JULIO";"DESVI3",#N/A,FALSE,"JULIO"}</definedName>
    <definedName name="wrn.3._.hojas." localSheetId="32" hidden="1">{"DESVI1",#N/A,FALSE,"JULIO";"DESVI2",#N/A,FALSE,"JULIO";"DESVI3",#N/A,FALSE,"JULIO"}</definedName>
    <definedName name="wrn.3._.hojas." localSheetId="10" hidden="1">{"DESVI1",#N/A,FALSE,"JULIO";"DESVI2",#N/A,FALSE,"JULIO";"DESVI3",#N/A,FALSE,"JULIO"}</definedName>
    <definedName name="wrn.3._.hojas." localSheetId="1" hidden="1">{"DESVI1",#N/A,FALSE,"JULIO";"DESVI2",#N/A,FALSE,"JULIO";"DESVI3",#N/A,FALSE,"JULIO"}</definedName>
    <definedName name="wrn.3._.hojas." localSheetId="6" hidden="1">{"DESVI1",#N/A,FALSE,"JULIO";"DESVI2",#N/A,FALSE,"JULIO";"DESVI3",#N/A,FALSE,"JULIO"}</definedName>
    <definedName name="wrn.3._.hojas." hidden="1">{"DESVI1",#N/A,FALSE,"JULIO";"DESVI2",#N/A,FALSE,"JULIO";"DESVI3",#N/A,FALSE,"JULIO"}</definedName>
    <definedName name="wrn.Accounts._.3Q98._.Est." localSheetId="30" hidden="1">{"receivables",#N/A,FALSE,"Receiv. Turns 3Q 98 Est";"sales",#N/A,FALSE,"Receiv. Turns 3Q 98 Est";"turns",#N/A,FALSE,"Receiv. Turns 3Q 98 Est";"pastdue",#N/A,FALSE,"Receiv. Turns 3Q 98 Est"}</definedName>
    <definedName name="wrn.Accounts._.3Q98._.Est." localSheetId="31" hidden="1">{"receivables",#N/A,FALSE,"Receiv. Turns 3Q 98 Est";"sales",#N/A,FALSE,"Receiv. Turns 3Q 98 Est";"turns",#N/A,FALSE,"Receiv. Turns 3Q 98 Est";"pastdue",#N/A,FALSE,"Receiv. Turns 3Q 98 Est"}</definedName>
    <definedName name="wrn.Accounts._.3Q98._.Est." localSheetId="32" hidden="1">{"receivables",#N/A,FALSE,"Receiv. Turns 3Q 98 Est";"sales",#N/A,FALSE,"Receiv. Turns 3Q 98 Est";"turns",#N/A,FALSE,"Receiv. Turns 3Q 98 Est";"pastdue",#N/A,FALSE,"Receiv. Turns 3Q 98 Est"}</definedName>
    <definedName name="wrn.Accounts._.3Q98._.Est." localSheetId="10" hidden="1">{"receivables",#N/A,FALSE,"Receiv. Turns 3Q 98 Est";"sales",#N/A,FALSE,"Receiv. Turns 3Q 98 Est";"turns",#N/A,FALSE,"Receiv. Turns 3Q 98 Est";"pastdue",#N/A,FALSE,"Receiv. Turns 3Q 98 Est"}</definedName>
    <definedName name="wrn.Accounts._.3Q98._.Est." localSheetId="6" hidden="1">{"receivables",#N/A,FALSE,"Receiv. Turns 3Q 98 Est";"sales",#N/A,FALSE,"Receiv. Turns 3Q 98 Est";"turns",#N/A,FALSE,"Receiv. Turns 3Q 98 Est";"pastdue",#N/A,FALSE,"Receiv. Turns 3Q 98 Est"}</definedName>
    <definedName name="wrn.Accounts._.3Q98._.Est." hidden="1">{"receivables",#N/A,FALSE,"Receiv. Turns 3Q 98 Est";"sales",#N/A,FALSE,"Receiv. Turns 3Q 98 Est";"turns",#N/A,FALSE,"Receiv. Turns 3Q 98 Est";"pastdue",#N/A,FALSE,"Receiv. Turns 3Q 98 Est"}</definedName>
    <definedName name="wrn.Accounts._.SII._.99." localSheetId="30" hidden="1">{"receivables",#N/A,FALSE,"SII 99";"sales",#N/A,FALSE,"SII 99";"turns",#N/A,FALSE,"SII 99";"pastdue",#N/A,FALSE,"SII 99"}</definedName>
    <definedName name="wrn.Accounts._.SII._.99." localSheetId="31" hidden="1">{"receivables",#N/A,FALSE,"SII 99";"sales",#N/A,FALSE,"SII 99";"turns",#N/A,FALSE,"SII 99";"pastdue",#N/A,FALSE,"SII 99"}</definedName>
    <definedName name="wrn.Accounts._.SII._.99." localSheetId="32" hidden="1">{"receivables",#N/A,FALSE,"SII 99";"sales",#N/A,FALSE,"SII 99";"turns",#N/A,FALSE,"SII 99";"pastdue",#N/A,FALSE,"SII 99"}</definedName>
    <definedName name="wrn.Accounts._.SII._.99." localSheetId="10" hidden="1">{"receivables",#N/A,FALSE,"SII 99";"sales",#N/A,FALSE,"SII 99";"turns",#N/A,FALSE,"SII 99";"pastdue",#N/A,FALSE,"SII 99"}</definedName>
    <definedName name="wrn.Accounts._.SII._.99." localSheetId="6" hidden="1">{"receivables",#N/A,FALSE,"SII 99";"sales",#N/A,FALSE,"SII 99";"turns",#N/A,FALSE,"SII 99";"pastdue",#N/A,FALSE,"SII 99"}</definedName>
    <definedName name="wrn.Accounts._.SII._.99." hidden="1">{"receivables",#N/A,FALSE,"SII 99";"sales",#N/A,FALSE,"SII 99";"turns",#N/A,FALSE,"SII 99";"pastdue",#N/A,FALSE,"SII 99"}</definedName>
    <definedName name="wrn.AFR200." localSheetId="30" hidden="1">{"AFR200_P1",#N/A,FALSE,"AFR200";"AFR200_P2",#N/A,FALSE,"AFR200";"AFR200_P3",#N/A,FALSE,"AFR200";"AFR200_P4",#N/A,FALSE,"AFR200";"AFR200_P5",#N/A,FALSE,"AFR200"}</definedName>
    <definedName name="wrn.AFR200." localSheetId="31" hidden="1">{"AFR200_P1",#N/A,FALSE,"AFR200";"AFR200_P2",#N/A,FALSE,"AFR200";"AFR200_P3",#N/A,FALSE,"AFR200";"AFR200_P4",#N/A,FALSE,"AFR200";"AFR200_P5",#N/A,FALSE,"AFR200"}</definedName>
    <definedName name="wrn.AFR200." localSheetId="32" hidden="1">{"AFR200_P1",#N/A,FALSE,"AFR200";"AFR200_P2",#N/A,FALSE,"AFR200";"AFR200_P3",#N/A,FALSE,"AFR200";"AFR200_P4",#N/A,FALSE,"AFR200";"AFR200_P5",#N/A,FALSE,"AFR200"}</definedName>
    <definedName name="wrn.AFR200." localSheetId="10" hidden="1">{"AFR200_P1",#N/A,FALSE,"AFR200";"AFR200_P2",#N/A,FALSE,"AFR200";"AFR200_P3",#N/A,FALSE,"AFR200";"AFR200_P4",#N/A,FALSE,"AFR200";"AFR200_P5",#N/A,FALSE,"AFR200"}</definedName>
    <definedName name="wrn.AFR200." localSheetId="6" hidden="1">{"AFR200_P1",#N/A,FALSE,"AFR200";"AFR200_P2",#N/A,FALSE,"AFR200";"AFR200_P3",#N/A,FALSE,"AFR200";"AFR200_P4",#N/A,FALSE,"AFR200";"AFR200_P5",#N/A,FALSE,"AFR200"}</definedName>
    <definedName name="wrn.AFR200." hidden="1">{"AFR200_P1",#N/A,FALSE,"AFR200";"AFR200_P2",#N/A,FALSE,"AFR200";"AFR200_P3",#N/A,FALSE,"AFR200";"AFR200_P4",#N/A,FALSE,"AFR200";"AFR200_P5",#N/A,FALSE,"AFR200"}</definedName>
    <definedName name="wrn.Aging._.and._.Trend._.Analysis." localSheetId="30" hidden="1">{#N/A,#N/A,FALSE,"Aging Summary";#N/A,#N/A,FALSE,"Ratio Analysis";#N/A,#N/A,FALSE,"Test 120 Day Accts";#N/A,#N/A,FALSE,"Tickmarks"}</definedName>
    <definedName name="wrn.Aging._.and._.Trend._.Analysis." localSheetId="31" hidden="1">{#N/A,#N/A,FALSE,"Aging Summary";#N/A,#N/A,FALSE,"Ratio Analysis";#N/A,#N/A,FALSE,"Test 120 Day Accts";#N/A,#N/A,FALSE,"Tickmarks"}</definedName>
    <definedName name="wrn.Aging._.and._.Trend._.Analysis." localSheetId="32"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im." localSheetId="30" hidden="1">{#N/A,#N/A,FALSE,"AIM";#N/A,#N/A,FALSE,"Africa";#N/A,#N/A,FALSE,"India";#N/A,#N/A,FALSE,"Gulf";#N/A,#N/A,FALSE,"Saudi";#N/A,#N/A,FALSE,"CJe0 backlog";#N/A,#N/A,FALSE,"Actual orders";#N/A,#N/A,FALSE,"CMS"}</definedName>
    <definedName name="wrn.aim." localSheetId="31" hidden="1">{#N/A,#N/A,FALSE,"AIM";#N/A,#N/A,FALSE,"Africa";#N/A,#N/A,FALSE,"India";#N/A,#N/A,FALSE,"Gulf";#N/A,#N/A,FALSE,"Saudi";#N/A,#N/A,FALSE,"CJe0 backlog";#N/A,#N/A,FALSE,"Actual orders";#N/A,#N/A,FALSE,"CMS"}</definedName>
    <definedName name="wrn.aim." localSheetId="32" hidden="1">{#N/A,#N/A,FALSE,"AIM";#N/A,#N/A,FALSE,"Africa";#N/A,#N/A,FALSE,"India";#N/A,#N/A,FALSE,"Gulf";#N/A,#N/A,FALSE,"Saudi";#N/A,#N/A,FALSE,"CJe0 backlog";#N/A,#N/A,FALSE,"Actual orders";#N/A,#N/A,FALSE,"CMS"}</definedName>
    <definedName name="wrn.aim." localSheetId="10" hidden="1">{#N/A,#N/A,FALSE,"AIM";#N/A,#N/A,FALSE,"Africa";#N/A,#N/A,FALSE,"India";#N/A,#N/A,FALSE,"Gulf";#N/A,#N/A,FALSE,"Saudi";#N/A,#N/A,FALSE,"CJe0 backlog";#N/A,#N/A,FALSE,"Actual orders";#N/A,#N/A,FALSE,"CMS"}</definedName>
    <definedName name="wrn.aim." localSheetId="6" hidden="1">{#N/A,#N/A,FALSE,"AIM";#N/A,#N/A,FALSE,"Africa";#N/A,#N/A,FALSE,"India";#N/A,#N/A,FALSE,"Gulf";#N/A,#N/A,FALSE,"Saudi";#N/A,#N/A,FALSE,"CJe0 backlog";#N/A,#N/A,FALSE,"Actual orders";#N/A,#N/A,FALSE,"CMS"}</definedName>
    <definedName name="wrn.aim." hidden="1">{#N/A,#N/A,FALSE,"AIM";#N/A,#N/A,FALSE,"Africa";#N/A,#N/A,FALSE,"India";#N/A,#N/A,FALSE,"Gulf";#N/A,#N/A,FALSE,"Saudi";#N/A,#N/A,FALSE,"CJe0 backlog";#N/A,#N/A,FALSE,"Actual orders";#N/A,#N/A,FALSE,"CMS"}</definedName>
    <definedName name="wrn.aim.2" localSheetId="30" hidden="1">{#N/A,#N/A,FALSE,"AIM";#N/A,#N/A,FALSE,"Africa";#N/A,#N/A,FALSE,"India";#N/A,#N/A,FALSE,"Gulf";#N/A,#N/A,FALSE,"Saudi";#N/A,#N/A,FALSE,"CJe0 backlog";#N/A,#N/A,FALSE,"Actual orders";#N/A,#N/A,FALSE,"CMS"}</definedName>
    <definedName name="wrn.aim.2" localSheetId="31" hidden="1">{#N/A,#N/A,FALSE,"AIM";#N/A,#N/A,FALSE,"Africa";#N/A,#N/A,FALSE,"India";#N/A,#N/A,FALSE,"Gulf";#N/A,#N/A,FALSE,"Saudi";#N/A,#N/A,FALSE,"CJe0 backlog";#N/A,#N/A,FALSE,"Actual orders";#N/A,#N/A,FALSE,"CMS"}</definedName>
    <definedName name="wrn.aim.2" localSheetId="32" hidden="1">{#N/A,#N/A,FALSE,"AIM";#N/A,#N/A,FALSE,"Africa";#N/A,#N/A,FALSE,"India";#N/A,#N/A,FALSE,"Gulf";#N/A,#N/A,FALSE,"Saudi";#N/A,#N/A,FALSE,"CJe0 backlog";#N/A,#N/A,FALSE,"Actual orders";#N/A,#N/A,FALSE,"CMS"}</definedName>
    <definedName name="wrn.aim.2" localSheetId="10" hidden="1">{#N/A,#N/A,FALSE,"AIM";#N/A,#N/A,FALSE,"Africa";#N/A,#N/A,FALSE,"India";#N/A,#N/A,FALSE,"Gulf";#N/A,#N/A,FALSE,"Saudi";#N/A,#N/A,FALSE,"CJe0 backlog";#N/A,#N/A,FALSE,"Actual orders";#N/A,#N/A,FALSE,"CMS"}</definedName>
    <definedName name="wrn.aim.2" localSheetId="6" hidden="1">{#N/A,#N/A,FALSE,"AIM";#N/A,#N/A,FALSE,"Africa";#N/A,#N/A,FALSE,"India";#N/A,#N/A,FALSE,"Gulf";#N/A,#N/A,FALSE,"Saudi";#N/A,#N/A,FALSE,"CJe0 backlog";#N/A,#N/A,FALSE,"Actual orders";#N/A,#N/A,FALSE,"CMS"}</definedName>
    <definedName name="wrn.aim.2" hidden="1">{#N/A,#N/A,FALSE,"AIM";#N/A,#N/A,FALSE,"Africa";#N/A,#N/A,FALSE,"India";#N/A,#N/A,FALSE,"Gulf";#N/A,#N/A,FALSE,"Saudi";#N/A,#N/A,FALSE,"CJe0 backlog";#N/A,#N/A,FALSE,"Actual orders";#N/A,#N/A,FALSE,"CMS"}</definedName>
    <definedName name="wrn.all." localSheetId="30" hidden="1">{#N/A,#N/A,FALSE,"1";#N/A,#N/A,FALSE,"2";#N/A,#N/A,FALSE,"3";#N/A,#N/A,FALSE,"4";#N/A,#N/A,FALSE,"5";#N/A,#N/A,FALSE,"6";#N/A,#N/A,FALSE,"7";#N/A,#N/A,FALSE,"8";#N/A,#N/A,FALSE,"9";#N/A,#N/A,FALSE,"10";#N/A,#N/A,FALSE,"11";#N/A,#N/A,FALSE,"12";#N/A,#N/A,FALSE,"13";#N/A,#N/A,FALSE,"14";#N/A,#N/A,FALSE,"15";#N/A,#N/A,FALSE,"16";#N/A,#N/A,FALSE,"17"}</definedName>
    <definedName name="wrn.all." localSheetId="31" hidden="1">{#N/A,#N/A,FALSE,"1";#N/A,#N/A,FALSE,"2";#N/A,#N/A,FALSE,"3";#N/A,#N/A,FALSE,"4";#N/A,#N/A,FALSE,"5";#N/A,#N/A,FALSE,"6";#N/A,#N/A,FALSE,"7";#N/A,#N/A,FALSE,"8";#N/A,#N/A,FALSE,"9";#N/A,#N/A,FALSE,"10";#N/A,#N/A,FALSE,"11";#N/A,#N/A,FALSE,"12";#N/A,#N/A,FALSE,"13";#N/A,#N/A,FALSE,"14";#N/A,#N/A,FALSE,"15";#N/A,#N/A,FALSE,"16";#N/A,#N/A,FALSE,"17"}</definedName>
    <definedName name="wrn.all." localSheetId="32" hidden="1">{#N/A,#N/A,FALSE,"1";#N/A,#N/A,FALSE,"2";#N/A,#N/A,FALSE,"3";#N/A,#N/A,FALSE,"4";#N/A,#N/A,FALSE,"5";#N/A,#N/A,FALSE,"6";#N/A,#N/A,FALSE,"7";#N/A,#N/A,FALSE,"8";#N/A,#N/A,FALSE,"9";#N/A,#N/A,FALSE,"10";#N/A,#N/A,FALSE,"11";#N/A,#N/A,FALSE,"12";#N/A,#N/A,FALSE,"13";#N/A,#N/A,FALSE,"14";#N/A,#N/A,FALSE,"15";#N/A,#N/A,FALSE,"16";#N/A,#N/A,FALSE,"17"}</definedName>
    <definedName name="wrn.all." localSheetId="10" hidden="1">{#N/A,#N/A,FALSE,"1";#N/A,#N/A,FALSE,"2";#N/A,#N/A,FALSE,"3";#N/A,#N/A,FALSE,"4";#N/A,#N/A,FALSE,"5";#N/A,#N/A,FALSE,"6";#N/A,#N/A,FALSE,"7";#N/A,#N/A,FALSE,"8";#N/A,#N/A,FALSE,"9";#N/A,#N/A,FALSE,"10";#N/A,#N/A,FALSE,"11";#N/A,#N/A,FALSE,"12";#N/A,#N/A,FALSE,"13";#N/A,#N/A,FALSE,"14";#N/A,#N/A,FALSE,"15";#N/A,#N/A,FALSE,"16";#N/A,#N/A,FALSE,"17"}</definedName>
    <definedName name="wrn.all." hidden="1">{#N/A,#N/A,FALSE,"1";#N/A,#N/A,FALSE,"2";#N/A,#N/A,FALSE,"3";#N/A,#N/A,FALSE,"4";#N/A,#N/A,FALSE,"5";#N/A,#N/A,FALSE,"6";#N/A,#N/A,FALSE,"7";#N/A,#N/A,FALSE,"8";#N/A,#N/A,FALSE,"9";#N/A,#N/A,FALSE,"10";#N/A,#N/A,FALSE,"11";#N/A,#N/A,FALSE,"12";#N/A,#N/A,FALSE,"13";#N/A,#N/A,FALSE,"14";#N/A,#N/A,FALSE,"15";#N/A,#N/A,FALSE,"16";#N/A,#N/A,FALSE,"17"}</definedName>
    <definedName name="wrn.All._.Reports." localSheetId="3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3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32"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0"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localSheetId="6"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Units." localSheetId="30" hidden="1">{"All Units",#N/A,FALSE,"Sheet1"}</definedName>
    <definedName name="wrn.All._.Units." localSheetId="31" hidden="1">{"All Units",#N/A,FALSE,"Sheet1"}</definedName>
    <definedName name="wrn.All._.Units." localSheetId="32" hidden="1">{"All Units",#N/A,FALSE,"Sheet1"}</definedName>
    <definedName name="wrn.All._.Units." localSheetId="10" hidden="1">{"All Units",#N/A,FALSE,"Sheet1"}</definedName>
    <definedName name="wrn.All._.Units." localSheetId="6" hidden="1">{"All Units",#N/A,FALSE,"Sheet1"}</definedName>
    <definedName name="wrn.All._.Units." hidden="1">{"All Units",#N/A,FALSE,"Sheet1"}</definedName>
    <definedName name="wrn.B.SHEET." localSheetId="30" hidden="1">{#N/A,#N/A,FALSE,"COMICRO";#N/A,#N/A,FALSE,"BALSCH";#N/A,#N/A,FALSE,"GLASS";#N/A,#N/A,FALSE,"DEPRE";#N/A,#N/A,FALSE,"A&amp;MCUR";#N/A,#N/A,FALSE,"AGEANAlysis";#N/A,#N/A,FALSE,"CHECKS";#N/A,#N/A,FALSE,"CHECKS"}</definedName>
    <definedName name="wrn.B.SHEET." localSheetId="31" hidden="1">{#N/A,#N/A,FALSE,"COMICRO";#N/A,#N/A,FALSE,"BALSCH";#N/A,#N/A,FALSE,"GLASS";#N/A,#N/A,FALSE,"DEPRE";#N/A,#N/A,FALSE,"A&amp;MCUR";#N/A,#N/A,FALSE,"AGEANAlysis";#N/A,#N/A,FALSE,"CHECKS";#N/A,#N/A,FALSE,"CHECKS"}</definedName>
    <definedName name="wrn.B.SHEET." localSheetId="32" hidden="1">{#N/A,#N/A,FALSE,"COMICRO";#N/A,#N/A,FALSE,"BALSCH";#N/A,#N/A,FALSE,"GLASS";#N/A,#N/A,FALSE,"DEPRE";#N/A,#N/A,FALSE,"A&amp;MCUR";#N/A,#N/A,FALSE,"AGEANAlysis";#N/A,#N/A,FALSE,"CHECKS";#N/A,#N/A,FALSE,"CHECKS"}</definedName>
    <definedName name="wrn.B.SHEET." localSheetId="10" hidden="1">{#N/A,#N/A,FALSE,"COMICRO";#N/A,#N/A,FALSE,"BALSCH";#N/A,#N/A,FALSE,"GLASS";#N/A,#N/A,FALSE,"DEPRE";#N/A,#N/A,FALSE,"A&amp;MCUR";#N/A,#N/A,FALSE,"AGEANAlysis";#N/A,#N/A,FALSE,"CHECKS";#N/A,#N/A,FALSE,"CHECKS"}</definedName>
    <definedName name="wrn.B.SHEET." localSheetId="1" hidden="1">{#N/A,#N/A,FALSE,"COMICRO";#N/A,#N/A,FALSE,"BALSCH";#N/A,#N/A,FALSE,"GLASS";#N/A,#N/A,FALSE,"DEPRE";#N/A,#N/A,FALSE,"A&amp;MCUR";#N/A,#N/A,FALSE,"AGEANAlysis";#N/A,#N/A,FALSE,"CHECKS";#N/A,#N/A,FALSE,"CHECKS"}</definedName>
    <definedName name="wrn.B.SHEET." localSheetId="6" hidden="1">{#N/A,#N/A,FALSE,"COMICRO";#N/A,#N/A,FALSE,"BALSCH";#N/A,#N/A,FALSE,"GLASS";#N/A,#N/A,FALSE,"DEPRE";#N/A,#N/A,FALSE,"A&amp;MCUR";#N/A,#N/A,FALSE,"AGEANAlysis";#N/A,#N/A,FALSE,"CHECKS";#N/A,#N/A,FALSE,"CHECKS"}</definedName>
    <definedName name="wrn.B.SHEET." hidden="1">{#N/A,#N/A,FALSE,"COMICRO";#N/A,#N/A,FALSE,"BALSCH";#N/A,#N/A,FALSE,"GLASS";#N/A,#N/A,FALSE,"DEPRE";#N/A,#N/A,FALSE,"A&amp;MCUR";#N/A,#N/A,FALSE,"AGEANAlysis";#N/A,#N/A,FALSE,"CHECKS";#N/A,#N/A,FALSE,"CHECKS"}</definedName>
    <definedName name="wrn.backup." localSheetId="30" hidden="1">{"financials",#N/A,FALSE,"BASIC";"interest",#N/A,FALSE,"BASIC";"leasing and financing",#N/A,FALSE,"BASIC";"returns back up",#N/A,FALSE,"BASIC"}</definedName>
    <definedName name="wrn.backup." localSheetId="31" hidden="1">{"financials",#N/A,FALSE,"BASIC";"interest",#N/A,FALSE,"BASIC";"leasing and financing",#N/A,FALSE,"BASIC";"returns back up",#N/A,FALSE,"BASIC"}</definedName>
    <definedName name="wrn.backup." localSheetId="32" hidden="1">{"financials",#N/A,FALSE,"BASIC";"interest",#N/A,FALSE,"BASIC";"leasing and financing",#N/A,FALSE,"BASIC";"returns back up",#N/A,FALSE,"BASIC"}</definedName>
    <definedName name="wrn.backup." localSheetId="10" hidden="1">{"financials",#N/A,FALSE,"BASIC";"interest",#N/A,FALSE,"BASIC";"leasing and financing",#N/A,FALSE,"BASIC";"returns back up",#N/A,FALSE,"BASIC"}</definedName>
    <definedName name="wrn.backup." localSheetId="6"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lance._.Sheet._.Accounts." localSheetId="30" hidden="1">{"Accrued (Bal Sht)",#N/A,FALSE,"Accrued";"Deposits (Balance Sheet)",#N/A,FALSE,"DEPOSITS";"Employee Adv (Bal Sht)",#N/A,FALSE,"EMPLOYADV";"401k (Balance Sheet)",#N/A,FALSE,"401K";"Goodwill (Balance Sheet)",#N/A,FALSE,"GOODWILL";"Prepaid Expense (Balance Sheet)",#N/A,FALSE,"PREPAID";"Payroll Tax (Balance Sheet)",#N/A,FALSE,"PR Tax Rec";"Income Tax (Balance Sheet)",#N/A,FALSE,"Inc Tax";"Wages Payable (Bal Sht)",#N/A,FALSE,"Wages_Payable";"Other Taxes Payable (Balance Sheet)",#N/A,FALSE,"Othr Tax";#N/A,#N/A,FALSE,"Cap Lease"}</definedName>
    <definedName name="wrn.Balance._.Sheet._.Accounts." localSheetId="31" hidden="1">{"Accrued (Bal Sht)",#N/A,FALSE,"Accrued";"Deposits (Balance Sheet)",#N/A,FALSE,"DEPOSITS";"Employee Adv (Bal Sht)",#N/A,FALSE,"EMPLOYADV";"401k (Balance Sheet)",#N/A,FALSE,"401K";"Goodwill (Balance Sheet)",#N/A,FALSE,"GOODWILL";"Prepaid Expense (Balance Sheet)",#N/A,FALSE,"PREPAID";"Payroll Tax (Balance Sheet)",#N/A,FALSE,"PR Tax Rec";"Income Tax (Balance Sheet)",#N/A,FALSE,"Inc Tax";"Wages Payable (Bal Sht)",#N/A,FALSE,"Wages_Payable";"Other Taxes Payable (Balance Sheet)",#N/A,FALSE,"Othr Tax";#N/A,#N/A,FALSE,"Cap Lease"}</definedName>
    <definedName name="wrn.Balance._.Sheet._.Accounts." localSheetId="32" hidden="1">{"Accrued (Bal Sht)",#N/A,FALSE,"Accrued";"Deposits (Balance Sheet)",#N/A,FALSE,"DEPOSITS";"Employee Adv (Bal Sht)",#N/A,FALSE,"EMPLOYADV";"401k (Balance Sheet)",#N/A,FALSE,"401K";"Goodwill (Balance Sheet)",#N/A,FALSE,"GOODWILL";"Prepaid Expense (Balance Sheet)",#N/A,FALSE,"PREPAID";"Payroll Tax (Balance Sheet)",#N/A,FALSE,"PR Tax Rec";"Income Tax (Balance Sheet)",#N/A,FALSE,"Inc Tax";"Wages Payable (Bal Sht)",#N/A,FALSE,"Wages_Payable";"Other Taxes Payable (Balance Sheet)",#N/A,FALSE,"Othr Tax";#N/A,#N/A,FALSE,"Cap Lease"}</definedName>
    <definedName name="wrn.Balance._.Sheet._.Accounts." localSheetId="10" hidden="1">{"Accrued (Bal Sht)",#N/A,FALSE,"Accrued";"Deposits (Balance Sheet)",#N/A,FALSE,"DEPOSITS";"Employee Adv (Bal Sht)",#N/A,FALSE,"EMPLOYADV";"401k (Balance Sheet)",#N/A,FALSE,"401K";"Goodwill (Balance Sheet)",#N/A,FALSE,"GOODWILL";"Prepaid Expense (Balance Sheet)",#N/A,FALSE,"PREPAID";"Payroll Tax (Balance Sheet)",#N/A,FALSE,"PR Tax Rec";"Income Tax (Balance Sheet)",#N/A,FALSE,"Inc Tax";"Wages Payable (Bal Sht)",#N/A,FALSE,"Wages_Payable";"Other Taxes Payable (Balance Sheet)",#N/A,FALSE,"Othr Tax";#N/A,#N/A,FALSE,"Cap Lease"}</definedName>
    <definedName name="wrn.Balance._.Sheet._.Accounts." localSheetId="6" hidden="1">{"Accrued (Bal Sht)",#N/A,FALSE,"Accrued";"Deposits (Balance Sheet)",#N/A,FALSE,"DEPOSITS";"Employee Adv (Bal Sht)",#N/A,FALSE,"EMPLOYADV";"401k (Balance Sheet)",#N/A,FALSE,"401K";"Goodwill (Balance Sheet)",#N/A,FALSE,"GOODWILL";"Prepaid Expense (Balance Sheet)",#N/A,FALSE,"PREPAID";"Payroll Tax (Balance Sheet)",#N/A,FALSE,"PR Tax Rec";"Income Tax (Balance Sheet)",#N/A,FALSE,"Inc Tax";"Wages Payable (Bal Sht)",#N/A,FALSE,"Wages_Payable";"Other Taxes Payable (Balance Sheet)",#N/A,FALSE,"Othr Tax";#N/A,#N/A,FALSE,"Cap Lease"}</definedName>
    <definedName name="wrn.Balance._.Sheet._.Accounts." hidden="1">{"Accrued (Bal Sht)",#N/A,FALSE,"Accrued";"Deposits (Balance Sheet)",#N/A,FALSE,"DEPOSITS";"Employee Adv (Bal Sht)",#N/A,FALSE,"EMPLOYADV";"401k (Balance Sheet)",#N/A,FALSE,"401K";"Goodwill (Balance Sheet)",#N/A,FALSE,"GOODWILL";"Prepaid Expense (Balance Sheet)",#N/A,FALSE,"PREPAID";"Payroll Tax (Balance Sheet)",#N/A,FALSE,"PR Tax Rec";"Income Tax (Balance Sheet)",#N/A,FALSE,"Inc Tax";"Wages Payable (Bal Sht)",#N/A,FALSE,"Wages_Payable";"Other Taxes Payable (Balance Sheet)",#N/A,FALSE,"Othr Tax";#N/A,#N/A,FALSE,"Cap Lease"}</definedName>
    <definedName name="wrn.Balance._.Sheet._.Rpts." localSheetId="30" hidden="1">{"Mgmt Bonus (Bal Sht)",#N/A,FALSE,"Mgmt Bonus Accrual";"Profit Sharing (Bal Sht)",#N/A,FALSE,"Profit Sharing Accrual"}</definedName>
    <definedName name="wrn.Balance._.Sheet._.Rpts." localSheetId="31" hidden="1">{"Mgmt Bonus (Bal Sht)",#N/A,FALSE,"Mgmt Bonus Accrual";"Profit Sharing (Bal Sht)",#N/A,FALSE,"Profit Sharing Accrual"}</definedName>
    <definedName name="wrn.Balance._.Sheet._.Rpts." localSheetId="32" hidden="1">{"Mgmt Bonus (Bal Sht)",#N/A,FALSE,"Mgmt Bonus Accrual";"Profit Sharing (Bal Sht)",#N/A,FALSE,"Profit Sharing Accrual"}</definedName>
    <definedName name="wrn.Balance._.Sheet._.Rpts." localSheetId="10" hidden="1">{"Mgmt Bonus (Bal Sht)",#N/A,FALSE,"Mgmt Bonus Accrual";"Profit Sharing (Bal Sht)",#N/A,FALSE,"Profit Sharing Accrual"}</definedName>
    <definedName name="wrn.Balance._.Sheet._.Rpts." localSheetId="6" hidden="1">{"Mgmt Bonus (Bal Sht)",#N/A,FALSE,"Mgmt Bonus Accrual";"Profit Sharing (Bal Sht)",#N/A,FALSE,"Profit Sharing Accrual"}</definedName>
    <definedName name="wrn.Balance._.Sheet._.Rpts." hidden="1">{"Mgmt Bonus (Bal Sht)",#N/A,FALSE,"Mgmt Bonus Accrual";"Profit Sharing (Bal Sht)",#N/A,FALSE,"Profit Sharing Accrual"}</definedName>
    <definedName name="wrn.bank._.model." localSheetId="30" hidden="1">{"banks",#N/A,FALSE,"BASIC"}</definedName>
    <definedName name="wrn.bank._.model." localSheetId="31" hidden="1">{"banks",#N/A,FALSE,"BASIC"}</definedName>
    <definedName name="wrn.bank._.model." localSheetId="32" hidden="1">{"banks",#N/A,FALSE,"BASIC"}</definedName>
    <definedName name="wrn.bank._.model." localSheetId="10" hidden="1">{"banks",#N/A,FALSE,"BASIC"}</definedName>
    <definedName name="wrn.bank._.model." localSheetId="6" hidden="1">{"banks",#N/A,FALSE,"BASIC"}</definedName>
    <definedName name="wrn.bank._.model." hidden="1">{"banks",#N/A,FALSE,"BASIC"}</definedName>
    <definedName name="wrn.Belgium_Total." localSheetId="30" hidden="1">{"Belgium_Total",#N/A,FALSE,"Belg Wksheet"}</definedName>
    <definedName name="wrn.Belgium_Total." localSheetId="31" hidden="1">{"Belgium_Total",#N/A,FALSE,"Belg Wksheet"}</definedName>
    <definedName name="wrn.Belgium_Total." localSheetId="32" hidden="1">{"Belgium_Total",#N/A,FALSE,"Belg Wksheet"}</definedName>
    <definedName name="wrn.Belgium_Total." localSheetId="10" hidden="1">{"Belgium_Total",#N/A,FALSE,"Belg Wksheet"}</definedName>
    <definedName name="wrn.Belgium_Total." localSheetId="1" hidden="1">{"Belgium_Total",#N/A,FALSE,"Belg Wksheet"}</definedName>
    <definedName name="wrn.Belgium_Total." localSheetId="6" hidden="1">{"Belgium_Total",#N/A,FALSE,"Belg Wksheet"}</definedName>
    <definedName name="wrn.Belgium_Total." hidden="1">{"Belgium_Total",#N/A,FALSE,"Belg Wksheet"}</definedName>
    <definedName name="wrn.BelgSummary." localSheetId="30" hidden="1">{"BelgSummary",#N/A,FALSE,"Belg Summary"}</definedName>
    <definedName name="wrn.BelgSummary." localSheetId="31" hidden="1">{"BelgSummary",#N/A,FALSE,"Belg Summary"}</definedName>
    <definedName name="wrn.BelgSummary." localSheetId="32" hidden="1">{"BelgSummary",#N/A,FALSE,"Belg Summary"}</definedName>
    <definedName name="wrn.BelgSummary." localSheetId="10" hidden="1">{"BelgSummary",#N/A,FALSE,"Belg Summary"}</definedName>
    <definedName name="wrn.BelgSummary." localSheetId="1" hidden="1">{"BelgSummary",#N/A,FALSE,"Belg Summary"}</definedName>
    <definedName name="wrn.BelgSummary." localSheetId="6" hidden="1">{"BelgSummary",#N/A,FALSE,"Belg Summary"}</definedName>
    <definedName name="wrn.BelgSummary." hidden="1">{"BelgSummary",#N/A,FALSE,"Belg Summary"}</definedName>
    <definedName name="wrn.Brief." localSheetId="30" hidden="1">{#N/A,#N/A,TRUE,"Summary";#N/A,#N/A,TRUE,"Balance Sheet";#N/A,#N/A,TRUE,"P &amp; L";#N/A,#N/A,TRUE,"Fixed Assets";#N/A,#N/A,TRUE,"Cash Flows"}</definedName>
    <definedName name="wrn.Brief." localSheetId="31" hidden="1">{#N/A,#N/A,TRUE,"Summary";#N/A,#N/A,TRUE,"Balance Sheet";#N/A,#N/A,TRUE,"P &amp; L";#N/A,#N/A,TRUE,"Fixed Assets";#N/A,#N/A,TRUE,"Cash Flows"}</definedName>
    <definedName name="wrn.Brief." localSheetId="32" hidden="1">{#N/A,#N/A,TRUE,"Summary";#N/A,#N/A,TRUE,"Balance Sheet";#N/A,#N/A,TRUE,"P &amp; L";#N/A,#N/A,TRUE,"Fixed Assets";#N/A,#N/A,TRUE,"Cash Flows"}</definedName>
    <definedName name="wrn.Brief." localSheetId="10" hidden="1">{#N/A,#N/A,TRUE,"Summary";#N/A,#N/A,TRUE,"Balance Sheet";#N/A,#N/A,TRUE,"P &amp; L";#N/A,#N/A,TRUE,"Fixed Assets";#N/A,#N/A,TRUE,"Cash Flows"}</definedName>
    <definedName name="wrn.Brief." hidden="1">{#N/A,#N/A,TRUE,"Summary";#N/A,#N/A,TRUE,"Balance Sheet";#N/A,#N/A,TRUE,"P &amp; L";#N/A,#N/A,TRUE,"Fixed Assets";#N/A,#N/A,TRUE,"Cash Flows"}</definedName>
    <definedName name="wrn.BS_ALL." localSheetId="30" hidden="1">{"BS","id_9000",FALSE,"BS";"BS","id_7007",FALSE,"BS"}</definedName>
    <definedName name="wrn.BS_ALL." localSheetId="31" hidden="1">{"BS","id_9000",FALSE,"BS";"BS","id_7007",FALSE,"BS"}</definedName>
    <definedName name="wrn.BS_ALL." localSheetId="32" hidden="1">{"BS","id_9000",FALSE,"BS";"BS","id_7007",FALSE,"BS"}</definedName>
    <definedName name="wrn.BS_ALL." localSheetId="10" hidden="1">{"BS","id_9000",FALSE,"BS";"BS","id_7007",FALSE,"BS"}</definedName>
    <definedName name="wrn.BS_ALL." localSheetId="6" hidden="1">{"BS","id_9000",FALSE,"BS";"BS","id_7007",FALSE,"BS"}</definedName>
    <definedName name="wrn.BS_ALL." hidden="1">{"BS","id_9000",FALSE,"BS";"BS","id_7007",FALSE,"BS"}</definedName>
    <definedName name="wrn.CALL._.SUCCESS._.RATE." localSheetId="30" hidden="1">{#N/A,#N/A,TRUE,"TOTALS";#N/A,#N/A,TRUE,"ROUTES"}</definedName>
    <definedName name="wrn.CALL._.SUCCESS._.RATE." localSheetId="31" hidden="1">{#N/A,#N/A,TRUE,"TOTALS";#N/A,#N/A,TRUE,"ROUTES"}</definedName>
    <definedName name="wrn.CALL._.SUCCESS._.RATE." localSheetId="32" hidden="1">{#N/A,#N/A,TRUE,"TOTALS";#N/A,#N/A,TRUE,"ROUTES"}</definedName>
    <definedName name="wrn.CALL._.SUCCESS._.RATE." localSheetId="10" hidden="1">{#N/A,#N/A,TRUE,"TOTALS";#N/A,#N/A,TRUE,"ROUTES"}</definedName>
    <definedName name="wrn.CALL._.SUCCESS._.RATE." localSheetId="1" hidden="1">{#N/A,#N/A,TRUE,"TOTALS";#N/A,#N/A,TRUE,"ROUTES"}</definedName>
    <definedName name="wrn.CALL._.SUCCESS._.RATE." localSheetId="6" hidden="1">{#N/A,#N/A,TRUE,"TOTALS";#N/A,#N/A,TRUE,"ROUTES"}</definedName>
    <definedName name="wrn.CALL._.SUCCESS._.RATE." hidden="1">{#N/A,#N/A,TRUE,"TOTALS";#N/A,#N/A,TRUE,"ROUTES"}</definedName>
    <definedName name="wrn.Cash." localSheetId="30" hidden="1">{"CashPrint",#N/A,FALSE,"Cash"}</definedName>
    <definedName name="wrn.Cash." localSheetId="31" hidden="1">{"CashPrint",#N/A,FALSE,"Cash"}</definedName>
    <definedName name="wrn.Cash." localSheetId="32" hidden="1">{"CashPrint",#N/A,FALSE,"Cash"}</definedName>
    <definedName name="wrn.Cash." localSheetId="10" hidden="1">{"CashPrint",#N/A,FALSE,"Cash"}</definedName>
    <definedName name="wrn.Cash." localSheetId="6" hidden="1">{"CashPrint",#N/A,FALSE,"Cash"}</definedName>
    <definedName name="wrn.Cash." hidden="1">{"CashPrint",#N/A,FALSE,"Cash"}</definedName>
    <definedName name="wrn.CDA._.Plan._.Page." localSheetId="30" hidden="1">{#N/A,#N/A,FALSE,"CDA Plan"}</definedName>
    <definedName name="wrn.CDA._.Plan._.Page." localSheetId="31" hidden="1">{#N/A,#N/A,FALSE,"CDA Plan"}</definedName>
    <definedName name="wrn.CDA._.Plan._.Page." localSheetId="32" hidden="1">{#N/A,#N/A,FALSE,"CDA Plan"}</definedName>
    <definedName name="wrn.CDA._.Plan._.Page." localSheetId="10" hidden="1">{#N/A,#N/A,FALSE,"CDA Plan"}</definedName>
    <definedName name="wrn.CDA._.Plan._.Page." localSheetId="1" hidden="1">{#N/A,#N/A,FALSE,"CDA Plan"}</definedName>
    <definedName name="wrn.CDA._.Plan._.Page." localSheetId="6" hidden="1">{#N/A,#N/A,FALSE,"CDA Plan"}</definedName>
    <definedName name="wrn.CDA._.Plan._.Page." hidden="1">{#N/A,#N/A,FALSE,"CDA Plan"}</definedName>
    <definedName name="wrn.Comptes95." localSheetId="30" hidden="1">{#N/A,#N/A,FALSE,"3";#N/A,#N/A,FALSE,"5";#N/A,#N/A,FALSE,"6";#N/A,#N/A,FALSE,"8";#N/A,#N/A,FALSE,"10";#N/A,#N/A,FALSE,"13";#N/A,#N/A,FALSE,"14";#N/A,#N/A,FALSE,"15";#N/A,#N/A,FALSE,"16"}</definedName>
    <definedName name="wrn.Comptes95." localSheetId="31" hidden="1">{#N/A,#N/A,FALSE,"3";#N/A,#N/A,FALSE,"5";#N/A,#N/A,FALSE,"6";#N/A,#N/A,FALSE,"8";#N/A,#N/A,FALSE,"10";#N/A,#N/A,FALSE,"13";#N/A,#N/A,FALSE,"14";#N/A,#N/A,FALSE,"15";#N/A,#N/A,FALSE,"16"}</definedName>
    <definedName name="wrn.Comptes95." localSheetId="32" hidden="1">{#N/A,#N/A,FALSE,"3";#N/A,#N/A,FALSE,"5";#N/A,#N/A,FALSE,"6";#N/A,#N/A,FALSE,"8";#N/A,#N/A,FALSE,"10";#N/A,#N/A,FALSE,"13";#N/A,#N/A,FALSE,"14";#N/A,#N/A,FALSE,"15";#N/A,#N/A,FALSE,"16"}</definedName>
    <definedName name="wrn.Comptes95." localSheetId="10" hidden="1">{#N/A,#N/A,FALSE,"3";#N/A,#N/A,FALSE,"5";#N/A,#N/A,FALSE,"6";#N/A,#N/A,FALSE,"8";#N/A,#N/A,FALSE,"10";#N/A,#N/A,FALSE,"13";#N/A,#N/A,FALSE,"14";#N/A,#N/A,FALSE,"15";#N/A,#N/A,FALSE,"16"}</definedName>
    <definedName name="wrn.Comptes95." localSheetId="6" hidden="1">{#N/A,#N/A,FALSE,"3";#N/A,#N/A,FALSE,"5";#N/A,#N/A,FALSE,"6";#N/A,#N/A,FALSE,"8";#N/A,#N/A,FALSE,"10";#N/A,#N/A,FALSE,"13";#N/A,#N/A,FALSE,"14";#N/A,#N/A,FALSE,"15";#N/A,#N/A,FALSE,"16"}</definedName>
    <definedName name="wrn.Comptes95." hidden="1">{#N/A,#N/A,FALSE,"3";#N/A,#N/A,FALSE,"5";#N/A,#N/A,FALSE,"6";#N/A,#N/A,FALSE,"8";#N/A,#N/A,FALSE,"10";#N/A,#N/A,FALSE,"13";#N/A,#N/A,FALSE,"14";#N/A,#N/A,FALSE,"15";#N/A,#N/A,FALSE,"16"}</definedName>
    <definedName name="wrn.country." localSheetId="30" hidden="1">{#N/A,#N/A,FALSE,"Operating income";#N/A,#N/A,FALSE,"Revenues";#N/A,#N/A,FALSE,"Alpha"}</definedName>
    <definedName name="wrn.country." localSheetId="31" hidden="1">{#N/A,#N/A,FALSE,"Operating income";#N/A,#N/A,FALSE,"Revenues";#N/A,#N/A,FALSE,"Alpha"}</definedName>
    <definedName name="wrn.country." localSheetId="32" hidden="1">{#N/A,#N/A,FALSE,"Operating income";#N/A,#N/A,FALSE,"Revenues";#N/A,#N/A,FALSE,"Alpha"}</definedName>
    <definedName name="wrn.country." localSheetId="10" hidden="1">{#N/A,#N/A,FALSE,"Operating income";#N/A,#N/A,FALSE,"Revenues";#N/A,#N/A,FALSE,"Alpha"}</definedName>
    <definedName name="wrn.country." localSheetId="6" hidden="1">{#N/A,#N/A,FALSE,"Operating income";#N/A,#N/A,FALSE,"Revenues";#N/A,#N/A,FALSE,"Alpha"}</definedName>
    <definedName name="wrn.country." hidden="1">{#N/A,#N/A,FALSE,"Operating income";#N/A,#N/A,FALSE,"Revenues";#N/A,#N/A,FALSE,"Alpha"}</definedName>
    <definedName name="wrn.Country._.Summary." localSheetId="30" hidden="1">{"Summary",#N/A,FALSE,"Country Summary"}</definedName>
    <definedName name="wrn.Country._.Summary." localSheetId="31" hidden="1">{"Summary",#N/A,FALSE,"Country Summary"}</definedName>
    <definedName name="wrn.Country._.Summary." localSheetId="32" hidden="1">{"Summary",#N/A,FALSE,"Country Summary"}</definedName>
    <definedName name="wrn.Country._.Summary." localSheetId="10" hidden="1">{"Summary",#N/A,FALSE,"Country Summary"}</definedName>
    <definedName name="wrn.Country._.Summary." localSheetId="1" hidden="1">{"Summary",#N/A,FALSE,"Country Summary"}</definedName>
    <definedName name="wrn.Country._.Summary." localSheetId="6" hidden="1">{"Summary",#N/A,FALSE,"Country Summary"}</definedName>
    <definedName name="wrn.Country._.Summary." hidden="1">{"Summary",#N/A,FALSE,"Country Summary"}</definedName>
    <definedName name="wrn.Country._.Worksheet." localSheetId="30" hidden="1">{"WkSheet",#N/A,FALSE,"Country Wksheet"}</definedName>
    <definedName name="wrn.Country._.Worksheet." localSheetId="31" hidden="1">{"WkSheet",#N/A,FALSE,"Country Wksheet"}</definedName>
    <definedName name="wrn.Country._.Worksheet." localSheetId="32" hidden="1">{"WkSheet",#N/A,FALSE,"Country Wksheet"}</definedName>
    <definedName name="wrn.Country._.Worksheet." localSheetId="10" hidden="1">{"WkSheet",#N/A,FALSE,"Country Wksheet"}</definedName>
    <definedName name="wrn.Country._.Worksheet." localSheetId="1" hidden="1">{"WkSheet",#N/A,FALSE,"Country Wksheet"}</definedName>
    <definedName name="wrn.Country._.Worksheet." localSheetId="6" hidden="1">{"WkSheet",#N/A,FALSE,"Country Wksheet"}</definedName>
    <definedName name="wrn.Country._.Worksheet." hidden="1">{"WkSheet",#N/A,FALSE,"Country Wksheet"}</definedName>
    <definedName name="wrn.Data._.Reduction." localSheetId="30" hidden="1">{"Inputs",#N/A,FALSE,"Data Reduction";"Outputs",#N/A,FALSE,"Data Reduction";"Cycle Deck Comparison",#N/A,FALSE,"Data Reduction"}</definedName>
    <definedName name="wrn.Data._.Reduction." localSheetId="31" hidden="1">{"Inputs",#N/A,FALSE,"Data Reduction";"Outputs",#N/A,FALSE,"Data Reduction";"Cycle Deck Comparison",#N/A,FALSE,"Data Reduction"}</definedName>
    <definedName name="wrn.Data._.Reduction." localSheetId="32" hidden="1">{"Inputs",#N/A,FALSE,"Data Reduction";"Outputs",#N/A,FALSE,"Data Reduction";"Cycle Deck Comparison",#N/A,FALSE,"Data Reduction"}</definedName>
    <definedName name="wrn.Data._.Reduction." localSheetId="10" hidden="1">{"Inputs",#N/A,FALSE,"Data Reduction";"Outputs",#N/A,FALSE,"Data Reduction";"Cycle Deck Comparison",#N/A,FALSE,"Data Reduction"}</definedName>
    <definedName name="wrn.Data._.Reduction." localSheetId="6" hidden="1">{"Inputs",#N/A,FALSE,"Data Reduction";"Outputs",#N/A,FALSE,"Data Reduction";"Cycle Deck Comparison",#N/A,FALSE,"Data Reduction"}</definedName>
    <definedName name="wrn.Data._.Reduction." hidden="1">{"Inputs",#N/A,FALSE,"Data Reduction";"Outputs",#N/A,FALSE,"Data Reduction";"Cycle Deck Comparison",#N/A,FALSE,"Data Reduction"}</definedName>
    <definedName name="wrn.Default._.Document._.for._.9351FB." localSheetId="30"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wrn.Default._.Document._.for._.9351FB." localSheetId="31"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wrn.Default._.Document._.for._.9351FB." localSheetId="32"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wrn.Default._.Document._.for._.9351FB." localSheetId="10"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wrn.Default._.Document._.for._.9351FB." localSheetId="6"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wrn.Default._.Document._.for._.9351FB." hidden="1">{#N/A,#N/A,TRUE,"Defaults";#N/A,#N/A,TRUE,"Tab 1. Concerns";#N/A,#N/A,TRUE,"Tab 2. Upsides";#N/A,#N/A,TRUE,"Fig. 1 Geom";#N/A,#N/A,TRUE,"A1.0 Consumable Parts Data";#N/A,#N/A,TRUE,"A1.1 Part Costs";#N/A,#N/A,TRUE,"A1.2 LTSA Cost";#N/A,#N/A,TRUE,"A1.3 Repair Costs";#N/A,#N/A,TRUE,"A1.4 Part Lives";#N/A,#N/A,TRUE,"A1.5 Repair Lives";#N/A,#N/A,TRUE,"A1.6 Fallout";#N/A,#N/A,TRUE,"App.2.0 Flows_Summary";#N/A,#N/A,TRUE,"App.2.1 Flows_Details"}</definedName>
    <definedName name="wrn.Depotübersicht." localSheetId="30" hidden="1">{#N/A,#N/A,FALSE,"Tabelle1"}</definedName>
    <definedName name="wrn.Depotübersicht." localSheetId="31" hidden="1">{#N/A,#N/A,FALSE,"Tabelle1"}</definedName>
    <definedName name="wrn.Depotübersicht." localSheetId="32" hidden="1">{#N/A,#N/A,FALSE,"Tabelle1"}</definedName>
    <definedName name="wrn.Depotübersicht." localSheetId="10" hidden="1">{#N/A,#N/A,FALSE,"Tabelle1"}</definedName>
    <definedName name="wrn.Depotübersicht." localSheetId="6" hidden="1">{#N/A,#N/A,FALSE,"Tabelle1"}</definedName>
    <definedName name="wrn.Depotübersicht." hidden="1">{#N/A,#N/A,FALSE,"Tabelle1"}</definedName>
    <definedName name="wrn.Elaborate." localSheetId="30" hidden="1">{#N/A,#N/A,FALSE,"Cash Flows";#N/A,#N/A,FALSE,"Fixed Assets";#N/A,#N/A,FALSE,"Balance Sheet";#N/A,#N/A,FALSE,"P &amp; L"}</definedName>
    <definedName name="wrn.Elaborate." localSheetId="31" hidden="1">{#N/A,#N/A,FALSE,"Cash Flows";#N/A,#N/A,FALSE,"Fixed Assets";#N/A,#N/A,FALSE,"Balance Sheet";#N/A,#N/A,FALSE,"P &amp; L"}</definedName>
    <definedName name="wrn.Elaborate." localSheetId="32" hidden="1">{#N/A,#N/A,FALSE,"Cash Flows";#N/A,#N/A,FALSE,"Fixed Assets";#N/A,#N/A,FALSE,"Balance Sheet";#N/A,#N/A,FALSE,"P &amp; L"}</definedName>
    <definedName name="wrn.Elaborate." localSheetId="10" hidden="1">{#N/A,#N/A,FALSE,"Cash Flows";#N/A,#N/A,FALSE,"Fixed Assets";#N/A,#N/A,FALSE,"Balance Sheet";#N/A,#N/A,FALSE,"P &amp; L"}</definedName>
    <definedName name="wrn.Elaborate." hidden="1">{#N/A,#N/A,FALSE,"Cash Flows";#N/A,#N/A,FALSE,"Fixed Assets";#N/A,#N/A,FALSE,"Balance Sheet";#N/A,#N/A,FALSE,"P &amp; L"}</definedName>
    <definedName name="wrn.Emg._.report." localSheetId="30" hidden="1">{#N/A,#N/A,FALSE,"Emerging Mkt Fund"}</definedName>
    <definedName name="wrn.Emg._.report." localSheetId="31" hidden="1">{#N/A,#N/A,FALSE,"Emerging Mkt Fund"}</definedName>
    <definedName name="wrn.Emg._.report." localSheetId="32" hidden="1">{#N/A,#N/A,FALSE,"Emerging Mkt Fund"}</definedName>
    <definedName name="wrn.Emg._.report." localSheetId="10" hidden="1">{#N/A,#N/A,FALSE,"Emerging Mkt Fund"}</definedName>
    <definedName name="wrn.Emg._.report." hidden="1">{#N/A,#N/A,FALSE,"Emerging Mkt Fund"}</definedName>
    <definedName name="wrn.EMM._.detail._.edition." localSheetId="30" hidden="1">{#N/A,#N/A,TRUE,"Cover";#N/A,#N/A,TRUE,"Content";"Orders EMM",#N/A,TRUE,"Order Sales";"project EMM",#N/A,TRUE,"Project Control";"Cash EMM",#N/A,TRUE,"Cash Control";"KPI EMM",#N/A,TRUE,"KPI-EMM";"Empl EMM",#N/A,TRUE,"Employees"}</definedName>
    <definedName name="wrn.EMM._.detail._.edition." localSheetId="31" hidden="1">{#N/A,#N/A,TRUE,"Cover";#N/A,#N/A,TRUE,"Content";"Orders EMM",#N/A,TRUE,"Order Sales";"project EMM",#N/A,TRUE,"Project Control";"Cash EMM",#N/A,TRUE,"Cash Control";"KPI EMM",#N/A,TRUE,"KPI-EMM";"Empl EMM",#N/A,TRUE,"Employees"}</definedName>
    <definedName name="wrn.EMM._.detail._.edition." localSheetId="32" hidden="1">{#N/A,#N/A,TRUE,"Cover";#N/A,#N/A,TRUE,"Content";"Orders EMM",#N/A,TRUE,"Order Sales";"project EMM",#N/A,TRUE,"Project Control";"Cash EMM",#N/A,TRUE,"Cash Control";"KPI EMM",#N/A,TRUE,"KPI-EMM";"Empl EMM",#N/A,TRUE,"Employees"}</definedName>
    <definedName name="wrn.EMM._.detail._.edition." localSheetId="10" hidden="1">{#N/A,#N/A,TRUE,"Cover";#N/A,#N/A,TRUE,"Content";"Orders EMM",#N/A,TRUE,"Order Sales";"project EMM",#N/A,TRUE,"Project Control";"Cash EMM",#N/A,TRUE,"Cash Control";"KPI EMM",#N/A,TRUE,"KPI-EMM";"Empl EMM",#N/A,TRUE,"Employees"}</definedName>
    <definedName name="wrn.EMM._.detail._.edition." localSheetId="6" hidden="1">{#N/A,#N/A,TRUE,"Cover";#N/A,#N/A,TRUE,"Content";"Orders EMM",#N/A,TRUE,"Order Sales";"project EMM",#N/A,TRUE,"Project Control";"Cash EMM",#N/A,TRUE,"Cash Control";"KPI EMM",#N/A,TRUE,"KPI-EMM";"Empl EMM",#N/A,TRUE,"Employees"}</definedName>
    <definedName name="wrn.EMM._.detail._.edition." hidden="1">{#N/A,#N/A,TRUE,"Cover";#N/A,#N/A,TRUE,"Content";"Orders EMM",#N/A,TRUE,"Order Sales";"project EMM",#N/A,TRUE,"Project Control";"Cash EMM",#N/A,TRUE,"Cash Control";"KPI EMM",#N/A,TRUE,"KPI-EMM";"Empl EMM",#N/A,TRUE,"Employees"}</definedName>
    <definedName name="wrn.falmex.xls." localSheetId="30"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wrn.falmex.xls." localSheetId="31"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wrn.falmex.xls." localSheetId="32"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wrn.falmex.xls." localSheetId="10"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wrn.falmex.xls."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wrn.falmexb.xls." localSheetId="30" hidden="1">{#N/A,#N/A,FALSE,"GEMINA";#N/A,#N/A,FALSE,"VIRGO";#N/A,#N/A,FALSE,"TAURUS + MIMOSA";#N/A,#N/A,FALSE,"FLEET FAL &amp; MEX 2";#N/A,#N/A,FALSE,"AQUARIUS + ORION";#N/A,#N/A,FALSE,"PASCAL";#N/A,#N/A,FALSE,"SAGITTA";#N/A,#N/A,FALSE,"VELA";#N/A,#N/A,FALSE,"ANTARES";#N/A,#N/A,FALSE,"TANIA";#N/A,#N/A,FALSE,"TBN PASTEUR"}</definedName>
    <definedName name="wrn.falmexb.xls." localSheetId="31" hidden="1">{#N/A,#N/A,FALSE,"GEMINA";#N/A,#N/A,FALSE,"VIRGO";#N/A,#N/A,FALSE,"TAURUS + MIMOSA";#N/A,#N/A,FALSE,"FLEET FAL &amp; MEX 2";#N/A,#N/A,FALSE,"AQUARIUS + ORION";#N/A,#N/A,FALSE,"PASCAL";#N/A,#N/A,FALSE,"SAGITTA";#N/A,#N/A,FALSE,"VELA";#N/A,#N/A,FALSE,"ANTARES";#N/A,#N/A,FALSE,"TANIA";#N/A,#N/A,FALSE,"TBN PASTEUR"}</definedName>
    <definedName name="wrn.falmexb.xls." localSheetId="32" hidden="1">{#N/A,#N/A,FALSE,"GEMINA";#N/A,#N/A,FALSE,"VIRGO";#N/A,#N/A,FALSE,"TAURUS + MIMOSA";#N/A,#N/A,FALSE,"FLEET FAL &amp; MEX 2";#N/A,#N/A,FALSE,"AQUARIUS + ORION";#N/A,#N/A,FALSE,"PASCAL";#N/A,#N/A,FALSE,"SAGITTA";#N/A,#N/A,FALSE,"VELA";#N/A,#N/A,FALSE,"ANTARES";#N/A,#N/A,FALSE,"TANIA";#N/A,#N/A,FALSE,"TBN PASTEUR"}</definedName>
    <definedName name="wrn.falmexb.xls." localSheetId="10" hidden="1">{#N/A,#N/A,FALSE,"GEMINA";#N/A,#N/A,FALSE,"VIRGO";#N/A,#N/A,FALSE,"TAURUS + MIMOSA";#N/A,#N/A,FALSE,"FLEET FAL &amp; MEX 2";#N/A,#N/A,FALSE,"AQUARIUS + ORION";#N/A,#N/A,FALSE,"PASCAL";#N/A,#N/A,FALSE,"SAGITTA";#N/A,#N/A,FALSE,"VELA";#N/A,#N/A,FALSE,"ANTARES";#N/A,#N/A,FALSE,"TANIA";#N/A,#N/A,FALSE,"TBN PASTEUR"}</definedName>
    <definedName name="wrn.falmexb.xls." hidden="1">{#N/A,#N/A,FALSE,"GEMINA";#N/A,#N/A,FALSE,"VIRGO";#N/A,#N/A,FALSE,"TAURUS + MIMOSA";#N/A,#N/A,FALSE,"FLEET FAL &amp; MEX 2";#N/A,#N/A,FALSE,"AQUARIUS + ORION";#N/A,#N/A,FALSE,"PASCAL";#N/A,#N/A,FALSE,"SAGITTA";#N/A,#N/A,FALSE,"VELA";#N/A,#N/A,FALSE,"ANTARES";#N/A,#N/A,FALSE,"TANIA";#N/A,#N/A,FALSE,"TBN PASTEUR"}</definedName>
    <definedName name="wrn.Financial._.Pkg." localSheetId="30" hidden="1">{#N/A,#N/A,FALSE,"401K";"Goodwill (Financial)",#N/A,FALSE,"GOODWILL"}</definedName>
    <definedName name="wrn.Financial._.Pkg." localSheetId="31" hidden="1">{#N/A,#N/A,FALSE,"401K";"Goodwill (Financial)",#N/A,FALSE,"GOODWILL"}</definedName>
    <definedName name="wrn.Financial._.Pkg." localSheetId="32" hidden="1">{#N/A,#N/A,FALSE,"401K";"Goodwill (Financial)",#N/A,FALSE,"GOODWILL"}</definedName>
    <definedName name="wrn.Financial._.Pkg." localSheetId="10" hidden="1">{#N/A,#N/A,FALSE,"401K";"Goodwill (Financial)",#N/A,FALSE,"GOODWILL"}</definedName>
    <definedName name="wrn.Financial._.Pkg." localSheetId="6" hidden="1">{#N/A,#N/A,FALSE,"401K";"Goodwill (Financial)",#N/A,FALSE,"GOODWILL"}</definedName>
    <definedName name="wrn.Financial._.Pkg." hidden="1">{#N/A,#N/A,FALSE,"401K";"Goodwill (Financial)",#N/A,FALSE,"GOODWILL"}</definedName>
    <definedName name="wrn.Financials._.April._.02._.Rs._.000." localSheetId="3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April._.02._.Rs._.000." localSheetId="31"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April._.02._.Rs._.000." localSheetId="32"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April._.02._.Rs._.000." localSheetId="1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April._.02._.Rs._.000." localSheetId="1"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April._.02._.Rs._.000." localSheetId="6"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April._.02._.Rs._.00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ORM1." localSheetId="1" hidden="1">{#N/A,#N/A,FALSE,"COMP"}</definedName>
    <definedName name="wrn.full._.report." localSheetId="3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3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3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1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6"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grafico." localSheetId="30" hidden="1">{#N/A,#N/A,FALSE,"Graficos    ( 9 )"}</definedName>
    <definedName name="wrn.grafico." localSheetId="31" hidden="1">{#N/A,#N/A,FALSE,"Graficos    ( 9 )"}</definedName>
    <definedName name="wrn.grafico." localSheetId="32" hidden="1">{#N/A,#N/A,FALSE,"Graficos    ( 9 )"}</definedName>
    <definedName name="wrn.grafico." localSheetId="10" hidden="1">{#N/A,#N/A,FALSE,"Graficos    ( 9 )"}</definedName>
    <definedName name="wrn.grafico." localSheetId="6" hidden="1">{#N/A,#N/A,FALSE,"Graficos    ( 9 )"}</definedName>
    <definedName name="wrn.grafico." hidden="1">{#N/A,#N/A,FALSE,"Graficos    ( 9 )"}</definedName>
    <definedName name="wrn.Graph._.edition." localSheetId="30" hidden="1">{#N/A,#N/A,FALSE,"KPI-EMM-Graph";#N/A,#N/A,FALSE,"Cost Graph";#N/A,#N/A,FALSE,"Cash graph";#N/A,#N/A,FALSE,"Order Sales Graph"}</definedName>
    <definedName name="wrn.Graph._.edition." localSheetId="31" hidden="1">{#N/A,#N/A,FALSE,"KPI-EMM-Graph";#N/A,#N/A,FALSE,"Cost Graph";#N/A,#N/A,FALSE,"Cash graph";#N/A,#N/A,FALSE,"Order Sales Graph"}</definedName>
    <definedName name="wrn.Graph._.edition." localSheetId="32" hidden="1">{#N/A,#N/A,FALSE,"KPI-EMM-Graph";#N/A,#N/A,FALSE,"Cost Graph";#N/A,#N/A,FALSE,"Cash graph";#N/A,#N/A,FALSE,"Order Sales Graph"}</definedName>
    <definedName name="wrn.Graph._.edition." localSheetId="10" hidden="1">{#N/A,#N/A,FALSE,"KPI-EMM-Graph";#N/A,#N/A,FALSE,"Cost Graph";#N/A,#N/A,FALSE,"Cash graph";#N/A,#N/A,FALSE,"Order Sales Graph"}</definedName>
    <definedName name="wrn.Graph._.edition." localSheetId="6" hidden="1">{#N/A,#N/A,FALSE,"KPI-EMM-Graph";#N/A,#N/A,FALSE,"Cost Graph";#N/A,#N/A,FALSE,"Cash graph";#N/A,#N/A,FALSE,"Order Sales Graph"}</definedName>
    <definedName name="wrn.Graph._.edition." hidden="1">{#N/A,#N/A,FALSE,"KPI-EMM-Graph";#N/A,#N/A,FALSE,"Cost Graph";#N/A,#N/A,FALSE,"Cash graph";#N/A,#N/A,FALSE,"Order Sales Graph"}</definedName>
    <definedName name="wrn.impress." localSheetId="30" hidden="1">{#N/A,#N/A,FALSE,"Ventilation";#N/A,#N/A,FALSE,"Courbe1";#N/A,#N/A,FALSE,"Courbe2"}</definedName>
    <definedName name="wrn.impress." localSheetId="31" hidden="1">{#N/A,#N/A,FALSE,"Ventilation";#N/A,#N/A,FALSE,"Courbe1";#N/A,#N/A,FALSE,"Courbe2"}</definedName>
    <definedName name="wrn.impress." localSheetId="32" hidden="1">{#N/A,#N/A,FALSE,"Ventilation";#N/A,#N/A,FALSE,"Courbe1";#N/A,#N/A,FALSE,"Courbe2"}</definedName>
    <definedName name="wrn.impress." localSheetId="10" hidden="1">{#N/A,#N/A,FALSE,"Ventilation";#N/A,#N/A,FALSE,"Courbe1";#N/A,#N/A,FALSE,"Courbe2"}</definedName>
    <definedName name="wrn.impress." localSheetId="6" hidden="1">{#N/A,#N/A,FALSE,"Ventilation";#N/A,#N/A,FALSE,"Courbe1";#N/A,#N/A,FALSE,"Courbe2"}</definedName>
    <definedName name="wrn.impress." hidden="1">{#N/A,#N/A,FALSE,"Ventilation";#N/A,#N/A,FALSE,"Courbe1";#N/A,#N/A,FALSE,"Courbe2"}</definedName>
    <definedName name="wrn.imprim." localSheetId="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DICADORES." localSheetId="30" hidden="1">{"PARTE1",#N/A,FALSE,"Plan1"}</definedName>
    <definedName name="wrn.INDICADORES." localSheetId="31" hidden="1">{"PARTE1",#N/A,FALSE,"Plan1"}</definedName>
    <definedName name="wrn.INDICADORES." localSheetId="32" hidden="1">{"PARTE1",#N/A,FALSE,"Plan1"}</definedName>
    <definedName name="wrn.INDICADORES." localSheetId="10" hidden="1">{"PARTE1",#N/A,FALSE,"Plan1"}</definedName>
    <definedName name="wrn.INDICADORES." localSheetId="6" hidden="1">{"PARTE1",#N/A,FALSE,"Plan1"}</definedName>
    <definedName name="wrn.INDICADORES." hidden="1">{"PARTE1",#N/A,FALSE,"Plan1"}</definedName>
    <definedName name="wrn.inventario._.97._.Act." localSheetId="30" hidden="1">{"inventory",#N/A,FALSE,"Inven. Turns 97 Act";"sales",#N/A,FALSE,"Inven. Turns 97 Act";"turns",#N/A,FALSE,"Inven. Turns 97 Act";"days",#N/A,FALSE,"Inven. Turns 97 Act"}</definedName>
    <definedName name="wrn.inventario._.97._.Act." localSheetId="31" hidden="1">{"inventory",#N/A,FALSE,"Inven. Turns 97 Act";"sales",#N/A,FALSE,"Inven. Turns 97 Act";"turns",#N/A,FALSE,"Inven. Turns 97 Act";"days",#N/A,FALSE,"Inven. Turns 97 Act"}</definedName>
    <definedName name="wrn.inventario._.97._.Act." localSheetId="32" hidden="1">{"inventory",#N/A,FALSE,"Inven. Turns 97 Act";"sales",#N/A,FALSE,"Inven. Turns 97 Act";"turns",#N/A,FALSE,"Inven. Turns 97 Act";"days",#N/A,FALSE,"Inven. Turns 97 Act"}</definedName>
    <definedName name="wrn.inventario._.97._.Act." localSheetId="10" hidden="1">{"inventory",#N/A,FALSE,"Inven. Turns 97 Act";"sales",#N/A,FALSE,"Inven. Turns 97 Act";"turns",#N/A,FALSE,"Inven. Turns 97 Act";"days",#N/A,FALSE,"Inven. Turns 97 Act"}</definedName>
    <definedName name="wrn.inventario._.97._.Act." localSheetId="6" hidden="1">{"inventory",#N/A,FALSE,"Inven. Turns 97 Act";"sales",#N/A,FALSE,"Inven. Turns 97 Act";"turns",#N/A,FALSE,"Inven. Turns 97 Act";"days",#N/A,FALSE,"Inven. Turns 97 Act"}</definedName>
    <definedName name="wrn.inventario._.97._.Act." hidden="1">{"inventory",#N/A,FALSE,"Inven. Turns 97 Act";"sales",#N/A,FALSE,"Inven. Turns 97 Act";"turns",#N/A,FALSE,"Inven. Turns 97 Act";"days",#N/A,FALSE,"Inven. Turns 97 Act"}</definedName>
    <definedName name="wrn.inventario._.97._.OP." localSheetId="30" hidden="1">{"inventory",#N/A,TRUE,"Inven. Turns 97 OP";"sales",#N/A,TRUE,"Inven. Turns 97 OP";"turns",#N/A,TRUE,"Inven. Turns 97 OP";"days",#N/A,TRUE,"Inven. Turns 97 OP"}</definedName>
    <definedName name="wrn.inventario._.97._.OP." localSheetId="31" hidden="1">{"inventory",#N/A,TRUE,"Inven. Turns 97 OP";"sales",#N/A,TRUE,"Inven. Turns 97 OP";"turns",#N/A,TRUE,"Inven. Turns 97 OP";"days",#N/A,TRUE,"Inven. Turns 97 OP"}</definedName>
    <definedName name="wrn.inventario._.97._.OP." localSheetId="32" hidden="1">{"inventory",#N/A,TRUE,"Inven. Turns 97 OP";"sales",#N/A,TRUE,"Inven. Turns 97 OP";"turns",#N/A,TRUE,"Inven. Turns 97 OP";"days",#N/A,TRUE,"Inven. Turns 97 OP"}</definedName>
    <definedName name="wrn.inventario._.97._.OP." localSheetId="10" hidden="1">{"inventory",#N/A,TRUE,"Inven. Turns 97 OP";"sales",#N/A,TRUE,"Inven. Turns 97 OP";"turns",#N/A,TRUE,"Inven. Turns 97 OP";"days",#N/A,TRUE,"Inven. Turns 97 OP"}</definedName>
    <definedName name="wrn.inventario._.97._.OP." localSheetId="6" hidden="1">{"inventory",#N/A,TRUE,"Inven. Turns 97 OP";"sales",#N/A,TRUE,"Inven. Turns 97 OP";"turns",#N/A,TRUE,"Inven. Turns 97 OP";"days",#N/A,TRUE,"Inven. Turns 97 OP"}</definedName>
    <definedName name="wrn.inventario._.97._.OP." hidden="1">{"inventory",#N/A,TRUE,"Inven. Turns 97 OP";"sales",#N/A,TRUE,"Inven. Turns 97 OP";"turns",#N/A,TRUE,"Inven. Turns 97 OP";"days",#N/A,TRUE,"Inven. Turns 97 OP"}</definedName>
    <definedName name="wrn.inventario._.97._.Rep." localSheetId="30" hidden="1">{"inventory",#N/A,FALSE,"Inven. Turns 97 Rep";"sales",#N/A,FALSE,"Inven. Turns 97 Rep";"turns",#N/A,FALSE,"Inven. Turns 97 Rep";"days",#N/A,FALSE,"Inven. Turns 97 Rep"}</definedName>
    <definedName name="wrn.inventario._.97._.Rep." localSheetId="31" hidden="1">{"inventory",#N/A,FALSE,"Inven. Turns 97 Rep";"sales",#N/A,FALSE,"Inven. Turns 97 Rep";"turns",#N/A,FALSE,"Inven. Turns 97 Rep";"days",#N/A,FALSE,"Inven. Turns 97 Rep"}</definedName>
    <definedName name="wrn.inventario._.97._.Rep." localSheetId="32" hidden="1">{"inventory",#N/A,FALSE,"Inven. Turns 97 Rep";"sales",#N/A,FALSE,"Inven. Turns 97 Rep";"turns",#N/A,FALSE,"Inven. Turns 97 Rep";"days",#N/A,FALSE,"Inven. Turns 97 Rep"}</definedName>
    <definedName name="wrn.inventario._.97._.Rep." localSheetId="10" hidden="1">{"inventory",#N/A,FALSE,"Inven. Turns 97 Rep";"sales",#N/A,FALSE,"Inven. Turns 97 Rep";"turns",#N/A,FALSE,"Inven. Turns 97 Rep";"days",#N/A,FALSE,"Inven. Turns 97 Rep"}</definedName>
    <definedName name="wrn.inventario._.97._.Rep." localSheetId="6" hidden="1">{"inventory",#N/A,FALSE,"Inven. Turns 97 Rep";"sales",#N/A,FALSE,"Inven. Turns 97 Rep";"turns",#N/A,FALSE,"Inven. Turns 97 Rep";"days",#N/A,FALSE,"Inven. Turns 97 Rep"}</definedName>
    <definedName name="wrn.inventario._.97._.Rep." hidden="1">{"inventory",#N/A,FALSE,"Inven. Turns 97 Rep";"sales",#N/A,FALSE,"Inven. Turns 97 Rep";"turns",#N/A,FALSE,"Inven. Turns 97 Rep";"days",#N/A,FALSE,"Inven. Turns 97 Rep"}</definedName>
    <definedName name="wrn.inventario96." localSheetId="30" hidden="1">{"Inventory",#N/A,TRUE,"Inven. Turns 1996";"sales",#N/A,TRUE,"Inven. Turns 1996";"Turns",#N/A,TRUE,"Inven. Turns 1996";"days",#N/A,TRUE,"Inven. Turns 1996"}</definedName>
    <definedName name="wrn.inventario96." localSheetId="31" hidden="1">{"Inventory",#N/A,TRUE,"Inven. Turns 1996";"sales",#N/A,TRUE,"Inven. Turns 1996";"Turns",#N/A,TRUE,"Inven. Turns 1996";"days",#N/A,TRUE,"Inven. Turns 1996"}</definedName>
    <definedName name="wrn.inventario96." localSheetId="32" hidden="1">{"Inventory",#N/A,TRUE,"Inven. Turns 1996";"sales",#N/A,TRUE,"Inven. Turns 1996";"Turns",#N/A,TRUE,"Inven. Turns 1996";"days",#N/A,TRUE,"Inven. Turns 1996"}</definedName>
    <definedName name="wrn.inventario96." localSheetId="10" hidden="1">{"Inventory",#N/A,TRUE,"Inven. Turns 1996";"sales",#N/A,TRUE,"Inven. Turns 1996";"Turns",#N/A,TRUE,"Inven. Turns 1996";"days",#N/A,TRUE,"Inven. Turns 1996"}</definedName>
    <definedName name="wrn.inventario96." localSheetId="6" hidden="1">{"Inventory",#N/A,TRUE,"Inven. Turns 1996";"sales",#N/A,TRUE,"Inven. Turns 1996";"Turns",#N/A,TRUE,"Inven. Turns 1996";"days",#N/A,TRUE,"Inven. Turns 1996"}</definedName>
    <definedName name="wrn.inventario96." hidden="1">{"Inventory",#N/A,TRUE,"Inven. Turns 1996";"sales",#N/A,TRUE,"Inven. Turns 1996";"Turns",#N/A,TRUE,"Inven. Turns 1996";"days",#N/A,TRUE,"Inven. Turns 1996"}</definedName>
    <definedName name="wrn.Invoice._.Print." localSheetId="30" hidden="1">{#N/A,#N/A,FALSE,"Invoices"}</definedName>
    <definedName name="wrn.Invoice._.Print." localSheetId="31" hidden="1">{#N/A,#N/A,FALSE,"Invoices"}</definedName>
    <definedName name="wrn.Invoice._.Print." localSheetId="32" hidden="1">{#N/A,#N/A,FALSE,"Invoices"}</definedName>
    <definedName name="wrn.Invoice._.Print." localSheetId="10" hidden="1">{#N/A,#N/A,FALSE,"Invoices"}</definedName>
    <definedName name="wrn.Invoice._.Print." localSheetId="6" hidden="1">{#N/A,#N/A,FALSE,"Invoices"}</definedName>
    <definedName name="wrn.Invoice._.Print." hidden="1">{#N/A,#N/A,FALSE,"Invoices"}</definedName>
    <definedName name="wrn.K._.GuV._.o.._.Kommentar." localSheetId="30" hidden="1">{"K GuV o. Kommentar",#N/A,FALSE,"Kaufhof"}</definedName>
    <definedName name="wrn.K._.GuV._.o.._.Kommentar." localSheetId="31" hidden="1">{"K GuV o. Kommentar",#N/A,FALSE,"Kaufhof"}</definedName>
    <definedName name="wrn.K._.GuV._.o.._.Kommentar." localSheetId="32" hidden="1">{"K GuV o. Kommentar",#N/A,FALSE,"Kaufhof"}</definedName>
    <definedName name="wrn.K._.GuV._.o.._.Kommentar." localSheetId="10" hidden="1">{"K GuV o. Kommentar",#N/A,FALSE,"Kaufhof"}</definedName>
    <definedName name="wrn.K._.GuV._.o.._.Kommentar." localSheetId="6" hidden="1">{"K GuV o. Kommentar",#N/A,FALSE,"Kaufhof"}</definedName>
    <definedName name="wrn.K._.GuV._.o.._.Kommentar." hidden="1">{"K GuV o. Kommentar",#N/A,FALSE,"Kaufhof"}</definedName>
    <definedName name="wrn.KBilanz._.o.._.Kommentar." localSheetId="30" hidden="1">{"K Bilanz o. Kommentar",#N/A,FALSE,"Kaufhof"}</definedName>
    <definedName name="wrn.KBilanz._.o.._.Kommentar." localSheetId="31" hidden="1">{"K Bilanz o. Kommentar",#N/A,FALSE,"Kaufhof"}</definedName>
    <definedName name="wrn.KBilanz._.o.._.Kommentar." localSheetId="32" hidden="1">{"K Bilanz o. Kommentar",#N/A,FALSE,"Kaufhof"}</definedName>
    <definedName name="wrn.KBilanz._.o.._.Kommentar." localSheetId="10" hidden="1">{"K Bilanz o. Kommentar",#N/A,FALSE,"Kaufhof"}</definedName>
    <definedName name="wrn.KBilanz._.o.._.Kommentar." localSheetId="6" hidden="1">{"K Bilanz o. Kommentar",#N/A,FALSE,"Kaufhof"}</definedName>
    <definedName name="wrn.KBilanz._.o.._.Kommentar." hidden="1">{"K Bilanz o. Kommentar",#N/A,FALSE,"Kaufhof"}</definedName>
    <definedName name="wrn.KESPCal." localSheetId="30" hidden="1">{#N/A,#N/A,FALSE,"Cipta-All";#N/A,#N/A,FALSE,"Individual"}</definedName>
    <definedName name="wrn.KESPCal." localSheetId="31" hidden="1">{#N/A,#N/A,FALSE,"Cipta-All";#N/A,#N/A,FALSE,"Individual"}</definedName>
    <definedName name="wrn.KESPCal." localSheetId="32" hidden="1">{#N/A,#N/A,FALSE,"Cipta-All";#N/A,#N/A,FALSE,"Individual"}</definedName>
    <definedName name="wrn.KESPCal." localSheetId="10" hidden="1">{#N/A,#N/A,FALSE,"Cipta-All";#N/A,#N/A,FALSE,"Individual"}</definedName>
    <definedName name="wrn.KESPCal." localSheetId="1" hidden="1">{#N/A,#N/A,FALSE,"Cipta-All";#N/A,#N/A,FALSE,"Individual"}</definedName>
    <definedName name="wrn.KESPCal." localSheetId="6" hidden="1">{#N/A,#N/A,FALSE,"Cipta-All";#N/A,#N/A,FALSE,"Individual"}</definedName>
    <definedName name="wrn.KESPCal." hidden="1">{#N/A,#N/A,FALSE,"Cipta-All";#N/A,#N/A,FALSE,"Individual"}</definedName>
    <definedName name="wrn.KostenPlan1997." localSheetId="30" hidden="1">{#N/A,#N/A,FALSE,"Kosten97FZallein";#N/A,#N/A,FALSE,"Ko97EinzelFZ"}</definedName>
    <definedName name="wrn.KostenPlan1997." localSheetId="31" hidden="1">{#N/A,#N/A,FALSE,"Kosten97FZallein";#N/A,#N/A,FALSE,"Ko97EinzelFZ"}</definedName>
    <definedName name="wrn.KostenPlan1997." localSheetId="32" hidden="1">{#N/A,#N/A,FALSE,"Kosten97FZallein";#N/A,#N/A,FALSE,"Ko97EinzelFZ"}</definedName>
    <definedName name="wrn.KostenPlan1997." localSheetId="10" hidden="1">{#N/A,#N/A,FALSE,"Kosten97FZallein";#N/A,#N/A,FALSE,"Ko97EinzelFZ"}</definedName>
    <definedName name="wrn.KostenPlan1997." localSheetId="6" hidden="1">{#N/A,#N/A,FALSE,"Kosten97FZallein";#N/A,#N/A,FALSE,"Ko97EinzelFZ"}</definedName>
    <definedName name="wrn.KostenPlan1997." hidden="1">{#N/A,#N/A,FALSE,"Kosten97FZallein";#N/A,#N/A,FALSE,"Ko97EinzelFZ"}</definedName>
    <definedName name="wrn.MARKF98FULL." localSheetId="30"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FULL." localSheetId="31"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FULL." localSheetId="32"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FULL." localSheetId="10"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FULL." localSheetId="6"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FULL." hidden="1">{#N/A,#N/A,TRUE,"CONTENTS";#N/A,#N/A,TRUE,"M2";#N/A,#N/A,TRUE,"M2a";#N/A,#N/A,TRUE,"M2b";#N/A,#N/A,TRUE,"M3";#N/A,#N/A,TRUE,"M3a";#N/A,#N/A,TRUE,"M4-H";#N/A,#N/A,TRUE,"M4-P";#N/A,#N/A,TRUE,"M4a";#N/A,#N/A,TRUE,"M4b";#N/A,#N/A,TRUE,"M4c";#N/A,#N/A,TRUE,"M5";#N/A,#N/A,TRUE,"M6";#N/A,#N/A,TRUE,"M7";#N/A,#N/A,TRUE,"M8";#N/A,#N/A,TRUE,"M9";#N/A,#N/A,TRUE,"M10";#N/A,#N/A,TRUE,"M11";#N/A,#N/A,TRUE,"M13";#N/A,#N/A,TRUE,"M14";#N/A,#N/A,TRUE,"M15";#N/A,#N/A,TRUE,"K1"}</definedName>
    <definedName name="wrn.MARKF98H." localSheetId="30"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H." localSheetId="31"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H." localSheetId="32"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H." localSheetId="10"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H." localSheetId="6"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H." hidden="1">{#N/A,#N/A,FALSE,"CONTENTS";#N/A,#N/A,FALSE,"M2";#N/A,#N/A,FALSE,"M2a";#N/A,#N/A,FALSE,"M2b";#N/A,#N/A,FALSE,"M3";#N/A,#N/A,FALSE,"M3a";#N/A,#N/A,FALSE,"M4-H";#N/A,#N/A,FALSE,"M4a";#N/A,#N/A,FALSE,"M4b";#N/A,#N/A,FALSE,"M4c";#N/A,#N/A,FALSE,"M5";#N/A,#N/A,FALSE,"M6";#N/A,#N/A,FALSE,"M7";#N/A,#N/A,FALSE,"M8";#N/A,#N/A,FALSE,"M9";#N/A,#N/A,FALSE,"M10";#N/A,#N/A,FALSE,"M11";#N/A,#N/A,FALSE,"M13";#N/A,#N/A,FALSE,"M14";#N/A,#N/A,FALSE,"M15";#N/A,#N/A,FALSE,"K1"}</definedName>
    <definedName name="wrn.MARKF98P." localSheetId="30" hidden="1">{#N/A,#N/A,TRUE,"CONTENTS";#N/A,#N/A,TRUE,"M2";#N/A,#N/A,TRUE,"M2a";#N/A,#N/A,TRUE,"M2b";#N/A,#N/A,TRUE,"M3";#N/A,#N/A,TRUE,"M3a";#N/A,#N/A,TRUE,"M4-P";#N/A,#N/A,TRUE,"M5";#N/A,#N/A,TRUE,"M6";#N/A,#N/A,TRUE,"M7";#N/A,#N/A,TRUE,"M8";#N/A,#N/A,TRUE,"M9";#N/A,#N/A,TRUE,"M10";#N/A,#N/A,TRUE,"M11";#N/A,#N/A,TRUE,"M13";#N/A,#N/A,TRUE,"M14";#N/A,#N/A,TRUE,"M15";#N/A,#N/A,TRUE,"K1"}</definedName>
    <definedName name="wrn.MARKF98P." localSheetId="31" hidden="1">{#N/A,#N/A,TRUE,"CONTENTS";#N/A,#N/A,TRUE,"M2";#N/A,#N/A,TRUE,"M2a";#N/A,#N/A,TRUE,"M2b";#N/A,#N/A,TRUE,"M3";#N/A,#N/A,TRUE,"M3a";#N/A,#N/A,TRUE,"M4-P";#N/A,#N/A,TRUE,"M5";#N/A,#N/A,TRUE,"M6";#N/A,#N/A,TRUE,"M7";#N/A,#N/A,TRUE,"M8";#N/A,#N/A,TRUE,"M9";#N/A,#N/A,TRUE,"M10";#N/A,#N/A,TRUE,"M11";#N/A,#N/A,TRUE,"M13";#N/A,#N/A,TRUE,"M14";#N/A,#N/A,TRUE,"M15";#N/A,#N/A,TRUE,"K1"}</definedName>
    <definedName name="wrn.MARKF98P." localSheetId="32" hidden="1">{#N/A,#N/A,TRUE,"CONTENTS";#N/A,#N/A,TRUE,"M2";#N/A,#N/A,TRUE,"M2a";#N/A,#N/A,TRUE,"M2b";#N/A,#N/A,TRUE,"M3";#N/A,#N/A,TRUE,"M3a";#N/A,#N/A,TRUE,"M4-P";#N/A,#N/A,TRUE,"M5";#N/A,#N/A,TRUE,"M6";#N/A,#N/A,TRUE,"M7";#N/A,#N/A,TRUE,"M8";#N/A,#N/A,TRUE,"M9";#N/A,#N/A,TRUE,"M10";#N/A,#N/A,TRUE,"M11";#N/A,#N/A,TRUE,"M13";#N/A,#N/A,TRUE,"M14";#N/A,#N/A,TRUE,"M15";#N/A,#N/A,TRUE,"K1"}</definedName>
    <definedName name="wrn.MARKF98P." localSheetId="10" hidden="1">{#N/A,#N/A,TRUE,"CONTENTS";#N/A,#N/A,TRUE,"M2";#N/A,#N/A,TRUE,"M2a";#N/A,#N/A,TRUE,"M2b";#N/A,#N/A,TRUE,"M3";#N/A,#N/A,TRUE,"M3a";#N/A,#N/A,TRUE,"M4-P";#N/A,#N/A,TRUE,"M5";#N/A,#N/A,TRUE,"M6";#N/A,#N/A,TRUE,"M7";#N/A,#N/A,TRUE,"M8";#N/A,#N/A,TRUE,"M9";#N/A,#N/A,TRUE,"M10";#N/A,#N/A,TRUE,"M11";#N/A,#N/A,TRUE,"M13";#N/A,#N/A,TRUE,"M14";#N/A,#N/A,TRUE,"M15";#N/A,#N/A,TRUE,"K1"}</definedName>
    <definedName name="wrn.MARKF98P." localSheetId="6" hidden="1">{#N/A,#N/A,TRUE,"CONTENTS";#N/A,#N/A,TRUE,"M2";#N/A,#N/A,TRUE,"M2a";#N/A,#N/A,TRUE,"M2b";#N/A,#N/A,TRUE,"M3";#N/A,#N/A,TRUE,"M3a";#N/A,#N/A,TRUE,"M4-P";#N/A,#N/A,TRUE,"M5";#N/A,#N/A,TRUE,"M6";#N/A,#N/A,TRUE,"M7";#N/A,#N/A,TRUE,"M8";#N/A,#N/A,TRUE,"M9";#N/A,#N/A,TRUE,"M10";#N/A,#N/A,TRUE,"M11";#N/A,#N/A,TRUE,"M13";#N/A,#N/A,TRUE,"M14";#N/A,#N/A,TRUE,"M15";#N/A,#N/A,TRUE,"K1"}</definedName>
    <definedName name="wrn.MARKF98P." hidden="1">{#N/A,#N/A,TRUE,"CONTENTS";#N/A,#N/A,TRUE,"M2";#N/A,#N/A,TRUE,"M2a";#N/A,#N/A,TRUE,"M2b";#N/A,#N/A,TRUE,"M3";#N/A,#N/A,TRUE,"M3a";#N/A,#N/A,TRUE,"M4-P";#N/A,#N/A,TRUE,"M5";#N/A,#N/A,TRUE,"M6";#N/A,#N/A,TRUE,"M7";#N/A,#N/A,TRUE,"M8";#N/A,#N/A,TRUE,"M9";#N/A,#N/A,TRUE,"M10";#N/A,#N/A,TRUE,"M11";#N/A,#N/A,TRUE,"M13";#N/A,#N/A,TRUE,"M14";#N/A,#N/A,TRUE,"M15";#N/A,#N/A,TRUE,"K1"}</definedName>
    <definedName name="wrn.MDS1." localSheetId="3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3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3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localSheetI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odel." localSheetId="30" hidden="1">{"basic",#N/A,FALSE,"BASIC"}</definedName>
    <definedName name="wrn.model." localSheetId="31" hidden="1">{"basic",#N/A,FALSE,"BASIC"}</definedName>
    <definedName name="wrn.model." localSheetId="32" hidden="1">{"basic",#N/A,FALSE,"BASIC"}</definedName>
    <definedName name="wrn.model." localSheetId="10" hidden="1">{"basic",#N/A,FALSE,"BASIC"}</definedName>
    <definedName name="wrn.model." localSheetId="6" hidden="1">{"basic",#N/A,FALSE,"BASIC"}</definedName>
    <definedName name="wrn.model." hidden="1">{"basic",#N/A,FALSE,"BASIC"}</definedName>
    <definedName name="wrn.Monthly." localSheetId="30" hidden="1">{#N/A,#N/A,FALSE,"EL-M-01";#N/A,#N/A,FALSE,"EL-M-02";#N/A,#N/A,FALSE,"EL-M-03";#N/A,#N/A,FALSE,"EL-S-01";#N/A,#N/A,FALSE,"EL-S-02";#N/A,#N/A,FALSE,"EL-A-01";#N/A,#N/A,FALSE,"EL-A-02"}</definedName>
    <definedName name="wrn.Monthly." localSheetId="31" hidden="1">{#N/A,#N/A,FALSE,"EL-M-01";#N/A,#N/A,FALSE,"EL-M-02";#N/A,#N/A,FALSE,"EL-M-03";#N/A,#N/A,FALSE,"EL-S-01";#N/A,#N/A,FALSE,"EL-S-02";#N/A,#N/A,FALSE,"EL-A-01";#N/A,#N/A,FALSE,"EL-A-02"}</definedName>
    <definedName name="wrn.Monthly." localSheetId="32" hidden="1">{#N/A,#N/A,FALSE,"EL-M-01";#N/A,#N/A,FALSE,"EL-M-02";#N/A,#N/A,FALSE,"EL-M-03";#N/A,#N/A,FALSE,"EL-S-01";#N/A,#N/A,FALSE,"EL-S-02";#N/A,#N/A,FALSE,"EL-A-01";#N/A,#N/A,FALSE,"EL-A-02"}</definedName>
    <definedName name="wrn.Monthly." localSheetId="10" hidden="1">{#N/A,#N/A,FALSE,"EL-M-01";#N/A,#N/A,FALSE,"EL-M-02";#N/A,#N/A,FALSE,"EL-M-03";#N/A,#N/A,FALSE,"EL-S-01";#N/A,#N/A,FALSE,"EL-S-02";#N/A,#N/A,FALSE,"EL-A-01";#N/A,#N/A,FALSE,"EL-A-02"}</definedName>
    <definedName name="wrn.Monthly." localSheetId="6" hidden="1">{#N/A,#N/A,FALSE,"EL-M-01";#N/A,#N/A,FALSE,"EL-M-02";#N/A,#N/A,FALSE,"EL-M-03";#N/A,#N/A,FALSE,"EL-S-01";#N/A,#N/A,FALSE,"EL-S-02";#N/A,#N/A,FALSE,"EL-A-01";#N/A,#N/A,FALSE,"EL-A-02"}</definedName>
    <definedName name="wrn.Monthly." hidden="1">{#N/A,#N/A,FALSE,"EL-M-01";#N/A,#N/A,FALSE,"EL-M-02";#N/A,#N/A,FALSE,"EL-M-03";#N/A,#N/A,FALSE,"EL-S-01";#N/A,#N/A,FALSE,"EL-S-02";#N/A,#N/A,FALSE,"EL-A-01";#N/A,#N/A,FALSE,"EL-A-02"}</definedName>
    <definedName name="wrn.oldfleet.xls." localSheetId="30" hidden="1">{#N/A,#N/A,FALSE,"NORTHERN JOY";#N/A,#N/A,FALSE,"OLD FLEET FAL &amp; MEX";#N/A,#N/A,FALSE,"CALIFORNIA ORION";#N/A,#N/A,FALSE,"MED NAPLES";#N/A,#N/A,FALSE,"MED FOS";#N/A,#N/A,FALSE,"GEMINA";#N/A,#N/A,FALSE,"SAGITTA";#N/A,#N/A,FALSE,"NORMA";#N/A,#N/A,FALSE,"TAURUS + MIMOSA";#N/A,#N/A,FALSE,"AQUARIUS + ORION";#N/A,#N/A,FALSE,"VIRGO + ANTARES + TANIA"}</definedName>
    <definedName name="wrn.oldfleet.xls." localSheetId="31" hidden="1">{#N/A,#N/A,FALSE,"NORTHERN JOY";#N/A,#N/A,FALSE,"OLD FLEET FAL &amp; MEX";#N/A,#N/A,FALSE,"CALIFORNIA ORION";#N/A,#N/A,FALSE,"MED NAPLES";#N/A,#N/A,FALSE,"MED FOS";#N/A,#N/A,FALSE,"GEMINA";#N/A,#N/A,FALSE,"SAGITTA";#N/A,#N/A,FALSE,"NORMA";#N/A,#N/A,FALSE,"TAURUS + MIMOSA";#N/A,#N/A,FALSE,"AQUARIUS + ORION";#N/A,#N/A,FALSE,"VIRGO + ANTARES + TANIA"}</definedName>
    <definedName name="wrn.oldfleet.xls." localSheetId="32" hidden="1">{#N/A,#N/A,FALSE,"NORTHERN JOY";#N/A,#N/A,FALSE,"OLD FLEET FAL &amp; MEX";#N/A,#N/A,FALSE,"CALIFORNIA ORION";#N/A,#N/A,FALSE,"MED NAPLES";#N/A,#N/A,FALSE,"MED FOS";#N/A,#N/A,FALSE,"GEMINA";#N/A,#N/A,FALSE,"SAGITTA";#N/A,#N/A,FALSE,"NORMA";#N/A,#N/A,FALSE,"TAURUS + MIMOSA";#N/A,#N/A,FALSE,"AQUARIUS + ORION";#N/A,#N/A,FALSE,"VIRGO + ANTARES + TANIA"}</definedName>
    <definedName name="wrn.oldfleet.xls." localSheetId="10" hidden="1">{#N/A,#N/A,FALSE,"NORTHERN JOY";#N/A,#N/A,FALSE,"OLD FLEET FAL &amp; MEX";#N/A,#N/A,FALSE,"CALIFORNIA ORION";#N/A,#N/A,FALSE,"MED NAPLES";#N/A,#N/A,FALSE,"MED FOS";#N/A,#N/A,FALSE,"GEMINA";#N/A,#N/A,FALSE,"SAGITTA";#N/A,#N/A,FALSE,"NORMA";#N/A,#N/A,FALSE,"TAURUS + MIMOSA";#N/A,#N/A,FALSE,"AQUARIUS + ORION";#N/A,#N/A,FALSE,"VIRGO + ANTARES + TANIA"}</definedName>
    <definedName name="wrn.oldfleet.xls." hidden="1">{#N/A,#N/A,FALSE,"NORTHERN JOY";#N/A,#N/A,FALSE,"OLD FLEET FAL &amp; MEX";#N/A,#N/A,FALSE,"CALIFORNIA ORION";#N/A,#N/A,FALSE,"MED NAPLES";#N/A,#N/A,FALSE,"MED FOS";#N/A,#N/A,FALSE,"GEMINA";#N/A,#N/A,FALSE,"SAGITTA";#N/A,#N/A,FALSE,"NORMA";#N/A,#N/A,FALSE,"TAURUS + MIMOSA";#N/A,#N/A,FALSE,"AQUARIUS + ORION";#N/A,#N/A,FALSE,"VIRGO + ANTARES + TANIA"}</definedName>
    <definedName name="wrn.only" localSheetId="30" hidden="1">{#N/A,#N/A,FALSE,"JANLN2"}</definedName>
    <definedName name="wrn.only" localSheetId="31" hidden="1">{#N/A,#N/A,FALSE,"JANLN2"}</definedName>
    <definedName name="wrn.only" localSheetId="32" hidden="1">{#N/A,#N/A,FALSE,"JANLN2"}</definedName>
    <definedName name="wrn.only" localSheetId="10" hidden="1">{#N/A,#N/A,FALSE,"JANLN2"}</definedName>
    <definedName name="wrn.only" localSheetId="6" hidden="1">{#N/A,#N/A,FALSE,"JANLN2"}</definedName>
    <definedName name="wrn.only" hidden="1">{#N/A,#N/A,FALSE,"JANLN2"}</definedName>
    <definedName name="wrn.pg1." localSheetId="30" hidden="1">{#N/A,#N/A,FALSE,"1"}</definedName>
    <definedName name="wrn.pg1." localSheetId="31" hidden="1">{#N/A,#N/A,FALSE,"1"}</definedName>
    <definedName name="wrn.pg1." localSheetId="32" hidden="1">{#N/A,#N/A,FALSE,"1"}</definedName>
    <definedName name="wrn.pg1." localSheetId="10" hidden="1">{#N/A,#N/A,FALSE,"1"}</definedName>
    <definedName name="wrn.pg1." hidden="1">{#N/A,#N/A,FALSE,"1"}</definedName>
    <definedName name="wrn.pg10." localSheetId="30" hidden="1">{#N/A,#N/A,FALSE,"10"}</definedName>
    <definedName name="wrn.pg10." localSheetId="31" hidden="1">{#N/A,#N/A,FALSE,"10"}</definedName>
    <definedName name="wrn.pg10." localSheetId="32" hidden="1">{#N/A,#N/A,FALSE,"10"}</definedName>
    <definedName name="wrn.pg10." localSheetId="10" hidden="1">{#N/A,#N/A,FALSE,"10"}</definedName>
    <definedName name="wrn.pg10." hidden="1">{#N/A,#N/A,FALSE,"10"}</definedName>
    <definedName name="wrn.pg100" localSheetId="30" hidden="1">{#N/A,#N/A,FALSE,"8"}</definedName>
    <definedName name="wrn.pg100" localSheetId="31" hidden="1">{#N/A,#N/A,FALSE,"8"}</definedName>
    <definedName name="wrn.pg100" localSheetId="32" hidden="1">{#N/A,#N/A,FALSE,"8"}</definedName>
    <definedName name="wrn.pg100" localSheetId="10" hidden="1">{#N/A,#N/A,FALSE,"8"}</definedName>
    <definedName name="wrn.pg100" hidden="1">{#N/A,#N/A,FALSE,"8"}</definedName>
    <definedName name="wrn.pg11." localSheetId="30" hidden="1">{#N/A,#N/A,FALSE,"11"}</definedName>
    <definedName name="wrn.pg11." localSheetId="31" hidden="1">{#N/A,#N/A,FALSE,"11"}</definedName>
    <definedName name="wrn.pg11." localSheetId="32" hidden="1">{#N/A,#N/A,FALSE,"11"}</definedName>
    <definedName name="wrn.pg11." localSheetId="10" hidden="1">{#N/A,#N/A,FALSE,"11"}</definedName>
    <definedName name="wrn.pg11." hidden="1">{#N/A,#N/A,FALSE,"11"}</definedName>
    <definedName name="wrn.pg12." localSheetId="30" hidden="1">{#N/A,#N/A,FALSE,"12"}</definedName>
    <definedName name="wrn.pg12." localSheetId="31" hidden="1">{#N/A,#N/A,FALSE,"12"}</definedName>
    <definedName name="wrn.pg12." localSheetId="32" hidden="1">{#N/A,#N/A,FALSE,"12"}</definedName>
    <definedName name="wrn.pg12." localSheetId="10" hidden="1">{#N/A,#N/A,FALSE,"12"}</definedName>
    <definedName name="wrn.pg12." hidden="1">{#N/A,#N/A,FALSE,"12"}</definedName>
    <definedName name="wrn.pg13." localSheetId="30" hidden="1">{#N/A,#N/A,FALSE,"13"}</definedName>
    <definedName name="wrn.pg13." localSheetId="31" hidden="1">{#N/A,#N/A,FALSE,"13"}</definedName>
    <definedName name="wrn.pg13." localSheetId="32" hidden="1">{#N/A,#N/A,FALSE,"13"}</definedName>
    <definedName name="wrn.pg13." localSheetId="10" hidden="1">{#N/A,#N/A,FALSE,"13"}</definedName>
    <definedName name="wrn.pg13." hidden="1">{#N/A,#N/A,FALSE,"13"}</definedName>
    <definedName name="wrn.pg14." localSheetId="30" hidden="1">{#N/A,#N/A,FALSE,"14"}</definedName>
    <definedName name="wrn.pg14." localSheetId="31" hidden="1">{#N/A,#N/A,FALSE,"14"}</definedName>
    <definedName name="wrn.pg14." localSheetId="32" hidden="1">{#N/A,#N/A,FALSE,"14"}</definedName>
    <definedName name="wrn.pg14." localSheetId="10" hidden="1">{#N/A,#N/A,FALSE,"14"}</definedName>
    <definedName name="wrn.pg14." hidden="1">{#N/A,#N/A,FALSE,"14"}</definedName>
    <definedName name="wrn.pg15." localSheetId="30" hidden="1">{#N/A,#N/A,FALSE,"15"}</definedName>
    <definedName name="wrn.pg15." localSheetId="31" hidden="1">{#N/A,#N/A,FALSE,"15"}</definedName>
    <definedName name="wrn.pg15." localSheetId="32" hidden="1">{#N/A,#N/A,FALSE,"15"}</definedName>
    <definedName name="wrn.pg15." localSheetId="10" hidden="1">{#N/A,#N/A,FALSE,"15"}</definedName>
    <definedName name="wrn.pg15." hidden="1">{#N/A,#N/A,FALSE,"15"}</definedName>
    <definedName name="wrn.pg16." localSheetId="30" hidden="1">{#N/A,#N/A,FALSE,"16"}</definedName>
    <definedName name="wrn.pg16." localSheetId="31" hidden="1">{#N/A,#N/A,FALSE,"16"}</definedName>
    <definedName name="wrn.pg16." localSheetId="32" hidden="1">{#N/A,#N/A,FALSE,"16"}</definedName>
    <definedName name="wrn.pg16." localSheetId="10" hidden="1">{#N/A,#N/A,FALSE,"16"}</definedName>
    <definedName name="wrn.pg16." hidden="1">{#N/A,#N/A,FALSE,"16"}</definedName>
    <definedName name="wrn.pg17." localSheetId="30" hidden="1">{#N/A,#N/A,FALSE,"17"}</definedName>
    <definedName name="wrn.pg17." localSheetId="31" hidden="1">{#N/A,#N/A,FALSE,"17"}</definedName>
    <definedName name="wrn.pg17." localSheetId="32" hidden="1">{#N/A,#N/A,FALSE,"17"}</definedName>
    <definedName name="wrn.pg17." localSheetId="10" hidden="1">{#N/A,#N/A,FALSE,"17"}</definedName>
    <definedName name="wrn.pg17." hidden="1">{#N/A,#N/A,FALSE,"17"}</definedName>
    <definedName name="wrn.pg2." localSheetId="30" hidden="1">{#N/A,#N/A,FALSE,"2"}</definedName>
    <definedName name="wrn.pg2." localSheetId="31" hidden="1">{#N/A,#N/A,FALSE,"2"}</definedName>
    <definedName name="wrn.pg2." localSheetId="32" hidden="1">{#N/A,#N/A,FALSE,"2"}</definedName>
    <definedName name="wrn.pg2." localSheetId="10" hidden="1">{#N/A,#N/A,FALSE,"2"}</definedName>
    <definedName name="wrn.pg2." hidden="1">{#N/A,#N/A,FALSE,"2"}</definedName>
    <definedName name="wrn.pg20" localSheetId="30" hidden="1">{#N/A,#N/A,FALSE,"4"}</definedName>
    <definedName name="wrn.pg20" localSheetId="31" hidden="1">{#N/A,#N/A,FALSE,"4"}</definedName>
    <definedName name="wrn.pg20" localSheetId="32" hidden="1">{#N/A,#N/A,FALSE,"4"}</definedName>
    <definedName name="wrn.pg20" localSheetId="10" hidden="1">{#N/A,#N/A,FALSE,"4"}</definedName>
    <definedName name="wrn.pg20" hidden="1">{#N/A,#N/A,FALSE,"4"}</definedName>
    <definedName name="wrn.pg3." localSheetId="30" hidden="1">{#N/A,#N/A,FALSE,"3"}</definedName>
    <definedName name="wrn.pg3." localSheetId="31" hidden="1">{#N/A,#N/A,FALSE,"3"}</definedName>
    <definedName name="wrn.pg3." localSheetId="32" hidden="1">{#N/A,#N/A,FALSE,"3"}</definedName>
    <definedName name="wrn.pg3." localSheetId="10" hidden="1">{#N/A,#N/A,FALSE,"3"}</definedName>
    <definedName name="wrn.pg3." hidden="1">{#N/A,#N/A,FALSE,"3"}</definedName>
    <definedName name="wrn.pg4." localSheetId="30" hidden="1">{#N/A,#N/A,FALSE,"4"}</definedName>
    <definedName name="wrn.pg4." localSheetId="31" hidden="1">{#N/A,#N/A,FALSE,"4"}</definedName>
    <definedName name="wrn.pg4." localSheetId="32" hidden="1">{#N/A,#N/A,FALSE,"4"}</definedName>
    <definedName name="wrn.pg4." localSheetId="10" hidden="1">{#N/A,#N/A,FALSE,"4"}</definedName>
    <definedName name="wrn.pg4." hidden="1">{#N/A,#N/A,FALSE,"4"}</definedName>
    <definedName name="wrn.pg5." localSheetId="30" hidden="1">{#N/A,#N/A,FALSE,"5"}</definedName>
    <definedName name="wrn.pg5." localSheetId="31" hidden="1">{#N/A,#N/A,FALSE,"5"}</definedName>
    <definedName name="wrn.pg5." localSheetId="32" hidden="1">{#N/A,#N/A,FALSE,"5"}</definedName>
    <definedName name="wrn.pg5." localSheetId="10" hidden="1">{#N/A,#N/A,FALSE,"5"}</definedName>
    <definedName name="wrn.pg5." hidden="1">{#N/A,#N/A,FALSE,"5"}</definedName>
    <definedName name="wrn.pg6." localSheetId="30" hidden="1">{#N/A,#N/A,FALSE,"6"}</definedName>
    <definedName name="wrn.pg6." localSheetId="31" hidden="1">{#N/A,#N/A,FALSE,"6"}</definedName>
    <definedName name="wrn.pg6." localSheetId="32" hidden="1">{#N/A,#N/A,FALSE,"6"}</definedName>
    <definedName name="wrn.pg6." localSheetId="10" hidden="1">{#N/A,#N/A,FALSE,"6"}</definedName>
    <definedName name="wrn.pg6." hidden="1">{#N/A,#N/A,FALSE,"6"}</definedName>
    <definedName name="wrn.pg7" localSheetId="30" hidden="1">{#N/A,#N/A,FALSE,"6"}</definedName>
    <definedName name="wrn.pg7" localSheetId="31" hidden="1">{#N/A,#N/A,FALSE,"6"}</definedName>
    <definedName name="wrn.pg7" localSheetId="32" hidden="1">{#N/A,#N/A,FALSE,"6"}</definedName>
    <definedName name="wrn.pg7" localSheetId="10" hidden="1">{#N/A,#N/A,FALSE,"6"}</definedName>
    <definedName name="wrn.pg7" hidden="1">{#N/A,#N/A,FALSE,"6"}</definedName>
    <definedName name="wrn.pg7." localSheetId="30" hidden="1">{#N/A,#N/A,FALSE,"7"}</definedName>
    <definedName name="wrn.pg7." localSheetId="31" hidden="1">{#N/A,#N/A,FALSE,"7"}</definedName>
    <definedName name="wrn.pg7." localSheetId="32" hidden="1">{#N/A,#N/A,FALSE,"7"}</definedName>
    <definedName name="wrn.pg7." localSheetId="10" hidden="1">{#N/A,#N/A,FALSE,"7"}</definedName>
    <definedName name="wrn.pg7." hidden="1">{#N/A,#N/A,FALSE,"7"}</definedName>
    <definedName name="wrn.pg8." localSheetId="30" hidden="1">{#N/A,#N/A,FALSE,"8"}</definedName>
    <definedName name="wrn.pg8." localSheetId="31" hidden="1">{#N/A,#N/A,FALSE,"8"}</definedName>
    <definedName name="wrn.pg8." localSheetId="32" hidden="1">{#N/A,#N/A,FALSE,"8"}</definedName>
    <definedName name="wrn.pg8." localSheetId="10" hidden="1">{#N/A,#N/A,FALSE,"8"}</definedName>
    <definedName name="wrn.pg8." hidden="1">{#N/A,#N/A,FALSE,"8"}</definedName>
    <definedName name="wrn.pg9." localSheetId="30" hidden="1">{#N/A,#N/A,FALSE,"9"}</definedName>
    <definedName name="wrn.pg9." localSheetId="31" hidden="1">{#N/A,#N/A,FALSE,"9"}</definedName>
    <definedName name="wrn.pg9." localSheetId="32" hidden="1">{#N/A,#N/A,FALSE,"9"}</definedName>
    <definedName name="wrn.pg9." localSheetId="10" hidden="1">{#N/A,#N/A,FALSE,"9"}</definedName>
    <definedName name="wrn.pg9." hidden="1">{#N/A,#N/A,FALSE,"9"}</definedName>
    <definedName name="wrn.PL_ALL." localSheetId="30" hidden="1">{#N/A,"id_9000_y",FALSE,"PL";#N/A,"id_7007_y",FALSE,"PL"}</definedName>
    <definedName name="wrn.PL_ALL." localSheetId="31" hidden="1">{#N/A,"id_9000_y",FALSE,"PL";#N/A,"id_7007_y",FALSE,"PL"}</definedName>
    <definedName name="wrn.PL_ALL." localSheetId="32" hidden="1">{#N/A,"id_9000_y",FALSE,"PL";#N/A,"id_7007_y",FALSE,"PL"}</definedName>
    <definedName name="wrn.PL_ALL." localSheetId="10" hidden="1">{#N/A,"id_9000_y",FALSE,"PL";#N/A,"id_7007_y",FALSE,"PL"}</definedName>
    <definedName name="wrn.PL_ALL." localSheetId="6" hidden="1">{#N/A,"id_9000_y",FALSE,"PL";#N/A,"id_7007_y",FALSE,"PL"}</definedName>
    <definedName name="wrn.PL_ALL." hidden="1">{#N/A,"id_9000_y",FALSE,"PL";#N/A,"id_7007_y",FALSE,"PL"}</definedName>
    <definedName name="wrn.Plandurchsprache._.97." localSheetId="30" hidden="1">{#N/A,#N/A,TRUE,"Kosten97FZallein";#N/A,#N/A,TRUE,"Ko97EinzelFZ";#N/A,#N/A,TRUE,"UmsSumAnteilFZ";#N/A,#N/A,TRUE,"UmsatzEinzel";#N/A,#N/A,TRUE,"G&amp;V"}</definedName>
    <definedName name="wrn.Plandurchsprache._.97." localSheetId="31" hidden="1">{#N/A,#N/A,TRUE,"Kosten97FZallein";#N/A,#N/A,TRUE,"Ko97EinzelFZ";#N/A,#N/A,TRUE,"UmsSumAnteilFZ";#N/A,#N/A,TRUE,"UmsatzEinzel";#N/A,#N/A,TRUE,"G&amp;V"}</definedName>
    <definedName name="wrn.Plandurchsprache._.97." localSheetId="32" hidden="1">{#N/A,#N/A,TRUE,"Kosten97FZallein";#N/A,#N/A,TRUE,"Ko97EinzelFZ";#N/A,#N/A,TRUE,"UmsSumAnteilFZ";#N/A,#N/A,TRUE,"UmsatzEinzel";#N/A,#N/A,TRUE,"G&amp;V"}</definedName>
    <definedName name="wrn.Plandurchsprache._.97." localSheetId="10" hidden="1">{#N/A,#N/A,TRUE,"Kosten97FZallein";#N/A,#N/A,TRUE,"Ko97EinzelFZ";#N/A,#N/A,TRUE,"UmsSumAnteilFZ";#N/A,#N/A,TRUE,"UmsatzEinzel";#N/A,#N/A,TRUE,"G&amp;V"}</definedName>
    <definedName name="wrn.Plandurchsprache._.97." localSheetId="6" hidden="1">{#N/A,#N/A,TRUE,"Kosten97FZallein";#N/A,#N/A,TRUE,"Ko97EinzelFZ";#N/A,#N/A,TRUE,"UmsSumAnteilFZ";#N/A,#N/A,TRUE,"UmsatzEinzel";#N/A,#N/A,TRUE,"G&amp;V"}</definedName>
    <definedName name="wrn.Plandurchsprache._.97." hidden="1">{#N/A,#N/A,TRUE,"Kosten97FZallein";#N/A,#N/A,TRUE,"Ko97EinzelFZ";#N/A,#N/A,TRUE,"UmsSumAnteilFZ";#N/A,#N/A,TRUE,"UmsatzEinzel";#N/A,#N/A,TRUE,"G&amp;V"}</definedName>
    <definedName name="wrn.PMM_BSDDI." localSheetId="30"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BSDDI." localSheetId="31"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BSDDI." localSheetId="32"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BSDDI." localSheetId="10"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BSDDI." localSheetId="6"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BSDDI." hidden="1">{#N/A,"ID_7086",FALSE,"BS";#N/A,"ID_5029",FALSE,"BS";#N/A,"ID_5059",FALSE,"BS";#N/A,"ID_5001",FALSE,"BS";#N/A,"ID_5026",FALSE,"BS";#N/A,"ID_5026",FALSE,"BS";#N/A,"ID_5030",FALSE,"BS";#N/A,"ID_5042",FALSE,"BS";#N/A,"ID_5069",FALSE,"BS";#N/A,"ID_0079",FALSE,"BS";#N/A,"ID_0079",FALSE,"BS";#N/A,"ID_0178",FALSE,"BS";#N/A,"ID_5078",FALSE,"BS";#N/A,"ID_0278",FALSE,"BS";#N/A,"ID_0186",FALSE,"BS";#N/A,"ID_5002",FALSE,"BS";#N/A,"ID_0086",FALSE,"BS"}</definedName>
    <definedName name="wrn.PMM_PLQ." localSheetId="30"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MM_PLQ." localSheetId="31"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MM_PLQ." localSheetId="32"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MM_PLQ." localSheetId="10"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MM_PLQ." localSheetId="6"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MM_PLQ." hidden="1">{#N/A,"ID_7086_Q",FALSE,"PL";#N/A,"ID_5059_Q",FALSE,"PL";#N/A,"ID_5001_Q",FALSE,"PL";#N/A,"ID_5026_Q",FALSE,"PL";#N/A,"ID_5030_Q",FALSE,"PL";#N/A,"ID_5042_Q",FALSE,"PL";#N/A,"ID_5069_Q",FALSE,"PL";#N/A,"ID_0079_Q",FALSE,"PL";#N/A,#N/A,FALSE,"PL";#N/A,"ID_0178_Q",FALSE,"PL";#N/A,"ID_5078_Q",FALSE,"PL";#N/A,"ID_0278_Q",FALSE,"PL";#N/A,"ID_0186_Q",FALSE,"PL";#N/A,"ID_5002_Q",FALSE,"PL";#N/A,"ID_0086_Q",FALSE,"PL";#N/A,"id_5029_q",FALSE,"PL"}</definedName>
    <definedName name="wrn.pp97schedules." localSheetId="30" hidden="1">{"plansummary",#N/A,FALSE,"PlanSummary";"sales",#N/A,FALSE,"Sales Rec";"productivity",#N/A,FALSE,"Productivity Rec";"capitalspending",#N/A,FALSE,"Capital Spending"}</definedName>
    <definedName name="wrn.pp97schedules." localSheetId="31" hidden="1">{"plansummary",#N/A,FALSE,"PlanSummary";"sales",#N/A,FALSE,"Sales Rec";"productivity",#N/A,FALSE,"Productivity Rec";"capitalspending",#N/A,FALSE,"Capital Spending"}</definedName>
    <definedName name="wrn.pp97schedules." localSheetId="32" hidden="1">{"plansummary",#N/A,FALSE,"PlanSummary";"sales",#N/A,FALSE,"Sales Rec";"productivity",#N/A,FALSE,"Productivity Rec";"capitalspending",#N/A,FALSE,"Capital Spending"}</definedName>
    <definedName name="wrn.pp97schedules." localSheetId="10" hidden="1">{"plansummary",#N/A,FALSE,"PlanSummary";"sales",#N/A,FALSE,"Sales Rec";"productivity",#N/A,FALSE,"Productivity Rec";"capitalspending",#N/A,FALSE,"Capital Spending"}</definedName>
    <definedName name="wrn.pp97schedules." localSheetId="1" hidden="1">{"plansummary",#N/A,FALSE,"PlanSummary";"sales",#N/A,FALSE,"Sales Rec";"productivity",#N/A,FALSE,"Productivity Rec";"capitalspending",#N/A,FALSE,"Capital Spending"}</definedName>
    <definedName name="wrn.pp97schedules." localSheetId="6" hidden="1">{"plansummary",#N/A,FALSE,"PlanSummary";"sales",#N/A,FALSE,"Sales Rec";"productivity",#N/A,FALSE,"Productivity Rec";"capitalspending",#N/A,FALSE,"Capital Spending"}</definedName>
    <definedName name="wrn.pp97schedules." localSheetId="3" hidden="1">{"plansummary",#N/A,FALSE,"PlanSummary";"sales",#N/A,FALSE,"Sales Rec";"productivity",#N/A,FALSE,"Productivity Rec";"capitalspending",#N/A,FALSE,"Capital Spending"}</definedName>
    <definedName name="wrn.pp97schedules." hidden="1">{"plansummary",#N/A,FALSE,"PlanSummary";"sales",#N/A,FALSE,"Sales Rec";"productivity",#N/A,FALSE,"Productivity Rec";"capitalspending",#N/A,FALSE,"Capital Spending"}</definedName>
    <definedName name="wrn.PRINT."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Print._.All._.Schedules." localSheetId="30"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SchO1",#N/A,FALSE,"Schedules"}</definedName>
    <definedName name="wrn.Print._.All._.Schedules." localSheetId="31"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SchO1",#N/A,FALSE,"Schedules"}</definedName>
    <definedName name="wrn.Print._.All._.Schedules." localSheetId="32"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SchO1",#N/A,FALSE,"Schedules"}</definedName>
    <definedName name="wrn.Print._.All._.Schedules." localSheetId="10"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SchO1",#N/A,FALSE,"Schedules"}</definedName>
    <definedName name="wrn.Print._.All._.Schedules." localSheetId="1"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SchO1",#N/A,FALSE,"Schedules"}</definedName>
    <definedName name="wrn.Print._.All._.Schedules." localSheetId="6"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SchO1",#N/A,FALSE,"Schedules"}</definedName>
    <definedName name="wrn.Print._.All._.Schedules."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SchO1",#N/A,FALSE,"Schedules"}</definedName>
    <definedName name="wrn.Print._.SchA." localSheetId="30" hidden="1">{"SchA1",#N/A,FALSE,"Schedules";"SchA2",#N/A,FALSE,"Schedules"}</definedName>
    <definedName name="wrn.Print._.SchA." localSheetId="31" hidden="1">{"SchA1",#N/A,FALSE,"Schedules";"SchA2",#N/A,FALSE,"Schedules"}</definedName>
    <definedName name="wrn.Print._.SchA." localSheetId="32" hidden="1">{"SchA1",#N/A,FALSE,"Schedules";"SchA2",#N/A,FALSE,"Schedules"}</definedName>
    <definedName name="wrn.Print._.SchA." localSheetId="10" hidden="1">{"SchA1",#N/A,FALSE,"Schedules";"SchA2",#N/A,FALSE,"Schedules"}</definedName>
    <definedName name="wrn.Print._.SchA." localSheetId="1" hidden="1">{"SchA1",#N/A,FALSE,"Schedules";"SchA2",#N/A,FALSE,"Schedules"}</definedName>
    <definedName name="wrn.Print._.SchA." localSheetId="6" hidden="1">{"SchA1",#N/A,FALSE,"Schedules";"SchA2",#N/A,FALSE,"Schedules"}</definedName>
    <definedName name="wrn.Print._.SchA." hidden="1">{"SchA1",#N/A,FALSE,"Schedules";"SchA2",#N/A,FALSE,"Schedules"}</definedName>
    <definedName name="wrn.Print._.SchB." localSheetId="30" hidden="1">{"SchB1",#N/A,FALSE,"Schedules";"SchB2",#N/A,FALSE,"Schedules"}</definedName>
    <definedName name="wrn.Print._.SchB." localSheetId="31" hidden="1">{"SchB1",#N/A,FALSE,"Schedules";"SchB2",#N/A,FALSE,"Schedules"}</definedName>
    <definedName name="wrn.Print._.SchB." localSheetId="32" hidden="1">{"SchB1",#N/A,FALSE,"Schedules";"SchB2",#N/A,FALSE,"Schedules"}</definedName>
    <definedName name="wrn.Print._.SchB." localSheetId="10" hidden="1">{"SchB1",#N/A,FALSE,"Schedules";"SchB2",#N/A,FALSE,"Schedules"}</definedName>
    <definedName name="wrn.Print._.SchB." localSheetId="1" hidden="1">{"SchB1",#N/A,FALSE,"Schedules";"SchB2",#N/A,FALSE,"Schedules"}</definedName>
    <definedName name="wrn.Print._.SchB." localSheetId="6" hidden="1">{"SchB1",#N/A,FALSE,"Schedules";"SchB2",#N/A,FALSE,"Schedules"}</definedName>
    <definedName name="wrn.Print._.SchB." hidden="1">{"SchB1",#N/A,FALSE,"Schedules";"SchB2",#N/A,FALSE,"Schedules"}</definedName>
    <definedName name="wrn.Print._.SchC." localSheetId="30" hidden="1">{"SchC1",#N/A,FALSE,"Schedules";"SchC2",#N/A,FALSE,"Schedules"}</definedName>
    <definedName name="wrn.Print._.SchC." localSheetId="31" hidden="1">{"SchC1",#N/A,FALSE,"Schedules";"SchC2",#N/A,FALSE,"Schedules"}</definedName>
    <definedName name="wrn.Print._.SchC." localSheetId="32" hidden="1">{"SchC1",#N/A,FALSE,"Schedules";"SchC2",#N/A,FALSE,"Schedules"}</definedName>
    <definedName name="wrn.Print._.SchC." localSheetId="10" hidden="1">{"SchC1",#N/A,FALSE,"Schedules";"SchC2",#N/A,FALSE,"Schedules"}</definedName>
    <definedName name="wrn.Print._.SchC." localSheetId="1" hidden="1">{"SchC1",#N/A,FALSE,"Schedules";"SchC2",#N/A,FALSE,"Schedules"}</definedName>
    <definedName name="wrn.Print._.SchC." localSheetId="6" hidden="1">{"SchC1",#N/A,FALSE,"Schedules";"SchC2",#N/A,FALSE,"Schedules"}</definedName>
    <definedName name="wrn.Print._.SchC." hidden="1">{"SchC1",#N/A,FALSE,"Schedules";"SchC2",#N/A,FALSE,"Schedules"}</definedName>
    <definedName name="wrn.Print._.SchD." localSheetId="30" hidden="1">{"SchD1",#N/A,FALSE,"Schedules";"SchD2",#N/A,FALSE,"Schedules"}</definedName>
    <definedName name="wrn.Print._.SchD." localSheetId="31" hidden="1">{"SchD1",#N/A,FALSE,"Schedules";"SchD2",#N/A,FALSE,"Schedules"}</definedName>
    <definedName name="wrn.Print._.SchD." localSheetId="32" hidden="1">{"SchD1",#N/A,FALSE,"Schedules";"SchD2",#N/A,FALSE,"Schedules"}</definedName>
    <definedName name="wrn.Print._.SchD." localSheetId="10" hidden="1">{"SchD1",#N/A,FALSE,"Schedules";"SchD2",#N/A,FALSE,"Schedules"}</definedName>
    <definedName name="wrn.Print._.SchD." localSheetId="1" hidden="1">{"SchD1",#N/A,FALSE,"Schedules";"SchD2",#N/A,FALSE,"Schedules"}</definedName>
    <definedName name="wrn.Print._.SchD." localSheetId="6" hidden="1">{"SchD1",#N/A,FALSE,"Schedules";"SchD2",#N/A,FALSE,"Schedules"}</definedName>
    <definedName name="wrn.Print._.SchD." hidden="1">{"SchD1",#N/A,FALSE,"Schedules";"SchD2",#N/A,FALSE,"Schedules"}</definedName>
    <definedName name="wrn.Print._.SchE." localSheetId="30" hidden="1">{"SchE1",#N/A,FALSE,"Schedules";"SchE2",#N/A,FALSE,"Schedules"}</definedName>
    <definedName name="wrn.Print._.SchE." localSheetId="31" hidden="1">{"SchE1",#N/A,FALSE,"Schedules";"SchE2",#N/A,FALSE,"Schedules"}</definedName>
    <definedName name="wrn.Print._.SchE." localSheetId="32" hidden="1">{"SchE1",#N/A,FALSE,"Schedules";"SchE2",#N/A,FALSE,"Schedules"}</definedName>
    <definedName name="wrn.Print._.SchE." localSheetId="10" hidden="1">{"SchE1",#N/A,FALSE,"Schedules";"SchE2",#N/A,FALSE,"Schedules"}</definedName>
    <definedName name="wrn.Print._.SchE." localSheetId="1" hidden="1">{"SchE1",#N/A,FALSE,"Schedules";"SchE2",#N/A,FALSE,"Schedules"}</definedName>
    <definedName name="wrn.Print._.SchE." localSheetId="6" hidden="1">{"SchE1",#N/A,FALSE,"Schedules";"SchE2",#N/A,FALSE,"Schedules"}</definedName>
    <definedName name="wrn.Print._.SchE." hidden="1">{"SchE1",#N/A,FALSE,"Schedules";"SchE2",#N/A,FALSE,"Schedules"}</definedName>
    <definedName name="wrn.Print._.SchF." localSheetId="30" hidden="1">{"SchF1",#N/A,FALSE,"Schedules";"SchF2",#N/A,FALSE,"Schedules"}</definedName>
    <definedName name="wrn.Print._.SchF." localSheetId="31" hidden="1">{"SchF1",#N/A,FALSE,"Schedules";"SchF2",#N/A,FALSE,"Schedules"}</definedName>
    <definedName name="wrn.Print._.SchF." localSheetId="32" hidden="1">{"SchF1",#N/A,FALSE,"Schedules";"SchF2",#N/A,FALSE,"Schedules"}</definedName>
    <definedName name="wrn.Print._.SchF." localSheetId="10" hidden="1">{"SchF1",#N/A,FALSE,"Schedules";"SchF2",#N/A,FALSE,"Schedules"}</definedName>
    <definedName name="wrn.Print._.SchF." localSheetId="1" hidden="1">{"SchF1",#N/A,FALSE,"Schedules";"SchF2",#N/A,FALSE,"Schedules"}</definedName>
    <definedName name="wrn.Print._.SchF." localSheetId="6" hidden="1">{"SchF1",#N/A,FALSE,"Schedules";"SchF2",#N/A,FALSE,"Schedules"}</definedName>
    <definedName name="wrn.Print._.SchF." hidden="1">{"SchF1",#N/A,FALSE,"Schedules";"SchF2",#N/A,FALSE,"Schedules"}</definedName>
    <definedName name="wrn.Print._.SchG." localSheetId="30" hidden="1">{"SchG1",#N/A,FALSE,"Schedules";"SchG2",#N/A,FALSE,"Schedules"}</definedName>
    <definedName name="wrn.Print._.SchG." localSheetId="31" hidden="1">{"SchG1",#N/A,FALSE,"Schedules";"SchG2",#N/A,FALSE,"Schedules"}</definedName>
    <definedName name="wrn.Print._.SchG." localSheetId="32" hidden="1">{"SchG1",#N/A,FALSE,"Schedules";"SchG2",#N/A,FALSE,"Schedules"}</definedName>
    <definedName name="wrn.Print._.SchG." localSheetId="10" hidden="1">{"SchG1",#N/A,FALSE,"Schedules";"SchG2",#N/A,FALSE,"Schedules"}</definedName>
    <definedName name="wrn.Print._.SchG." localSheetId="1" hidden="1">{"SchG1",#N/A,FALSE,"Schedules";"SchG2",#N/A,FALSE,"Schedules"}</definedName>
    <definedName name="wrn.Print._.SchG." localSheetId="6" hidden="1">{"SchG1",#N/A,FALSE,"Schedules";"SchG2",#N/A,FALSE,"Schedules"}</definedName>
    <definedName name="wrn.Print._.SchG." hidden="1">{"SchG1",#N/A,FALSE,"Schedules";"SchG2",#N/A,FALSE,"Schedules"}</definedName>
    <definedName name="wrn.Print._.SchH." localSheetId="30" hidden="1">{"SchH1",#N/A,FALSE,"Schedules";"SchH2",#N/A,FALSE,"Schedules"}</definedName>
    <definedName name="wrn.Print._.SchH." localSheetId="31" hidden="1">{"SchH1",#N/A,FALSE,"Schedules";"SchH2",#N/A,FALSE,"Schedules"}</definedName>
    <definedName name="wrn.Print._.SchH." localSheetId="32" hidden="1">{"SchH1",#N/A,FALSE,"Schedules";"SchH2",#N/A,FALSE,"Schedules"}</definedName>
    <definedName name="wrn.Print._.SchH." localSheetId="10" hidden="1">{"SchH1",#N/A,FALSE,"Schedules";"SchH2",#N/A,FALSE,"Schedules"}</definedName>
    <definedName name="wrn.Print._.SchH." localSheetId="1" hidden="1">{"SchH1",#N/A,FALSE,"Schedules";"SchH2",#N/A,FALSE,"Schedules"}</definedName>
    <definedName name="wrn.Print._.SchH." localSheetId="6" hidden="1">{"SchH1",#N/A,FALSE,"Schedules";"SchH2",#N/A,FALSE,"Schedules"}</definedName>
    <definedName name="wrn.Print._.SchH." hidden="1">{"SchH1",#N/A,FALSE,"Schedules";"SchH2",#N/A,FALSE,"Schedules"}</definedName>
    <definedName name="wrn.Print._.SchI." localSheetId="30" hidden="1">{"SchI1",#N/A,FALSE,"Schedules";"SchI2",#N/A,FALSE,"Schedules"}</definedName>
    <definedName name="wrn.Print._.SchI." localSheetId="31" hidden="1">{"SchI1",#N/A,FALSE,"Schedules";"SchI2",#N/A,FALSE,"Schedules"}</definedName>
    <definedName name="wrn.Print._.SchI." localSheetId="32" hidden="1">{"SchI1",#N/A,FALSE,"Schedules";"SchI2",#N/A,FALSE,"Schedules"}</definedName>
    <definedName name="wrn.Print._.SchI." localSheetId="10" hidden="1">{"SchI1",#N/A,FALSE,"Schedules";"SchI2",#N/A,FALSE,"Schedules"}</definedName>
    <definedName name="wrn.Print._.SchI." localSheetId="1" hidden="1">{"SchI1",#N/A,FALSE,"Schedules";"SchI2",#N/A,FALSE,"Schedules"}</definedName>
    <definedName name="wrn.Print._.SchI." localSheetId="6" hidden="1">{"SchI1",#N/A,FALSE,"Schedules";"SchI2",#N/A,FALSE,"Schedules"}</definedName>
    <definedName name="wrn.Print._.SchI." hidden="1">{"SchI1",#N/A,FALSE,"Schedules";"SchI2",#N/A,FALSE,"Schedules"}</definedName>
    <definedName name="wrn.Print._.SchJ." localSheetId="30" hidden="1">{"SchJ1",#N/A,FALSE,"Schedules";"SchJ2",#N/A,FALSE,"Schedules"}</definedName>
    <definedName name="wrn.Print._.SchJ." localSheetId="31" hidden="1">{"SchJ1",#N/A,FALSE,"Schedules";"SchJ2",#N/A,FALSE,"Schedules"}</definedName>
    <definedName name="wrn.Print._.SchJ." localSheetId="32" hidden="1">{"SchJ1",#N/A,FALSE,"Schedules";"SchJ2",#N/A,FALSE,"Schedules"}</definedName>
    <definedName name="wrn.Print._.SchJ." localSheetId="10" hidden="1">{"SchJ1",#N/A,FALSE,"Schedules";"SchJ2",#N/A,FALSE,"Schedules"}</definedName>
    <definedName name="wrn.Print._.SchJ." localSheetId="1" hidden="1">{"SchJ1",#N/A,FALSE,"Schedules";"SchJ2",#N/A,FALSE,"Schedules"}</definedName>
    <definedName name="wrn.Print._.SchJ." localSheetId="6" hidden="1">{"SchJ1",#N/A,FALSE,"Schedules";"SchJ2",#N/A,FALSE,"Schedules"}</definedName>
    <definedName name="wrn.Print._.SchJ." hidden="1">{"SchJ1",#N/A,FALSE,"Schedules";"SchJ2",#N/A,FALSE,"Schedules"}</definedName>
    <definedName name="wrn.Print._.SchK." localSheetId="30" hidden="1">{"SchK1",#N/A,FALSE,"Schedules";"SchK2",#N/A,FALSE,"Schedules"}</definedName>
    <definedName name="wrn.Print._.SchK." localSheetId="31" hidden="1">{"SchK1",#N/A,FALSE,"Schedules";"SchK2",#N/A,FALSE,"Schedules"}</definedName>
    <definedName name="wrn.Print._.SchK." localSheetId="32" hidden="1">{"SchK1",#N/A,FALSE,"Schedules";"SchK2",#N/A,FALSE,"Schedules"}</definedName>
    <definedName name="wrn.Print._.SchK." localSheetId="10" hidden="1">{"SchK1",#N/A,FALSE,"Schedules";"SchK2",#N/A,FALSE,"Schedules"}</definedName>
    <definedName name="wrn.Print._.SchK." localSheetId="1" hidden="1">{"SchK1",#N/A,FALSE,"Schedules";"SchK2",#N/A,FALSE,"Schedules"}</definedName>
    <definedName name="wrn.Print._.SchK." localSheetId="6" hidden="1">{"SchK1",#N/A,FALSE,"Schedules";"SchK2",#N/A,FALSE,"Schedules"}</definedName>
    <definedName name="wrn.Print._.SchK." hidden="1">{"SchK1",#N/A,FALSE,"Schedules";"SchK2",#N/A,FALSE,"Schedules"}</definedName>
    <definedName name="wrn.Print._.SchL." localSheetId="30" hidden="1">{"SchL1",#N/A,FALSE,"Schedules";"SchL2",#N/A,FALSE,"Schedules"}</definedName>
    <definedName name="wrn.Print._.SchL." localSheetId="31" hidden="1">{"SchL1",#N/A,FALSE,"Schedules";"SchL2",#N/A,FALSE,"Schedules"}</definedName>
    <definedName name="wrn.Print._.SchL." localSheetId="32" hidden="1">{"SchL1",#N/A,FALSE,"Schedules";"SchL2",#N/A,FALSE,"Schedules"}</definedName>
    <definedName name="wrn.Print._.SchL." localSheetId="10" hidden="1">{"SchL1",#N/A,FALSE,"Schedules";"SchL2",#N/A,FALSE,"Schedules"}</definedName>
    <definedName name="wrn.Print._.SchL." localSheetId="1" hidden="1">{"SchL1",#N/A,FALSE,"Schedules";"SchL2",#N/A,FALSE,"Schedules"}</definedName>
    <definedName name="wrn.Print._.SchL." localSheetId="6" hidden="1">{"SchL1",#N/A,FALSE,"Schedules";"SchL2",#N/A,FALSE,"Schedules"}</definedName>
    <definedName name="wrn.Print._.SchL." hidden="1">{"SchL1",#N/A,FALSE,"Schedules";"SchL2",#N/A,FALSE,"Schedules"}</definedName>
    <definedName name="wrn.Print._.SchM." localSheetId="30" hidden="1">{"SchM1",#N/A,FALSE,"Schedules";"SchM2",#N/A,FALSE,"Schedules"}</definedName>
    <definedName name="wrn.Print._.SchM." localSheetId="31" hidden="1">{"SchM1",#N/A,FALSE,"Schedules";"SchM2",#N/A,FALSE,"Schedules"}</definedName>
    <definedName name="wrn.Print._.SchM." localSheetId="32" hidden="1">{"SchM1",#N/A,FALSE,"Schedules";"SchM2",#N/A,FALSE,"Schedules"}</definedName>
    <definedName name="wrn.Print._.SchM." localSheetId="10" hidden="1">{"SchM1",#N/A,FALSE,"Schedules";"SchM2",#N/A,FALSE,"Schedules"}</definedName>
    <definedName name="wrn.Print._.SchM." localSheetId="1" hidden="1">{"SchM1",#N/A,FALSE,"Schedules";"SchM2",#N/A,FALSE,"Schedules"}</definedName>
    <definedName name="wrn.Print._.SchM." localSheetId="6" hidden="1">{"SchM1",#N/A,FALSE,"Schedules";"SchM2",#N/A,FALSE,"Schedules"}</definedName>
    <definedName name="wrn.Print._.SchM." hidden="1">{"SchM1",#N/A,FALSE,"Schedules";"SchM2",#N/A,FALSE,"Schedules"}</definedName>
    <definedName name="wrn.Print._.SchN." localSheetId="30" hidden="1">{"SchN1",#N/A,FALSE,"Schedules"}</definedName>
    <definedName name="wrn.Print._.SchN." localSheetId="31" hidden="1">{"SchN1",#N/A,FALSE,"Schedules"}</definedName>
    <definedName name="wrn.Print._.SchN." localSheetId="32" hidden="1">{"SchN1",#N/A,FALSE,"Schedules"}</definedName>
    <definedName name="wrn.Print._.SchN." localSheetId="10" hidden="1">{"SchN1",#N/A,FALSE,"Schedules"}</definedName>
    <definedName name="wrn.Print._.SchN." localSheetId="1" hidden="1">{"SchN1",#N/A,FALSE,"Schedules"}</definedName>
    <definedName name="wrn.Print._.SchN." localSheetId="6" hidden="1">{"SchN1",#N/A,FALSE,"Schedules"}</definedName>
    <definedName name="wrn.Print._.SchN." hidden="1">{"SchN1",#N/A,FALSE,"Schedules"}</definedName>
    <definedName name="wrn.Print._.SchO." localSheetId="30" hidden="1">{"SchO1",#N/A,FALSE,"Schedules"}</definedName>
    <definedName name="wrn.Print._.SchO." localSheetId="31" hidden="1">{"SchO1",#N/A,FALSE,"Schedules"}</definedName>
    <definedName name="wrn.Print._.SchO." localSheetId="32" hidden="1">{"SchO1",#N/A,FALSE,"Schedules"}</definedName>
    <definedName name="wrn.Print._.SchO." localSheetId="10" hidden="1">{"SchO1",#N/A,FALSE,"Schedules"}</definedName>
    <definedName name="wrn.Print._.SchO." localSheetId="1" hidden="1">{"SchO1",#N/A,FALSE,"Schedules"}</definedName>
    <definedName name="wrn.Print._.SchO." localSheetId="6" hidden="1">{"SchO1",#N/A,FALSE,"Schedules"}</definedName>
    <definedName name="wrn.Print._.SchO." hidden="1">{"SchO1",#N/A,FALSE,"Schedules"}</definedName>
    <definedName name="wrn.Print._.Summary." localSheetId="30" hidden="1">{"Summ1",#N/A,FALSE,"Summary"}</definedName>
    <definedName name="wrn.Print._.Summary." localSheetId="31" hidden="1">{"Summ1",#N/A,FALSE,"Summary"}</definedName>
    <definedName name="wrn.Print._.Summary." localSheetId="32" hidden="1">{"Summ1",#N/A,FALSE,"Summary"}</definedName>
    <definedName name="wrn.Print._.Summary." localSheetId="10" hidden="1">{"Summ1",#N/A,FALSE,"Summary"}</definedName>
    <definedName name="wrn.Print._.Summary." localSheetId="1" hidden="1">{"Summ1",#N/A,FALSE,"Summary"}</definedName>
    <definedName name="wrn.Print._.Summary." localSheetId="6" hidden="1">{"Summ1",#N/A,FALSE,"Summary"}</definedName>
    <definedName name="wrn.Print._.Summary." hidden="1">{"Summ1",#N/A,FALSE,"Summary"}</definedName>
    <definedName name="wrn.PrintAll." localSheetId="30" hidden="1">{#N/A,#N/A,FALSE,"Australia";#N/A,#N/A,FALSE,"Belgium";#N/A,#N/A,FALSE,"Canada RP";#N/A,#N/A,FALSE,"Canada SP";#N/A,#N/A,FALSE,"France RI";#N/A,#N/A,FALSE,"France SP";#N/A,#N/A,FALSE,"Germany";#N/A,#N/A,FALSE,"Ireland Marsh";#N/A,#N/A,FALSE,"Ireland Mercer";#N/A,#N/A,FALSE,"Netherlands";#N/A,#N/A,FALSE,"UK Bowring";#N/A,#N/A,FALSE,"UK Frizzell";#N/A,#N/A,FALSE,"UK Mercer";#N/A,#N/A,FALSE,"Summary"}</definedName>
    <definedName name="wrn.PrintAll." localSheetId="31" hidden="1">{#N/A,#N/A,FALSE,"Australia";#N/A,#N/A,FALSE,"Belgium";#N/A,#N/A,FALSE,"Canada RP";#N/A,#N/A,FALSE,"Canada SP";#N/A,#N/A,FALSE,"France RI";#N/A,#N/A,FALSE,"France SP";#N/A,#N/A,FALSE,"Germany";#N/A,#N/A,FALSE,"Ireland Marsh";#N/A,#N/A,FALSE,"Ireland Mercer";#N/A,#N/A,FALSE,"Netherlands";#N/A,#N/A,FALSE,"UK Bowring";#N/A,#N/A,FALSE,"UK Frizzell";#N/A,#N/A,FALSE,"UK Mercer";#N/A,#N/A,FALSE,"Summary"}</definedName>
    <definedName name="wrn.PrintAll." localSheetId="32" hidden="1">{#N/A,#N/A,FALSE,"Australia";#N/A,#N/A,FALSE,"Belgium";#N/A,#N/A,FALSE,"Canada RP";#N/A,#N/A,FALSE,"Canada SP";#N/A,#N/A,FALSE,"France RI";#N/A,#N/A,FALSE,"France SP";#N/A,#N/A,FALSE,"Germany";#N/A,#N/A,FALSE,"Ireland Marsh";#N/A,#N/A,FALSE,"Ireland Mercer";#N/A,#N/A,FALSE,"Netherlands";#N/A,#N/A,FALSE,"UK Bowring";#N/A,#N/A,FALSE,"UK Frizzell";#N/A,#N/A,FALSE,"UK Mercer";#N/A,#N/A,FALSE,"Summary"}</definedName>
    <definedName name="wrn.PrintAll." localSheetId="10" hidden="1">{#N/A,#N/A,FALSE,"Australia";#N/A,#N/A,FALSE,"Belgium";#N/A,#N/A,FALSE,"Canada RP";#N/A,#N/A,FALSE,"Canada SP";#N/A,#N/A,FALSE,"France RI";#N/A,#N/A,FALSE,"France SP";#N/A,#N/A,FALSE,"Germany";#N/A,#N/A,FALSE,"Ireland Marsh";#N/A,#N/A,FALSE,"Ireland Mercer";#N/A,#N/A,FALSE,"Netherlands";#N/A,#N/A,FALSE,"UK Bowring";#N/A,#N/A,FALSE,"UK Frizzell";#N/A,#N/A,FALSE,"UK Mercer";#N/A,#N/A,FALSE,"Summary"}</definedName>
    <definedName name="wrn.PrintAll." localSheetId="1" hidden="1">{#N/A,#N/A,FALSE,"Australia";#N/A,#N/A,FALSE,"Belgium";#N/A,#N/A,FALSE,"Canada RP";#N/A,#N/A,FALSE,"Canada SP";#N/A,#N/A,FALSE,"France RI";#N/A,#N/A,FALSE,"France SP";#N/A,#N/A,FALSE,"Germany";#N/A,#N/A,FALSE,"Ireland Marsh";#N/A,#N/A,FALSE,"Ireland Mercer";#N/A,#N/A,FALSE,"Netherlands";#N/A,#N/A,FALSE,"UK Bowring";#N/A,#N/A,FALSE,"UK Frizzell";#N/A,#N/A,FALSE,"UK Mercer";#N/A,#N/A,FALSE,"Summary"}</definedName>
    <definedName name="wrn.PrintAll." localSheetId="6" hidden="1">{#N/A,#N/A,FALSE,"Australia";#N/A,#N/A,FALSE,"Belgium";#N/A,#N/A,FALSE,"Canada RP";#N/A,#N/A,FALSE,"Canada SP";#N/A,#N/A,FALSE,"France RI";#N/A,#N/A,FALSE,"France SP";#N/A,#N/A,FALSE,"Germany";#N/A,#N/A,FALSE,"Ireland Marsh";#N/A,#N/A,FALSE,"Ireland Mercer";#N/A,#N/A,FALSE,"Netherlands";#N/A,#N/A,FALSE,"UK Bowring";#N/A,#N/A,FALSE,"UK Frizzell";#N/A,#N/A,FALSE,"UK Mercer";#N/A,#N/A,FALSE,"Summary"}</definedName>
    <definedName name="wrn.PrintAll." hidden="1">{#N/A,#N/A,FALSE,"Australia";#N/A,#N/A,FALSE,"Belgium";#N/A,#N/A,FALSE,"Canada RP";#N/A,#N/A,FALSE,"Canada SP";#N/A,#N/A,FALSE,"France RI";#N/A,#N/A,FALSE,"France SP";#N/A,#N/A,FALSE,"Germany";#N/A,#N/A,FALSE,"Ireland Marsh";#N/A,#N/A,FALSE,"Ireland Mercer";#N/A,#N/A,FALSE,"Netherlands";#N/A,#N/A,FALSE,"UK Bowring";#N/A,#N/A,FALSE,"UK Frizzell";#N/A,#N/A,FALSE,"UK Mercer";#N/A,#N/A,FALSE,"Summary"}</definedName>
    <definedName name="WRN.PRODUCT" localSheetId="30" hidden="1">{"Detail analysis",#N/A,FALSE,"Model";"Summary analysis",#N/A,FALSE,"Model";"OCPH analysis",#N/A,FALSE,"Model"}</definedName>
    <definedName name="WRN.PRODUCT" localSheetId="31" hidden="1">{"Detail analysis",#N/A,FALSE,"Model";"Summary analysis",#N/A,FALSE,"Model";"OCPH analysis",#N/A,FALSE,"Model"}</definedName>
    <definedName name="WRN.PRODUCT" localSheetId="32" hidden="1">{"Detail analysis",#N/A,FALSE,"Model";"Summary analysis",#N/A,FALSE,"Model";"OCPH analysis",#N/A,FALSE,"Model"}</definedName>
    <definedName name="WRN.PRODUCT" localSheetId="10" hidden="1">{"Detail analysis",#N/A,FALSE,"Model";"Summary analysis",#N/A,FALSE,"Model";"OCPH analysis",#N/A,FALSE,"Model"}</definedName>
    <definedName name="WRN.PRODUCT" localSheetId="6" hidden="1">{"Detail analysis",#N/A,FALSE,"Model";"Summary analysis",#N/A,FALSE,"Model";"OCPH analysis",#N/A,FALSE,"Model"}</definedName>
    <definedName name="WRN.PRODUCT" hidden="1">{"Detail analysis",#N/A,FALSE,"Model";"Summary analysis",#N/A,FALSE,"Model";"OCPH analysis",#N/A,FALSE,"Model"}</definedName>
    <definedName name="wrn.Productivity." localSheetId="30" hidden="1">{"Summary analysis",#N/A,FALSE,"Total";"OCPH analysis",#N/A,FALSE,"Total";"detail analysis",#N/A,FALSE,"Total"}</definedName>
    <definedName name="wrn.Productivity." localSheetId="31" hidden="1">{"Summary analysis",#N/A,FALSE,"Total";"OCPH analysis",#N/A,FALSE,"Total";"detail analysis",#N/A,FALSE,"Total"}</definedName>
    <definedName name="wrn.Productivity." localSheetId="32" hidden="1">{"Summary analysis",#N/A,FALSE,"Total";"OCPH analysis",#N/A,FALSE,"Total";"detail analysis",#N/A,FALSE,"Total"}</definedName>
    <definedName name="wrn.Productivity." localSheetId="10" hidden="1">{"Summary analysis",#N/A,FALSE,"Total";"OCPH analysis",#N/A,FALSE,"Total";"detail analysis",#N/A,FALSE,"Total"}</definedName>
    <definedName name="wrn.Productivity." localSheetId="6" hidden="1">{"Summary analysis",#N/A,FALSE,"Total";"OCPH analysis",#N/A,FALSE,"Total";"detail analysis",#N/A,FALSE,"Total"}</definedName>
    <definedName name="wrn.Productivity." hidden="1">{"Summary analysis",#N/A,FALSE,"Total";"OCPH analysis",#N/A,FALSE,"Total";"detail analysis",#N/A,FALSE,"Total"}</definedName>
    <definedName name="wrn.purchase._.register." localSheetId="30" hidden="1">{#N/A,#N/A,TRUE,"RM-June"}</definedName>
    <definedName name="wrn.purchase._.register." localSheetId="31" hidden="1">{#N/A,#N/A,TRUE,"RM-June"}</definedName>
    <definedName name="wrn.purchase._.register." localSheetId="32" hidden="1">{#N/A,#N/A,TRUE,"RM-June"}</definedName>
    <definedName name="wrn.purchase._.register." localSheetId="10" hidden="1">{#N/A,#N/A,TRUE,"RM-June"}</definedName>
    <definedName name="wrn.purchase._.register." localSheetId="1" hidden="1">{#N/A,#N/A,TRUE,"RM-June"}</definedName>
    <definedName name="wrn.purchase._.register." localSheetId="6" hidden="1">{#N/A,#N/A,TRUE,"RM-June"}</definedName>
    <definedName name="wrn.purchase._.register." hidden="1">{#N/A,#N/A,TRUE,"RM-June"}</definedName>
    <definedName name="wrn.Quantity." localSheetId="30" hidden="1">{#N/A,#N/A,FALSE,"MONTHLY "}</definedName>
    <definedName name="wrn.Quantity." localSheetId="31" hidden="1">{#N/A,#N/A,FALSE,"MONTHLY "}</definedName>
    <definedName name="wrn.Quantity." localSheetId="32" hidden="1">{#N/A,#N/A,FALSE,"MONTHLY "}</definedName>
    <definedName name="wrn.Quantity." localSheetId="10" hidden="1">{#N/A,#N/A,FALSE,"MONTHLY "}</definedName>
    <definedName name="wrn.Quantity." localSheetId="1" hidden="1">{#N/A,#N/A,FALSE,"MONTHLY "}</definedName>
    <definedName name="wrn.Quantity." localSheetId="6" hidden="1">{#N/A,#N/A,FALSE,"MONTHLY "}</definedName>
    <definedName name="wrn.Quantity." hidden="1">{#N/A,#N/A,FALSE,"MONTHLY "}</definedName>
    <definedName name="wrn.rapport._.1." localSheetId="30" hidden="1">{#N/A,#N/A,TRUE,"Forecast &amp; Analysis";#N/A,#N/A,TRUE,"Market Values";#N/A,#N/A,TRUE,"Ratios";#N/A,#N/A,TRUE,"Regressions";#N/A,#N/A,TRUE,"Market Values";#N/A,#N/A,TRUE,"Parameters &amp; Results"}</definedName>
    <definedName name="wrn.rapport._.1." localSheetId="31" hidden="1">{#N/A,#N/A,TRUE,"Forecast &amp; Analysis";#N/A,#N/A,TRUE,"Market Values";#N/A,#N/A,TRUE,"Ratios";#N/A,#N/A,TRUE,"Regressions";#N/A,#N/A,TRUE,"Market Values";#N/A,#N/A,TRUE,"Parameters &amp; Results"}</definedName>
    <definedName name="wrn.rapport._.1." localSheetId="32" hidden="1">{#N/A,#N/A,TRUE,"Forecast &amp; Analysis";#N/A,#N/A,TRUE,"Market Values";#N/A,#N/A,TRUE,"Ratios";#N/A,#N/A,TRUE,"Regressions";#N/A,#N/A,TRUE,"Market Values";#N/A,#N/A,TRUE,"Parameters &amp; Results"}</definedName>
    <definedName name="wrn.rapport._.1." localSheetId="10" hidden="1">{#N/A,#N/A,TRUE,"Forecast &amp; Analysis";#N/A,#N/A,TRUE,"Market Values";#N/A,#N/A,TRUE,"Ratios";#N/A,#N/A,TRUE,"Regressions";#N/A,#N/A,TRUE,"Market Values";#N/A,#N/A,TRUE,"Parameters &amp; Results"}</definedName>
    <definedName name="wrn.rapport._.1." localSheetId="6" hidden="1">{#N/A,#N/A,TRUE,"Forecast &amp; Analysis";#N/A,#N/A,TRUE,"Market Values";#N/A,#N/A,TRUE,"Ratios";#N/A,#N/A,TRUE,"Regressions";#N/A,#N/A,TRUE,"Market Values";#N/A,#N/A,TRUE,"Parameters &amp; Results"}</definedName>
    <definedName name="wrn.rapport._.1." hidden="1">{#N/A,#N/A,TRUE,"Forecast &amp; Analysis";#N/A,#N/A,TRUE,"Market Values";#N/A,#N/A,TRUE,"Ratios";#N/A,#N/A,TRUE,"Regressions";#N/A,#N/A,TRUE,"Market Values";#N/A,#N/A,TRUE,"Parameters &amp; Results"}</definedName>
    <definedName name="wrn.ratios." localSheetId="30" hidden="1">{"raatios",#N/A,FALSE,"A";"ratios",#N/A,FALSE,"B";"ratios",#N/A,FALSE,"C";"ratios",#N/A,FALSE,"D";"ratios",#N/A,FALSE,"F"}</definedName>
    <definedName name="wrn.ratios." localSheetId="31" hidden="1">{"raatios",#N/A,FALSE,"A";"ratios",#N/A,FALSE,"B";"ratios",#N/A,FALSE,"C";"ratios",#N/A,FALSE,"D";"ratios",#N/A,FALSE,"F"}</definedName>
    <definedName name="wrn.ratios." localSheetId="32" hidden="1">{"raatios",#N/A,FALSE,"A";"ratios",#N/A,FALSE,"B";"ratios",#N/A,FALSE,"C";"ratios",#N/A,FALSE,"D";"ratios",#N/A,FALSE,"F"}</definedName>
    <definedName name="wrn.ratios." localSheetId="10" hidden="1">{"raatios",#N/A,FALSE,"A";"ratios",#N/A,FALSE,"B";"ratios",#N/A,FALSE,"C";"ratios",#N/A,FALSE,"D";"ratios",#N/A,FALSE,"F"}</definedName>
    <definedName name="wrn.ratios." localSheetId="6" hidden="1">{"raatios",#N/A,FALSE,"A";"ratios",#N/A,FALSE,"B";"ratios",#N/A,FALSE,"C";"ratios",#N/A,FALSE,"D";"ratios",#N/A,FALSE,"F"}</definedName>
    <definedName name="wrn.ratios." hidden="1">{"raatios",#N/A,FALSE,"A";"ratios",#N/A,FALSE,"B";"ratios",#N/A,FALSE,"C";"ratios",#N/A,FALSE,"D";"ratios",#N/A,FALSE,"F"}</definedName>
    <definedName name="wrn.REPORT." localSheetId="1" hidden="1">{#N/A,#N/A,FALSE,"Balance Sheet";#N/A,#N/A,FALSE,"Profit &amp; Loss ";#N/A,#N/A,FALSE,"Schedule-1";#N/A,#N/A,FALSE,"Schedule-2";#N/A,#N/A,FALSE,"Schedule-3";#N/A,#N/A,FALSE,"Schedule-4 ";#N/A,#N/A,FALSE,"Schedule-5";#N/A,#N/A,FALSE,"Schedule-6,7,8,9";#N/A,#N/A,FALSE,"Schedule-10,11";#N/A,#N/A,FALSE,"Schedule-12,13,14,15";#N/A,#N/A,FALSE,"Scdedule-16"}</definedName>
    <definedName name="wrn.report." hidden="1">{"summary",#N/A,FALSE,"2000 vs 1999";"detail",#N/A,FALSE,"2000 vs 1999"}</definedName>
    <definedName name="wrn.report.1" hidden="1">{"summary",#N/A,FALSE,"2000 vs 1999";"detail",#N/A,FALSE,"2000 vs 1999"}</definedName>
    <definedName name="wrn.report.2" hidden="1">{"summary",#N/A,FALSE,"2000 vs 1999";"detail",#N/A,FALSE,"2000 vs 1999"}</definedName>
    <definedName name="wrn.report.21" hidden="1">{"summary",#N/A,FALSE,"2000 vs 1999";"detail",#N/A,FALSE,"2000 vs 1999"}</definedName>
    <definedName name="wrn.report.3" hidden="1">{"summary",#N/A,FALSE,"2000 vs 1999";"detail",#N/A,FALSE,"2000 vs 1999"}</definedName>
    <definedName name="wrn.report.4" hidden="1">{"summary",#N/A,FALSE,"2000 vs 1999";"detail",#N/A,FALSE,"2000 vs 1999"}</definedName>
    <definedName name="wrn.report.5" hidden="1">{"summary",#N/A,FALSE,"2000 vs 1999";"detail",#N/A,FALSE,"2000 vs 1999"}</definedName>
    <definedName name="wrn.report.6"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5" hidden="1">{"summary",#N/A,FALSE,"2000 vs 1999";"detail",#N/A,FALSE,"2000 vs 1999"}</definedName>
    <definedName name="wrn.report.new1" hidden="1">{"summary",#N/A,FALSE,"2000 vs 1999";"detail",#N/A,FALSE,"2000 vs 1999"}</definedName>
    <definedName name="wrn.report.new11" hidden="1">{"summary",#N/A,FALSE,"2000 vs 1999";"detail",#N/A,FALSE,"2000 vs 1999"}</definedName>
    <definedName name="wrn.report.new2" hidden="1">{"summary",#N/A,FALSE,"2000 vs 1999";"detail",#N/A,FALSE,"2000 vs 1999"}</definedName>
    <definedName name="wrn.report.new9" hidden="1">{"summary",#N/A,FALSE,"2000 vs 1999";"detail",#N/A,FALSE,"2000 vs 1999"}</definedName>
    <definedName name="wrn.report1" hidden="1">{"summary",#N/A,FALSE,"2000 vs 1999";"detail",#N/A,FALSE,"2000 vs 1999"}</definedName>
    <definedName name="wrn.report1." localSheetId="30" hidden="1">{"page1",#N/A,FALSE,"Taean 1&amp;2";"page2",#N/A,FALSE,"Taean 1&amp;2"}</definedName>
    <definedName name="wrn.report1." localSheetId="31" hidden="1">{"page1",#N/A,FALSE,"Taean 1&amp;2";"page2",#N/A,FALSE,"Taean 1&amp;2"}</definedName>
    <definedName name="wrn.report1." localSheetId="32" hidden="1">{"page1",#N/A,FALSE,"Taean 1&amp;2";"page2",#N/A,FALSE,"Taean 1&amp;2"}</definedName>
    <definedName name="wrn.report1." localSheetId="10" hidden="1">{"page1",#N/A,FALSE,"Taean 1&amp;2";"page2",#N/A,FALSE,"Taean 1&amp;2"}</definedName>
    <definedName name="wrn.report1." localSheetId="6" hidden="1">{"page1",#N/A,FALSE,"Taean 1&amp;2";"page2",#N/A,FALSE,"Taean 1&amp;2"}</definedName>
    <definedName name="wrn.report1." hidden="1">{"page1",#N/A,FALSE,"Taean 1&amp;2";"page2",#N/A,FALSE,"Taean 1&amp;2"}</definedName>
    <definedName name="wrn.report6" hidden="1">{"summary",#N/A,FALSE,"2000 vs 1999";"detail",#N/A,FALSE,"2000 vs 1999"}</definedName>
    <definedName name="wrn.results." localSheetId="30" hidden="1">{#N/A,#N/A,TRUE,"BALSCH";#N/A,#N/A,TRUE,"COMICRO";#N/A,#N/A,TRUE,"CHECKS";#N/A,#N/A,TRUE,"GLASS";#N/A,#N/A,TRUE,"DEPRE";#N/A,#N/A,TRUE,"A&amp;MCUR";#N/A,#N/A,TRUE,"AGEANAlysis";#N/A,#N/A,TRUE,"CHECKS"}</definedName>
    <definedName name="wrn.results." localSheetId="31" hidden="1">{#N/A,#N/A,TRUE,"BALSCH";#N/A,#N/A,TRUE,"COMICRO";#N/A,#N/A,TRUE,"CHECKS";#N/A,#N/A,TRUE,"GLASS";#N/A,#N/A,TRUE,"DEPRE";#N/A,#N/A,TRUE,"A&amp;MCUR";#N/A,#N/A,TRUE,"AGEANAlysis";#N/A,#N/A,TRUE,"CHECKS"}</definedName>
    <definedName name="wrn.results." localSheetId="32" hidden="1">{#N/A,#N/A,TRUE,"BALSCH";#N/A,#N/A,TRUE,"COMICRO";#N/A,#N/A,TRUE,"CHECKS";#N/A,#N/A,TRUE,"GLASS";#N/A,#N/A,TRUE,"DEPRE";#N/A,#N/A,TRUE,"A&amp;MCUR";#N/A,#N/A,TRUE,"AGEANAlysis";#N/A,#N/A,TRUE,"CHECKS"}</definedName>
    <definedName name="wrn.results." localSheetId="10" hidden="1">{#N/A,#N/A,TRUE,"BALSCH";#N/A,#N/A,TRUE,"COMICRO";#N/A,#N/A,TRUE,"CHECKS";#N/A,#N/A,TRUE,"GLASS";#N/A,#N/A,TRUE,"DEPRE";#N/A,#N/A,TRUE,"A&amp;MCUR";#N/A,#N/A,TRUE,"AGEANAlysis";#N/A,#N/A,TRUE,"CHECKS"}</definedName>
    <definedName name="wrn.results." localSheetId="1" hidden="1">{#N/A,#N/A,TRUE,"BALSCH";#N/A,#N/A,TRUE,"COMICRO";#N/A,#N/A,TRUE,"CHECKS";#N/A,#N/A,TRUE,"GLASS";#N/A,#N/A,TRUE,"DEPRE";#N/A,#N/A,TRUE,"A&amp;MCUR";#N/A,#N/A,TRUE,"AGEANAlysis";#N/A,#N/A,TRUE,"CHECKS"}</definedName>
    <definedName name="wrn.results." localSheetId="6" hidden="1">{#N/A,#N/A,TRUE,"BALSCH";#N/A,#N/A,TRUE,"COMICRO";#N/A,#N/A,TRUE,"CHECKS";#N/A,#N/A,TRUE,"GLASS";#N/A,#N/A,TRUE,"DEPRE";#N/A,#N/A,TRUE,"A&amp;MCUR";#N/A,#N/A,TRUE,"AGEANAlysis";#N/A,#N/A,TRUE,"CHECKS"}</definedName>
    <definedName name="wrn.results." hidden="1">{#N/A,#N/A,TRUE,"BALSCH";#N/A,#N/A,TRUE,"COMICRO";#N/A,#N/A,TRUE,"CHECKS";#N/A,#N/A,TRUE,"GLASS";#N/A,#N/A,TRUE,"DEPRE";#N/A,#N/A,TRUE,"A&amp;MCUR";#N/A,#N/A,TRUE,"AGEANAlysis";#N/A,#N/A,TRUE,"CHECKS"}</definedName>
    <definedName name="WRN.RET" hidden="1">{"summary",#N/A,FALSE,"2000 vs 1999";"detail",#N/A,FALSE,"2000 vs 1999"}</definedName>
    <definedName name="WRN.RET.2" hidden="1">{"summary",#N/A,FALSE,"2000 vs 1999";"detail",#N/A,FALSE,"2000 vs 1999"}</definedName>
    <definedName name="wrn.S._.2._.2001." hidden="1">{#N/A,#N/A,FALSE,"P 1";#N/A,#N/A,FALSE,"P 2";#N/A,#N/A,FALSE,"P 3";#N/A,#N/A,FALSE,"P 4";#N/A,#N/A,FALSE,"P 5";#N/A,#N/A,FALSE,"P 25";#N/A,#N/A,FALSE,"P 26";#N/A,#N/A,FALSE,"P 27"}</definedName>
    <definedName name="wrn.sales." localSheetId="30" hidden="1">{"sales",#N/A,FALSE,"Sales";"sales existing",#N/A,FALSE,"Sales";"sales rd1",#N/A,FALSE,"Sales";"sales rd2",#N/A,FALSE,"Sales"}</definedName>
    <definedName name="wrn.sales." localSheetId="31" hidden="1">{"sales",#N/A,FALSE,"Sales";"sales existing",#N/A,FALSE,"Sales";"sales rd1",#N/A,FALSE,"Sales";"sales rd2",#N/A,FALSE,"Sales"}</definedName>
    <definedName name="wrn.sales." localSheetId="32" hidden="1">{"sales",#N/A,FALSE,"Sales";"sales existing",#N/A,FALSE,"Sales";"sales rd1",#N/A,FALSE,"Sales";"sales rd2",#N/A,FALSE,"Sales"}</definedName>
    <definedName name="wrn.sales." localSheetId="10" hidden="1">{"sales",#N/A,FALSE,"Sales";"sales existing",#N/A,FALSE,"Sales";"sales rd1",#N/A,FALSE,"Sales";"sales rd2",#N/A,FALSE,"Sales"}</definedName>
    <definedName name="wrn.sales." localSheetId="6" hidden="1">{"sales",#N/A,FALSE,"Sales";"sales existing",#N/A,FALSE,"Sales";"sales rd1",#N/A,FALSE,"Sales";"sales rd2",#N/A,FALSE,"Sales"}</definedName>
    <definedName name="wrn.sales." hidden="1">{"sales",#N/A,FALSE,"Sales";"sales existing",#N/A,FALSE,"Sales";"sales rd1",#N/A,FALSE,"Sales";"sales rd2",#N/A,FALSE,"Sales"}</definedName>
    <definedName name="wrn.scorecard._.rpt." localSheetId="30" hidden="1">{"scorecard view",#N/A,FALSE,"Scorecard output"}</definedName>
    <definedName name="wrn.scorecard._.rpt." localSheetId="31" hidden="1">{"scorecard view",#N/A,FALSE,"Scorecard output"}</definedName>
    <definedName name="wrn.scorecard._.rpt." localSheetId="32" hidden="1">{"scorecard view",#N/A,FALSE,"Scorecard output"}</definedName>
    <definedName name="wrn.scorecard._.rpt." localSheetId="10" hidden="1">{"scorecard view",#N/A,FALSE,"Scorecard output"}</definedName>
    <definedName name="wrn.scorecard._.rpt." localSheetId="6" hidden="1">{"scorecard view",#N/A,FALSE,"Scorecard output"}</definedName>
    <definedName name="wrn.scorecard._.rpt." hidden="1">{"scorecard view",#N/A,FALSE,"Scorecard output"}</definedName>
    <definedName name="wrn.SHIPMENTS." localSheetId="30" hidden="1">{#N/A,#N/A,FALSE,"JANLN2"}</definedName>
    <definedName name="wrn.SHIPMENTS." localSheetId="31" hidden="1">{#N/A,#N/A,FALSE,"JANLN2"}</definedName>
    <definedName name="wrn.SHIPMENTS." localSheetId="32" hidden="1">{#N/A,#N/A,FALSE,"JANLN2"}</definedName>
    <definedName name="wrn.SHIPMENTS." localSheetId="10" hidden="1">{#N/A,#N/A,FALSE,"JANLN2"}</definedName>
    <definedName name="wrn.SHIPMENTS." localSheetId="6" hidden="1">{#N/A,#N/A,FALSE,"JANLN2"}</definedName>
    <definedName name="wrn.SHIPMENTS." hidden="1">{#N/A,#N/A,FALSE,"JANLN2"}</definedName>
    <definedName name="wrn.Summary." localSheetId="30" hidden="1">{#N/A,#N/A,TRUE,"KEY DATA";#N/A,#N/A,TRUE,"KEY DATA Base Case";#N/A,#N/A,TRUE,"JULY";#N/A,#N/A,TRUE,"AUG";#N/A,#N/A,TRUE,"SEPT";#N/A,#N/A,TRUE,"3Q"}</definedName>
    <definedName name="wrn.Summary." localSheetId="31" hidden="1">{#N/A,#N/A,TRUE,"KEY DATA";#N/A,#N/A,TRUE,"KEY DATA Base Case";#N/A,#N/A,TRUE,"JULY";#N/A,#N/A,TRUE,"AUG";#N/A,#N/A,TRUE,"SEPT";#N/A,#N/A,TRUE,"3Q"}</definedName>
    <definedName name="wrn.Summary." localSheetId="32" hidden="1">{#N/A,#N/A,TRUE,"KEY DATA";#N/A,#N/A,TRUE,"KEY DATA Base Case";#N/A,#N/A,TRUE,"JULY";#N/A,#N/A,TRUE,"AUG";#N/A,#N/A,TRUE,"SEPT";#N/A,#N/A,TRUE,"3Q"}</definedName>
    <definedName name="wrn.Summary." localSheetId="10" hidden="1">{#N/A,#N/A,TRUE,"KEY DATA";#N/A,#N/A,TRUE,"KEY DATA Base Case";#N/A,#N/A,TRUE,"JULY";#N/A,#N/A,TRUE,"AUG";#N/A,#N/A,TRUE,"SEPT";#N/A,#N/A,TRUE,"3Q"}</definedName>
    <definedName name="wrn.Summary." localSheetId="6" hidden="1">{#N/A,#N/A,TRUE,"KEY DATA";#N/A,#N/A,TRUE,"KEY DATA Base Case";#N/A,#N/A,TRUE,"JULY";#N/A,#N/A,TRUE,"AUG";#N/A,#N/A,TRUE,"SEPT";#N/A,#N/A,TRUE,"3Q"}</definedName>
    <definedName name="wrn.Summary." hidden="1">{#N/A,#N/A,TRUE,"KEY DATA";#N/A,#N/A,TRUE,"KEY DATA Base Case";#N/A,#N/A,TRUE,"JULY";#N/A,#N/A,TRUE,"AUG";#N/A,#N/A,TRUE,"SEPT";#N/A,#N/A,TRUE,"3Q"}</definedName>
    <definedName name="wrn.summary.." localSheetId="30" hidden="1">{#N/A,#N/A,TRUE,"KEY DATA";#N/A,#N/A,TRUE,"KEY DATA Base Case";#N/A,#N/A,TRUE,"JULY";#N/A,#N/A,TRUE,"AUG";#N/A,#N/A,TRUE,"SEPT";#N/A,#N/A,TRUE,"3Q"}</definedName>
    <definedName name="wrn.summary.." localSheetId="31" hidden="1">{#N/A,#N/A,TRUE,"KEY DATA";#N/A,#N/A,TRUE,"KEY DATA Base Case";#N/A,#N/A,TRUE,"JULY";#N/A,#N/A,TRUE,"AUG";#N/A,#N/A,TRUE,"SEPT";#N/A,#N/A,TRUE,"3Q"}</definedName>
    <definedName name="wrn.summary.." localSheetId="32" hidden="1">{#N/A,#N/A,TRUE,"KEY DATA";#N/A,#N/A,TRUE,"KEY DATA Base Case";#N/A,#N/A,TRUE,"JULY";#N/A,#N/A,TRUE,"AUG";#N/A,#N/A,TRUE,"SEPT";#N/A,#N/A,TRUE,"3Q"}</definedName>
    <definedName name="wrn.summary.." localSheetId="10" hidden="1">{#N/A,#N/A,TRUE,"KEY DATA";#N/A,#N/A,TRUE,"KEY DATA Base Case";#N/A,#N/A,TRUE,"JULY";#N/A,#N/A,TRUE,"AUG";#N/A,#N/A,TRUE,"SEPT";#N/A,#N/A,TRUE,"3Q"}</definedName>
    <definedName name="wrn.summary.." localSheetId="6" hidden="1">{#N/A,#N/A,TRUE,"KEY DATA";#N/A,#N/A,TRUE,"KEY DATA Base Case";#N/A,#N/A,TRUE,"JULY";#N/A,#N/A,TRUE,"AUG";#N/A,#N/A,TRUE,"SEPT";#N/A,#N/A,TRUE,"3Q"}</definedName>
    <definedName name="wrn.summary.." hidden="1">{#N/A,#N/A,TRUE,"KEY DATA";#N/A,#N/A,TRUE,"KEY DATA Base Case";#N/A,#N/A,TRUE,"JULY";#N/A,#N/A,TRUE,"AUG";#N/A,#N/A,TRUE,"SEPT";#N/A,#N/A,TRUE,"3Q"}</definedName>
    <definedName name="wrn.totsch." localSheetId="30" hidden="1">{"offequipsch",#N/A,FALSE,"GTC_Schedule";"onconstsch",#N/A,FALSE,"GTC_Schedule";"techsch",#N/A,FALSE,"GTC_Schedule";"totsch",#N/A,FALSE,"GTC_Schedule"}</definedName>
    <definedName name="wrn.totsch." localSheetId="31" hidden="1">{"offequipsch",#N/A,FALSE,"GTC_Schedule";"onconstsch",#N/A,FALSE,"GTC_Schedule";"techsch",#N/A,FALSE,"GTC_Schedule";"totsch",#N/A,FALSE,"GTC_Schedule"}</definedName>
    <definedName name="wrn.totsch." localSheetId="32" hidden="1">{"offequipsch",#N/A,FALSE,"GTC_Schedule";"onconstsch",#N/A,FALSE,"GTC_Schedule";"techsch",#N/A,FALSE,"GTC_Schedule";"totsch",#N/A,FALSE,"GTC_Schedule"}</definedName>
    <definedName name="wrn.totsch." localSheetId="10" hidden="1">{"offequipsch",#N/A,FALSE,"GTC_Schedule";"onconstsch",#N/A,FALSE,"GTC_Schedule";"techsch",#N/A,FALSE,"GTC_Schedule";"totsch",#N/A,FALSE,"GTC_Schedule"}</definedName>
    <definedName name="wrn.totsch." localSheetId="6" hidden="1">{"offequipsch",#N/A,FALSE,"GTC_Schedule";"onconstsch",#N/A,FALSE,"GTC_Schedule";"techsch",#N/A,FALSE,"GTC_Schedule";"totsch",#N/A,FALSE,"GTC_Schedule"}</definedName>
    <definedName name="wrn.totsch." hidden="1">{"offequipsch",#N/A,FALSE,"GTC_Schedule";"onconstsch",#N/A,FALSE,"GTC_Schedule";"techsch",#N/A,FALSE,"GTC_Schedule";"totsch",#N/A,FALSE,"GTC_Schedule"}</definedName>
    <definedName name="wrn.TRAVELLING." localSheetId="30" hidden="1">{#N/A,#N/A,FALSE,"Sheet3"}</definedName>
    <definedName name="wrn.TRAVELLING." localSheetId="31" hidden="1">{#N/A,#N/A,FALSE,"Sheet3"}</definedName>
    <definedName name="wrn.TRAVELLING." localSheetId="32" hidden="1">{#N/A,#N/A,FALSE,"Sheet3"}</definedName>
    <definedName name="wrn.TRAVELLING." localSheetId="10" hidden="1">{#N/A,#N/A,FALSE,"Sheet3"}</definedName>
    <definedName name="wrn.TRAVELLING." localSheetId="1" hidden="1">{#N/A,#N/A,FALSE,"Sheet3"}</definedName>
    <definedName name="wrn.TRAVELLING." localSheetId="6" hidden="1">{#N/A,#N/A,FALSE,"Sheet3"}</definedName>
    <definedName name="wrn.TRAVELLING." hidden="1">{#N/A,#N/A,FALSE,"Sheet3"}</definedName>
    <definedName name="wrn.UmsatzwertePlan1997." localSheetId="30" hidden="1">{#N/A,#N/A,TRUE,"UmsSumAnteilFZ";#N/A,#N/A,TRUE,"UmsatzSumme";#N/A,#N/A,TRUE,"G&amp;V"}</definedName>
    <definedName name="wrn.UmsatzwertePlan1997." localSheetId="31" hidden="1">{#N/A,#N/A,TRUE,"UmsSumAnteilFZ";#N/A,#N/A,TRUE,"UmsatzSumme";#N/A,#N/A,TRUE,"G&amp;V"}</definedName>
    <definedName name="wrn.UmsatzwertePlan1997." localSheetId="32" hidden="1">{#N/A,#N/A,TRUE,"UmsSumAnteilFZ";#N/A,#N/A,TRUE,"UmsatzSumme";#N/A,#N/A,TRUE,"G&amp;V"}</definedName>
    <definedName name="wrn.UmsatzwertePlan1997." localSheetId="10" hidden="1">{#N/A,#N/A,TRUE,"UmsSumAnteilFZ";#N/A,#N/A,TRUE,"UmsatzSumme";#N/A,#N/A,TRUE,"G&amp;V"}</definedName>
    <definedName name="wrn.UmsatzwertePlan1997." localSheetId="6" hidden="1">{#N/A,#N/A,TRUE,"UmsSumAnteilFZ";#N/A,#N/A,TRUE,"UmsatzSumme";#N/A,#N/A,TRUE,"G&amp;V"}</definedName>
    <definedName name="wrn.UmsatzwertePlan1997." hidden="1">{#N/A,#N/A,TRUE,"UmsSumAnteilFZ";#N/A,#N/A,TRUE,"UmsatzSumme";#N/A,#N/A,TRUE,"G&amp;V"}</definedName>
    <definedName name="wrn.usmed3." localSheetId="30" hidden="1">{#N/A,#N/A,FALSE,"USMED 3";#N/A,#N/A,FALSE,"MARCHALLENGER 1";#N/A,#N/A,FALSE,"MARCHALLENGER 2";#N/A,#N/A,FALSE,"MARCHALLENGER 3";#N/A,#N/A,FALSE,"MARCHALLENGER 4"}</definedName>
    <definedName name="wrn.usmed3." localSheetId="31" hidden="1">{#N/A,#N/A,FALSE,"USMED 3";#N/A,#N/A,FALSE,"MARCHALLENGER 1";#N/A,#N/A,FALSE,"MARCHALLENGER 2";#N/A,#N/A,FALSE,"MARCHALLENGER 3";#N/A,#N/A,FALSE,"MARCHALLENGER 4"}</definedName>
    <definedName name="wrn.usmed3." localSheetId="32" hidden="1">{#N/A,#N/A,FALSE,"USMED 3";#N/A,#N/A,FALSE,"MARCHALLENGER 1";#N/A,#N/A,FALSE,"MARCHALLENGER 2";#N/A,#N/A,FALSE,"MARCHALLENGER 3";#N/A,#N/A,FALSE,"MARCHALLENGER 4"}</definedName>
    <definedName name="wrn.usmed3." localSheetId="10" hidden="1">{#N/A,#N/A,FALSE,"USMED 3";#N/A,#N/A,FALSE,"MARCHALLENGER 1";#N/A,#N/A,FALSE,"MARCHALLENGER 2";#N/A,#N/A,FALSE,"MARCHALLENGER 3";#N/A,#N/A,FALSE,"MARCHALLENGER 4"}</definedName>
    <definedName name="wrn.usmed3." hidden="1">{#N/A,#N/A,FALSE,"USMED 3";#N/A,#N/A,FALSE,"MARCHALLENGER 1";#N/A,#N/A,FALSE,"MARCHALLENGER 2";#N/A,#N/A,FALSE,"MARCHALLENGER 3";#N/A,#N/A,FALSE,"MARCHALLENGER 4"}</definedName>
    <definedName name="wrn.Variances1Q._.97." localSheetId="30" hidden="1">{"pag1",#N/A,TRUE,"Graf1Q97";"pag2",#N/A,TRUE,"Graf1Q97";"pag3",#N/A,TRUE,"Graf1Q97";"pag4",#N/A,TRUE,"Graf1Q97";"pag5",#N/A,TRUE,"Graf1Q97";"pag6",#N/A,TRUE,"Graf1Q97"}</definedName>
    <definedName name="wrn.Variances1Q._.97." localSheetId="31" hidden="1">{"pag1",#N/A,TRUE,"Graf1Q97";"pag2",#N/A,TRUE,"Graf1Q97";"pag3",#N/A,TRUE,"Graf1Q97";"pag4",#N/A,TRUE,"Graf1Q97";"pag5",#N/A,TRUE,"Graf1Q97";"pag6",#N/A,TRUE,"Graf1Q97"}</definedName>
    <definedName name="wrn.Variances1Q._.97." localSheetId="32" hidden="1">{"pag1",#N/A,TRUE,"Graf1Q97";"pag2",#N/A,TRUE,"Graf1Q97";"pag3",#N/A,TRUE,"Graf1Q97";"pag4",#N/A,TRUE,"Graf1Q97";"pag5",#N/A,TRUE,"Graf1Q97";"pag6",#N/A,TRUE,"Graf1Q97"}</definedName>
    <definedName name="wrn.Variances1Q._.97." localSheetId="10" hidden="1">{"pag1",#N/A,TRUE,"Graf1Q97";"pag2",#N/A,TRUE,"Graf1Q97";"pag3",#N/A,TRUE,"Graf1Q97";"pag4",#N/A,TRUE,"Graf1Q97";"pag5",#N/A,TRUE,"Graf1Q97";"pag6",#N/A,TRUE,"Graf1Q97"}</definedName>
    <definedName name="wrn.Variances1Q._.97." localSheetId="6" hidden="1">{"pag1",#N/A,TRUE,"Graf1Q97";"pag2",#N/A,TRUE,"Graf1Q97";"pag3",#N/A,TRUE,"Graf1Q97";"pag4",#N/A,TRUE,"Graf1Q97";"pag5",#N/A,TRUE,"Graf1Q97";"pag6",#N/A,TRUE,"Graf1Q97"}</definedName>
    <definedName name="wrn.Variances1Q._.97." hidden="1">{"pag1",#N/A,TRUE,"Graf1Q97";"pag2",#N/A,TRUE,"Graf1Q97";"pag3",#N/A,TRUE,"Graf1Q97";"pag4",#N/A,TRUE,"Graf1Q97";"pag5",#N/A,TRUE,"Graf1Q97";"pag6",#N/A,TRUE,"Graf1Q97"}</definedName>
    <definedName name="wrn.Weekly._.Scrap._.Report." localSheetId="30" hidden="1">{#N/A,#N/A,TRUE,"GEM Total";#N/A,#N/A,TRUE,"Final Assembly";#N/A,#N/A,TRUE,"Cleaning";#N/A,#N/A,TRUE,"Schooping,Clearing";#N/A,#N/A,TRUE,"Winding"}</definedName>
    <definedName name="wrn.Weekly._.Scrap._.Report." localSheetId="31" hidden="1">{#N/A,#N/A,TRUE,"GEM Total";#N/A,#N/A,TRUE,"Final Assembly";#N/A,#N/A,TRUE,"Cleaning";#N/A,#N/A,TRUE,"Schooping,Clearing";#N/A,#N/A,TRUE,"Winding"}</definedName>
    <definedName name="wrn.Weekly._.Scrap._.Report." localSheetId="32" hidden="1">{#N/A,#N/A,TRUE,"GEM Total";#N/A,#N/A,TRUE,"Final Assembly";#N/A,#N/A,TRUE,"Cleaning";#N/A,#N/A,TRUE,"Schooping,Clearing";#N/A,#N/A,TRUE,"Winding"}</definedName>
    <definedName name="wrn.Weekly._.Scrap._.Report." localSheetId="10" hidden="1">{#N/A,#N/A,TRUE,"GEM Total";#N/A,#N/A,TRUE,"Final Assembly";#N/A,#N/A,TRUE,"Cleaning";#N/A,#N/A,TRUE,"Schooping,Clearing";#N/A,#N/A,TRUE,"Winding"}</definedName>
    <definedName name="wrn.Weekly._.Scrap._.Report." localSheetId="6" hidden="1">{#N/A,#N/A,TRUE,"GEM Total";#N/A,#N/A,TRUE,"Final Assembly";#N/A,#N/A,TRUE,"Cleaning";#N/A,#N/A,TRUE,"Schooping,Clearing";#N/A,#N/A,TRUE,"Winding"}</definedName>
    <definedName name="wrn.Weekly._.Scrap._.Report." hidden="1">{#N/A,#N/A,TRUE,"GEM Total";#N/A,#N/A,TRUE,"Final Assembly";#N/A,#N/A,TRUE,"Cleaning";#N/A,#N/A,TRUE,"Schooping,Clearing";#N/A,#N/A,TRUE,"Winding"}</definedName>
    <definedName name="wrn.weekly._.scrap._.report..." localSheetId="30" hidden="1">{#N/A,#N/A,TRUE,"GEM Total";#N/A,#N/A,TRUE,"Final Assembly";#N/A,#N/A,TRUE,"Cleaning";#N/A,#N/A,TRUE,"Schooping,Clearing";#N/A,#N/A,TRUE,"Winding"}</definedName>
    <definedName name="wrn.weekly._.scrap._.report..." localSheetId="31" hidden="1">{#N/A,#N/A,TRUE,"GEM Total";#N/A,#N/A,TRUE,"Final Assembly";#N/A,#N/A,TRUE,"Cleaning";#N/A,#N/A,TRUE,"Schooping,Clearing";#N/A,#N/A,TRUE,"Winding"}</definedName>
    <definedName name="wrn.weekly._.scrap._.report..." localSheetId="32" hidden="1">{#N/A,#N/A,TRUE,"GEM Total";#N/A,#N/A,TRUE,"Final Assembly";#N/A,#N/A,TRUE,"Cleaning";#N/A,#N/A,TRUE,"Schooping,Clearing";#N/A,#N/A,TRUE,"Winding"}</definedName>
    <definedName name="wrn.weekly._.scrap._.report..." localSheetId="10" hidden="1">{#N/A,#N/A,TRUE,"GEM Total";#N/A,#N/A,TRUE,"Final Assembly";#N/A,#N/A,TRUE,"Cleaning";#N/A,#N/A,TRUE,"Schooping,Clearing";#N/A,#N/A,TRUE,"Winding"}</definedName>
    <definedName name="wrn.weekly._.scrap._.report..." localSheetId="6" hidden="1">{#N/A,#N/A,TRUE,"GEM Total";#N/A,#N/A,TRUE,"Final Assembly";#N/A,#N/A,TRUE,"Cleaning";#N/A,#N/A,TRUE,"Schooping,Clearing";#N/A,#N/A,TRUE,"Winding"}</definedName>
    <definedName name="wrn.weekly._.scrap._.report..." hidden="1">{#N/A,#N/A,TRUE,"GEM Total";#N/A,#N/A,TRUE,"Final Assembly";#N/A,#N/A,TRUE,"Cleaning";#N/A,#N/A,TRUE,"Schooping,Clearing";#N/A,#N/A,TRUE,"Winding"}</definedName>
    <definedName name="wrn.전부인쇄." localSheetId="30" hidden="1">{#N/A,#N/A,FALSE,"단축1";#N/A,#N/A,FALSE,"단축2";#N/A,#N/A,FALSE,"단축3";#N/A,#N/A,FALSE,"장축";#N/A,#N/A,FALSE,"4WD"}</definedName>
    <definedName name="wrn.전부인쇄." localSheetId="31" hidden="1">{#N/A,#N/A,FALSE,"단축1";#N/A,#N/A,FALSE,"단축2";#N/A,#N/A,FALSE,"단축3";#N/A,#N/A,FALSE,"장축";#N/A,#N/A,FALSE,"4WD"}</definedName>
    <definedName name="wrn.전부인쇄." localSheetId="32" hidden="1">{#N/A,#N/A,FALSE,"단축1";#N/A,#N/A,FALSE,"단축2";#N/A,#N/A,FALSE,"단축3";#N/A,#N/A,FALSE,"장축";#N/A,#N/A,FALSE,"4WD"}</definedName>
    <definedName name="wrn.전부인쇄." localSheetId="10" hidden="1">{#N/A,#N/A,FALSE,"단축1";#N/A,#N/A,FALSE,"단축2";#N/A,#N/A,FALSE,"단축3";#N/A,#N/A,FALSE,"장축";#N/A,#N/A,FALSE,"4WD"}</definedName>
    <definedName name="wrn.전부인쇄." localSheetId="1" hidden="1">{#N/A,#N/A,FALSE,"단축1";#N/A,#N/A,FALSE,"단축2";#N/A,#N/A,FALSE,"단축3";#N/A,#N/A,FALSE,"장축";#N/A,#N/A,FALSE,"4WD"}</definedName>
    <definedName name="wrn.전부인쇄." localSheetId="6" hidden="1">{#N/A,#N/A,FALSE,"단축1";#N/A,#N/A,FALSE,"단축2";#N/A,#N/A,FALSE,"단축3";#N/A,#N/A,FALSE,"장축";#N/A,#N/A,FALSE,"4WD"}</definedName>
    <definedName name="wrn.전부인쇄." hidden="1">{#N/A,#N/A,FALSE,"단축1";#N/A,#N/A,FALSE,"단축2";#N/A,#N/A,FALSE,"단축3";#N/A,#N/A,FALSE,"장축";#N/A,#N/A,FALSE,"4WD"}</definedName>
    <definedName name="wrn1.FORM1." localSheetId="30" hidden="1">{#N/A,#N/A,FALSE,"COMP"}</definedName>
    <definedName name="wrn1.FORM1." localSheetId="31" hidden="1">{#N/A,#N/A,FALSE,"COMP"}</definedName>
    <definedName name="wrn1.FORM1." localSheetId="32" hidden="1">{#N/A,#N/A,FALSE,"COMP"}</definedName>
    <definedName name="wrn1.FORM1." localSheetId="10" hidden="1">{#N/A,#N/A,FALSE,"COMP"}</definedName>
    <definedName name="wrn1.FORM1." localSheetId="1" hidden="1">{#N/A,#N/A,FALSE,"COMP"}</definedName>
    <definedName name="wrn1.FORM1." localSheetId="6" hidden="1">{#N/A,#N/A,FALSE,"COMP"}</definedName>
    <definedName name="wrn1.FORM1." hidden="1">{#N/A,#N/A,FALSE,"COMP"}</definedName>
    <definedName name="wrn1.report" hidden="1">{"summary",#N/A,FALSE,"2000 vs 1999";"detail",#N/A,FALSE,"2000 vs 1999"}</definedName>
    <definedName name="wrn1.summary" localSheetId="30" hidden="1">{#N/A,#N/A,TRUE,"KEY DATA";#N/A,#N/A,TRUE,"KEY DATA Base Case";#N/A,#N/A,TRUE,"JULY";#N/A,#N/A,TRUE,"AUG";#N/A,#N/A,TRUE,"SEPT";#N/A,#N/A,TRUE,"3Q"}</definedName>
    <definedName name="wrn1.summary" localSheetId="31" hidden="1">{#N/A,#N/A,TRUE,"KEY DATA";#N/A,#N/A,TRUE,"KEY DATA Base Case";#N/A,#N/A,TRUE,"JULY";#N/A,#N/A,TRUE,"AUG";#N/A,#N/A,TRUE,"SEPT";#N/A,#N/A,TRUE,"3Q"}</definedName>
    <definedName name="wrn1.summary" localSheetId="32" hidden="1">{#N/A,#N/A,TRUE,"KEY DATA";#N/A,#N/A,TRUE,"KEY DATA Base Case";#N/A,#N/A,TRUE,"JULY";#N/A,#N/A,TRUE,"AUG";#N/A,#N/A,TRUE,"SEPT";#N/A,#N/A,TRUE,"3Q"}</definedName>
    <definedName name="wrn1.summary" localSheetId="10" hidden="1">{#N/A,#N/A,TRUE,"KEY DATA";#N/A,#N/A,TRUE,"KEY DATA Base Case";#N/A,#N/A,TRUE,"JULY";#N/A,#N/A,TRUE,"AUG";#N/A,#N/A,TRUE,"SEPT";#N/A,#N/A,TRUE,"3Q"}</definedName>
    <definedName name="wrn1.summary" localSheetId="6" hidden="1">{#N/A,#N/A,TRUE,"KEY DATA";#N/A,#N/A,TRUE,"KEY DATA Base Case";#N/A,#N/A,TRUE,"JULY";#N/A,#N/A,TRUE,"AUG";#N/A,#N/A,TRUE,"SEPT";#N/A,#N/A,TRUE,"3Q"}</definedName>
    <definedName name="wrn1.summary" hidden="1">{#N/A,#N/A,TRUE,"KEY DATA";#N/A,#N/A,TRUE,"KEY DATA Base Case";#N/A,#N/A,TRUE,"JULY";#N/A,#N/A,TRUE,"AUG";#N/A,#N/A,TRUE,"SEPT";#N/A,#N/A,TRUE,"3Q"}</definedName>
    <definedName name="wrn1.summary.." localSheetId="30" hidden="1">{#N/A,#N/A,TRUE,"KEY DATA";#N/A,#N/A,TRUE,"KEY DATA Base Case";#N/A,#N/A,TRUE,"JULY";#N/A,#N/A,TRUE,"AUG";#N/A,#N/A,TRUE,"SEPT";#N/A,#N/A,TRUE,"3Q"}</definedName>
    <definedName name="wrn1.summary.." localSheetId="31" hidden="1">{#N/A,#N/A,TRUE,"KEY DATA";#N/A,#N/A,TRUE,"KEY DATA Base Case";#N/A,#N/A,TRUE,"JULY";#N/A,#N/A,TRUE,"AUG";#N/A,#N/A,TRUE,"SEPT";#N/A,#N/A,TRUE,"3Q"}</definedName>
    <definedName name="wrn1.summary.." localSheetId="32" hidden="1">{#N/A,#N/A,TRUE,"KEY DATA";#N/A,#N/A,TRUE,"KEY DATA Base Case";#N/A,#N/A,TRUE,"JULY";#N/A,#N/A,TRUE,"AUG";#N/A,#N/A,TRUE,"SEPT";#N/A,#N/A,TRUE,"3Q"}</definedName>
    <definedName name="wrn1.summary.." localSheetId="10" hidden="1">{#N/A,#N/A,TRUE,"KEY DATA";#N/A,#N/A,TRUE,"KEY DATA Base Case";#N/A,#N/A,TRUE,"JULY";#N/A,#N/A,TRUE,"AUG";#N/A,#N/A,TRUE,"SEPT";#N/A,#N/A,TRUE,"3Q"}</definedName>
    <definedName name="wrn1.summary.." localSheetId="6" hidden="1">{#N/A,#N/A,TRUE,"KEY DATA";#N/A,#N/A,TRUE,"KEY DATA Base Case";#N/A,#N/A,TRUE,"JULY";#N/A,#N/A,TRUE,"AUG";#N/A,#N/A,TRUE,"SEPT";#N/A,#N/A,TRUE,"3Q"}</definedName>
    <definedName name="wrn1.summary.." hidden="1">{#N/A,#N/A,TRUE,"KEY DATA";#N/A,#N/A,TRUE,"KEY DATA Base Case";#N/A,#N/A,TRUE,"JULY";#N/A,#N/A,TRUE,"AUG";#N/A,#N/A,TRUE,"SEPT";#N/A,#N/A,TRUE,"3Q"}</definedName>
    <definedName name="wrn2.FORM1." localSheetId="30" hidden="1">{#N/A,#N/A,FALSE,"COMP"}</definedName>
    <definedName name="wrn2.FORM1." localSheetId="31" hidden="1">{#N/A,#N/A,FALSE,"COMP"}</definedName>
    <definedName name="wrn2.FORM1." localSheetId="32" hidden="1">{#N/A,#N/A,FALSE,"COMP"}</definedName>
    <definedName name="wrn2.FORM1." localSheetId="10" hidden="1">{#N/A,#N/A,FALSE,"COMP"}</definedName>
    <definedName name="wrn2.FORM1." localSheetId="1" hidden="1">{#N/A,#N/A,FALSE,"COMP"}</definedName>
    <definedName name="wrn2.FORM1." localSheetId="6" hidden="1">{#N/A,#N/A,FALSE,"COMP"}</definedName>
    <definedName name="wrn2.FORM1." hidden="1">{#N/A,#N/A,FALSE,"COMP"}</definedName>
    <definedName name="wrn3.FORM1." localSheetId="30" hidden="1">{#N/A,#N/A,FALSE,"COMP"}</definedName>
    <definedName name="wrn3.FORM1." localSheetId="31" hidden="1">{#N/A,#N/A,FALSE,"COMP"}</definedName>
    <definedName name="wrn3.FORM1." localSheetId="32" hidden="1">{#N/A,#N/A,FALSE,"COMP"}</definedName>
    <definedName name="wrn3.FORM1." localSheetId="10" hidden="1">{#N/A,#N/A,FALSE,"COMP"}</definedName>
    <definedName name="wrn3.FORM1." localSheetId="1" hidden="1">{#N/A,#N/A,FALSE,"COMP"}</definedName>
    <definedName name="wrn3.FORM1." localSheetId="6" hidden="1">{#N/A,#N/A,FALSE,"COMP"}</definedName>
    <definedName name="wrn3.FORM1." hidden="1">{#N/A,#N/A,FALSE,"COMP"}</definedName>
    <definedName name="wwqwq" localSheetId="30" hidden="1">{#N/A,#N/A,FALSE,"COMP"}</definedName>
    <definedName name="wwqwq" localSheetId="31" hidden="1">{#N/A,#N/A,FALSE,"COMP"}</definedName>
    <definedName name="wwqwq" localSheetId="32" hidden="1">{#N/A,#N/A,FALSE,"COMP"}</definedName>
    <definedName name="wwqwq" localSheetId="10" hidden="1">{#N/A,#N/A,FALSE,"COMP"}</definedName>
    <definedName name="wwqwq" localSheetId="1" hidden="1">{#N/A,#N/A,FALSE,"COMP"}</definedName>
    <definedName name="wwqwq" localSheetId="6" hidden="1">{#N/A,#N/A,FALSE,"COMP"}</definedName>
    <definedName name="wwqwq" hidden="1">{#N/A,#N/A,FALSE,"COMP"}</definedName>
    <definedName name="wwwww" localSheetId="30" hidden="1">{#N/A,#N/A,FALSE,"12"}</definedName>
    <definedName name="wwwww" localSheetId="31" hidden="1">{#N/A,#N/A,FALSE,"12"}</definedName>
    <definedName name="wwwww" localSheetId="32" hidden="1">{#N/A,#N/A,FALSE,"12"}</definedName>
    <definedName name="wwwww" localSheetId="10" hidden="1">{#N/A,#N/A,FALSE,"12"}</definedName>
    <definedName name="wwwww" hidden="1">{#N/A,#N/A,FALSE,"12"}</definedName>
    <definedName name="xa" localSheetId="30" hidden="1">{#N/A,#N/A,FALSE,"Aging Summary";#N/A,#N/A,FALSE,"Ratio Analysis";#N/A,#N/A,FALSE,"Test 120 Day Accts";#N/A,#N/A,FALSE,"Tickmarks"}</definedName>
    <definedName name="xa" localSheetId="31" hidden="1">{#N/A,#N/A,FALSE,"Aging Summary";#N/A,#N/A,FALSE,"Ratio Analysis";#N/A,#N/A,FALSE,"Test 120 Day Accts";#N/A,#N/A,FALSE,"Tickmarks"}</definedName>
    <definedName name="xa" localSheetId="32" hidden="1">{#N/A,#N/A,FALSE,"Aging Summary";#N/A,#N/A,FALSE,"Ratio Analysis";#N/A,#N/A,FALSE,"Test 120 Day Accts";#N/A,#N/A,FALSE,"Tickmarks"}</definedName>
    <definedName name="xa" localSheetId="10" hidden="1">{#N/A,#N/A,FALSE,"Aging Summary";#N/A,#N/A,FALSE,"Ratio Analysis";#N/A,#N/A,FALSE,"Test 120 Day Accts";#N/A,#N/A,FALSE,"Tickmarks"}</definedName>
    <definedName name="xa" localSheetId="1" hidden="1">{#N/A,#N/A,FALSE,"Aging Summary";#N/A,#N/A,FALSE,"Ratio Analysis";#N/A,#N/A,FALSE,"Test 120 Day Accts";#N/A,#N/A,FALSE,"Tickmarks"}</definedName>
    <definedName name="xa" localSheetId="6" hidden="1">{#N/A,#N/A,FALSE,"Aging Summary";#N/A,#N/A,FALSE,"Ratio Analysis";#N/A,#N/A,FALSE,"Test 120 Day Accts";#N/A,#N/A,FALSE,"Tickmarks"}</definedName>
    <definedName name="xa" hidden="1">{#N/A,#N/A,FALSE,"Aging Summary";#N/A,#N/A,FALSE,"Ratio Analysis";#N/A,#N/A,FALSE,"Test 120 Day Accts";#N/A,#N/A,FALSE,"Tickmarks"}</definedName>
    <definedName name="xcxc" localSheetId="30" hidden="1">{#N/A,#N/A,TRUE,"UmsatzSumme";#N/A,#N/A,TRUE,"UmsatzEinzel";#N/A,#N/A,TRUE,"UmsSumAnteilFZ"}</definedName>
    <definedName name="xcxc" localSheetId="31" hidden="1">{#N/A,#N/A,TRUE,"UmsatzSumme";#N/A,#N/A,TRUE,"UmsatzEinzel";#N/A,#N/A,TRUE,"UmsSumAnteilFZ"}</definedName>
    <definedName name="xcxc" localSheetId="32" hidden="1">{#N/A,#N/A,TRUE,"UmsatzSumme";#N/A,#N/A,TRUE,"UmsatzEinzel";#N/A,#N/A,TRUE,"UmsSumAnteilFZ"}</definedName>
    <definedName name="xcxc" localSheetId="10" hidden="1">{#N/A,#N/A,TRUE,"UmsatzSumme";#N/A,#N/A,TRUE,"UmsatzEinzel";#N/A,#N/A,TRUE,"UmsSumAnteilFZ"}</definedName>
    <definedName name="xcxc" localSheetId="6" hidden="1">{#N/A,#N/A,TRUE,"UmsatzSumme";#N/A,#N/A,TRUE,"UmsatzEinzel";#N/A,#N/A,TRUE,"UmsSumAnteilFZ"}</definedName>
    <definedName name="xcxc" hidden="1">{#N/A,#N/A,TRUE,"UmsatzSumme";#N/A,#N/A,TRUE,"UmsatzEinzel";#N/A,#N/A,TRUE,"UmsSumAnteilFZ"}</definedName>
    <definedName name="XREF_COLUMN_1" localSheetId="1" hidden="1">#REF!</definedName>
    <definedName name="XREF_COLUMN_1" localSheetId="6" hidden="1">#REF!</definedName>
    <definedName name="XREF_COLUMN_1" localSheetId="3" hidden="1">#REF!</definedName>
    <definedName name="XREF_COLUMN_1" hidden="1">#REF!</definedName>
    <definedName name="XREF_COLUMN_10" localSheetId="1" hidden="1">#REF!</definedName>
    <definedName name="XREF_COLUMN_10" localSheetId="6" hidden="1">#REF!</definedName>
    <definedName name="XREF_COLUMN_10" localSheetId="3" hidden="1">#REF!</definedName>
    <definedName name="XREF_COLUMN_10" hidden="1">#REF!</definedName>
    <definedName name="XREF_COLUMN_11" localSheetId="1" hidden="1">#REF!</definedName>
    <definedName name="XREF_COLUMN_11" localSheetId="6" hidden="1">#REF!</definedName>
    <definedName name="XREF_COLUMN_11" localSheetId="3" hidden="1">#REF!</definedName>
    <definedName name="XREF_COLUMN_11" hidden="1">#REF!</definedName>
    <definedName name="XREF_COLUMN_12" localSheetId="6" hidden="1">#REF!</definedName>
    <definedName name="XREF_COLUMN_12" localSheetId="3" hidden="1">#REF!</definedName>
    <definedName name="XREF_COLUMN_12" hidden="1">#REF!</definedName>
    <definedName name="XREF_COLUMN_13" localSheetId="6" hidden="1">#REF!</definedName>
    <definedName name="XREF_COLUMN_13" localSheetId="3" hidden="1">#REF!</definedName>
    <definedName name="XREF_COLUMN_13" hidden="1">#REF!</definedName>
    <definedName name="XREF_COLUMN_14" localSheetId="6" hidden="1">#REF!</definedName>
    <definedName name="XREF_COLUMN_14" localSheetId="3" hidden="1">#REF!</definedName>
    <definedName name="XREF_COLUMN_14" hidden="1">#REF!</definedName>
    <definedName name="XREF_COLUMN_15" localSheetId="6" hidden="1">#REF!</definedName>
    <definedName name="XREF_COLUMN_15" localSheetId="3" hidden="1">#REF!</definedName>
    <definedName name="XREF_COLUMN_15" hidden="1">#REF!</definedName>
    <definedName name="XREF_COLUMN_16" localSheetId="6" hidden="1">#REF!</definedName>
    <definedName name="XREF_COLUMN_16" localSheetId="3" hidden="1">#REF!</definedName>
    <definedName name="XREF_COLUMN_16" hidden="1">#REF!</definedName>
    <definedName name="XREF_COLUMN_17" localSheetId="1" hidden="1">#REF!</definedName>
    <definedName name="XREF_COLUMN_17" localSheetId="6" hidden="1">#REF!</definedName>
    <definedName name="XREF_COLUMN_17" localSheetId="3" hidden="1">#REF!</definedName>
    <definedName name="XREF_COLUMN_17" hidden="1">#REF!</definedName>
    <definedName name="XREF_COLUMN_18" localSheetId="6" hidden="1">#REF!</definedName>
    <definedName name="XREF_COLUMN_18" localSheetId="3" hidden="1">#REF!</definedName>
    <definedName name="XREF_COLUMN_18" hidden="1">#REF!</definedName>
    <definedName name="XREF_COLUMN_19" localSheetId="6" hidden="1">#REF!</definedName>
    <definedName name="XREF_COLUMN_19" localSheetId="3" hidden="1">#REF!</definedName>
    <definedName name="XREF_COLUMN_19" hidden="1">#REF!</definedName>
    <definedName name="XREF_COLUMN_2" localSheetId="1" hidden="1">#REF!</definedName>
    <definedName name="XREF_COLUMN_2" localSheetId="6" hidden="1">#REF!</definedName>
    <definedName name="XREF_COLUMN_2" localSheetId="3" hidden="1">#REF!</definedName>
    <definedName name="XREF_COLUMN_2" hidden="1">#REF!</definedName>
    <definedName name="XREF_COLUMN_20" localSheetId="6" hidden="1">#REF!</definedName>
    <definedName name="XREF_COLUMN_20" hidden="1">#REF!</definedName>
    <definedName name="XREF_COLUMN_21" localSheetId="6" hidden="1">#REF!</definedName>
    <definedName name="XREF_COLUMN_21" hidden="1">#REF!</definedName>
    <definedName name="XREF_COLUMN_22" localSheetId="6" hidden="1">#REF!</definedName>
    <definedName name="XREF_COLUMN_22" hidden="1">#REF!</definedName>
    <definedName name="XREF_COLUMN_23" localSheetId="6" hidden="1">#REF!</definedName>
    <definedName name="XREF_COLUMN_23" hidden="1">#REF!</definedName>
    <definedName name="XREF_COLUMN_24" localSheetId="6" hidden="1">#REF!</definedName>
    <definedName name="XREF_COLUMN_24" hidden="1">#REF!</definedName>
    <definedName name="XREF_COLUMN_25" localSheetId="6" hidden="1">#REF!</definedName>
    <definedName name="XREF_COLUMN_25" hidden="1">#REF!</definedName>
    <definedName name="XREF_COLUMN_26" localSheetId="6" hidden="1">#REF!</definedName>
    <definedName name="XREF_COLUMN_26" hidden="1">#REF!</definedName>
    <definedName name="XREF_COLUMN_27" localSheetId="6" hidden="1">#REF!</definedName>
    <definedName name="XREF_COLUMN_27" hidden="1">#REF!</definedName>
    <definedName name="XREF_COLUMN_28" localSheetId="6" hidden="1">#REF!</definedName>
    <definedName name="XREF_COLUMN_28" hidden="1">#REF!</definedName>
    <definedName name="XREF_COLUMN_29" localSheetId="6" hidden="1">#REF!</definedName>
    <definedName name="XREF_COLUMN_29" hidden="1">#REF!</definedName>
    <definedName name="XREF_COLUMN_3" localSheetId="1" hidden="1">#REF!</definedName>
    <definedName name="XREF_COLUMN_3" localSheetId="6" hidden="1">#REF!</definedName>
    <definedName name="XREF_COLUMN_3" localSheetId="3" hidden="1">#REF!</definedName>
    <definedName name="XREF_COLUMN_3" hidden="1">#REF!</definedName>
    <definedName name="XREF_COLUMN_30" localSheetId="6" hidden="1">#REF!</definedName>
    <definedName name="XREF_COLUMN_30" hidden="1">#REF!</definedName>
    <definedName name="XREF_COLUMN_31" localSheetId="6" hidden="1">#REF!</definedName>
    <definedName name="XREF_COLUMN_31" hidden="1">#REF!</definedName>
    <definedName name="XREF_COLUMN_32" localSheetId="6" hidden="1">#REF!</definedName>
    <definedName name="XREF_COLUMN_32" hidden="1">#REF!</definedName>
    <definedName name="XREF_COLUMN_33" localSheetId="6" hidden="1">#REF!</definedName>
    <definedName name="XREF_COLUMN_33" hidden="1">#REF!</definedName>
    <definedName name="XREF_COLUMN_34" localSheetId="6" hidden="1">#REF!</definedName>
    <definedName name="XREF_COLUMN_34" hidden="1">#REF!</definedName>
    <definedName name="XREF_COLUMN_35" localSheetId="6" hidden="1">#REF!</definedName>
    <definedName name="XREF_COLUMN_35" hidden="1">#REF!</definedName>
    <definedName name="XREF_COLUMN_36" localSheetId="6" hidden="1">#REF!</definedName>
    <definedName name="XREF_COLUMN_36" hidden="1">#REF!</definedName>
    <definedName name="XREF_COLUMN_4" localSheetId="1" hidden="1">#REF!</definedName>
    <definedName name="XREF_COLUMN_4" localSheetId="6" hidden="1">#REF!</definedName>
    <definedName name="XREF_COLUMN_4" localSheetId="3" hidden="1">#REF!</definedName>
    <definedName name="XREF_COLUMN_4" hidden="1">#REF!</definedName>
    <definedName name="XREF_COLUMN_5" localSheetId="1" hidden="1">#REF!</definedName>
    <definedName name="XREF_COLUMN_5" localSheetId="6" hidden="1">#REF!</definedName>
    <definedName name="XREF_COLUMN_5" localSheetId="3" hidden="1">#REF!</definedName>
    <definedName name="XREF_COLUMN_5" hidden="1">#REF!</definedName>
    <definedName name="XREF_COLUMN_6" localSheetId="1" hidden="1">#REF!</definedName>
    <definedName name="XREF_COLUMN_6" localSheetId="6" hidden="1">#REF!</definedName>
    <definedName name="XREF_COLUMN_6" localSheetId="3" hidden="1">#REF!</definedName>
    <definedName name="XREF_COLUMN_6" hidden="1">#REF!</definedName>
    <definedName name="XREF_COLUMN_7" localSheetId="1" hidden="1">#REF!</definedName>
    <definedName name="XREF_COLUMN_7" localSheetId="6" hidden="1">#REF!</definedName>
    <definedName name="XREF_COLUMN_7" localSheetId="3" hidden="1">#REF!</definedName>
    <definedName name="XREF_COLUMN_7" hidden="1">#REF!</definedName>
    <definedName name="XREF_COLUMN_8" localSheetId="1" hidden="1">#REF!</definedName>
    <definedName name="XREF_COLUMN_8" localSheetId="6" hidden="1">#REF!</definedName>
    <definedName name="XREF_COLUMN_8" localSheetId="3" hidden="1">#REF!</definedName>
    <definedName name="XREF_COLUMN_8" hidden="1">#REF!</definedName>
    <definedName name="XREF_COLUMN_9" localSheetId="1" hidden="1">#REF!</definedName>
    <definedName name="XREF_COLUMN_9" localSheetId="6" hidden="1">#REF!</definedName>
    <definedName name="XREF_COLUMN_9" localSheetId="3" hidden="1">#REF!</definedName>
    <definedName name="XREF_COLUMN_9" hidden="1">#REF!</definedName>
    <definedName name="XRefActiveRow" localSheetId="1" hidden="1">#REF!</definedName>
    <definedName name="XRefActiveRow" localSheetId="6" hidden="1">#REF!</definedName>
    <definedName name="XRefActiveRow" localSheetId="3" hidden="1">#REF!</definedName>
    <definedName name="XRefActiveRow" hidden="1">#REF!</definedName>
    <definedName name="XRefColumnsCount" localSheetId="1" hidden="1">2</definedName>
    <definedName name="XRefColumnsCount" hidden="1">7</definedName>
    <definedName name="XRefCopy1" localSheetId="1" hidden="1">#REF!</definedName>
    <definedName name="XRefCopy1" localSheetId="6" hidden="1">#REF!</definedName>
    <definedName name="XRefCopy1" localSheetId="3" hidden="1">#REF!</definedName>
    <definedName name="XRefCopy1" hidden="1">#REF!</definedName>
    <definedName name="XRefCopy10" localSheetId="1" hidden="1">#REF!</definedName>
    <definedName name="XRefCopy10" localSheetId="6" hidden="1">#REF!</definedName>
    <definedName name="XRefCopy10" localSheetId="3" hidden="1">#REF!</definedName>
    <definedName name="XRefCopy10" hidden="1">#REF!</definedName>
    <definedName name="XRefCopy10Row" localSheetId="1" hidden="1">#REF!</definedName>
    <definedName name="XRefCopy10Row" localSheetId="6" hidden="1">#REF!</definedName>
    <definedName name="XRefCopy10Row" localSheetId="3" hidden="1">#REF!</definedName>
    <definedName name="XRefCopy10Row" hidden="1">#REF!</definedName>
    <definedName name="XRefCopy11" localSheetId="1" hidden="1">#REF!</definedName>
    <definedName name="XRefCopy11" localSheetId="6" hidden="1">#REF!</definedName>
    <definedName name="XRefCopy11" localSheetId="3" hidden="1">#REF!</definedName>
    <definedName name="XRefCopy11" hidden="1">#REF!</definedName>
    <definedName name="XRefCopy11Row" localSheetId="6" hidden="1">#REF!</definedName>
    <definedName name="XRefCopy11Row" localSheetId="3" hidden="1">#REF!</definedName>
    <definedName name="XRefCopy11Row" hidden="1">#REF!</definedName>
    <definedName name="XRefCopy12" localSheetId="1" hidden="1">#REF!</definedName>
    <definedName name="XRefCopy12" localSheetId="6" hidden="1">#REF!</definedName>
    <definedName name="XRefCopy12" localSheetId="3" hidden="1">#REF!</definedName>
    <definedName name="XRefCopy12" hidden="1">#REF!</definedName>
    <definedName name="XRefCopy12Row" localSheetId="1" hidden="1">#REF!</definedName>
    <definedName name="XRefCopy12Row" localSheetId="6" hidden="1">#REF!</definedName>
    <definedName name="XRefCopy12Row" localSheetId="3" hidden="1">#REF!</definedName>
    <definedName name="XRefCopy12Row" hidden="1">#REF!</definedName>
    <definedName name="XRefCopy13" localSheetId="1" hidden="1">#REF!</definedName>
    <definedName name="XRefCopy13" localSheetId="6" hidden="1">#REF!</definedName>
    <definedName name="XRefCopy13" localSheetId="3" hidden="1">#REF!</definedName>
    <definedName name="XRefCopy13" hidden="1">#REF!</definedName>
    <definedName name="XRefCopy13Row" localSheetId="1" hidden="1">#REF!</definedName>
    <definedName name="XRefCopy13Row" localSheetId="6" hidden="1">#REF!</definedName>
    <definedName name="XRefCopy13Row" localSheetId="3" hidden="1">#REF!</definedName>
    <definedName name="XRefCopy13Row" hidden="1">#REF!</definedName>
    <definedName name="XRefCopy14" localSheetId="1" hidden="1">#REF!</definedName>
    <definedName name="XRefCopy14" localSheetId="6" hidden="1">#REF!</definedName>
    <definedName name="XRefCopy14" localSheetId="3" hidden="1">#REF!</definedName>
    <definedName name="XRefCopy14" hidden="1">#REF!</definedName>
    <definedName name="XRefCopy14Row" localSheetId="1" hidden="1">#REF!</definedName>
    <definedName name="XRefCopy14Row" localSheetId="6" hidden="1">#REF!</definedName>
    <definedName name="XRefCopy14Row" localSheetId="3" hidden="1">#REF!</definedName>
    <definedName name="XRefCopy14Row" hidden="1">#REF!</definedName>
    <definedName name="XRefCopy15" localSheetId="1" hidden="1">#REF!</definedName>
    <definedName name="XRefCopy15" localSheetId="6" hidden="1">#REF!</definedName>
    <definedName name="XRefCopy15" localSheetId="3" hidden="1">#REF!</definedName>
    <definedName name="XRefCopy15" hidden="1">#REF!</definedName>
    <definedName name="XRefCopy15Row" localSheetId="1" hidden="1">#REF!</definedName>
    <definedName name="XRefCopy15Row" localSheetId="6" hidden="1">#REF!</definedName>
    <definedName name="XRefCopy15Row" localSheetId="3" hidden="1">#REF!</definedName>
    <definedName name="XRefCopy15Row" hidden="1">#REF!</definedName>
    <definedName name="XRefCopy16" localSheetId="1" hidden="1">#REF!</definedName>
    <definedName name="XRefCopy16" localSheetId="6" hidden="1">#REF!</definedName>
    <definedName name="XRefCopy16" localSheetId="3" hidden="1">#REF!</definedName>
    <definedName name="XRefCopy16" hidden="1">#REF!</definedName>
    <definedName name="XRefCopy16Row" localSheetId="6" hidden="1">#REF!</definedName>
    <definedName name="XRefCopy16Row" localSheetId="3" hidden="1">#REF!</definedName>
    <definedName name="XRefCopy16Row" hidden="1">#REF!</definedName>
    <definedName name="XRefCopy17" localSheetId="1" hidden="1">#REF!</definedName>
    <definedName name="XRefCopy17" localSheetId="6" hidden="1">#REF!</definedName>
    <definedName name="XRefCopy17" localSheetId="3" hidden="1">#REF!</definedName>
    <definedName name="XRefCopy17" hidden="1">#REF!</definedName>
    <definedName name="XRefCopy17Row" localSheetId="1" hidden="1">#REF!</definedName>
    <definedName name="XRefCopy17Row" localSheetId="6" hidden="1">#REF!</definedName>
    <definedName name="XRefCopy17Row" localSheetId="3" hidden="1">#REF!</definedName>
    <definedName name="XRefCopy17Row" hidden="1">#REF!</definedName>
    <definedName name="XRefCopy18" localSheetId="1" hidden="1">#REF!</definedName>
    <definedName name="XRefCopy18" localSheetId="6" hidden="1">#REF!</definedName>
    <definedName name="XRefCopy18" localSheetId="3" hidden="1">#REF!</definedName>
    <definedName name="XRefCopy18" hidden="1">#REF!</definedName>
    <definedName name="XRefCopy18Row" localSheetId="1" hidden="1">#REF!</definedName>
    <definedName name="XRefCopy18Row" localSheetId="6" hidden="1">#REF!</definedName>
    <definedName name="XRefCopy18Row" localSheetId="3" hidden="1">#REF!</definedName>
    <definedName name="XRefCopy18Row" hidden="1">#REF!</definedName>
    <definedName name="XRefCopy19" localSheetId="1" hidden="1">#REF!</definedName>
    <definedName name="XRefCopy19" localSheetId="6" hidden="1">#REF!</definedName>
    <definedName name="XRefCopy19" localSheetId="3" hidden="1">#REF!</definedName>
    <definedName name="XRefCopy19" hidden="1">#REF!</definedName>
    <definedName name="XRefCopy19Row" localSheetId="1" hidden="1">#REF!</definedName>
    <definedName name="XRefCopy19Row" localSheetId="6" hidden="1">#REF!</definedName>
    <definedName name="XRefCopy19Row" localSheetId="3" hidden="1">#REF!</definedName>
    <definedName name="XRefCopy19Row" hidden="1">#REF!</definedName>
    <definedName name="XRefCopy1Row" localSheetId="1" hidden="1">#REF!</definedName>
    <definedName name="XRefCopy1Row" localSheetId="6" hidden="1">#REF!</definedName>
    <definedName name="XRefCopy1Row" localSheetId="3" hidden="1">#REF!</definedName>
    <definedName name="XRefCopy1Row" hidden="1">#REF!</definedName>
    <definedName name="XRefCopy2" localSheetId="1" hidden="1">#REF!</definedName>
    <definedName name="XRefCopy2" localSheetId="6" hidden="1">#REF!</definedName>
    <definedName name="XRefCopy2" localSheetId="3" hidden="1">#REF!</definedName>
    <definedName name="XRefCopy2" hidden="1">#REF!</definedName>
    <definedName name="XRefCopy20" localSheetId="1" hidden="1">#REF!</definedName>
    <definedName name="XRefCopy20" localSheetId="6" hidden="1">#REF!</definedName>
    <definedName name="XRefCopy20" localSheetId="3" hidden="1">#REF!</definedName>
    <definedName name="XRefCopy20" hidden="1">#REF!</definedName>
    <definedName name="XRefCopy20Row" localSheetId="1" hidden="1">#REF!</definedName>
    <definedName name="XRefCopy20Row" localSheetId="6" hidden="1">#REF!</definedName>
    <definedName name="XRefCopy20Row" localSheetId="3" hidden="1">#REF!</definedName>
    <definedName name="XRefCopy20Row" hidden="1">#REF!</definedName>
    <definedName name="XRefCopy21" localSheetId="1" hidden="1">#REF!</definedName>
    <definedName name="XRefCopy21" localSheetId="6" hidden="1">#REF!</definedName>
    <definedName name="XRefCopy21" localSheetId="3" hidden="1">#REF!</definedName>
    <definedName name="XRefCopy21" hidden="1">#REF!</definedName>
    <definedName name="XRefCopy21Row" localSheetId="1" hidden="1">#REF!</definedName>
    <definedName name="XRefCopy21Row" localSheetId="6" hidden="1">#REF!</definedName>
    <definedName name="XRefCopy21Row" localSheetId="3" hidden="1">#REF!</definedName>
    <definedName name="XRefCopy21Row" hidden="1">#REF!</definedName>
    <definedName name="XRefCopy22" localSheetId="6" hidden="1">#REF!</definedName>
    <definedName name="XRefCopy22" localSheetId="3" hidden="1">#REF!</definedName>
    <definedName name="XRefCopy22" hidden="1">#REF!</definedName>
    <definedName name="XRefCopy22Row" localSheetId="6" hidden="1">#REF!</definedName>
    <definedName name="XRefCopy22Row" localSheetId="3" hidden="1">#REF!</definedName>
    <definedName name="XRefCopy22Row" hidden="1">#REF!</definedName>
    <definedName name="XRefCopy23" localSheetId="6" hidden="1">#REF!</definedName>
    <definedName name="XRefCopy23" localSheetId="3" hidden="1">#REF!</definedName>
    <definedName name="XRefCopy23" hidden="1">#REF!</definedName>
    <definedName name="XRefCopy23Row" localSheetId="1" hidden="1">#REF!</definedName>
    <definedName name="XRefCopy23Row" localSheetId="6" hidden="1">#REF!</definedName>
    <definedName name="XRefCopy23Row" localSheetId="3" hidden="1">#REF!</definedName>
    <definedName name="XRefCopy23Row" hidden="1">#REF!</definedName>
    <definedName name="XRefCopy24" localSheetId="1" hidden="1">#REF!</definedName>
    <definedName name="XRefCopy24" localSheetId="6" hidden="1">#REF!</definedName>
    <definedName name="XRefCopy24" localSheetId="3" hidden="1">#REF!</definedName>
    <definedName name="XRefCopy24" hidden="1">#REF!</definedName>
    <definedName name="XRefCopy24Row" localSheetId="1" hidden="1">#REF!</definedName>
    <definedName name="XRefCopy24Row" localSheetId="6" hidden="1">#REF!</definedName>
    <definedName name="XRefCopy24Row" localSheetId="3" hidden="1">#REF!</definedName>
    <definedName name="XRefCopy24Row" hidden="1">#REF!</definedName>
    <definedName name="XRefCopy25" localSheetId="1" hidden="1">#REF!</definedName>
    <definedName name="XRefCopy25" localSheetId="6" hidden="1">#REF!</definedName>
    <definedName name="XRefCopy25" localSheetId="3" hidden="1">#REF!</definedName>
    <definedName name="XRefCopy25" hidden="1">#REF!</definedName>
    <definedName name="XRefCopy25Row" localSheetId="1" hidden="1">#REF!</definedName>
    <definedName name="XRefCopy25Row" localSheetId="6" hidden="1">#REF!</definedName>
    <definedName name="XRefCopy25Row" localSheetId="3" hidden="1">#REF!</definedName>
    <definedName name="XRefCopy25Row" hidden="1">#REF!</definedName>
    <definedName name="XRefCopy26" localSheetId="1" hidden="1">#REF!</definedName>
    <definedName name="XRefCopy26" localSheetId="6" hidden="1">#REF!</definedName>
    <definedName name="XRefCopy26" localSheetId="3" hidden="1">#REF!</definedName>
    <definedName name="XRefCopy26" hidden="1">#REF!</definedName>
    <definedName name="XRefCopy26Row" localSheetId="6" hidden="1">#REF!</definedName>
    <definedName name="XRefCopy26Row" localSheetId="3" hidden="1">#REF!</definedName>
    <definedName name="XRefCopy26Row" hidden="1">#REF!</definedName>
    <definedName name="XRefCopy27" localSheetId="1" hidden="1">#REF!</definedName>
    <definedName name="XRefCopy27" localSheetId="6" hidden="1">#REF!</definedName>
    <definedName name="XRefCopy27" localSheetId="3" hidden="1">#REF!</definedName>
    <definedName name="XRefCopy27" hidden="1">#REF!</definedName>
    <definedName name="XRefCopy27Row" hidden="1">#REF!</definedName>
    <definedName name="XRefCopy28" localSheetId="6" hidden="1">#REF!</definedName>
    <definedName name="XRefCopy28" localSheetId="3" hidden="1">#REF!</definedName>
    <definedName name="XRefCopy28" hidden="1">#REF!</definedName>
    <definedName name="XRefCopy28Row" localSheetId="6" hidden="1">#REF!</definedName>
    <definedName name="XRefCopy28Row" localSheetId="3" hidden="1">#REF!</definedName>
    <definedName name="XRefCopy28Row" hidden="1">#REF!</definedName>
    <definedName name="XRefCopy29" localSheetId="6" hidden="1">#REF!</definedName>
    <definedName name="XRefCopy29" localSheetId="3" hidden="1">#REF!</definedName>
    <definedName name="XRefCopy29" hidden="1">#REF!</definedName>
    <definedName name="XRefCopy29Row" localSheetId="6" hidden="1">#REF!</definedName>
    <definedName name="XRefCopy29Row" localSheetId="3" hidden="1">#REF!</definedName>
    <definedName name="XRefCopy29Row" hidden="1">#REF!</definedName>
    <definedName name="XRefCopy2Row" localSheetId="1" hidden="1">#REF!</definedName>
    <definedName name="XRefCopy2Row" localSheetId="6" hidden="1">#REF!</definedName>
    <definedName name="XRefCopy2Row" localSheetId="3" hidden="1">#REF!</definedName>
    <definedName name="XRefCopy2Row" hidden="1">#REF!</definedName>
    <definedName name="XRefCopy3" localSheetId="1" hidden="1">#REF!</definedName>
    <definedName name="XRefCopy3" localSheetId="6" hidden="1">#REF!</definedName>
    <definedName name="XRefCopy3" localSheetId="3" hidden="1">#REF!</definedName>
    <definedName name="XRefCopy3" hidden="1">#REF!</definedName>
    <definedName name="XRefCopy30" localSheetId="6" hidden="1">#REF!</definedName>
    <definedName name="XRefCopy30" hidden="1">#REF!</definedName>
    <definedName name="XRefCopy30Row" localSheetId="6" hidden="1">#REF!</definedName>
    <definedName name="XRefCopy30Row" localSheetId="3" hidden="1">#REF!</definedName>
    <definedName name="XRefCopy30Row" hidden="1">#REF!</definedName>
    <definedName name="XRefCopy31" localSheetId="1" hidden="1">#REF!</definedName>
    <definedName name="XRefCopy31" localSheetId="6" hidden="1">#REF!</definedName>
    <definedName name="XRefCopy31" localSheetId="3" hidden="1">#REF!</definedName>
    <definedName name="XRefCopy31" hidden="1">#REF!</definedName>
    <definedName name="XRefCopy31Row" localSheetId="1" hidden="1">#REF!</definedName>
    <definedName name="XRefCopy31Row" localSheetId="6" hidden="1">#REF!</definedName>
    <definedName name="XRefCopy31Row" localSheetId="3" hidden="1">#REF!</definedName>
    <definedName name="XRefCopy31Row" hidden="1">#REF!</definedName>
    <definedName name="XRefCopy32" localSheetId="6" hidden="1">#REF!</definedName>
    <definedName name="XRefCopy32" localSheetId="3" hidden="1">#REF!</definedName>
    <definedName name="XRefCopy32" hidden="1">#REF!</definedName>
    <definedName name="XRefCopy32Row" localSheetId="6" hidden="1">#REF!</definedName>
    <definedName name="XRefCopy32Row" localSheetId="3" hidden="1">#REF!</definedName>
    <definedName name="XRefCopy32Row" hidden="1">#REF!</definedName>
    <definedName name="XRefCopy33" localSheetId="1" hidden="1">#REF!</definedName>
    <definedName name="XRefCopy33" localSheetId="6" hidden="1">#REF!</definedName>
    <definedName name="XRefCopy33" localSheetId="3" hidden="1">#REF!</definedName>
    <definedName name="XRefCopy33" hidden="1">#REF!</definedName>
    <definedName name="XRefCopy33Row" localSheetId="1" hidden="1">#REF!</definedName>
    <definedName name="XRefCopy33Row" localSheetId="6" hidden="1">#REF!</definedName>
    <definedName name="XRefCopy33Row" localSheetId="3" hidden="1">#REF!</definedName>
    <definedName name="XRefCopy33Row" hidden="1">#REF!</definedName>
    <definedName name="XRefCopy34" localSheetId="1" hidden="1">#REF!</definedName>
    <definedName name="XRefCopy34" localSheetId="6" hidden="1">#REF!</definedName>
    <definedName name="XRefCopy34" localSheetId="3" hidden="1">#REF!</definedName>
    <definedName name="XRefCopy34" hidden="1">#REF!</definedName>
    <definedName name="XRefCopy34Row" localSheetId="1" hidden="1">#REF!</definedName>
    <definedName name="XRefCopy34Row" localSheetId="6" hidden="1">#REF!</definedName>
    <definedName name="XRefCopy34Row" localSheetId="3" hidden="1">#REF!</definedName>
    <definedName name="XRefCopy34Row" hidden="1">#REF!</definedName>
    <definedName name="XRefCopy35" localSheetId="1" hidden="1">#REF!</definedName>
    <definedName name="XRefCopy35" localSheetId="6" hidden="1">#REF!</definedName>
    <definedName name="XRefCopy35" localSheetId="3" hidden="1">#REF!</definedName>
    <definedName name="XRefCopy35" hidden="1">#REF!</definedName>
    <definedName name="XRefCopy35Row" localSheetId="1" hidden="1">#REF!</definedName>
    <definedName name="XRefCopy35Row" localSheetId="6" hidden="1">#REF!</definedName>
    <definedName name="XRefCopy35Row" localSheetId="3" hidden="1">#REF!</definedName>
    <definedName name="XRefCopy35Row" hidden="1">#REF!</definedName>
    <definedName name="XRefCopy36" localSheetId="1" hidden="1">#REF!</definedName>
    <definedName name="XRefCopy36" localSheetId="6" hidden="1">#REF!</definedName>
    <definedName name="XRefCopy36" localSheetId="3" hidden="1">#REF!</definedName>
    <definedName name="XRefCopy36" hidden="1">#REF!</definedName>
    <definedName name="XRefCopy36Row" localSheetId="1" hidden="1">#REF!</definedName>
    <definedName name="XRefCopy36Row" localSheetId="6" hidden="1">#REF!</definedName>
    <definedName name="XRefCopy36Row" localSheetId="3" hidden="1">#REF!</definedName>
    <definedName name="XRefCopy36Row" hidden="1">#REF!</definedName>
    <definedName name="XRefCopy37" localSheetId="1" hidden="1">#REF!</definedName>
    <definedName name="XRefCopy37" localSheetId="6" hidden="1">#REF!</definedName>
    <definedName name="XRefCopy37" localSheetId="3" hidden="1">#REF!</definedName>
    <definedName name="XRefCopy37" hidden="1">#REF!</definedName>
    <definedName name="XRefCopy37Row" localSheetId="1" hidden="1">#REF!</definedName>
    <definedName name="XRefCopy37Row" localSheetId="6" hidden="1">#REF!</definedName>
    <definedName name="XRefCopy37Row" localSheetId="3" hidden="1">#REF!</definedName>
    <definedName name="XRefCopy37Row" hidden="1">#REF!</definedName>
    <definedName name="XRefCopy38" localSheetId="1" hidden="1">#REF!</definedName>
    <definedName name="XRefCopy38" localSheetId="6" hidden="1">#REF!</definedName>
    <definedName name="XRefCopy38" localSheetId="3" hidden="1">#REF!</definedName>
    <definedName name="XRefCopy38" hidden="1">#REF!</definedName>
    <definedName name="XRefCopy38Row" localSheetId="1" hidden="1">#REF!</definedName>
    <definedName name="XRefCopy38Row" localSheetId="6" hidden="1">#REF!</definedName>
    <definedName name="XRefCopy38Row" localSheetId="3" hidden="1">#REF!</definedName>
    <definedName name="XRefCopy38Row" hidden="1">#REF!</definedName>
    <definedName name="XRefCopy39" localSheetId="6" hidden="1">#REF!</definedName>
    <definedName name="XRefCopy39" localSheetId="3" hidden="1">#REF!</definedName>
    <definedName name="XRefCopy39" hidden="1">#REF!</definedName>
    <definedName name="XRefCopy39Row" localSheetId="6" hidden="1">#REF!</definedName>
    <definedName name="XRefCopy39Row" localSheetId="3" hidden="1">#REF!</definedName>
    <definedName name="XRefCopy39Row" hidden="1">#REF!</definedName>
    <definedName name="XRefCopy3Row" localSheetId="1" hidden="1">#REF!</definedName>
    <definedName name="XRefCopy3Row" localSheetId="6" hidden="1">#REF!</definedName>
    <definedName name="XRefCopy3Row" localSheetId="3" hidden="1">#REF!</definedName>
    <definedName name="XRefCopy3Row" hidden="1">#REF!</definedName>
    <definedName name="XRefCopy4" localSheetId="1" hidden="1">#REF!</definedName>
    <definedName name="XRefCopy4" localSheetId="6" hidden="1">#REF!</definedName>
    <definedName name="XRefCopy4" localSheetId="3" hidden="1">#REF!</definedName>
    <definedName name="XRefCopy4" hidden="1">#REF!</definedName>
    <definedName name="XRefCopy40" localSheetId="6" hidden="1">#REF!</definedName>
    <definedName name="XRefCopy40" localSheetId="3" hidden="1">#REF!</definedName>
    <definedName name="XRefCopy40" hidden="1">#REF!</definedName>
    <definedName name="XRefCopy40Row" localSheetId="6" hidden="1">#REF!</definedName>
    <definedName name="XRefCopy40Row" localSheetId="3" hidden="1">#REF!</definedName>
    <definedName name="XRefCopy40Row" hidden="1">#REF!</definedName>
    <definedName name="XRefCopy41" localSheetId="6" hidden="1">#REF!</definedName>
    <definedName name="XRefCopy41" localSheetId="3" hidden="1">#REF!</definedName>
    <definedName name="XRefCopy41" hidden="1">#REF!</definedName>
    <definedName name="XRefCopy41Row" localSheetId="6" hidden="1">#REF!</definedName>
    <definedName name="XRefCopy41Row" localSheetId="3" hidden="1">#REF!</definedName>
    <definedName name="XRefCopy41Row" hidden="1">#REF!</definedName>
    <definedName name="XRefCopy42" localSheetId="6" hidden="1">#REF!</definedName>
    <definedName name="XRefCopy42" localSheetId="3" hidden="1">#REF!</definedName>
    <definedName name="XRefCopy42" hidden="1">#REF!</definedName>
    <definedName name="XRefCopy42Row" localSheetId="6" hidden="1">#REF!</definedName>
    <definedName name="XRefCopy42Row" localSheetId="3" hidden="1">#REF!</definedName>
    <definedName name="XRefCopy42Row" hidden="1">#REF!</definedName>
    <definedName name="XRefCopy43" localSheetId="6" hidden="1">#REF!</definedName>
    <definedName name="XRefCopy43" localSheetId="3" hidden="1">#REF!</definedName>
    <definedName name="XRefCopy43" hidden="1">#REF!</definedName>
    <definedName name="XRefCopy43Row" localSheetId="6" hidden="1">#REF!</definedName>
    <definedName name="XRefCopy43Row" localSheetId="3" hidden="1">#REF!</definedName>
    <definedName name="XRefCopy43Row" hidden="1">#REF!</definedName>
    <definedName name="XRefCopy44" localSheetId="6" hidden="1">#REF!</definedName>
    <definedName name="XRefCopy44" localSheetId="3" hidden="1">#REF!</definedName>
    <definedName name="XRefCopy44" hidden="1">#REF!</definedName>
    <definedName name="XRefCopy44Row" localSheetId="6" hidden="1">#REF!</definedName>
    <definedName name="XRefCopy44Row" localSheetId="3" hidden="1">#REF!</definedName>
    <definedName name="XRefCopy44Row" hidden="1">#REF!</definedName>
    <definedName name="XRefCopy45" localSheetId="6" hidden="1">#REF!</definedName>
    <definedName name="XRefCopy45" localSheetId="3" hidden="1">#REF!</definedName>
    <definedName name="XRefCopy45" hidden="1">#REF!</definedName>
    <definedName name="XRefCopy45Row" localSheetId="6" hidden="1">#REF!</definedName>
    <definedName name="XRefCopy45Row" localSheetId="3" hidden="1">#REF!</definedName>
    <definedName name="XRefCopy45Row" hidden="1">#REF!</definedName>
    <definedName name="XRefCopy46" localSheetId="6" hidden="1">#REF!</definedName>
    <definedName name="XRefCopy46" localSheetId="3" hidden="1">#REF!</definedName>
    <definedName name="XRefCopy46" hidden="1">#REF!</definedName>
    <definedName name="XRefCopy46Row" localSheetId="6" hidden="1">#REF!</definedName>
    <definedName name="XRefCopy46Row" localSheetId="3" hidden="1">#REF!</definedName>
    <definedName name="XRefCopy46Row" hidden="1">#REF!</definedName>
    <definedName name="XRefCopy47" localSheetId="6" hidden="1">#REF!</definedName>
    <definedName name="XRefCopy47" localSheetId="3" hidden="1">#REF!</definedName>
    <definedName name="XRefCopy47" hidden="1">#REF!</definedName>
    <definedName name="XRefCopy47Row" localSheetId="6" hidden="1">#REF!</definedName>
    <definedName name="XRefCopy47Row" localSheetId="3" hidden="1">#REF!</definedName>
    <definedName name="XRefCopy47Row" hidden="1">#REF!</definedName>
    <definedName name="XRefCopy48" localSheetId="6" hidden="1">#REF!</definedName>
    <definedName name="XRefCopy48" localSheetId="3" hidden="1">#REF!</definedName>
    <definedName name="XRefCopy48" hidden="1">#REF!</definedName>
    <definedName name="XRefCopy48Row" localSheetId="6" hidden="1">#REF!</definedName>
    <definedName name="XRefCopy48Row" localSheetId="3" hidden="1">#REF!</definedName>
    <definedName name="XRefCopy48Row" hidden="1">#REF!</definedName>
    <definedName name="XRefCopy49" localSheetId="6" hidden="1">#REF!</definedName>
    <definedName name="XRefCopy49" hidden="1">#REF!</definedName>
    <definedName name="XRefCopy4Row" localSheetId="1" hidden="1">#REF!</definedName>
    <definedName name="XRefCopy4Row" localSheetId="6" hidden="1">#REF!</definedName>
    <definedName name="XRefCopy4Row" localSheetId="3" hidden="1">#REF!</definedName>
    <definedName name="XRefCopy4Row" hidden="1">#REF!</definedName>
    <definedName name="XRefCopy5" localSheetId="1" hidden="1">#REF!</definedName>
    <definedName name="XRefCopy5" localSheetId="6" hidden="1">#REF!</definedName>
    <definedName name="XRefCopy5" localSheetId="3" hidden="1">#REF!</definedName>
    <definedName name="XRefCopy5" hidden="1">#REF!</definedName>
    <definedName name="XRefCopy50" localSheetId="6" hidden="1">#REF!</definedName>
    <definedName name="XRefCopy50" hidden="1">#REF!</definedName>
    <definedName name="XRefCopy50Row" localSheetId="6" hidden="1">#REF!</definedName>
    <definedName name="XRefCopy50Row" hidden="1">#REF!</definedName>
    <definedName name="XRefCopy51" localSheetId="6" hidden="1">#REF!</definedName>
    <definedName name="XRefCopy51" hidden="1">#REF!</definedName>
    <definedName name="XRefCopy51Row" localSheetId="6" hidden="1">#REF!</definedName>
    <definedName name="XRefCopy51Row" hidden="1">#REF!</definedName>
    <definedName name="XRefCopy52" localSheetId="6" hidden="1">#REF!</definedName>
    <definedName name="XRefCopy52" hidden="1">#REF!</definedName>
    <definedName name="XRefCopy52Row" localSheetId="6" hidden="1">#REF!</definedName>
    <definedName name="XRefCopy52Row" hidden="1">#REF!</definedName>
    <definedName name="XRefCopy53" localSheetId="6" hidden="1">#REF!</definedName>
    <definedName name="XRefCopy53" hidden="1">#REF!</definedName>
    <definedName name="XRefCopy53Row" localSheetId="6" hidden="1">#REF!</definedName>
    <definedName name="XRefCopy53Row" hidden="1">#REF!</definedName>
    <definedName name="XRefCopy54" localSheetId="6" hidden="1">#REF!</definedName>
    <definedName name="XRefCopy54" hidden="1">#REF!</definedName>
    <definedName name="XRefCopy54Row" localSheetId="6" hidden="1">#REF!</definedName>
    <definedName name="XRefCopy54Row" hidden="1">#REF!</definedName>
    <definedName name="XRefCopy55" localSheetId="6" hidden="1">#REF!</definedName>
    <definedName name="XRefCopy55" hidden="1">#REF!</definedName>
    <definedName name="XRefCopy55Row" localSheetId="6" hidden="1">#REF!</definedName>
    <definedName name="XRefCopy55Row" hidden="1">#REF!</definedName>
    <definedName name="XRefCopy56" localSheetId="6" hidden="1">#REF!</definedName>
    <definedName name="XRefCopy56" hidden="1">#REF!</definedName>
    <definedName name="XRefCopy56Row" localSheetId="6" hidden="1">#REF!</definedName>
    <definedName name="XRefCopy56Row" hidden="1">#REF!</definedName>
    <definedName name="XRefCopy57" localSheetId="6" hidden="1">#REF!</definedName>
    <definedName name="XRefCopy57" hidden="1">#REF!</definedName>
    <definedName name="XRefCopy57Row" localSheetId="6" hidden="1">#REF!</definedName>
    <definedName name="XRefCopy57Row" hidden="1">#REF!</definedName>
    <definedName name="XRefCopy58" localSheetId="6" hidden="1">#REF!</definedName>
    <definedName name="XRefCopy58" hidden="1">#REF!</definedName>
    <definedName name="XRefCopy58Row" localSheetId="6" hidden="1">#REF!</definedName>
    <definedName name="XRefCopy58Row" hidden="1">#REF!</definedName>
    <definedName name="XRefCopy59" localSheetId="6" hidden="1">#REF!</definedName>
    <definedName name="XRefCopy59" hidden="1">#REF!</definedName>
    <definedName name="XRefCopy59Row" localSheetId="6" hidden="1">#REF!</definedName>
    <definedName name="XRefCopy59Row" hidden="1">#REF!</definedName>
    <definedName name="XRefCopy5Row" localSheetId="1" hidden="1">#REF!</definedName>
    <definedName name="XRefCopy5Row" localSheetId="6" hidden="1">#REF!</definedName>
    <definedName name="XRefCopy5Row" localSheetId="3" hidden="1">#REF!</definedName>
    <definedName name="XRefCopy5Row" hidden="1">#REF!</definedName>
    <definedName name="XRefCopy6" localSheetId="1" hidden="1">#REF!</definedName>
    <definedName name="XRefCopy6" localSheetId="6" hidden="1">#REF!</definedName>
    <definedName name="XRefCopy6" localSheetId="3" hidden="1">#REF!</definedName>
    <definedName name="XRefCopy6" hidden="1">#REF!</definedName>
    <definedName name="XRefCopy60" localSheetId="6" hidden="1">#REF!</definedName>
    <definedName name="XRefCopy60" hidden="1">#REF!</definedName>
    <definedName name="XRefCopy61" localSheetId="6" hidden="1">#REF!</definedName>
    <definedName name="XRefCopy61" hidden="1">#REF!</definedName>
    <definedName name="XRefCopy62" localSheetId="6" hidden="1">#REF!</definedName>
    <definedName name="XRefCopy62" hidden="1">#REF!</definedName>
    <definedName name="XRefCopy6Row" localSheetId="1" hidden="1">#REF!</definedName>
    <definedName name="XRefCopy6Row" localSheetId="6" hidden="1">#REF!</definedName>
    <definedName name="XRefCopy6Row" localSheetId="3" hidden="1">#REF!</definedName>
    <definedName name="XRefCopy6Row" hidden="1">#REF!</definedName>
    <definedName name="XRefCopy7" localSheetId="1" hidden="1">#REF!</definedName>
    <definedName name="XRefCopy7" localSheetId="6" hidden="1">#REF!</definedName>
    <definedName name="XRefCopy7" localSheetId="3" hidden="1">#REF!</definedName>
    <definedName name="XRefCopy7" hidden="1">#REF!</definedName>
    <definedName name="XRefCopy7Row" localSheetId="1" hidden="1">#REF!</definedName>
    <definedName name="XRefCopy7Row" localSheetId="6" hidden="1">#REF!</definedName>
    <definedName name="XRefCopy7Row" localSheetId="3" hidden="1">#REF!</definedName>
    <definedName name="XRefCopy7Row" hidden="1">#REF!</definedName>
    <definedName name="XRefCopy8" localSheetId="1" hidden="1">#REF!</definedName>
    <definedName name="XRefCopy8" localSheetId="6" hidden="1">#REF!</definedName>
    <definedName name="XRefCopy8" localSheetId="3" hidden="1">#REF!</definedName>
    <definedName name="XRefCopy8" hidden="1">#REF!</definedName>
    <definedName name="XRefCopy8Row" localSheetId="6" hidden="1">#REF!</definedName>
    <definedName name="XRefCopy8Row" localSheetId="3" hidden="1">#REF!</definedName>
    <definedName name="XRefCopy8Row" hidden="1">#REF!</definedName>
    <definedName name="XRefCopy9" localSheetId="1" hidden="1">#REF!</definedName>
    <definedName name="XRefCopy9" localSheetId="6" hidden="1">#REF!</definedName>
    <definedName name="XRefCopy9" localSheetId="3" hidden="1">#REF!</definedName>
    <definedName name="XRefCopy9" hidden="1">#REF!</definedName>
    <definedName name="XRefCopy9Row" localSheetId="1" hidden="1">#REF!</definedName>
    <definedName name="XRefCopy9Row" localSheetId="6" hidden="1">#REF!</definedName>
    <definedName name="XRefCopy9Row" localSheetId="3" hidden="1">#REF!</definedName>
    <definedName name="XRefCopy9Row" hidden="1">#REF!</definedName>
    <definedName name="XRefCopyRangeCount" localSheetId="1" hidden="1">60</definedName>
    <definedName name="XRefCopyRangeCount" hidden="1">15</definedName>
    <definedName name="XRefPaste1" localSheetId="1" hidden="1">#REF!</definedName>
    <definedName name="XRefPaste1" localSheetId="6" hidden="1">#REF!</definedName>
    <definedName name="XRefPaste1" localSheetId="3" hidden="1">#REF!</definedName>
    <definedName name="XRefPaste1" hidden="1">#REF!</definedName>
    <definedName name="XRefPaste10" localSheetId="1" hidden="1">#REF!</definedName>
    <definedName name="XRefPaste10" localSheetId="6" hidden="1">#REF!</definedName>
    <definedName name="XRefPaste10" localSheetId="3" hidden="1">#REF!</definedName>
    <definedName name="XRefPaste10" hidden="1">#REF!</definedName>
    <definedName name="XRefPaste10Row" localSheetId="1" hidden="1">#REF!</definedName>
    <definedName name="XRefPaste10Row" localSheetId="6" hidden="1">#REF!</definedName>
    <definedName name="XRefPaste10Row" localSheetId="3" hidden="1">#REF!</definedName>
    <definedName name="XRefPaste10Row" hidden="1">#REF!</definedName>
    <definedName name="XRefPaste11" localSheetId="1" hidden="1">#REF!</definedName>
    <definedName name="XRefPaste11" localSheetId="6" hidden="1">#REF!</definedName>
    <definedName name="XRefPaste11" localSheetId="3" hidden="1">#REF!</definedName>
    <definedName name="XRefPaste11" hidden="1">#REF!</definedName>
    <definedName name="XRefPaste11Row" localSheetId="1" hidden="1">#REF!</definedName>
    <definedName name="XRefPaste11Row" localSheetId="6" hidden="1">#REF!</definedName>
    <definedName name="XRefPaste11Row" localSheetId="3" hidden="1">#REF!</definedName>
    <definedName name="XRefPaste11Row" hidden="1">#REF!</definedName>
    <definedName name="XRefPaste12" localSheetId="1" hidden="1">#REF!</definedName>
    <definedName name="XRefPaste12" localSheetId="6" hidden="1">#REF!</definedName>
    <definedName name="XRefPaste12" localSheetId="3" hidden="1">#REF!</definedName>
    <definedName name="XRefPaste12" hidden="1">#REF!</definedName>
    <definedName name="XRefPaste12Row" localSheetId="1" hidden="1">#REF!</definedName>
    <definedName name="XRefPaste12Row" localSheetId="6" hidden="1">#REF!</definedName>
    <definedName name="XRefPaste12Row" localSheetId="3" hidden="1">#REF!</definedName>
    <definedName name="XRefPaste12Row" hidden="1">#REF!</definedName>
    <definedName name="XRefPaste13" localSheetId="1" hidden="1">#REF!</definedName>
    <definedName name="XRefPaste13" localSheetId="6" hidden="1">#REF!</definedName>
    <definedName name="XRefPaste13" localSheetId="3" hidden="1">#REF!</definedName>
    <definedName name="XRefPaste13" hidden="1">#REF!</definedName>
    <definedName name="XRefPaste13Row" localSheetId="1" hidden="1">#REF!</definedName>
    <definedName name="XRefPaste13Row" localSheetId="6" hidden="1">#REF!</definedName>
    <definedName name="XRefPaste13Row" localSheetId="3" hidden="1">#REF!</definedName>
    <definedName name="XRefPaste13Row" hidden="1">#REF!</definedName>
    <definedName name="XRefPaste14" localSheetId="6" hidden="1">#REF!</definedName>
    <definedName name="XRefPaste14" localSheetId="3" hidden="1">#REF!</definedName>
    <definedName name="XRefPaste14" hidden="1">#REF!</definedName>
    <definedName name="XRefPaste14Row" localSheetId="6" hidden="1">#REF!</definedName>
    <definedName name="XRefPaste14Row" localSheetId="3" hidden="1">#REF!</definedName>
    <definedName name="XRefPaste14Row" hidden="1">#REF!</definedName>
    <definedName name="XRefPaste15" localSheetId="1" hidden="1">#REF!</definedName>
    <definedName name="XRefPaste15" localSheetId="6" hidden="1">#REF!</definedName>
    <definedName name="XRefPaste15" localSheetId="3" hidden="1">#REF!</definedName>
    <definedName name="XRefPaste15" hidden="1">#REF!</definedName>
    <definedName name="XRefPaste15Row" localSheetId="1" hidden="1">#REF!</definedName>
    <definedName name="XRefPaste15Row" localSheetId="6" hidden="1">#REF!</definedName>
    <definedName name="XRefPaste15Row" localSheetId="3" hidden="1">#REF!</definedName>
    <definedName name="XRefPaste15Row" hidden="1">#REF!</definedName>
    <definedName name="XRefPaste16" localSheetId="1" hidden="1">#REF!</definedName>
    <definedName name="XRefPaste16" localSheetId="6" hidden="1">#REF!</definedName>
    <definedName name="XRefPaste16" localSheetId="3" hidden="1">#REF!</definedName>
    <definedName name="XRefPaste16" hidden="1">#REF!</definedName>
    <definedName name="XRefPaste16Row" localSheetId="1" hidden="1">#REF!</definedName>
    <definedName name="XRefPaste16Row" localSheetId="6" hidden="1">#REF!</definedName>
    <definedName name="XRefPaste16Row" localSheetId="3" hidden="1">#REF!</definedName>
    <definedName name="XRefPaste16Row" hidden="1">#REF!</definedName>
    <definedName name="XRefPaste17" localSheetId="1" hidden="1">#REF!</definedName>
    <definedName name="XRefPaste17" localSheetId="6" hidden="1">#REF!</definedName>
    <definedName name="XRefPaste17" localSheetId="3" hidden="1">#REF!</definedName>
    <definedName name="XRefPaste17" hidden="1">#REF!</definedName>
    <definedName name="XRefPaste17Row" localSheetId="1" hidden="1">#REF!</definedName>
    <definedName name="XRefPaste17Row" localSheetId="6" hidden="1">#REF!</definedName>
    <definedName name="XRefPaste17Row" localSheetId="3" hidden="1">#REF!</definedName>
    <definedName name="XRefPaste17Row" hidden="1">#REF!</definedName>
    <definedName name="XRefPaste18" localSheetId="1" hidden="1">#REF!</definedName>
    <definedName name="XRefPaste18" localSheetId="6" hidden="1">#REF!</definedName>
    <definedName name="XRefPaste18" localSheetId="3" hidden="1">#REF!</definedName>
    <definedName name="XRefPaste18" hidden="1">#REF!</definedName>
    <definedName name="XRefPaste18Row" localSheetId="1" hidden="1">#REF!</definedName>
    <definedName name="XRefPaste18Row" localSheetId="6" hidden="1">#REF!</definedName>
    <definedName name="XRefPaste18Row" localSheetId="3" hidden="1">#REF!</definedName>
    <definedName name="XRefPaste18Row" hidden="1">#REF!</definedName>
    <definedName name="XRefPaste19" localSheetId="1" hidden="1">#REF!</definedName>
    <definedName name="XRefPaste19" localSheetId="6" hidden="1">#REF!</definedName>
    <definedName name="XRefPaste19" localSheetId="3" hidden="1">#REF!</definedName>
    <definedName name="XRefPaste19" hidden="1">#REF!</definedName>
    <definedName name="XRefPaste19Row" localSheetId="1" hidden="1">#REF!</definedName>
    <definedName name="XRefPaste19Row" localSheetId="6" hidden="1">#REF!</definedName>
    <definedName name="XRefPaste19Row" localSheetId="3" hidden="1">#REF!</definedName>
    <definedName name="XRefPaste19Row" hidden="1">#REF!</definedName>
    <definedName name="XRefPaste1Row" localSheetId="1" hidden="1">#REF!</definedName>
    <definedName name="XRefPaste1Row" localSheetId="6" hidden="1">#REF!</definedName>
    <definedName name="XRefPaste1Row" localSheetId="3" hidden="1">#REF!</definedName>
    <definedName name="XRefPaste1Row" hidden="1">#REF!</definedName>
    <definedName name="XRefPaste2" localSheetId="1" hidden="1">#REF!</definedName>
    <definedName name="XRefPaste2" localSheetId="6" hidden="1">#REF!</definedName>
    <definedName name="XRefPaste2" localSheetId="3" hidden="1">#REF!</definedName>
    <definedName name="XRefPaste2" hidden="1">#REF!</definedName>
    <definedName name="XRefPaste20" localSheetId="1" hidden="1">#REF!</definedName>
    <definedName name="XRefPaste20" localSheetId="6" hidden="1">#REF!</definedName>
    <definedName name="XRefPaste20" localSheetId="3" hidden="1">#REF!</definedName>
    <definedName name="XRefPaste20" hidden="1">#REF!</definedName>
    <definedName name="XRefPaste20Row" localSheetId="6" hidden="1">#REF!</definedName>
    <definedName name="XRefPaste20Row" localSheetId="3" hidden="1">#REF!</definedName>
    <definedName name="XRefPaste20Row" hidden="1">#REF!</definedName>
    <definedName name="XRefPaste21" localSheetId="6" hidden="1">#REF!</definedName>
    <definedName name="XRefPaste21" localSheetId="3" hidden="1">#REF!</definedName>
    <definedName name="XRefPaste21" hidden="1">#REF!</definedName>
    <definedName name="XRefPaste21Row" localSheetId="6" hidden="1">#REF!</definedName>
    <definedName name="XRefPaste21Row" localSheetId="3" hidden="1">#REF!</definedName>
    <definedName name="XRefPaste21Row" hidden="1">#REF!</definedName>
    <definedName name="XRefPaste22" localSheetId="6" hidden="1">#REF!</definedName>
    <definedName name="XRefPaste22" localSheetId="3" hidden="1">#REF!</definedName>
    <definedName name="XRefPaste22" hidden="1">#REF!</definedName>
    <definedName name="XRefPaste22Row" localSheetId="6" hidden="1">#REF!</definedName>
    <definedName name="XRefPaste22Row" localSheetId="3" hidden="1">#REF!</definedName>
    <definedName name="XRefPaste22Row" hidden="1">#REF!</definedName>
    <definedName name="XRefPaste23" localSheetId="6" hidden="1">#REF!</definedName>
    <definedName name="XRefPaste23" localSheetId="3" hidden="1">#REF!</definedName>
    <definedName name="XRefPaste23" hidden="1">#REF!</definedName>
    <definedName name="XRefPaste23Row" localSheetId="6" hidden="1">#REF!</definedName>
    <definedName name="XRefPaste23Row" localSheetId="3" hidden="1">#REF!</definedName>
    <definedName name="XRefPaste23Row" hidden="1">#REF!</definedName>
    <definedName name="XRefPaste24" localSheetId="6" hidden="1">#REF!</definedName>
    <definedName name="XRefPaste24" localSheetId="3" hidden="1">#REF!</definedName>
    <definedName name="XRefPaste24" hidden="1">#REF!</definedName>
    <definedName name="XRefPaste24Row" localSheetId="6" hidden="1">#REF!</definedName>
    <definedName name="XRefPaste24Row" localSheetId="3" hidden="1">#REF!</definedName>
    <definedName name="XRefPaste24Row" hidden="1">#REF!</definedName>
    <definedName name="XRefPaste25" localSheetId="6" hidden="1">#REF!</definedName>
    <definedName name="XRefPaste25" localSheetId="3" hidden="1">#REF!</definedName>
    <definedName name="XRefPaste25" hidden="1">#REF!</definedName>
    <definedName name="XRefPaste25Row" localSheetId="6" hidden="1">#REF!</definedName>
    <definedName name="XRefPaste25Row" localSheetId="3"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1" hidden="1">#REF!</definedName>
    <definedName name="XRefPaste2Row" localSheetId="6" hidden="1">#REF!</definedName>
    <definedName name="XRefPaste2Row" localSheetId="3" hidden="1">#REF!</definedName>
    <definedName name="XRefPaste2Row" hidden="1">#REF!</definedName>
    <definedName name="XRefPaste3" localSheetId="1" hidden="1">#REF!</definedName>
    <definedName name="XRefPaste3" localSheetId="6" hidden="1">#REF!</definedName>
    <definedName name="XRefPaste3" localSheetId="3"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Row" localSheetId="1" hidden="1">#REF!</definedName>
    <definedName name="XRefPaste3Row" localSheetId="6" hidden="1">#REF!</definedName>
    <definedName name="XRefPaste3Row" localSheetId="3" hidden="1">#REF!</definedName>
    <definedName name="XRefPaste3Row" hidden="1">#REF!</definedName>
    <definedName name="XRefPaste4" localSheetId="1" hidden="1">#REF!</definedName>
    <definedName name="XRefPaste4" localSheetId="6" hidden="1">#REF!</definedName>
    <definedName name="XRefPaste4" localSheetId="3" hidden="1">#REF!</definedName>
    <definedName name="XRefPaste4" hidden="1">#REF!</definedName>
    <definedName name="XRefPaste40" hidden="1">#REF!</definedName>
    <definedName name="XRefPaste41" hidden="1">#REF!</definedName>
    <definedName name="XRefPaste43" hidden="1">#REF!</definedName>
    <definedName name="XRefPaste4Row" localSheetId="6" hidden="1">#REF!</definedName>
    <definedName name="XRefPaste4Row" localSheetId="3" hidden="1">#REF!</definedName>
    <definedName name="XRefPaste4Row" hidden="1">#REF!</definedName>
    <definedName name="XRefPaste5" localSheetId="1" hidden="1">#REF!</definedName>
    <definedName name="XRefPaste5" localSheetId="6" hidden="1">#REF!</definedName>
    <definedName name="XRefPaste5" localSheetId="3" hidden="1">#REF!</definedName>
    <definedName name="XRefPaste5" hidden="1">#REF!</definedName>
    <definedName name="XRefPaste5Row" localSheetId="1" hidden="1">#REF!</definedName>
    <definedName name="XRefPaste5Row" localSheetId="6" hidden="1">#REF!</definedName>
    <definedName name="XRefPaste5Row" localSheetId="3" hidden="1">#REF!</definedName>
    <definedName name="XRefPaste5Row" hidden="1">#REF!</definedName>
    <definedName name="XRefPaste6" localSheetId="1" hidden="1">#REF!</definedName>
    <definedName name="XRefPaste6" localSheetId="6" hidden="1">#REF!</definedName>
    <definedName name="XRefPaste6" localSheetId="3" hidden="1">#REF!</definedName>
    <definedName name="XRefPaste6" hidden="1">#REF!</definedName>
    <definedName name="XRefPaste6Row" localSheetId="1" hidden="1">#REF!</definedName>
    <definedName name="XRefPaste6Row" localSheetId="6" hidden="1">#REF!</definedName>
    <definedName name="XRefPaste6Row" localSheetId="3" hidden="1">#REF!</definedName>
    <definedName name="XRefPaste6Row" hidden="1">#REF!</definedName>
    <definedName name="XRefPaste7" localSheetId="1" hidden="1">#REF!</definedName>
    <definedName name="XRefPaste7" localSheetId="6" hidden="1">#REF!</definedName>
    <definedName name="XRefPaste7" localSheetId="3" hidden="1">#REF!</definedName>
    <definedName name="XRefPaste7" hidden="1">#REF!</definedName>
    <definedName name="XRefPaste7Row" localSheetId="1" hidden="1">#REF!</definedName>
    <definedName name="XRefPaste7Row" localSheetId="6" hidden="1">#REF!</definedName>
    <definedName name="XRefPaste7Row" localSheetId="3" hidden="1">#REF!</definedName>
    <definedName name="XRefPaste7Row" hidden="1">#REF!</definedName>
    <definedName name="XRefPaste8" localSheetId="1" hidden="1">#REF!</definedName>
    <definedName name="XRefPaste8" localSheetId="6" hidden="1">#REF!</definedName>
    <definedName name="XRefPaste8" localSheetId="3" hidden="1">#REF!</definedName>
    <definedName name="XRefPaste8" hidden="1">#REF!</definedName>
    <definedName name="XRefPaste8Row" localSheetId="1" hidden="1">#REF!</definedName>
    <definedName name="XRefPaste8Row" localSheetId="6" hidden="1">#REF!</definedName>
    <definedName name="XRefPaste8Row" localSheetId="3" hidden="1">#REF!</definedName>
    <definedName name="XRefPaste8Row" hidden="1">#REF!</definedName>
    <definedName name="XRefPaste9" localSheetId="1" hidden="1">#REF!</definedName>
    <definedName name="XRefPaste9" localSheetId="6" hidden="1">#REF!</definedName>
    <definedName name="XRefPaste9" localSheetId="3" hidden="1">#REF!</definedName>
    <definedName name="XRefPaste9" hidden="1">#REF!</definedName>
    <definedName name="XRefPaste9Row" localSheetId="1" hidden="1">#REF!</definedName>
    <definedName name="XRefPaste9Row" localSheetId="6" hidden="1">#REF!</definedName>
    <definedName name="XRefPaste9Row" localSheetId="3" hidden="1">#REF!</definedName>
    <definedName name="XRefPaste9Row" hidden="1">#REF!</definedName>
    <definedName name="XRefPasteRangeCount" localSheetId="1" hidden="1">4</definedName>
    <definedName name="XRefPasteRangeCount" hidden="1">24</definedName>
    <definedName name="xsasad" localSheetId="30" hidden="1">{#N/A,#N/A,FALSE,"COMICRO";#N/A,#N/A,FALSE,"BALSCH";#N/A,#N/A,FALSE,"GLASS";#N/A,#N/A,FALSE,"DEPRE";#N/A,#N/A,FALSE,"A&amp;MCUR";#N/A,#N/A,FALSE,"AGEANAlysis";#N/A,#N/A,FALSE,"CHECKS";#N/A,#N/A,FALSE,"CHECKS"}</definedName>
    <definedName name="xsasad" localSheetId="31" hidden="1">{#N/A,#N/A,FALSE,"COMICRO";#N/A,#N/A,FALSE,"BALSCH";#N/A,#N/A,FALSE,"GLASS";#N/A,#N/A,FALSE,"DEPRE";#N/A,#N/A,FALSE,"A&amp;MCUR";#N/A,#N/A,FALSE,"AGEANAlysis";#N/A,#N/A,FALSE,"CHECKS";#N/A,#N/A,FALSE,"CHECKS"}</definedName>
    <definedName name="xsasad" localSheetId="32" hidden="1">{#N/A,#N/A,FALSE,"COMICRO";#N/A,#N/A,FALSE,"BALSCH";#N/A,#N/A,FALSE,"GLASS";#N/A,#N/A,FALSE,"DEPRE";#N/A,#N/A,FALSE,"A&amp;MCUR";#N/A,#N/A,FALSE,"AGEANAlysis";#N/A,#N/A,FALSE,"CHECKS";#N/A,#N/A,FALSE,"CHECKS"}</definedName>
    <definedName name="xsasad" localSheetId="10" hidden="1">{#N/A,#N/A,FALSE,"COMICRO";#N/A,#N/A,FALSE,"BALSCH";#N/A,#N/A,FALSE,"GLASS";#N/A,#N/A,FALSE,"DEPRE";#N/A,#N/A,FALSE,"A&amp;MCUR";#N/A,#N/A,FALSE,"AGEANAlysis";#N/A,#N/A,FALSE,"CHECKS";#N/A,#N/A,FALSE,"CHECKS"}</definedName>
    <definedName name="xsasad" localSheetId="1" hidden="1">{#N/A,#N/A,FALSE,"COMICRO";#N/A,#N/A,FALSE,"BALSCH";#N/A,#N/A,FALSE,"GLASS";#N/A,#N/A,FALSE,"DEPRE";#N/A,#N/A,FALSE,"A&amp;MCUR";#N/A,#N/A,FALSE,"AGEANAlysis";#N/A,#N/A,FALSE,"CHECKS";#N/A,#N/A,FALSE,"CHECKS"}</definedName>
    <definedName name="xsasad" localSheetId="6" hidden="1">{#N/A,#N/A,FALSE,"COMICRO";#N/A,#N/A,FALSE,"BALSCH";#N/A,#N/A,FALSE,"GLASS";#N/A,#N/A,FALSE,"DEPRE";#N/A,#N/A,FALSE,"A&amp;MCUR";#N/A,#N/A,FALSE,"AGEANAlysis";#N/A,#N/A,FALSE,"CHECKS";#N/A,#N/A,FALSE,"CHECKS"}</definedName>
    <definedName name="xsasad" hidden="1">{#N/A,#N/A,FALSE,"COMICRO";#N/A,#N/A,FALSE,"BALSCH";#N/A,#N/A,FALSE,"GLASS";#N/A,#N/A,FALSE,"DEPRE";#N/A,#N/A,FALSE,"A&amp;MCUR";#N/A,#N/A,FALSE,"AGEANAlysis";#N/A,#N/A,FALSE,"CHECKS";#N/A,#N/A,FALSE,"CHECKS"}</definedName>
    <definedName name="XTEST" localSheetId="30" hidden="1">{#N/A,#N/A,FALSE,"JANLN2"}</definedName>
    <definedName name="XTEST" localSheetId="31" hidden="1">{#N/A,#N/A,FALSE,"JANLN2"}</definedName>
    <definedName name="XTEST" localSheetId="32" hidden="1">{#N/A,#N/A,FALSE,"JANLN2"}</definedName>
    <definedName name="XTEST" localSheetId="10" hidden="1">{#N/A,#N/A,FALSE,"JANLN2"}</definedName>
    <definedName name="XTEST" localSheetId="6" hidden="1">{#N/A,#N/A,FALSE,"JANLN2"}</definedName>
    <definedName name="XTEST" hidden="1">{#N/A,#N/A,FALSE,"JANLN2"}</definedName>
    <definedName name="xvx" localSheetId="30" hidden="1">{#N/A,#N/A,FALSE,"3";#N/A,#N/A,FALSE,"5";#N/A,#N/A,FALSE,"6";#N/A,#N/A,FALSE,"8";#N/A,#N/A,FALSE,"10";#N/A,#N/A,FALSE,"13";#N/A,#N/A,FALSE,"14";#N/A,#N/A,FALSE,"15";#N/A,#N/A,FALSE,"16"}</definedName>
    <definedName name="xvx" localSheetId="31" hidden="1">{#N/A,#N/A,FALSE,"3";#N/A,#N/A,FALSE,"5";#N/A,#N/A,FALSE,"6";#N/A,#N/A,FALSE,"8";#N/A,#N/A,FALSE,"10";#N/A,#N/A,FALSE,"13";#N/A,#N/A,FALSE,"14";#N/A,#N/A,FALSE,"15";#N/A,#N/A,FALSE,"16"}</definedName>
    <definedName name="xvx" localSheetId="32" hidden="1">{#N/A,#N/A,FALSE,"3";#N/A,#N/A,FALSE,"5";#N/A,#N/A,FALSE,"6";#N/A,#N/A,FALSE,"8";#N/A,#N/A,FALSE,"10";#N/A,#N/A,FALSE,"13";#N/A,#N/A,FALSE,"14";#N/A,#N/A,FALSE,"15";#N/A,#N/A,FALSE,"16"}</definedName>
    <definedName name="xvx" localSheetId="10" hidden="1">{#N/A,#N/A,FALSE,"3";#N/A,#N/A,FALSE,"5";#N/A,#N/A,FALSE,"6";#N/A,#N/A,FALSE,"8";#N/A,#N/A,FALSE,"10";#N/A,#N/A,FALSE,"13";#N/A,#N/A,FALSE,"14";#N/A,#N/A,FALSE,"15";#N/A,#N/A,FALSE,"16"}</definedName>
    <definedName name="xvx" localSheetId="6" hidden="1">{#N/A,#N/A,FALSE,"3";#N/A,#N/A,FALSE,"5";#N/A,#N/A,FALSE,"6";#N/A,#N/A,FALSE,"8";#N/A,#N/A,FALSE,"10";#N/A,#N/A,FALSE,"13";#N/A,#N/A,FALSE,"14";#N/A,#N/A,FALSE,"15";#N/A,#N/A,FALSE,"16"}</definedName>
    <definedName name="xvx" hidden="1">{#N/A,#N/A,FALSE,"3";#N/A,#N/A,FALSE,"5";#N/A,#N/A,FALSE,"6";#N/A,#N/A,FALSE,"8";#N/A,#N/A,FALSE,"10";#N/A,#N/A,FALSE,"13";#N/A,#N/A,FALSE,"14";#N/A,#N/A,FALSE,"15";#N/A,#N/A,FALSE,"16"}</definedName>
    <definedName name="xxv" localSheetId="30" hidden="1">{#N/A,#N/A,FALSE,"3";#N/A,#N/A,FALSE,"5";#N/A,#N/A,FALSE,"6";#N/A,#N/A,FALSE,"8";#N/A,#N/A,FALSE,"10";#N/A,#N/A,FALSE,"13";#N/A,#N/A,FALSE,"14";#N/A,#N/A,FALSE,"15";#N/A,#N/A,FALSE,"16"}</definedName>
    <definedName name="xxv" localSheetId="31" hidden="1">{#N/A,#N/A,FALSE,"3";#N/A,#N/A,FALSE,"5";#N/A,#N/A,FALSE,"6";#N/A,#N/A,FALSE,"8";#N/A,#N/A,FALSE,"10";#N/A,#N/A,FALSE,"13";#N/A,#N/A,FALSE,"14";#N/A,#N/A,FALSE,"15";#N/A,#N/A,FALSE,"16"}</definedName>
    <definedName name="xxv" localSheetId="32" hidden="1">{#N/A,#N/A,FALSE,"3";#N/A,#N/A,FALSE,"5";#N/A,#N/A,FALSE,"6";#N/A,#N/A,FALSE,"8";#N/A,#N/A,FALSE,"10";#N/A,#N/A,FALSE,"13";#N/A,#N/A,FALSE,"14";#N/A,#N/A,FALSE,"15";#N/A,#N/A,FALSE,"16"}</definedName>
    <definedName name="xxv" localSheetId="10" hidden="1">{#N/A,#N/A,FALSE,"3";#N/A,#N/A,FALSE,"5";#N/A,#N/A,FALSE,"6";#N/A,#N/A,FALSE,"8";#N/A,#N/A,FALSE,"10";#N/A,#N/A,FALSE,"13";#N/A,#N/A,FALSE,"14";#N/A,#N/A,FALSE,"15";#N/A,#N/A,FALSE,"16"}</definedName>
    <definedName name="xxv" localSheetId="6" hidden="1">{#N/A,#N/A,FALSE,"3";#N/A,#N/A,FALSE,"5";#N/A,#N/A,FALSE,"6";#N/A,#N/A,FALSE,"8";#N/A,#N/A,FALSE,"10";#N/A,#N/A,FALSE,"13";#N/A,#N/A,FALSE,"14";#N/A,#N/A,FALSE,"15";#N/A,#N/A,FALSE,"16"}</definedName>
    <definedName name="xxv" hidden="1">{#N/A,#N/A,FALSE,"3";#N/A,#N/A,FALSE,"5";#N/A,#N/A,FALSE,"6";#N/A,#N/A,FALSE,"8";#N/A,#N/A,FALSE,"10";#N/A,#N/A,FALSE,"13";#N/A,#N/A,FALSE,"14";#N/A,#N/A,FALSE,"15";#N/A,#N/A,FALSE,"16"}</definedName>
    <definedName name="xxxxx" localSheetId="30" hidden="1">{"'Typical Costs Estimates'!$C$158:$H$161"}</definedName>
    <definedName name="xxxxx" localSheetId="31" hidden="1">{"'Typical Costs Estimates'!$C$158:$H$161"}</definedName>
    <definedName name="xxxxx" localSheetId="32" hidden="1">{"'Typical Costs Estimates'!$C$158:$H$161"}</definedName>
    <definedName name="xxxxx" localSheetId="10" hidden="1">{"'Typical Costs Estimates'!$C$158:$H$161"}</definedName>
    <definedName name="xxxxx" hidden="1">{"'Typical Costs Estimates'!$C$158:$H$161"}</definedName>
    <definedName name="xxxxxl" localSheetId="30" hidden="1">{#N/A,#N/A,FALSE,"COMICRO";#N/A,#N/A,FALSE,"BALSCH";#N/A,#N/A,FALSE,"GLASS";#N/A,#N/A,FALSE,"DEPRE";#N/A,#N/A,FALSE,"A&amp;MCUR";#N/A,#N/A,FALSE,"AGEANAlysis";#N/A,#N/A,FALSE,"CHECKS";#N/A,#N/A,FALSE,"CHECKS"}</definedName>
    <definedName name="xxxxxl" localSheetId="31" hidden="1">{#N/A,#N/A,FALSE,"COMICRO";#N/A,#N/A,FALSE,"BALSCH";#N/A,#N/A,FALSE,"GLASS";#N/A,#N/A,FALSE,"DEPRE";#N/A,#N/A,FALSE,"A&amp;MCUR";#N/A,#N/A,FALSE,"AGEANAlysis";#N/A,#N/A,FALSE,"CHECKS";#N/A,#N/A,FALSE,"CHECKS"}</definedName>
    <definedName name="xxxxxl" localSheetId="32" hidden="1">{#N/A,#N/A,FALSE,"COMICRO";#N/A,#N/A,FALSE,"BALSCH";#N/A,#N/A,FALSE,"GLASS";#N/A,#N/A,FALSE,"DEPRE";#N/A,#N/A,FALSE,"A&amp;MCUR";#N/A,#N/A,FALSE,"AGEANAlysis";#N/A,#N/A,FALSE,"CHECKS";#N/A,#N/A,FALSE,"CHECKS"}</definedName>
    <definedName name="xxxxxl" localSheetId="10" hidden="1">{#N/A,#N/A,FALSE,"COMICRO";#N/A,#N/A,FALSE,"BALSCH";#N/A,#N/A,FALSE,"GLASS";#N/A,#N/A,FALSE,"DEPRE";#N/A,#N/A,FALSE,"A&amp;MCUR";#N/A,#N/A,FALSE,"AGEANAlysis";#N/A,#N/A,FALSE,"CHECKS";#N/A,#N/A,FALSE,"CHECKS"}</definedName>
    <definedName name="xxxxxl" localSheetId="1" hidden="1">{#N/A,#N/A,FALSE,"COMICRO";#N/A,#N/A,FALSE,"BALSCH";#N/A,#N/A,FALSE,"GLASS";#N/A,#N/A,FALSE,"DEPRE";#N/A,#N/A,FALSE,"A&amp;MCUR";#N/A,#N/A,FALSE,"AGEANAlysis";#N/A,#N/A,FALSE,"CHECKS";#N/A,#N/A,FALSE,"CHECKS"}</definedName>
    <definedName name="xxxxxl" localSheetId="6" hidden="1">{#N/A,#N/A,FALSE,"COMICRO";#N/A,#N/A,FALSE,"BALSCH";#N/A,#N/A,FALSE,"GLASS";#N/A,#N/A,FALSE,"DEPRE";#N/A,#N/A,FALSE,"A&amp;MCUR";#N/A,#N/A,FALSE,"AGEANAlysis";#N/A,#N/A,FALSE,"CHECKS";#N/A,#N/A,FALSE,"CHECKS"}</definedName>
    <definedName name="xxxxxl" hidden="1">{#N/A,#N/A,FALSE,"COMICRO";#N/A,#N/A,FALSE,"BALSCH";#N/A,#N/A,FALSE,"GLASS";#N/A,#N/A,FALSE,"DEPRE";#N/A,#N/A,FALSE,"A&amp;MCUR";#N/A,#N/A,FALSE,"AGEANAlysis";#N/A,#N/A,FALSE,"CHECKS";#N/A,#N/A,FALSE,"CHECKS"}</definedName>
    <definedName name="xxxxxx" localSheetId="30" hidden="1">{#N/A,#N/A,TRUE,"GEM Total";#N/A,#N/A,TRUE,"Final Assembly";#N/A,#N/A,TRUE,"Cleaning";#N/A,#N/A,TRUE,"Schooping,Clearing";#N/A,#N/A,TRUE,"Winding"}</definedName>
    <definedName name="xxxxxx" localSheetId="31" hidden="1">{#N/A,#N/A,TRUE,"GEM Total";#N/A,#N/A,TRUE,"Final Assembly";#N/A,#N/A,TRUE,"Cleaning";#N/A,#N/A,TRUE,"Schooping,Clearing";#N/A,#N/A,TRUE,"Winding"}</definedName>
    <definedName name="xxxxxx" localSheetId="32" hidden="1">{#N/A,#N/A,TRUE,"GEM Total";#N/A,#N/A,TRUE,"Final Assembly";#N/A,#N/A,TRUE,"Cleaning";#N/A,#N/A,TRUE,"Schooping,Clearing";#N/A,#N/A,TRUE,"Winding"}</definedName>
    <definedName name="xxxxxx" localSheetId="10" hidden="1">{#N/A,#N/A,TRUE,"GEM Total";#N/A,#N/A,TRUE,"Final Assembly";#N/A,#N/A,TRUE,"Cleaning";#N/A,#N/A,TRUE,"Schooping,Clearing";#N/A,#N/A,TRUE,"Winding"}</definedName>
    <definedName name="xxxxxx" localSheetId="6" hidden="1">{#N/A,#N/A,TRUE,"GEM Total";#N/A,#N/A,TRUE,"Final Assembly";#N/A,#N/A,TRUE,"Cleaning";#N/A,#N/A,TRUE,"Schooping,Clearing";#N/A,#N/A,TRUE,"Winding"}</definedName>
    <definedName name="xxxxxx" hidden="1">{#N/A,#N/A,TRUE,"GEM Total";#N/A,#N/A,TRUE,"Final Assembly";#N/A,#N/A,TRUE,"Cleaning";#N/A,#N/A,TRUE,"Schooping,Clearing";#N/A,#N/A,TRUE,"Winding"}</definedName>
    <definedName name="xxxxxxx" localSheetId="30" hidden="1">{#N/A,#N/A,TRUE,"GEM Total";#N/A,#N/A,TRUE,"Final Assembly";#N/A,#N/A,TRUE,"Cleaning";#N/A,#N/A,TRUE,"Schooping,Clearing";#N/A,#N/A,TRUE,"Winding"}</definedName>
    <definedName name="xxxxxxx" localSheetId="31" hidden="1">{#N/A,#N/A,TRUE,"GEM Total";#N/A,#N/A,TRUE,"Final Assembly";#N/A,#N/A,TRUE,"Cleaning";#N/A,#N/A,TRUE,"Schooping,Clearing";#N/A,#N/A,TRUE,"Winding"}</definedName>
    <definedName name="xxxxxxx" localSheetId="32" hidden="1">{#N/A,#N/A,TRUE,"GEM Total";#N/A,#N/A,TRUE,"Final Assembly";#N/A,#N/A,TRUE,"Cleaning";#N/A,#N/A,TRUE,"Schooping,Clearing";#N/A,#N/A,TRUE,"Winding"}</definedName>
    <definedName name="xxxxxxx" localSheetId="10" hidden="1">{#N/A,#N/A,TRUE,"GEM Total";#N/A,#N/A,TRUE,"Final Assembly";#N/A,#N/A,TRUE,"Cleaning";#N/A,#N/A,TRUE,"Schooping,Clearing";#N/A,#N/A,TRUE,"Winding"}</definedName>
    <definedName name="xxxxxxx" localSheetId="6" hidden="1">{#N/A,#N/A,TRUE,"GEM Total";#N/A,#N/A,TRUE,"Final Assembly";#N/A,#N/A,TRUE,"Cleaning";#N/A,#N/A,TRUE,"Schooping,Clearing";#N/A,#N/A,TRUE,"Winding"}</definedName>
    <definedName name="xxxxxxx" hidden="1">{#N/A,#N/A,TRUE,"GEM Total";#N/A,#N/A,TRUE,"Final Assembly";#N/A,#N/A,TRUE,"Cleaning";#N/A,#N/A,TRUE,"Schooping,Clearing";#N/A,#N/A,TRUE,"Winding"}</definedName>
    <definedName name="xxxxxxxxxxxxxx" localSheetId="30" hidden="1">{#N/A,#N/A,TRUE,"GEM Total";#N/A,#N/A,TRUE,"Final Assembly";#N/A,#N/A,TRUE,"Cleaning";#N/A,#N/A,TRUE,"Schooping,Clearing";#N/A,#N/A,TRUE,"Winding"}</definedName>
    <definedName name="xxxxxxxxxxxxxx" localSheetId="31" hidden="1">{#N/A,#N/A,TRUE,"GEM Total";#N/A,#N/A,TRUE,"Final Assembly";#N/A,#N/A,TRUE,"Cleaning";#N/A,#N/A,TRUE,"Schooping,Clearing";#N/A,#N/A,TRUE,"Winding"}</definedName>
    <definedName name="xxxxxxxxxxxxxx" localSheetId="32" hidden="1">{#N/A,#N/A,TRUE,"GEM Total";#N/A,#N/A,TRUE,"Final Assembly";#N/A,#N/A,TRUE,"Cleaning";#N/A,#N/A,TRUE,"Schooping,Clearing";#N/A,#N/A,TRUE,"Winding"}</definedName>
    <definedName name="xxxxxxxxxxxxxx" localSheetId="10" hidden="1">{#N/A,#N/A,TRUE,"GEM Total";#N/A,#N/A,TRUE,"Final Assembly";#N/A,#N/A,TRUE,"Cleaning";#N/A,#N/A,TRUE,"Schooping,Clearing";#N/A,#N/A,TRUE,"Winding"}</definedName>
    <definedName name="xxxxxxxxxxxxxx" localSheetId="6" hidden="1">{#N/A,#N/A,TRUE,"GEM Total";#N/A,#N/A,TRUE,"Final Assembly";#N/A,#N/A,TRUE,"Cleaning";#N/A,#N/A,TRUE,"Schooping,Clearing";#N/A,#N/A,TRUE,"Winding"}</definedName>
    <definedName name="xxxxxxxxxxxxxx" hidden="1">{#N/A,#N/A,TRUE,"GEM Total";#N/A,#N/A,TRUE,"Final Assembly";#N/A,#N/A,TRUE,"Cleaning";#N/A,#N/A,TRUE,"Schooping,Clearing";#N/A,#N/A,TRUE,"Winding"}</definedName>
    <definedName name="xxxxxxxxxxxxxxxx" localSheetId="30" hidden="1">{#N/A,#N/A,TRUE,"GEM Total";#N/A,#N/A,TRUE,"Final Assembly";#N/A,#N/A,TRUE,"Cleaning";#N/A,#N/A,TRUE,"Schooping,Clearing";#N/A,#N/A,TRUE,"Winding"}</definedName>
    <definedName name="xxxxxxxxxxxxxxxx" localSheetId="31" hidden="1">{#N/A,#N/A,TRUE,"GEM Total";#N/A,#N/A,TRUE,"Final Assembly";#N/A,#N/A,TRUE,"Cleaning";#N/A,#N/A,TRUE,"Schooping,Clearing";#N/A,#N/A,TRUE,"Winding"}</definedName>
    <definedName name="xxxxxxxxxxxxxxxx" localSheetId="32" hidden="1">{#N/A,#N/A,TRUE,"GEM Total";#N/A,#N/A,TRUE,"Final Assembly";#N/A,#N/A,TRUE,"Cleaning";#N/A,#N/A,TRUE,"Schooping,Clearing";#N/A,#N/A,TRUE,"Winding"}</definedName>
    <definedName name="xxxxxxxxxxxxxxxx" localSheetId="10" hidden="1">{#N/A,#N/A,TRUE,"GEM Total";#N/A,#N/A,TRUE,"Final Assembly";#N/A,#N/A,TRUE,"Cleaning";#N/A,#N/A,TRUE,"Schooping,Clearing";#N/A,#N/A,TRUE,"Winding"}</definedName>
    <definedName name="xxxxxxxxxxxxxxxx" localSheetId="6" hidden="1">{#N/A,#N/A,TRUE,"GEM Total";#N/A,#N/A,TRUE,"Final Assembly";#N/A,#N/A,TRUE,"Cleaning";#N/A,#N/A,TRUE,"Schooping,Clearing";#N/A,#N/A,TRUE,"Winding"}</definedName>
    <definedName name="xxxxxxxxxxxxxxxx" hidden="1">{#N/A,#N/A,TRUE,"GEM Total";#N/A,#N/A,TRUE,"Final Assembly";#N/A,#N/A,TRUE,"Cleaning";#N/A,#N/A,TRUE,"Schooping,Clearing";#N/A,#N/A,TRUE,"Winding"}</definedName>
    <definedName name="yhtfhtrfjhn" hidden="1">#REF!</definedName>
    <definedName name="yii" localSheetId="30" hidden="1">{#N/A,#N/A,FALSE,"3";#N/A,#N/A,FALSE,"5";#N/A,#N/A,FALSE,"6";#N/A,#N/A,FALSE,"8";#N/A,#N/A,FALSE,"10";#N/A,#N/A,FALSE,"13";#N/A,#N/A,FALSE,"14";#N/A,#N/A,FALSE,"15";#N/A,#N/A,FALSE,"16"}</definedName>
    <definedName name="yii" localSheetId="31" hidden="1">{#N/A,#N/A,FALSE,"3";#N/A,#N/A,FALSE,"5";#N/A,#N/A,FALSE,"6";#N/A,#N/A,FALSE,"8";#N/A,#N/A,FALSE,"10";#N/A,#N/A,FALSE,"13";#N/A,#N/A,FALSE,"14";#N/A,#N/A,FALSE,"15";#N/A,#N/A,FALSE,"16"}</definedName>
    <definedName name="yii" localSheetId="32" hidden="1">{#N/A,#N/A,FALSE,"3";#N/A,#N/A,FALSE,"5";#N/A,#N/A,FALSE,"6";#N/A,#N/A,FALSE,"8";#N/A,#N/A,FALSE,"10";#N/A,#N/A,FALSE,"13";#N/A,#N/A,FALSE,"14";#N/A,#N/A,FALSE,"15";#N/A,#N/A,FALSE,"16"}</definedName>
    <definedName name="yii" localSheetId="10" hidden="1">{#N/A,#N/A,FALSE,"3";#N/A,#N/A,FALSE,"5";#N/A,#N/A,FALSE,"6";#N/A,#N/A,FALSE,"8";#N/A,#N/A,FALSE,"10";#N/A,#N/A,FALSE,"13";#N/A,#N/A,FALSE,"14";#N/A,#N/A,FALSE,"15";#N/A,#N/A,FALSE,"16"}</definedName>
    <definedName name="yii" localSheetId="6" hidden="1">{#N/A,#N/A,FALSE,"3";#N/A,#N/A,FALSE,"5";#N/A,#N/A,FALSE,"6";#N/A,#N/A,FALSE,"8";#N/A,#N/A,FALSE,"10";#N/A,#N/A,FALSE,"13";#N/A,#N/A,FALSE,"14";#N/A,#N/A,FALSE,"15";#N/A,#N/A,FALSE,"16"}</definedName>
    <definedName name="yii" hidden="1">{#N/A,#N/A,FALSE,"3";#N/A,#N/A,FALSE,"5";#N/A,#N/A,FALSE,"6";#N/A,#N/A,FALSE,"8";#N/A,#N/A,FALSE,"10";#N/A,#N/A,FALSE,"13";#N/A,#N/A,FALSE,"14";#N/A,#N/A,FALSE,"15";#N/A,#N/A,FALSE,"16"}</definedName>
    <definedName name="yityi" localSheetId="30" hidden="1">{#N/A,#N/A,FALSE,"3";#N/A,#N/A,FALSE,"5";#N/A,#N/A,FALSE,"6";#N/A,#N/A,FALSE,"8";#N/A,#N/A,FALSE,"10";#N/A,#N/A,FALSE,"13";#N/A,#N/A,FALSE,"14";#N/A,#N/A,FALSE,"15";#N/A,#N/A,FALSE,"16"}</definedName>
    <definedName name="yityi" localSheetId="31" hidden="1">{#N/A,#N/A,FALSE,"3";#N/A,#N/A,FALSE,"5";#N/A,#N/A,FALSE,"6";#N/A,#N/A,FALSE,"8";#N/A,#N/A,FALSE,"10";#N/A,#N/A,FALSE,"13";#N/A,#N/A,FALSE,"14";#N/A,#N/A,FALSE,"15";#N/A,#N/A,FALSE,"16"}</definedName>
    <definedName name="yityi" localSheetId="32" hidden="1">{#N/A,#N/A,FALSE,"3";#N/A,#N/A,FALSE,"5";#N/A,#N/A,FALSE,"6";#N/A,#N/A,FALSE,"8";#N/A,#N/A,FALSE,"10";#N/A,#N/A,FALSE,"13";#N/A,#N/A,FALSE,"14";#N/A,#N/A,FALSE,"15";#N/A,#N/A,FALSE,"16"}</definedName>
    <definedName name="yityi" localSheetId="10" hidden="1">{#N/A,#N/A,FALSE,"3";#N/A,#N/A,FALSE,"5";#N/A,#N/A,FALSE,"6";#N/A,#N/A,FALSE,"8";#N/A,#N/A,FALSE,"10";#N/A,#N/A,FALSE,"13";#N/A,#N/A,FALSE,"14";#N/A,#N/A,FALSE,"15";#N/A,#N/A,FALSE,"16"}</definedName>
    <definedName name="yityi" localSheetId="6" hidden="1">{#N/A,#N/A,FALSE,"3";#N/A,#N/A,FALSE,"5";#N/A,#N/A,FALSE,"6";#N/A,#N/A,FALSE,"8";#N/A,#N/A,FALSE,"10";#N/A,#N/A,FALSE,"13";#N/A,#N/A,FALSE,"14";#N/A,#N/A,FALSE,"15";#N/A,#N/A,FALSE,"16"}</definedName>
    <definedName name="yityi" hidden="1">{#N/A,#N/A,FALSE,"3";#N/A,#N/A,FALSE,"5";#N/A,#N/A,FALSE,"6";#N/A,#N/A,FALSE,"8";#N/A,#N/A,FALSE,"10";#N/A,#N/A,FALSE,"13";#N/A,#N/A,FALSE,"14";#N/A,#N/A,FALSE,"15";#N/A,#N/A,FALSE,"16"}</definedName>
    <definedName name="yiyti" localSheetId="30" hidden="1">{#N/A,#N/A,FALSE,"3";#N/A,#N/A,FALSE,"5";#N/A,#N/A,FALSE,"6";#N/A,#N/A,FALSE,"8";#N/A,#N/A,FALSE,"10";#N/A,#N/A,FALSE,"13";#N/A,#N/A,FALSE,"14";#N/A,#N/A,FALSE,"15";#N/A,#N/A,FALSE,"16"}</definedName>
    <definedName name="yiyti" localSheetId="31" hidden="1">{#N/A,#N/A,FALSE,"3";#N/A,#N/A,FALSE,"5";#N/A,#N/A,FALSE,"6";#N/A,#N/A,FALSE,"8";#N/A,#N/A,FALSE,"10";#N/A,#N/A,FALSE,"13";#N/A,#N/A,FALSE,"14";#N/A,#N/A,FALSE,"15";#N/A,#N/A,FALSE,"16"}</definedName>
    <definedName name="yiyti" localSheetId="32" hidden="1">{#N/A,#N/A,FALSE,"3";#N/A,#N/A,FALSE,"5";#N/A,#N/A,FALSE,"6";#N/A,#N/A,FALSE,"8";#N/A,#N/A,FALSE,"10";#N/A,#N/A,FALSE,"13";#N/A,#N/A,FALSE,"14";#N/A,#N/A,FALSE,"15";#N/A,#N/A,FALSE,"16"}</definedName>
    <definedName name="yiyti" localSheetId="10" hidden="1">{#N/A,#N/A,FALSE,"3";#N/A,#N/A,FALSE,"5";#N/A,#N/A,FALSE,"6";#N/A,#N/A,FALSE,"8";#N/A,#N/A,FALSE,"10";#N/A,#N/A,FALSE,"13";#N/A,#N/A,FALSE,"14";#N/A,#N/A,FALSE,"15";#N/A,#N/A,FALSE,"16"}</definedName>
    <definedName name="yiyti" localSheetId="6" hidden="1">{#N/A,#N/A,FALSE,"3";#N/A,#N/A,FALSE,"5";#N/A,#N/A,FALSE,"6";#N/A,#N/A,FALSE,"8";#N/A,#N/A,FALSE,"10";#N/A,#N/A,FALSE,"13";#N/A,#N/A,FALSE,"14";#N/A,#N/A,FALSE,"15";#N/A,#N/A,FALSE,"16"}</definedName>
    <definedName name="yiyti" hidden="1">{#N/A,#N/A,FALSE,"3";#N/A,#N/A,FALSE,"5";#N/A,#N/A,FALSE,"6";#N/A,#N/A,FALSE,"8";#N/A,#N/A,FALSE,"10";#N/A,#N/A,FALSE,"13";#N/A,#N/A,FALSE,"14";#N/A,#N/A,FALSE,"15";#N/A,#N/A,FALSE,"16"}</definedName>
    <definedName name="ykhkhj" localSheetId="30" hidden="1">{#N/A,#N/A,FALSE,"3";#N/A,#N/A,FALSE,"5";#N/A,#N/A,FALSE,"6";#N/A,#N/A,FALSE,"8";#N/A,#N/A,FALSE,"10";#N/A,#N/A,FALSE,"13";#N/A,#N/A,FALSE,"14";#N/A,#N/A,FALSE,"15";#N/A,#N/A,FALSE,"16"}</definedName>
    <definedName name="ykhkhj" localSheetId="31" hidden="1">{#N/A,#N/A,FALSE,"3";#N/A,#N/A,FALSE,"5";#N/A,#N/A,FALSE,"6";#N/A,#N/A,FALSE,"8";#N/A,#N/A,FALSE,"10";#N/A,#N/A,FALSE,"13";#N/A,#N/A,FALSE,"14";#N/A,#N/A,FALSE,"15";#N/A,#N/A,FALSE,"16"}</definedName>
    <definedName name="ykhkhj" localSheetId="32" hidden="1">{#N/A,#N/A,FALSE,"3";#N/A,#N/A,FALSE,"5";#N/A,#N/A,FALSE,"6";#N/A,#N/A,FALSE,"8";#N/A,#N/A,FALSE,"10";#N/A,#N/A,FALSE,"13";#N/A,#N/A,FALSE,"14";#N/A,#N/A,FALSE,"15";#N/A,#N/A,FALSE,"16"}</definedName>
    <definedName name="ykhkhj" localSheetId="10" hidden="1">{#N/A,#N/A,FALSE,"3";#N/A,#N/A,FALSE,"5";#N/A,#N/A,FALSE,"6";#N/A,#N/A,FALSE,"8";#N/A,#N/A,FALSE,"10";#N/A,#N/A,FALSE,"13";#N/A,#N/A,FALSE,"14";#N/A,#N/A,FALSE,"15";#N/A,#N/A,FALSE,"16"}</definedName>
    <definedName name="ykhkhj" localSheetId="6" hidden="1">{#N/A,#N/A,FALSE,"3";#N/A,#N/A,FALSE,"5";#N/A,#N/A,FALSE,"6";#N/A,#N/A,FALSE,"8";#N/A,#N/A,FALSE,"10";#N/A,#N/A,FALSE,"13";#N/A,#N/A,FALSE,"14";#N/A,#N/A,FALSE,"15";#N/A,#N/A,FALSE,"16"}</definedName>
    <definedName name="ykhkhj" hidden="1">{#N/A,#N/A,FALSE,"3";#N/A,#N/A,FALSE,"5";#N/A,#N/A,FALSE,"6";#N/A,#N/A,FALSE,"8";#N/A,#N/A,FALSE,"10";#N/A,#N/A,FALSE,"13";#N/A,#N/A,FALSE,"14";#N/A,#N/A,FALSE,"15";#N/A,#N/A,FALSE,"16"}</definedName>
    <definedName name="ysx" localSheetId="6" hidden="1">#REF!</definedName>
    <definedName name="ysx" hidden="1">#REF!</definedName>
    <definedName name="ytd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ytiyi" localSheetId="30" hidden="1">{#N/A,#N/A,FALSE,"3";#N/A,#N/A,FALSE,"5";#N/A,#N/A,FALSE,"6";#N/A,#N/A,FALSE,"8";#N/A,#N/A,FALSE,"10";#N/A,#N/A,FALSE,"13";#N/A,#N/A,FALSE,"14";#N/A,#N/A,FALSE,"15";#N/A,#N/A,FALSE,"16"}</definedName>
    <definedName name="ytiyi" localSheetId="31" hidden="1">{#N/A,#N/A,FALSE,"3";#N/A,#N/A,FALSE,"5";#N/A,#N/A,FALSE,"6";#N/A,#N/A,FALSE,"8";#N/A,#N/A,FALSE,"10";#N/A,#N/A,FALSE,"13";#N/A,#N/A,FALSE,"14";#N/A,#N/A,FALSE,"15";#N/A,#N/A,FALSE,"16"}</definedName>
    <definedName name="ytiyi" localSheetId="32" hidden="1">{#N/A,#N/A,FALSE,"3";#N/A,#N/A,FALSE,"5";#N/A,#N/A,FALSE,"6";#N/A,#N/A,FALSE,"8";#N/A,#N/A,FALSE,"10";#N/A,#N/A,FALSE,"13";#N/A,#N/A,FALSE,"14";#N/A,#N/A,FALSE,"15";#N/A,#N/A,FALSE,"16"}</definedName>
    <definedName name="ytiyi" localSheetId="10" hidden="1">{#N/A,#N/A,FALSE,"3";#N/A,#N/A,FALSE,"5";#N/A,#N/A,FALSE,"6";#N/A,#N/A,FALSE,"8";#N/A,#N/A,FALSE,"10";#N/A,#N/A,FALSE,"13";#N/A,#N/A,FALSE,"14";#N/A,#N/A,FALSE,"15";#N/A,#N/A,FALSE,"16"}</definedName>
    <definedName name="ytiyi" localSheetId="6" hidden="1">{#N/A,#N/A,FALSE,"3";#N/A,#N/A,FALSE,"5";#N/A,#N/A,FALSE,"6";#N/A,#N/A,FALSE,"8";#N/A,#N/A,FALSE,"10";#N/A,#N/A,FALSE,"13";#N/A,#N/A,FALSE,"14";#N/A,#N/A,FALSE,"15";#N/A,#N/A,FALSE,"16"}</definedName>
    <definedName name="ytiyi" hidden="1">{#N/A,#N/A,FALSE,"3";#N/A,#N/A,FALSE,"5";#N/A,#N/A,FALSE,"6";#N/A,#N/A,FALSE,"8";#N/A,#N/A,FALSE,"10";#N/A,#N/A,FALSE,"13";#N/A,#N/A,FALSE,"14";#N/A,#N/A,FALSE,"15";#N/A,#N/A,FALSE,"16"}</definedName>
    <definedName name="yuoo" localSheetId="30" hidden="1">{#N/A,#N/A,FALSE,"3";#N/A,#N/A,FALSE,"5";#N/A,#N/A,FALSE,"6";#N/A,#N/A,FALSE,"8";#N/A,#N/A,FALSE,"10";#N/A,#N/A,FALSE,"13";#N/A,#N/A,FALSE,"14";#N/A,#N/A,FALSE,"15";#N/A,#N/A,FALSE,"16"}</definedName>
    <definedName name="yuoo" localSheetId="31" hidden="1">{#N/A,#N/A,FALSE,"3";#N/A,#N/A,FALSE,"5";#N/A,#N/A,FALSE,"6";#N/A,#N/A,FALSE,"8";#N/A,#N/A,FALSE,"10";#N/A,#N/A,FALSE,"13";#N/A,#N/A,FALSE,"14";#N/A,#N/A,FALSE,"15";#N/A,#N/A,FALSE,"16"}</definedName>
    <definedName name="yuoo" localSheetId="32" hidden="1">{#N/A,#N/A,FALSE,"3";#N/A,#N/A,FALSE,"5";#N/A,#N/A,FALSE,"6";#N/A,#N/A,FALSE,"8";#N/A,#N/A,FALSE,"10";#N/A,#N/A,FALSE,"13";#N/A,#N/A,FALSE,"14";#N/A,#N/A,FALSE,"15";#N/A,#N/A,FALSE,"16"}</definedName>
    <definedName name="yuoo" localSheetId="10" hidden="1">{#N/A,#N/A,FALSE,"3";#N/A,#N/A,FALSE,"5";#N/A,#N/A,FALSE,"6";#N/A,#N/A,FALSE,"8";#N/A,#N/A,FALSE,"10";#N/A,#N/A,FALSE,"13";#N/A,#N/A,FALSE,"14";#N/A,#N/A,FALSE,"15";#N/A,#N/A,FALSE,"16"}</definedName>
    <definedName name="yuoo" localSheetId="6" hidden="1">{#N/A,#N/A,FALSE,"3";#N/A,#N/A,FALSE,"5";#N/A,#N/A,FALSE,"6";#N/A,#N/A,FALSE,"8";#N/A,#N/A,FALSE,"10";#N/A,#N/A,FALSE,"13";#N/A,#N/A,FALSE,"14";#N/A,#N/A,FALSE,"15";#N/A,#N/A,FALSE,"16"}</definedName>
    <definedName name="yuoo" hidden="1">{#N/A,#N/A,FALSE,"3";#N/A,#N/A,FALSE,"5";#N/A,#N/A,FALSE,"6";#N/A,#N/A,FALSE,"8";#N/A,#N/A,FALSE,"10";#N/A,#N/A,FALSE,"13";#N/A,#N/A,FALSE,"14";#N/A,#N/A,FALSE,"15";#N/A,#N/A,FALSE,"16"}</definedName>
    <definedName name="Z" hidden="1">{"summary",#N/A,FALSE,"2000 vs 1999";"detail",#N/A,FALSE,"2000 vs 1999"}</definedName>
    <definedName name="Z_025F38FD_DBD3_48F0_90C7_FF127A9F4076_.wvu.Cols" hidden="1">#REF!</definedName>
    <definedName name="Z_025F38FD_DBD3_48F0_90C7_FF127A9F4076_.wvu.FilterData" hidden="1">#REF!</definedName>
    <definedName name="Z_025F38FD_DBD3_48F0_90C7_FF127A9F4076_.wvu.PrintArea" hidden="1">#REF!</definedName>
    <definedName name="Z_025F38FD_DBD3_48F0_90C7_FF127A9F4076_.wvu.Rows" hidden="1">#REF!,#REF!</definedName>
    <definedName name="Z_05F4FD85_78BF_4C07_8E5A_1B8AA1BAF4A4_.wvu.Cols" hidden="1">#REF!</definedName>
    <definedName name="Z_05F4FD85_78BF_4C07_8E5A_1B8AA1BAF4A4_.wvu.FilterData" localSheetId="6" hidden="1">#REF!</definedName>
    <definedName name="Z_05F4FD85_78BF_4C07_8E5A_1B8AA1BAF4A4_.wvu.FilterData" hidden="1">#REF!</definedName>
    <definedName name="Z_05F4FD85_78BF_4C07_8E5A_1B8AA1BAF4A4_.wvu.PrintArea" localSheetId="6" hidden="1">#REF!</definedName>
    <definedName name="Z_05F4FD85_78BF_4C07_8E5A_1B8AA1BAF4A4_.wvu.PrintArea" hidden="1">#REF!</definedName>
    <definedName name="Z_1567207B_D6F2_4A4F_A22F_762661042FAE_.wvu.PrintArea" localSheetId="6" hidden="1">#REF!</definedName>
    <definedName name="Z_1567207B_D6F2_4A4F_A22F_762661042FAE_.wvu.PrintArea" hidden="1">#REF!</definedName>
    <definedName name="Z_20CA9464_1EA5_4B7B_8734_F87A7690B6FA_.wvu.Cols" localSheetId="6" hidden="1">#REF!</definedName>
    <definedName name="Z_20CA9464_1EA5_4B7B_8734_F87A7690B6FA_.wvu.Cols" hidden="1">#REF!</definedName>
    <definedName name="Z_20CA9464_1EA5_4B7B_8734_F87A7690B6FA_.wvu.FilterData" localSheetId="6" hidden="1">#REF!</definedName>
    <definedName name="Z_20CA9464_1EA5_4B7B_8734_F87A7690B6FA_.wvu.FilterData" hidden="1">#REF!</definedName>
    <definedName name="Z_37CA1147_34BB_4C62_91EF_A453038298B1_.wvu.FilterData" localSheetId="6" hidden="1">#REF!</definedName>
    <definedName name="Z_37CA1147_34BB_4C62_91EF_A453038298B1_.wvu.FilterData" hidden="1">#REF!</definedName>
    <definedName name="Z_37CA1147_34BB_4C62_91EF_A453038298B1_.wvu.PrintArea" localSheetId="6" hidden="1">#REF!</definedName>
    <definedName name="Z_37CA1147_34BB_4C62_91EF_A453038298B1_.wvu.PrintArea" hidden="1">#REF!</definedName>
    <definedName name="Z_3CB6A799_791D_4466_B26C_1617CAD3E47F_.wvu.FilterData" hidden="1">#REF!</definedName>
    <definedName name="Z_3D53C85A_1670_43A3_85FD_D83DBC1A5DDD_.wvu.Rows" localSheetId="6" hidden="1">#REF!,#REF!,#REF!,#REF!,#REF!,#REF!,#REF!,#REF!,#REF!,#REF!,#REF!,#REF!,#REF!,#REF!,#REF!,#REF!,#REF!,#REF!,#REF!,#REF!,#REF!,#REF!,#REF!</definedName>
    <definedName name="Z_3D53C85A_1670_43A3_85FD_D83DBC1A5DDD_.wvu.Rows" hidden="1">#REF!,#REF!,#REF!,#REF!,#REF!,#REF!,#REF!,#REF!,#REF!,#REF!,#REF!,#REF!,#REF!,#REF!,#REF!,#REF!,#REF!,#REF!,#REF!,#REF!,#REF!,#REF!,#REF!</definedName>
    <definedName name="Z_46643836_6218_4612_A19A_A73A8D1FDDD8_.wvu.PrintArea" localSheetId="6" hidden="1">#REF!</definedName>
    <definedName name="Z_46643836_6218_4612_A19A_A73A8D1FDDD8_.wvu.PrintArea" hidden="1">#REF!</definedName>
    <definedName name="Z_46643836_6218_4612_A19A_A73A8D1FDDD8_.wvu.Rows" localSheetId="6" hidden="1">#REF!</definedName>
    <definedName name="Z_46643836_6218_4612_A19A_A73A8D1FDDD8_.wvu.Rows" hidden="1">#REF!</definedName>
    <definedName name="Z_48284223_12A7_4EE9_B0E4_B9A89AC74F33_.wvu.Cols" localSheetId="6" hidden="1">#REF!</definedName>
    <definedName name="Z_48284223_12A7_4EE9_B0E4_B9A89AC74F33_.wvu.Cols" hidden="1">#REF!</definedName>
    <definedName name="Z_48284223_12A7_4EE9_B0E4_B9A89AC74F33_.wvu.FilterData" localSheetId="6" hidden="1">#REF!</definedName>
    <definedName name="Z_48284223_12A7_4EE9_B0E4_B9A89AC74F33_.wvu.FilterData" hidden="1">#REF!</definedName>
    <definedName name="Z_48877919_4222_477F_B825_6B52F182C5EE_.wvu.Rows" localSheetId="6" hidden="1">#REF!</definedName>
    <definedName name="Z_48877919_4222_477F_B825_6B52F182C5EE_.wvu.Rows" hidden="1">#REF!</definedName>
    <definedName name="Z_5602346D_EE3A_4FAA_AADB_D23E8602D7F9_.wvu.Cols" localSheetId="6" hidden="1">#REF!,#REF!,#REF!,#REF!,#REF!,#REF!</definedName>
    <definedName name="Z_5602346D_EE3A_4FAA_AADB_D23E8602D7F9_.wvu.Cols" hidden="1">#REF!,#REF!,#REF!,#REF!,#REF!,#REF!</definedName>
    <definedName name="Z_5602346D_EE3A_4FAA_AADB_D23E8602D7F9_.wvu.Rows" localSheetId="6" hidden="1">#REF!</definedName>
    <definedName name="Z_5602346D_EE3A_4FAA_AADB_D23E8602D7F9_.wvu.Rows" hidden="1">#REF!</definedName>
    <definedName name="Z_56A4B98B_54F3_43B4_8BE0_1998C027F1B4_.wvu.Cols" localSheetId="6" hidden="1">#REF!</definedName>
    <definedName name="Z_56A4B98B_54F3_43B4_8BE0_1998C027F1B4_.wvu.Cols" hidden="1">#REF!</definedName>
    <definedName name="Z_56A4B98B_54F3_43B4_8BE0_1998C027F1B4_.wvu.FilterData" localSheetId="6" hidden="1">#REF!</definedName>
    <definedName name="Z_56A4B98B_54F3_43B4_8BE0_1998C027F1B4_.wvu.FilterData" hidden="1">#REF!</definedName>
    <definedName name="Z_642DA10D_64FA_4358_B0DC_5DBF203593E7_.wvu.Cols" localSheetId="6" hidden="1">#REF!,#REF!</definedName>
    <definedName name="Z_642DA10D_64FA_4358_B0DC_5DBF203593E7_.wvu.Cols" hidden="1">#REF!,#REF!</definedName>
    <definedName name="Z_642DA10D_64FA_4358_B0DC_5DBF203593E7_.wvu.FilterData" localSheetId="6" hidden="1">#REF!</definedName>
    <definedName name="Z_642DA10D_64FA_4358_B0DC_5DBF203593E7_.wvu.FilterData" hidden="1">#REF!</definedName>
    <definedName name="Z_68B903B0_E98E_46D9_B8AC_F40334AD3811_.wvu.FilterData" localSheetId="6" hidden="1">#REF!</definedName>
    <definedName name="Z_68B903B0_E98E_46D9_B8AC_F40334AD3811_.wvu.FilterData" hidden="1">#REF!</definedName>
    <definedName name="Z_72433B6B_52A5_44EF_B66A_CDF264F3CA3B_.wvu.Cols" localSheetId="1" hidden="1">#REF!</definedName>
    <definedName name="Z_72433B6B_52A5_44EF_B66A_CDF264F3CA3B_.wvu.Cols" localSheetId="6" hidden="1">#REF!</definedName>
    <definedName name="Z_72433B6B_52A5_44EF_B66A_CDF264F3CA3B_.wvu.Cols" hidden="1">#REF!</definedName>
    <definedName name="Z_72433B6B_52A5_44EF_B66A_CDF264F3CA3B_.wvu.PrintArea" localSheetId="1" hidden="1">#REF!</definedName>
    <definedName name="Z_72433B6B_52A5_44EF_B66A_CDF264F3CA3B_.wvu.PrintArea" localSheetId="6" hidden="1">#REF!</definedName>
    <definedName name="Z_72433B6B_52A5_44EF_B66A_CDF264F3CA3B_.wvu.PrintArea" hidden="1">#REF!</definedName>
    <definedName name="Z_72433B6B_52A5_44EF_B66A_CDF264F3CA3B_.wvu.PrintTitles" localSheetId="6" hidden="1">#REF!</definedName>
    <definedName name="Z_72433B6B_52A5_44EF_B66A_CDF264F3CA3B_.wvu.PrintTitles" hidden="1">#REF!</definedName>
    <definedName name="Z_746852D3_BFD6_47E8_9DA9_56CF052FA174_.wvu.Rows" localSheetId="6" hidden="1">#REF!</definedName>
    <definedName name="Z_746852D3_BFD6_47E8_9DA9_56CF052FA174_.wvu.Rows" hidden="1">#REF!</definedName>
    <definedName name="Z_7F5C00BE_B8A2_494E_9D68_FD543BCCC153_.wvu.FilterData" localSheetId="6" hidden="1">#REF!</definedName>
    <definedName name="Z_7F5C00BE_B8A2_494E_9D68_FD543BCCC153_.wvu.FilterData" hidden="1">#REF!</definedName>
    <definedName name="Z_7F5C00BE_B8A2_494E_9D68_FD543BCCC153_.wvu.PrintArea" localSheetId="6" hidden="1">#REF!</definedName>
    <definedName name="Z_7F5C00BE_B8A2_494E_9D68_FD543BCCC153_.wvu.PrintArea" hidden="1">#REF!</definedName>
    <definedName name="Z_8F8B8CEA_5C23_422C_B1AD_05181AEFA8F5_.wvu.Cols" localSheetId="6" hidden="1">#REF!</definedName>
    <definedName name="Z_8F8B8CEA_5C23_422C_B1AD_05181AEFA8F5_.wvu.Cols" hidden="1">#REF!</definedName>
    <definedName name="Z_8F8B8CEA_5C23_422C_B1AD_05181AEFA8F5_.wvu.FilterData" localSheetId="6" hidden="1">#REF!</definedName>
    <definedName name="Z_8F8B8CEA_5C23_422C_B1AD_05181AEFA8F5_.wvu.FilterData" hidden="1">#REF!</definedName>
    <definedName name="Z_8F8B8CEA_5C23_422C_B1AD_05181AEFA8F5_.wvu.PrintArea" localSheetId="6" hidden="1">#REF!</definedName>
    <definedName name="Z_8F8B8CEA_5C23_422C_B1AD_05181AEFA8F5_.wvu.PrintArea" hidden="1">#REF!</definedName>
    <definedName name="Z_94331F79_2978_4D9C_A34D_0B28D57636AC_.wvu.Cols" localSheetId="6" hidden="1">#REF!</definedName>
    <definedName name="Z_94331F79_2978_4D9C_A34D_0B28D57636AC_.wvu.Cols" hidden="1">#REF!</definedName>
    <definedName name="Z_94331F79_2978_4D9C_A34D_0B28D57636AC_.wvu.FilterData" localSheetId="6" hidden="1">#REF!</definedName>
    <definedName name="Z_94331F79_2978_4D9C_A34D_0B28D57636AC_.wvu.FilterData" hidden="1">#REF!</definedName>
    <definedName name="Z_B38843BF_DFDF_44FA_8E71_0A2E36B1AD6C_.wvu.Cols" localSheetId="6" hidden="1">#REF!</definedName>
    <definedName name="Z_B38843BF_DFDF_44FA_8E71_0A2E36B1AD6C_.wvu.Cols" hidden="1">#REF!</definedName>
    <definedName name="Z_B38843BF_DFDF_44FA_8E71_0A2E36B1AD6C_.wvu.PrintArea" localSheetId="6" hidden="1">#REF!</definedName>
    <definedName name="Z_B38843BF_DFDF_44FA_8E71_0A2E36B1AD6C_.wvu.PrintArea" hidden="1">#REF!</definedName>
    <definedName name="Z_B38843BF_DFDF_44FA_8E71_0A2E36B1AD6C_.wvu.Rows" localSheetId="6" hidden="1">#REF!</definedName>
    <definedName name="Z_B38843BF_DFDF_44FA_8E71_0A2E36B1AD6C_.wvu.Rows" hidden="1">#REF!</definedName>
    <definedName name="Z_B58DAAE9_7602_47B2_9962_D9B410AF60F9_.wvu.Cols" localSheetId="6" hidden="1">#REF!</definedName>
    <definedName name="Z_B58DAAE9_7602_47B2_9962_D9B410AF60F9_.wvu.Cols" hidden="1">#REF!</definedName>
    <definedName name="Z_B58DAAE9_7602_47B2_9962_D9B410AF60F9_.wvu.FilterData" localSheetId="6" hidden="1">#REF!</definedName>
    <definedName name="Z_B58DAAE9_7602_47B2_9962_D9B410AF60F9_.wvu.FilterData" hidden="1">#REF!</definedName>
    <definedName name="Z_C0B37B4C_3386_4542_9DCC_D004B914D214_.wvu.Cols" localSheetId="6" hidden="1">#REF!</definedName>
    <definedName name="Z_C0B37B4C_3386_4542_9DCC_D004B914D214_.wvu.Cols" hidden="1">#REF!</definedName>
    <definedName name="Z_C0B37B4C_3386_4542_9DCC_D004B914D214_.wvu.FilterData" localSheetId="6" hidden="1">#REF!</definedName>
    <definedName name="Z_C0B37B4C_3386_4542_9DCC_D004B914D214_.wvu.FilterData" hidden="1">#REF!</definedName>
    <definedName name="Z_C0B37B4C_3386_4542_9DCC_D004B914D214_.wvu.PrintArea" localSheetId="6" hidden="1">#REF!</definedName>
    <definedName name="Z_C0B37B4C_3386_4542_9DCC_D004B914D214_.wvu.PrintArea" hidden="1">#REF!</definedName>
    <definedName name="Z_DC41D810_DAD8_11D2_A4E1_00105AF280E4_.wvu.Cols" localSheetId="1" hidden="1">#REF!,#REF!,#REF!,#REF!,#REF!</definedName>
    <definedName name="Z_DC41D810_DAD8_11D2_A4E1_00105AF280E4_.wvu.Cols" localSheetId="6" hidden="1">#REF!,#REF!,#REF!,#REF!,#REF!</definedName>
    <definedName name="Z_DC41D810_DAD8_11D2_A4E1_00105AF280E4_.wvu.Cols" hidden="1">#REF!,#REF!,#REF!,#REF!,#REF!</definedName>
    <definedName name="Z_DC41D810_DAD8_11D2_A4E1_00105AF280E4_.wvu.PrintTitles" localSheetId="1" hidden="1">#REF!</definedName>
    <definedName name="Z_DC41D810_DAD8_11D2_A4E1_00105AF280E4_.wvu.PrintTitles" localSheetId="6" hidden="1">#REF!</definedName>
    <definedName name="Z_DC41D810_DAD8_11D2_A4E1_00105AF280E4_.wvu.PrintTitles" hidden="1">#REF!</definedName>
    <definedName name="Z_DE54EB4E_7288_4CBC_B1F8_54C2468A83E6_.wvu.Cols" localSheetId="1" hidden="1">#REF!,#REF!</definedName>
    <definedName name="Z_DE54EB4E_7288_4CBC_B1F8_54C2468A83E6_.wvu.Cols" localSheetId="6" hidden="1">#REF!,#REF!</definedName>
    <definedName name="Z_DE54EB4E_7288_4CBC_B1F8_54C2468A83E6_.wvu.Cols" hidden="1">#REF!,#REF!</definedName>
    <definedName name="Z_DE54EB4E_7288_4CBC_B1F8_54C2468A83E6_.wvu.PrintArea" localSheetId="1" hidden="1">#REF!</definedName>
    <definedName name="Z_DE54EB4E_7288_4CBC_B1F8_54C2468A83E6_.wvu.PrintArea" localSheetId="6" hidden="1">#REF!</definedName>
    <definedName name="Z_DE54EB4E_7288_4CBC_B1F8_54C2468A83E6_.wvu.PrintArea" hidden="1">#REF!</definedName>
    <definedName name="Z_DE54EB4E_7288_4CBC_B1F8_54C2468A83E6_.wvu.Rows" localSheetId="1" hidden="1">#REF!,#REF!,#REF!,#REF!</definedName>
    <definedName name="Z_DE54EB4E_7288_4CBC_B1F8_54C2468A83E6_.wvu.Rows" localSheetId="6" hidden="1">#REF!,#REF!,#REF!,#REF!</definedName>
    <definedName name="Z_DE54EB4E_7288_4CBC_B1F8_54C2468A83E6_.wvu.Rows" hidden="1">#REF!,#REF!,#REF!,#REF!</definedName>
    <definedName name="Z_EE726717_6F86_4902_92A9_5FC10CA897E6_.wvu.Cols" hidden="1">#N/A</definedName>
    <definedName name="Z_EE726717_6F86_4902_92A9_5FC10CA897E6_.wvu.FilterData" hidden="1">#N/A</definedName>
    <definedName name="Z_EE726717_6F86_4902_92A9_5FC10CA897E6_.wvu.PrintArea" hidden="1">#N/A</definedName>
    <definedName name="Z_FCD948B3_B82B_4963_9638_A0A3297E3ACD_.wvu.Cols" localSheetId="6" hidden="1">#REF!</definedName>
    <definedName name="Z_FCD948B3_B82B_4963_9638_A0A3297E3ACD_.wvu.Cols" hidden="1">#REF!</definedName>
    <definedName name="Z_FCD948B3_B82B_4963_9638_A0A3297E3ACD_.wvu.FilterData" localSheetId="6" hidden="1">#REF!</definedName>
    <definedName name="Z_FCD948B3_B82B_4963_9638_A0A3297E3ACD_.wvu.FilterData" hidden="1">#REF!</definedName>
    <definedName name="Z_FCD948B3_B82B_4963_9638_A0A3297E3ACD_.wvu.PrintArea" localSheetId="6" hidden="1">#REF!</definedName>
    <definedName name="Z_FCD948B3_B82B_4963_9638_A0A3297E3ACD_.wvu.PrintArea" hidden="1">#REF!</definedName>
    <definedName name="zaed" localSheetId="30" hidden="1">{#N/A,#N/A,FALSE,"Ventilation";#N/A,#N/A,FALSE,"Courbe1";#N/A,#N/A,FALSE,"Courbe2"}</definedName>
    <definedName name="zaed" localSheetId="31" hidden="1">{#N/A,#N/A,FALSE,"Ventilation";#N/A,#N/A,FALSE,"Courbe1";#N/A,#N/A,FALSE,"Courbe2"}</definedName>
    <definedName name="zaed" localSheetId="32" hidden="1">{#N/A,#N/A,FALSE,"Ventilation";#N/A,#N/A,FALSE,"Courbe1";#N/A,#N/A,FALSE,"Courbe2"}</definedName>
    <definedName name="zaed" localSheetId="10" hidden="1">{#N/A,#N/A,FALSE,"Ventilation";#N/A,#N/A,FALSE,"Courbe1";#N/A,#N/A,FALSE,"Courbe2"}</definedName>
    <definedName name="zaed" localSheetId="6" hidden="1">{#N/A,#N/A,FALSE,"Ventilation";#N/A,#N/A,FALSE,"Courbe1";#N/A,#N/A,FALSE,"Courbe2"}</definedName>
    <definedName name="zaed" hidden="1">{#N/A,#N/A,FALSE,"Ventilation";#N/A,#N/A,FALSE,"Courbe1";#N/A,#N/A,FALSE,"Courbe2"}</definedName>
    <definedName name="ZS" hidden="1">{"summary",#N/A,FALSE,"2000 vs 1999";"detail",#N/A,FALSE,"2000 vs 1999"}</definedName>
    <definedName name="ZUT" localSheetId="30" hidden="1">{#N/A,#N/A,FALSE,"COMICRO";#N/A,#N/A,FALSE,"BALSCH";#N/A,#N/A,FALSE,"GLASS";#N/A,#N/A,FALSE,"DEPRE";#N/A,#N/A,FALSE,"A&amp;MCUR";#N/A,#N/A,FALSE,"AGEANAlysis";#N/A,#N/A,FALSE,"CHECKS";#N/A,#N/A,FALSE,"CHECKS"}</definedName>
    <definedName name="ZUT" localSheetId="31" hidden="1">{#N/A,#N/A,FALSE,"COMICRO";#N/A,#N/A,FALSE,"BALSCH";#N/A,#N/A,FALSE,"GLASS";#N/A,#N/A,FALSE,"DEPRE";#N/A,#N/A,FALSE,"A&amp;MCUR";#N/A,#N/A,FALSE,"AGEANAlysis";#N/A,#N/A,FALSE,"CHECKS";#N/A,#N/A,FALSE,"CHECKS"}</definedName>
    <definedName name="ZUT" localSheetId="32" hidden="1">{#N/A,#N/A,FALSE,"COMICRO";#N/A,#N/A,FALSE,"BALSCH";#N/A,#N/A,FALSE,"GLASS";#N/A,#N/A,FALSE,"DEPRE";#N/A,#N/A,FALSE,"A&amp;MCUR";#N/A,#N/A,FALSE,"AGEANAlysis";#N/A,#N/A,FALSE,"CHECKS";#N/A,#N/A,FALSE,"CHECKS"}</definedName>
    <definedName name="ZUT" localSheetId="10" hidden="1">{#N/A,#N/A,FALSE,"COMICRO";#N/A,#N/A,FALSE,"BALSCH";#N/A,#N/A,FALSE,"GLASS";#N/A,#N/A,FALSE,"DEPRE";#N/A,#N/A,FALSE,"A&amp;MCUR";#N/A,#N/A,FALSE,"AGEANAlysis";#N/A,#N/A,FALSE,"CHECKS";#N/A,#N/A,FALSE,"CHECKS"}</definedName>
    <definedName name="ZUT" localSheetId="1" hidden="1">{#N/A,#N/A,FALSE,"COMICRO";#N/A,#N/A,FALSE,"BALSCH";#N/A,#N/A,FALSE,"GLASS";#N/A,#N/A,FALSE,"DEPRE";#N/A,#N/A,FALSE,"A&amp;MCUR";#N/A,#N/A,FALSE,"AGEANAlysis";#N/A,#N/A,FALSE,"CHECKS";#N/A,#N/A,FALSE,"CHECKS"}</definedName>
    <definedName name="ZUT" localSheetId="6" hidden="1">{#N/A,#N/A,FALSE,"COMICRO";#N/A,#N/A,FALSE,"BALSCH";#N/A,#N/A,FALSE,"GLASS";#N/A,#N/A,FALSE,"DEPRE";#N/A,#N/A,FALSE,"A&amp;MCUR";#N/A,#N/A,FALSE,"AGEANAlysis";#N/A,#N/A,FALSE,"CHECKS";#N/A,#N/A,FALSE,"CHECKS"}</definedName>
    <definedName name="ZUT" hidden="1">{#N/A,#N/A,FALSE,"COMICRO";#N/A,#N/A,FALSE,"BALSCH";#N/A,#N/A,FALSE,"GLASS";#N/A,#N/A,FALSE,"DEPRE";#N/A,#N/A,FALSE,"A&amp;MCUR";#N/A,#N/A,FALSE,"AGEANAlysis";#N/A,#N/A,FALSE,"CHECKS";#N/A,#N/A,FALSE,"CHECKS"}</definedName>
    <definedName name="zxz" localSheetId="30"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zxz" localSheetId="31"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zxz" localSheetId="32"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zxz" localSheetId="10"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zxz"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zz" localSheetId="30" hidden="1">{#N/A,#N/A,FALSE,"3";#N/A,#N/A,FALSE,"5";#N/A,#N/A,FALSE,"6";#N/A,#N/A,FALSE,"8";#N/A,#N/A,FALSE,"10";#N/A,#N/A,FALSE,"13";#N/A,#N/A,FALSE,"14";#N/A,#N/A,FALSE,"15";#N/A,#N/A,FALSE,"16"}</definedName>
    <definedName name="zz" localSheetId="31" hidden="1">{#N/A,#N/A,FALSE,"3";#N/A,#N/A,FALSE,"5";#N/A,#N/A,FALSE,"6";#N/A,#N/A,FALSE,"8";#N/A,#N/A,FALSE,"10";#N/A,#N/A,FALSE,"13";#N/A,#N/A,FALSE,"14";#N/A,#N/A,FALSE,"15";#N/A,#N/A,FALSE,"16"}</definedName>
    <definedName name="zz" localSheetId="32" hidden="1">{#N/A,#N/A,FALSE,"3";#N/A,#N/A,FALSE,"5";#N/A,#N/A,FALSE,"6";#N/A,#N/A,FALSE,"8";#N/A,#N/A,FALSE,"10";#N/A,#N/A,FALSE,"13";#N/A,#N/A,FALSE,"14";#N/A,#N/A,FALSE,"15";#N/A,#N/A,FALSE,"16"}</definedName>
    <definedName name="zz" localSheetId="10" hidden="1">{#N/A,#N/A,FALSE,"3";#N/A,#N/A,FALSE,"5";#N/A,#N/A,FALSE,"6";#N/A,#N/A,FALSE,"8";#N/A,#N/A,FALSE,"10";#N/A,#N/A,FALSE,"13";#N/A,#N/A,FALSE,"14";#N/A,#N/A,FALSE,"15";#N/A,#N/A,FALSE,"16"}</definedName>
    <definedName name="zz" localSheetId="6" hidden="1">{#N/A,#N/A,FALSE,"3";#N/A,#N/A,FALSE,"5";#N/A,#N/A,FALSE,"6";#N/A,#N/A,FALSE,"8";#N/A,#N/A,FALSE,"10";#N/A,#N/A,FALSE,"13";#N/A,#N/A,FALSE,"14";#N/A,#N/A,FALSE,"15";#N/A,#N/A,FALSE,"16"}</definedName>
    <definedName name="zz" hidden="1">{#N/A,#N/A,FALSE,"3";#N/A,#N/A,FALSE,"5";#N/A,#N/A,FALSE,"6";#N/A,#N/A,FALSE,"8";#N/A,#N/A,FALSE,"10";#N/A,#N/A,FALSE,"13";#N/A,#N/A,FALSE,"14";#N/A,#N/A,FALSE,"15";#N/A,#N/A,FALSE,"16"}</definedName>
    <definedName name="zzz.." localSheetId="30" hidden="1">{#N/A,#N/A,TRUE,"GEM Total";#N/A,#N/A,TRUE,"Final Assembly";#N/A,#N/A,TRUE,"Cleaning";#N/A,#N/A,TRUE,"Schooping,Clearing";#N/A,#N/A,TRUE,"Winding"}</definedName>
    <definedName name="zzz.." localSheetId="31" hidden="1">{#N/A,#N/A,TRUE,"GEM Total";#N/A,#N/A,TRUE,"Final Assembly";#N/A,#N/A,TRUE,"Cleaning";#N/A,#N/A,TRUE,"Schooping,Clearing";#N/A,#N/A,TRUE,"Winding"}</definedName>
    <definedName name="zzz.." localSheetId="32" hidden="1">{#N/A,#N/A,TRUE,"GEM Total";#N/A,#N/A,TRUE,"Final Assembly";#N/A,#N/A,TRUE,"Cleaning";#N/A,#N/A,TRUE,"Schooping,Clearing";#N/A,#N/A,TRUE,"Winding"}</definedName>
    <definedName name="zzz.." localSheetId="10" hidden="1">{#N/A,#N/A,TRUE,"GEM Total";#N/A,#N/A,TRUE,"Final Assembly";#N/A,#N/A,TRUE,"Cleaning";#N/A,#N/A,TRUE,"Schooping,Clearing";#N/A,#N/A,TRUE,"Winding"}</definedName>
    <definedName name="zzz.." localSheetId="6" hidden="1">{#N/A,#N/A,TRUE,"GEM Total";#N/A,#N/A,TRUE,"Final Assembly";#N/A,#N/A,TRUE,"Cleaning";#N/A,#N/A,TRUE,"Schooping,Clearing";#N/A,#N/A,TRUE,"Winding"}</definedName>
    <definedName name="zzz.." hidden="1">{#N/A,#N/A,TRUE,"GEM Total";#N/A,#N/A,TRUE,"Final Assembly";#N/A,#N/A,TRUE,"Cleaning";#N/A,#N/A,TRUE,"Schooping,Clearing";#N/A,#N/A,TRUE,"Winding"}</definedName>
    <definedName name="zzzz" localSheetId="30" hidden="1">{#N/A,#N/A,FALSE,"3";#N/A,#N/A,FALSE,"5";#N/A,#N/A,FALSE,"6";#N/A,#N/A,FALSE,"8";#N/A,#N/A,FALSE,"10";#N/A,#N/A,FALSE,"13";#N/A,#N/A,FALSE,"14";#N/A,#N/A,FALSE,"15";#N/A,#N/A,FALSE,"16"}</definedName>
    <definedName name="zzzz" localSheetId="31" hidden="1">{#N/A,#N/A,FALSE,"3";#N/A,#N/A,FALSE,"5";#N/A,#N/A,FALSE,"6";#N/A,#N/A,FALSE,"8";#N/A,#N/A,FALSE,"10";#N/A,#N/A,FALSE,"13";#N/A,#N/A,FALSE,"14";#N/A,#N/A,FALSE,"15";#N/A,#N/A,FALSE,"16"}</definedName>
    <definedName name="zzzz" localSheetId="32" hidden="1">{#N/A,#N/A,FALSE,"3";#N/A,#N/A,FALSE,"5";#N/A,#N/A,FALSE,"6";#N/A,#N/A,FALSE,"8";#N/A,#N/A,FALSE,"10";#N/A,#N/A,FALSE,"13";#N/A,#N/A,FALSE,"14";#N/A,#N/A,FALSE,"15";#N/A,#N/A,FALSE,"16"}</definedName>
    <definedName name="zzzz" localSheetId="10" hidden="1">{#N/A,#N/A,FALSE,"3";#N/A,#N/A,FALSE,"5";#N/A,#N/A,FALSE,"6";#N/A,#N/A,FALSE,"8";#N/A,#N/A,FALSE,"10";#N/A,#N/A,FALSE,"13";#N/A,#N/A,FALSE,"14";#N/A,#N/A,FALSE,"15";#N/A,#N/A,FALSE,"16"}</definedName>
    <definedName name="zzzz" localSheetId="6" hidden="1">{#N/A,#N/A,FALSE,"3";#N/A,#N/A,FALSE,"5";#N/A,#N/A,FALSE,"6";#N/A,#N/A,FALSE,"8";#N/A,#N/A,FALSE,"10";#N/A,#N/A,FALSE,"13";#N/A,#N/A,FALSE,"14";#N/A,#N/A,FALSE,"15";#N/A,#N/A,FALSE,"16"}</definedName>
    <definedName name="zzzz" hidden="1">{#N/A,#N/A,FALSE,"3";#N/A,#N/A,FALSE,"5";#N/A,#N/A,FALSE,"6";#N/A,#N/A,FALSE,"8";#N/A,#N/A,FALSE,"10";#N/A,#N/A,FALSE,"13";#N/A,#N/A,FALSE,"14";#N/A,#N/A,FALSE,"15";#N/A,#N/A,FALSE,"16"}</definedName>
    <definedName name="개발시험종합" localSheetId="1" hidden="1">#REF!</definedName>
    <definedName name="개발시험종합" localSheetId="6" hidden="1">#REF!</definedName>
    <definedName name="개발시험종합" hidden="1">#REF!</definedName>
    <definedName name="보고" localSheetId="30" hidden="1">{#N/A,#N/A,FALSE,"단축1";#N/A,#N/A,FALSE,"단축2";#N/A,#N/A,FALSE,"단축3";#N/A,#N/A,FALSE,"장축";#N/A,#N/A,FALSE,"4WD"}</definedName>
    <definedName name="보고" localSheetId="31" hidden="1">{#N/A,#N/A,FALSE,"단축1";#N/A,#N/A,FALSE,"단축2";#N/A,#N/A,FALSE,"단축3";#N/A,#N/A,FALSE,"장축";#N/A,#N/A,FALSE,"4WD"}</definedName>
    <definedName name="보고" localSheetId="32" hidden="1">{#N/A,#N/A,FALSE,"단축1";#N/A,#N/A,FALSE,"단축2";#N/A,#N/A,FALSE,"단축3";#N/A,#N/A,FALSE,"장축";#N/A,#N/A,FALSE,"4WD"}</definedName>
    <definedName name="보고" localSheetId="10" hidden="1">{#N/A,#N/A,FALSE,"단축1";#N/A,#N/A,FALSE,"단축2";#N/A,#N/A,FALSE,"단축3";#N/A,#N/A,FALSE,"장축";#N/A,#N/A,FALSE,"4WD"}</definedName>
    <definedName name="보고" localSheetId="1" hidden="1">{#N/A,#N/A,FALSE,"단축1";#N/A,#N/A,FALSE,"단축2";#N/A,#N/A,FALSE,"단축3";#N/A,#N/A,FALSE,"장축";#N/A,#N/A,FALSE,"4WD"}</definedName>
    <definedName name="보고" localSheetId="6" hidden="1">{#N/A,#N/A,FALSE,"단축1";#N/A,#N/A,FALSE,"단축2";#N/A,#N/A,FALSE,"단축3";#N/A,#N/A,FALSE,"장축";#N/A,#N/A,FALSE,"4WD"}</definedName>
    <definedName name="보고" hidden="1">{#N/A,#N/A,FALSE,"단축1";#N/A,#N/A,FALSE,"단축2";#N/A,#N/A,FALSE,"단축3";#N/A,#N/A,FALSE,"장축";#N/A,#N/A,FALSE,"4WD"}</definedName>
    <definedName name="셀리카" localSheetId="1" hidden="1">#REF!</definedName>
    <definedName name="셀리카" localSheetId="6" hidden="1">#REF!</definedName>
    <definedName name="셀리카" hidden="1">#REF!</definedName>
    <definedName name="수정현금흐름표" localSheetId="30" hidden="1">{#N/A,#N/A,TRUE,"Summary";#N/A,#N/A,TRUE,"IS";#N/A,#N/A,TRUE,"Adj";#N/A,#N/A,TRUE,"BS";#N/A,#N/A,TRUE,"CF";#N/A,#N/A,TRUE,"Debt";#N/A,#N/A,TRUE,"IRR"}</definedName>
    <definedName name="수정현금흐름표" localSheetId="31" hidden="1">{#N/A,#N/A,TRUE,"Summary";#N/A,#N/A,TRUE,"IS";#N/A,#N/A,TRUE,"Adj";#N/A,#N/A,TRUE,"BS";#N/A,#N/A,TRUE,"CF";#N/A,#N/A,TRUE,"Debt";#N/A,#N/A,TRUE,"IRR"}</definedName>
    <definedName name="수정현금흐름표" localSheetId="32" hidden="1">{#N/A,#N/A,TRUE,"Summary";#N/A,#N/A,TRUE,"IS";#N/A,#N/A,TRUE,"Adj";#N/A,#N/A,TRUE,"BS";#N/A,#N/A,TRUE,"CF";#N/A,#N/A,TRUE,"Debt";#N/A,#N/A,TRUE,"IRR"}</definedName>
    <definedName name="수정현금흐름표" localSheetId="10" hidden="1">{#N/A,#N/A,TRUE,"Summary";#N/A,#N/A,TRUE,"IS";#N/A,#N/A,TRUE,"Adj";#N/A,#N/A,TRUE,"BS";#N/A,#N/A,TRUE,"CF";#N/A,#N/A,TRUE,"Debt";#N/A,#N/A,TRUE,"IRR"}</definedName>
    <definedName name="수정현금흐름표" localSheetId="1" hidden="1">{#N/A,#N/A,TRUE,"Summary";#N/A,#N/A,TRUE,"IS";#N/A,#N/A,TRUE,"Adj";#N/A,#N/A,TRUE,"BS";#N/A,#N/A,TRUE,"CF";#N/A,#N/A,TRUE,"Debt";#N/A,#N/A,TRUE,"IRR"}</definedName>
    <definedName name="수정현금흐름표" localSheetId="6" hidden="1">{#N/A,#N/A,TRUE,"Summary";#N/A,#N/A,TRUE,"IS";#N/A,#N/A,TRUE,"Adj";#N/A,#N/A,TRUE,"BS";#N/A,#N/A,TRUE,"CF";#N/A,#N/A,TRUE,"Debt";#N/A,#N/A,TRUE,"IRR"}</definedName>
    <definedName name="수정현금흐름표" hidden="1">{#N/A,#N/A,TRUE,"Summary";#N/A,#N/A,TRUE,"IS";#N/A,#N/A,TRUE,"Adj";#N/A,#N/A,TRUE,"BS";#N/A,#N/A,TRUE,"CF";#N/A,#N/A,TRUE,"Debt";#N/A,#N/A,TRUE,"IRR"}</definedName>
    <definedName name="업체방문" localSheetId="30" hidden="1">{#N/A,#N/A,FALSE,"단축1";#N/A,#N/A,FALSE,"단축2";#N/A,#N/A,FALSE,"단축3";#N/A,#N/A,FALSE,"장축";#N/A,#N/A,FALSE,"4WD"}</definedName>
    <definedName name="업체방문" localSheetId="31" hidden="1">{#N/A,#N/A,FALSE,"단축1";#N/A,#N/A,FALSE,"단축2";#N/A,#N/A,FALSE,"단축3";#N/A,#N/A,FALSE,"장축";#N/A,#N/A,FALSE,"4WD"}</definedName>
    <definedName name="업체방문" localSheetId="32" hidden="1">{#N/A,#N/A,FALSE,"단축1";#N/A,#N/A,FALSE,"단축2";#N/A,#N/A,FALSE,"단축3";#N/A,#N/A,FALSE,"장축";#N/A,#N/A,FALSE,"4WD"}</definedName>
    <definedName name="업체방문" localSheetId="10" hidden="1">{#N/A,#N/A,FALSE,"단축1";#N/A,#N/A,FALSE,"단축2";#N/A,#N/A,FALSE,"단축3";#N/A,#N/A,FALSE,"장축";#N/A,#N/A,FALSE,"4WD"}</definedName>
    <definedName name="업체방문" localSheetId="1" hidden="1">{#N/A,#N/A,FALSE,"단축1";#N/A,#N/A,FALSE,"단축2";#N/A,#N/A,FALSE,"단축3";#N/A,#N/A,FALSE,"장축";#N/A,#N/A,FALSE,"4WD"}</definedName>
    <definedName name="업체방문" localSheetId="6" hidden="1">{#N/A,#N/A,FALSE,"단축1";#N/A,#N/A,FALSE,"단축2";#N/A,#N/A,FALSE,"단축3";#N/A,#N/A,FALSE,"장축";#N/A,#N/A,FALSE,"4WD"}</definedName>
    <definedName name="업체방문" hidden="1">{#N/A,#N/A,FALSE,"단축1";#N/A,#N/A,FALSE,"단축2";#N/A,#N/A,FALSE,"단축3";#N/A,#N/A,FALSE,"장축";#N/A,#N/A,FALSE,"4WD"}</definedName>
    <definedName name="이란" localSheetId="30" hidden="1">{#N/A,#N/A,FALSE,"단축1";#N/A,#N/A,FALSE,"단축2";#N/A,#N/A,FALSE,"단축3";#N/A,#N/A,FALSE,"장축";#N/A,#N/A,FALSE,"4WD"}</definedName>
    <definedName name="이란" localSheetId="31" hidden="1">{#N/A,#N/A,FALSE,"단축1";#N/A,#N/A,FALSE,"단축2";#N/A,#N/A,FALSE,"단축3";#N/A,#N/A,FALSE,"장축";#N/A,#N/A,FALSE,"4WD"}</definedName>
    <definedName name="이란" localSheetId="32" hidden="1">{#N/A,#N/A,FALSE,"단축1";#N/A,#N/A,FALSE,"단축2";#N/A,#N/A,FALSE,"단축3";#N/A,#N/A,FALSE,"장축";#N/A,#N/A,FALSE,"4WD"}</definedName>
    <definedName name="이란" localSheetId="10" hidden="1">{#N/A,#N/A,FALSE,"단축1";#N/A,#N/A,FALSE,"단축2";#N/A,#N/A,FALSE,"단축3";#N/A,#N/A,FALSE,"장축";#N/A,#N/A,FALSE,"4WD"}</definedName>
    <definedName name="이란" localSheetId="1" hidden="1">{#N/A,#N/A,FALSE,"단축1";#N/A,#N/A,FALSE,"단축2";#N/A,#N/A,FALSE,"단축3";#N/A,#N/A,FALSE,"장축";#N/A,#N/A,FALSE,"4WD"}</definedName>
    <definedName name="이란" localSheetId="6" hidden="1">{#N/A,#N/A,FALSE,"단축1";#N/A,#N/A,FALSE,"단축2";#N/A,#N/A,FALSE,"단축3";#N/A,#N/A,FALSE,"장축";#N/A,#N/A,FALSE,"4WD"}</definedName>
    <definedName name="이란" hidden="1">{#N/A,#N/A,FALSE,"단축1";#N/A,#N/A,FALSE,"단축2";#N/A,#N/A,FALSE,"단축3";#N/A,#N/A,FALSE,"장축";#N/A,#N/A,FALSE,"4WD"}</definedName>
    <definedName name="ㅈㅈㅈ" localSheetId="30" hidden="1">{#N/A,#N/A,FALSE,"단축1";#N/A,#N/A,FALSE,"단축2";#N/A,#N/A,FALSE,"단축3";#N/A,#N/A,FALSE,"장축";#N/A,#N/A,FALSE,"4WD"}</definedName>
    <definedName name="ㅈㅈㅈ" localSheetId="31" hidden="1">{#N/A,#N/A,FALSE,"단축1";#N/A,#N/A,FALSE,"단축2";#N/A,#N/A,FALSE,"단축3";#N/A,#N/A,FALSE,"장축";#N/A,#N/A,FALSE,"4WD"}</definedName>
    <definedName name="ㅈㅈㅈ" localSheetId="32" hidden="1">{#N/A,#N/A,FALSE,"단축1";#N/A,#N/A,FALSE,"단축2";#N/A,#N/A,FALSE,"단축3";#N/A,#N/A,FALSE,"장축";#N/A,#N/A,FALSE,"4WD"}</definedName>
    <definedName name="ㅈㅈㅈ" localSheetId="10" hidden="1">{#N/A,#N/A,FALSE,"단축1";#N/A,#N/A,FALSE,"단축2";#N/A,#N/A,FALSE,"단축3";#N/A,#N/A,FALSE,"장축";#N/A,#N/A,FALSE,"4WD"}</definedName>
    <definedName name="ㅈㅈㅈ" localSheetId="1" hidden="1">{#N/A,#N/A,FALSE,"단축1";#N/A,#N/A,FALSE,"단축2";#N/A,#N/A,FALSE,"단축3";#N/A,#N/A,FALSE,"장축";#N/A,#N/A,FALSE,"4WD"}</definedName>
    <definedName name="ㅈㅈㅈ" localSheetId="6" hidden="1">{#N/A,#N/A,FALSE,"단축1";#N/A,#N/A,FALSE,"단축2";#N/A,#N/A,FALSE,"단축3";#N/A,#N/A,FALSE,"장축";#N/A,#N/A,FALSE,"4WD"}</definedName>
    <definedName name="ㅈㅈㅈ" hidden="1">{#N/A,#N/A,FALSE,"단축1";#N/A,#N/A,FALSE,"단축2";#N/A,#N/A,FALSE,"단축3";#N/A,#N/A,FALSE,"장축";#N/A,#N/A,FALSE,"4WD"}</definedName>
    <definedName name="진출의사보유" localSheetId="30" hidden="1">{#N/A,#N/A,FALSE,"단축1";#N/A,#N/A,FALSE,"단축2";#N/A,#N/A,FALSE,"단축3";#N/A,#N/A,FALSE,"장축";#N/A,#N/A,FALSE,"4WD"}</definedName>
    <definedName name="진출의사보유" localSheetId="31" hidden="1">{#N/A,#N/A,FALSE,"단축1";#N/A,#N/A,FALSE,"단축2";#N/A,#N/A,FALSE,"단축3";#N/A,#N/A,FALSE,"장축";#N/A,#N/A,FALSE,"4WD"}</definedName>
    <definedName name="진출의사보유" localSheetId="32" hidden="1">{#N/A,#N/A,FALSE,"단축1";#N/A,#N/A,FALSE,"단축2";#N/A,#N/A,FALSE,"단축3";#N/A,#N/A,FALSE,"장축";#N/A,#N/A,FALSE,"4WD"}</definedName>
    <definedName name="진출의사보유" localSheetId="10" hidden="1">{#N/A,#N/A,FALSE,"단축1";#N/A,#N/A,FALSE,"단축2";#N/A,#N/A,FALSE,"단축3";#N/A,#N/A,FALSE,"장축";#N/A,#N/A,FALSE,"4WD"}</definedName>
    <definedName name="진출의사보유" localSheetId="1" hidden="1">{#N/A,#N/A,FALSE,"단축1";#N/A,#N/A,FALSE,"단축2";#N/A,#N/A,FALSE,"단축3";#N/A,#N/A,FALSE,"장축";#N/A,#N/A,FALSE,"4WD"}</definedName>
    <definedName name="진출의사보유" localSheetId="6" hidden="1">{#N/A,#N/A,FALSE,"단축1";#N/A,#N/A,FALSE,"단축2";#N/A,#N/A,FALSE,"단축3";#N/A,#N/A,FALSE,"장축";#N/A,#N/A,FALSE,"4WD"}</definedName>
    <definedName name="진출의사보유" hidden="1">{#N/A,#N/A,FALSE,"단축1";#N/A,#N/A,FALSE,"단축2";#N/A,#N/A,FALSE,"단축3";#N/A,#N/A,FALSE,"장축";#N/A,#N/A,FALSE,"4WD"}</definedName>
    <definedName name="첨" localSheetId="30" hidden="1">{#N/A,#N/A,FALSE,"단축1";#N/A,#N/A,FALSE,"단축2";#N/A,#N/A,FALSE,"단축3";#N/A,#N/A,FALSE,"장축";#N/A,#N/A,FALSE,"4WD"}</definedName>
    <definedName name="첨" localSheetId="31" hidden="1">{#N/A,#N/A,FALSE,"단축1";#N/A,#N/A,FALSE,"단축2";#N/A,#N/A,FALSE,"단축3";#N/A,#N/A,FALSE,"장축";#N/A,#N/A,FALSE,"4WD"}</definedName>
    <definedName name="첨" localSheetId="32" hidden="1">{#N/A,#N/A,FALSE,"단축1";#N/A,#N/A,FALSE,"단축2";#N/A,#N/A,FALSE,"단축3";#N/A,#N/A,FALSE,"장축";#N/A,#N/A,FALSE,"4WD"}</definedName>
    <definedName name="첨" localSheetId="10" hidden="1">{#N/A,#N/A,FALSE,"단축1";#N/A,#N/A,FALSE,"단축2";#N/A,#N/A,FALSE,"단축3";#N/A,#N/A,FALSE,"장축";#N/A,#N/A,FALSE,"4WD"}</definedName>
    <definedName name="첨" localSheetId="1" hidden="1">{#N/A,#N/A,FALSE,"단축1";#N/A,#N/A,FALSE,"단축2";#N/A,#N/A,FALSE,"단축3";#N/A,#N/A,FALSE,"장축";#N/A,#N/A,FALSE,"4WD"}</definedName>
    <definedName name="첨" localSheetId="6" hidden="1">{#N/A,#N/A,FALSE,"단축1";#N/A,#N/A,FALSE,"단축2";#N/A,#N/A,FALSE,"단축3";#N/A,#N/A,FALSE,"장축";#N/A,#N/A,FALSE,"4WD"}</definedName>
    <definedName name="첨" hidden="1">{#N/A,#N/A,FALSE,"단축1";#N/A,#N/A,FALSE,"단축2";#N/A,#N/A,FALSE,"단축3";#N/A,#N/A,FALSE,"장축";#N/A,#N/A,FALSE,"4WD"}</definedName>
    <definedName name="투자" hidden="1">1</definedName>
    <definedName name="하늘" localSheetId="30" hidden="1">{#N/A,#N/A,FALSE,"단축1";#N/A,#N/A,FALSE,"단축2";#N/A,#N/A,FALSE,"단축3";#N/A,#N/A,FALSE,"장축";#N/A,#N/A,FALSE,"4WD"}</definedName>
    <definedName name="하늘" localSheetId="31" hidden="1">{#N/A,#N/A,FALSE,"단축1";#N/A,#N/A,FALSE,"단축2";#N/A,#N/A,FALSE,"단축3";#N/A,#N/A,FALSE,"장축";#N/A,#N/A,FALSE,"4WD"}</definedName>
    <definedName name="하늘" localSheetId="32" hidden="1">{#N/A,#N/A,FALSE,"단축1";#N/A,#N/A,FALSE,"단축2";#N/A,#N/A,FALSE,"단축3";#N/A,#N/A,FALSE,"장축";#N/A,#N/A,FALSE,"4WD"}</definedName>
    <definedName name="하늘" localSheetId="10" hidden="1">{#N/A,#N/A,FALSE,"단축1";#N/A,#N/A,FALSE,"단축2";#N/A,#N/A,FALSE,"단축3";#N/A,#N/A,FALSE,"장축";#N/A,#N/A,FALSE,"4WD"}</definedName>
    <definedName name="하늘" localSheetId="1" hidden="1">{#N/A,#N/A,FALSE,"단축1";#N/A,#N/A,FALSE,"단축2";#N/A,#N/A,FALSE,"단축3";#N/A,#N/A,FALSE,"장축";#N/A,#N/A,FALSE,"4WD"}</definedName>
    <definedName name="하늘" localSheetId="6" hidden="1">{#N/A,#N/A,FALSE,"단축1";#N/A,#N/A,FALSE,"단축2";#N/A,#N/A,FALSE,"단축3";#N/A,#N/A,FALSE,"장축";#N/A,#N/A,FALSE,"4WD"}</definedName>
    <definedName name="하늘" hidden="1">{#N/A,#N/A,FALSE,"단축1";#N/A,#N/A,FALSE,"단축2";#N/A,#N/A,FALSE,"단축3";#N/A,#N/A,FALSE,"장축";#N/A,#N/A,FALSE,"4WD"}</definedName>
    <definedName name="固定"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62" l="1"/>
  <c r="Z32" i="62"/>
  <c r="J19" i="62"/>
  <c r="I19" i="62"/>
  <c r="H19" i="62"/>
  <c r="K19" i="62"/>
  <c r="AD20" i="62"/>
  <c r="AB20" i="62"/>
  <c r="AA20" i="62"/>
  <c r="U29" i="62"/>
  <c r="V29" i="62"/>
  <c r="W29" i="62"/>
  <c r="X29" i="62"/>
  <c r="Y29" i="62" s="1"/>
  <c r="W30" i="62"/>
  <c r="W28" i="62"/>
  <c r="W27" i="62"/>
  <c r="W26" i="62"/>
  <c r="W25" i="62"/>
  <c r="W24" i="62"/>
  <c r="W23" i="62"/>
  <c r="W22" i="62"/>
  <c r="V30" i="62"/>
  <c r="V28" i="62"/>
  <c r="V27" i="62"/>
  <c r="X27" i="62" s="1"/>
  <c r="V26" i="62"/>
  <c r="V25" i="62"/>
  <c r="X25" i="62" s="1"/>
  <c r="Y25" i="62" s="1"/>
  <c r="V24" i="62"/>
  <c r="X24" i="62" s="1"/>
  <c r="Y24" i="62" s="1"/>
  <c r="V23" i="62"/>
  <c r="V22" i="62"/>
  <c r="X22" i="62" s="1"/>
  <c r="U30" i="62"/>
  <c r="U28" i="62"/>
  <c r="U27" i="62"/>
  <c r="U26" i="62"/>
  <c r="U25" i="62"/>
  <c r="U24" i="62"/>
  <c r="U23" i="62"/>
  <c r="U22" i="62"/>
  <c r="Z22" i="62" s="1"/>
  <c r="X28" i="62" l="1"/>
  <c r="Y28" i="62" s="1"/>
  <c r="X30" i="62"/>
  <c r="Y30" i="62" s="1"/>
  <c r="Y27" i="62"/>
  <c r="AA29" i="62"/>
  <c r="AB29" i="62" s="1"/>
  <c r="AD29" i="62" s="1"/>
  <c r="X26" i="62"/>
  <c r="Y26" i="62" s="1"/>
  <c r="X23" i="62"/>
  <c r="Y23" i="62" s="1"/>
  <c r="Z30" i="62"/>
  <c r="AA30" i="62" l="1"/>
  <c r="AB30" i="62" s="1"/>
  <c r="AD30" i="62" s="1"/>
  <c r="C20" i="85" l="1"/>
  <c r="C21" i="85" s="1"/>
  <c r="B20" i="85"/>
  <c r="C15" i="85"/>
  <c r="B15" i="85"/>
  <c r="B16" i="85" s="1"/>
  <c r="L15" i="111"/>
  <c r="L14" i="111"/>
  <c r="K15" i="111"/>
  <c r="K14" i="111"/>
  <c r="J14" i="111"/>
  <c r="I14" i="111"/>
  <c r="H14" i="111"/>
  <c r="G14" i="111"/>
  <c r="F15" i="111"/>
  <c r="F14" i="111"/>
  <c r="L15" i="110"/>
  <c r="L14" i="110"/>
  <c r="K15" i="110"/>
  <c r="K14" i="110"/>
  <c r="J15" i="110"/>
  <c r="J14" i="110"/>
  <c r="B14" i="111"/>
  <c r="B15" i="111" s="1"/>
  <c r="B14" i="110"/>
  <c r="I15" i="110"/>
  <c r="I14" i="110"/>
  <c r="A6" i="111"/>
  <c r="C15" i="111"/>
  <c r="D15" i="111"/>
  <c r="B20" i="111"/>
  <c r="J25" i="111"/>
  <c r="B26" i="111"/>
  <c r="J26" i="111"/>
  <c r="B27" i="111"/>
  <c r="J27" i="111"/>
  <c r="B28" i="111"/>
  <c r="J28" i="111"/>
  <c r="B29" i="111"/>
  <c r="J29" i="111"/>
  <c r="B30" i="111"/>
  <c r="J30" i="111"/>
  <c r="B31" i="111"/>
  <c r="J31" i="111"/>
  <c r="B32" i="111"/>
  <c r="J32" i="111"/>
  <c r="B33" i="111"/>
  <c r="J33" i="111"/>
  <c r="B34" i="111"/>
  <c r="J34" i="111"/>
  <c r="B35" i="111"/>
  <c r="C35" i="111"/>
  <c r="J35" i="111" s="1"/>
  <c r="B36" i="111"/>
  <c r="J36" i="111"/>
  <c r="B37" i="111"/>
  <c r="J37" i="111"/>
  <c r="B38" i="111"/>
  <c r="J38" i="111"/>
  <c r="B39" i="111"/>
  <c r="J39" i="111"/>
  <c r="B40" i="111"/>
  <c r="J40" i="111"/>
  <c r="B41" i="111"/>
  <c r="J41" i="111"/>
  <c r="B42" i="111"/>
  <c r="J42" i="111"/>
  <c r="B43" i="111"/>
  <c r="J43" i="111"/>
  <c r="B44" i="111"/>
  <c r="J44" i="111"/>
  <c r="B45" i="111"/>
  <c r="J45" i="111"/>
  <c r="B46" i="111"/>
  <c r="J46" i="111"/>
  <c r="B47" i="111"/>
  <c r="C47" i="111"/>
  <c r="J47" i="111" s="1"/>
  <c r="B48" i="111"/>
  <c r="J48" i="111"/>
  <c r="B49" i="111"/>
  <c r="J49" i="111"/>
  <c r="B50" i="111"/>
  <c r="J50" i="111"/>
  <c r="B51" i="111"/>
  <c r="J51" i="111"/>
  <c r="B52" i="111"/>
  <c r="J52" i="111"/>
  <c r="B53" i="111"/>
  <c r="J53" i="111"/>
  <c r="B54" i="111"/>
  <c r="J54" i="111"/>
  <c r="B55" i="111"/>
  <c r="J55" i="111"/>
  <c r="B56" i="111"/>
  <c r="J56" i="111"/>
  <c r="B57" i="111"/>
  <c r="J57" i="111"/>
  <c r="B58" i="111"/>
  <c r="J58" i="111"/>
  <c r="B59" i="111"/>
  <c r="C59" i="111"/>
  <c r="J59" i="111"/>
  <c r="B60" i="111"/>
  <c r="J60" i="111"/>
  <c r="B61" i="111"/>
  <c r="J61" i="111"/>
  <c r="B62" i="111"/>
  <c r="J62" i="111"/>
  <c r="B63" i="111"/>
  <c r="J63" i="111"/>
  <c r="B64" i="111"/>
  <c r="J64" i="111"/>
  <c r="B65" i="111"/>
  <c r="J65" i="111"/>
  <c r="B66" i="111"/>
  <c r="J66" i="111"/>
  <c r="B67" i="111"/>
  <c r="J67" i="111"/>
  <c r="B68" i="111"/>
  <c r="J68" i="111"/>
  <c r="B69" i="111"/>
  <c r="J69" i="111"/>
  <c r="B70" i="111"/>
  <c r="J70" i="111"/>
  <c r="B71" i="111"/>
  <c r="C71" i="111"/>
  <c r="J71" i="111" s="1"/>
  <c r="B72" i="111"/>
  <c r="J72" i="111"/>
  <c r="B73" i="111"/>
  <c r="J73" i="111"/>
  <c r="B74" i="111"/>
  <c r="J74" i="111"/>
  <c r="B75" i="111"/>
  <c r="J75" i="111"/>
  <c r="B76" i="111"/>
  <c r="A6" i="110"/>
  <c r="B19" i="110"/>
  <c r="B15" i="110"/>
  <c r="C15" i="110"/>
  <c r="D15" i="110"/>
  <c r="B20" i="110"/>
  <c r="J25" i="110"/>
  <c r="B26" i="110"/>
  <c r="J26" i="110"/>
  <c r="B27" i="110"/>
  <c r="J27" i="110"/>
  <c r="B28" i="110"/>
  <c r="J28" i="110"/>
  <c r="B29" i="110"/>
  <c r="J29" i="110"/>
  <c r="B30" i="110"/>
  <c r="J30" i="110"/>
  <c r="B31" i="110"/>
  <c r="J31" i="110"/>
  <c r="B32" i="110"/>
  <c r="J32" i="110"/>
  <c r="B33" i="110"/>
  <c r="J33" i="110"/>
  <c r="B34" i="110"/>
  <c r="J34" i="110"/>
  <c r="B35" i="110"/>
  <c r="C35" i="110"/>
  <c r="J35" i="110" s="1"/>
  <c r="B36" i="110"/>
  <c r="J36" i="110"/>
  <c r="B37" i="110"/>
  <c r="J37" i="110"/>
  <c r="B38" i="110"/>
  <c r="J38" i="110"/>
  <c r="B39" i="110"/>
  <c r="J39" i="110"/>
  <c r="B40" i="110"/>
  <c r="J40" i="110"/>
  <c r="B41" i="110"/>
  <c r="J41" i="110"/>
  <c r="B42" i="110"/>
  <c r="J42" i="110"/>
  <c r="B43" i="110"/>
  <c r="J43" i="110"/>
  <c r="B44" i="110"/>
  <c r="J44" i="110"/>
  <c r="B45" i="110"/>
  <c r="J45" i="110"/>
  <c r="B46" i="110"/>
  <c r="J46" i="110"/>
  <c r="B47" i="110"/>
  <c r="C47" i="110"/>
  <c r="J47" i="110" s="1"/>
  <c r="B48" i="110"/>
  <c r="J48" i="110"/>
  <c r="B49" i="110"/>
  <c r="J49" i="110"/>
  <c r="B50" i="110"/>
  <c r="J50" i="110"/>
  <c r="B51" i="110"/>
  <c r="J51" i="110"/>
  <c r="B52" i="110"/>
  <c r="J52" i="110"/>
  <c r="B53" i="110"/>
  <c r="J53" i="110"/>
  <c r="B54" i="110"/>
  <c r="J54" i="110"/>
  <c r="B55" i="110"/>
  <c r="J55" i="110"/>
  <c r="B56" i="110"/>
  <c r="J56" i="110"/>
  <c r="B57" i="110"/>
  <c r="J57" i="110"/>
  <c r="B58" i="110"/>
  <c r="J58" i="110"/>
  <c r="B59" i="110"/>
  <c r="C59" i="110"/>
  <c r="J59" i="110" s="1"/>
  <c r="B60" i="110"/>
  <c r="J60" i="110"/>
  <c r="B61" i="110"/>
  <c r="J61" i="110"/>
  <c r="B62" i="110"/>
  <c r="J62" i="110"/>
  <c r="B63" i="110"/>
  <c r="J63" i="110"/>
  <c r="B64" i="110"/>
  <c r="J64" i="110"/>
  <c r="B65" i="110"/>
  <c r="J65" i="110"/>
  <c r="B66" i="110"/>
  <c r="J66" i="110"/>
  <c r="B67" i="110"/>
  <c r="J67" i="110"/>
  <c r="B68" i="110"/>
  <c r="J68" i="110"/>
  <c r="B69" i="110"/>
  <c r="J69" i="110"/>
  <c r="B70" i="110"/>
  <c r="J70" i="110"/>
  <c r="B71" i="110"/>
  <c r="C71" i="110"/>
  <c r="J71" i="110" s="1"/>
  <c r="B72" i="110"/>
  <c r="J72" i="110"/>
  <c r="B73" i="110"/>
  <c r="J73" i="110"/>
  <c r="B74" i="110"/>
  <c r="J74" i="110"/>
  <c r="B75" i="110"/>
  <c r="J75" i="110"/>
  <c r="B76" i="110"/>
  <c r="J76" i="110"/>
  <c r="B77" i="110"/>
  <c r="J77" i="110"/>
  <c r="B78" i="110"/>
  <c r="J78" i="110"/>
  <c r="B79" i="110"/>
  <c r="J79" i="110"/>
  <c r="B80" i="110"/>
  <c r="J80" i="110"/>
  <c r="B81" i="110"/>
  <c r="J81" i="110"/>
  <c r="B82" i="110"/>
  <c r="J82" i="110"/>
  <c r="B83" i="110"/>
  <c r="C83" i="110"/>
  <c r="C67" i="109"/>
  <c r="G62" i="109"/>
  <c r="G59" i="109"/>
  <c r="G56" i="109"/>
  <c r="G53" i="109"/>
  <c r="G50" i="109"/>
  <c r="G47" i="109"/>
  <c r="G44" i="109"/>
  <c r="G41" i="109"/>
  <c r="G38" i="109"/>
  <c r="G35" i="109"/>
  <c r="G32" i="109"/>
  <c r="G29" i="109"/>
  <c r="G65" i="109"/>
  <c r="B19" i="109"/>
  <c r="B21" i="109" s="1"/>
  <c r="D15" i="109"/>
  <c r="C15" i="109"/>
  <c r="B15" i="109"/>
  <c r="B20" i="100"/>
  <c r="D74" i="111" l="1"/>
  <c r="B19" i="111"/>
  <c r="D73" i="111" s="1"/>
  <c r="D28" i="110"/>
  <c r="D33" i="110"/>
  <c r="D42" i="110"/>
  <c r="D71" i="110"/>
  <c r="D64" i="110"/>
  <c r="D38" i="110"/>
  <c r="D62" i="110"/>
  <c r="D46" i="110"/>
  <c r="D29" i="110"/>
  <c r="D81" i="110"/>
  <c r="D70" i="110"/>
  <c r="D37" i="110"/>
  <c r="D66" i="110"/>
  <c r="D40" i="110"/>
  <c r="D51" i="110"/>
  <c r="D75" i="110"/>
  <c r="D25" i="110"/>
  <c r="D68" i="110"/>
  <c r="D77" i="110"/>
  <c r="D44" i="110"/>
  <c r="D73" i="110"/>
  <c r="D82" i="110"/>
  <c r="D56" i="110"/>
  <c r="D31" i="110"/>
  <c r="D36" i="110"/>
  <c r="D45" i="110"/>
  <c r="D55" i="110"/>
  <c r="D60" i="110"/>
  <c r="D74" i="110"/>
  <c r="D79" i="110"/>
  <c r="D27" i="110"/>
  <c r="D41" i="110"/>
  <c r="D50" i="110"/>
  <c r="D83" i="110"/>
  <c r="D69" i="110"/>
  <c r="D54" i="110"/>
  <c r="D48" i="110"/>
  <c r="D30" i="110"/>
  <c r="D61" i="110"/>
  <c r="D49" i="110"/>
  <c r="D26" i="110"/>
  <c r="D59" i="110"/>
  <c r="D63" i="110"/>
  <c r="D58" i="110"/>
  <c r="D53" i="110"/>
  <c r="D39" i="110"/>
  <c r="D65" i="110"/>
  <c r="D72" i="110"/>
  <c r="D43" i="110"/>
  <c r="D34" i="110"/>
  <c r="D76" i="110"/>
  <c r="D67" i="110"/>
  <c r="D57" i="110"/>
  <c r="D52" i="110"/>
  <c r="D47" i="110"/>
  <c r="D80" i="110"/>
  <c r="D78" i="110"/>
  <c r="I15" i="111"/>
  <c r="D35" i="110"/>
  <c r="D32" i="110"/>
  <c r="D19" i="85"/>
  <c r="I14" i="109"/>
  <c r="I15" i="109" s="1"/>
  <c r="C49" i="109"/>
  <c r="C32" i="109"/>
  <c r="C30" i="109"/>
  <c r="C54" i="109"/>
  <c r="C52" i="109"/>
  <c r="C46" i="109"/>
  <c r="C42" i="109"/>
  <c r="C36" i="109"/>
  <c r="C53" i="109"/>
  <c r="C47" i="109"/>
  <c r="C45" i="109"/>
  <c r="C62" i="109"/>
  <c r="C60" i="109"/>
  <c r="C43" i="109"/>
  <c r="C56" i="109"/>
  <c r="C37" i="109"/>
  <c r="C35" i="109"/>
  <c r="E29" i="109"/>
  <c r="C50" i="109"/>
  <c r="C29" i="109"/>
  <c r="B29" i="109"/>
  <c r="D29" i="109" s="1"/>
  <c r="B30" i="109" s="1"/>
  <c r="C57" i="109"/>
  <c r="C58" i="109"/>
  <c r="C41" i="109"/>
  <c r="C39" i="109"/>
  <c r="C33" i="109"/>
  <c r="C48" i="109"/>
  <c r="C31" i="109"/>
  <c r="C61" i="109"/>
  <c r="C44" i="109"/>
  <c r="C59" i="109"/>
  <c r="C40" i="109"/>
  <c r="C55" i="109"/>
  <c r="C38" i="109"/>
  <c r="C51" i="109"/>
  <c r="C34" i="109"/>
  <c r="C65" i="109"/>
  <c r="E14" i="109"/>
  <c r="E15" i="109" s="1"/>
  <c r="C68" i="109"/>
  <c r="E65" i="109"/>
  <c r="H65" i="109" s="1"/>
  <c r="E66" i="109" s="1"/>
  <c r="H66" i="109" s="1"/>
  <c r="E67" i="109" s="1"/>
  <c r="H67" i="109" s="1"/>
  <c r="E68" i="109" s="1"/>
  <c r="H68" i="109" s="1"/>
  <c r="C66" i="109"/>
  <c r="B65" i="109"/>
  <c r="D35" i="111" l="1"/>
  <c r="D42" i="111"/>
  <c r="D58" i="111"/>
  <c r="D63" i="111"/>
  <c r="D68" i="111"/>
  <c r="D25" i="111"/>
  <c r="B21" i="111" s="1"/>
  <c r="F25" i="111" s="1"/>
  <c r="D55" i="111"/>
  <c r="D60" i="111"/>
  <c r="D71" i="111"/>
  <c r="D34" i="111"/>
  <c r="D51" i="111"/>
  <c r="D46" i="111"/>
  <c r="D53" i="111"/>
  <c r="D64" i="111"/>
  <c r="D75" i="111"/>
  <c r="D27" i="111"/>
  <c r="D67" i="111"/>
  <c r="D72" i="111"/>
  <c r="D36" i="111"/>
  <c r="D52" i="111"/>
  <c r="D44" i="111"/>
  <c r="D41" i="111"/>
  <c r="D61" i="111"/>
  <c r="D62" i="111"/>
  <c r="D49" i="111"/>
  <c r="D26" i="111"/>
  <c r="D29" i="111"/>
  <c r="D37" i="111"/>
  <c r="D40" i="111"/>
  <c r="D54" i="111"/>
  <c r="D69" i="111"/>
  <c r="D76" i="111"/>
  <c r="D70" i="111"/>
  <c r="D56" i="111"/>
  <c r="D47" i="111"/>
  <c r="D28" i="111"/>
  <c r="E15" i="111" s="1"/>
  <c r="D38" i="111"/>
  <c r="D43" i="111"/>
  <c r="D48" i="111"/>
  <c r="D50" i="111"/>
  <c r="D57" i="111"/>
  <c r="D65" i="111"/>
  <c r="D45" i="111"/>
  <c r="D59" i="111"/>
  <c r="D39" i="111"/>
  <c r="D32" i="111"/>
  <c r="D30" i="111"/>
  <c r="D31" i="111"/>
  <c r="D66" i="111"/>
  <c r="D33" i="111"/>
  <c r="E15" i="110"/>
  <c r="B21" i="110"/>
  <c r="F25" i="110" s="1"/>
  <c r="D65" i="109"/>
  <c r="B66" i="109" s="1"/>
  <c r="D66" i="109" s="1"/>
  <c r="B67" i="109" s="1"/>
  <c r="D67" i="109" s="1"/>
  <c r="B68" i="109" s="1"/>
  <c r="D68" i="109" s="1"/>
  <c r="D30" i="109"/>
  <c r="B31" i="109" s="1"/>
  <c r="D31" i="109" s="1"/>
  <c r="B32" i="109" s="1"/>
  <c r="D32" i="109" s="1"/>
  <c r="B33" i="109" s="1"/>
  <c r="D33" i="109" s="1"/>
  <c r="B34" i="109" s="1"/>
  <c r="D34" i="109" s="1"/>
  <c r="B35" i="109" s="1"/>
  <c r="D35" i="109" s="1"/>
  <c r="B36" i="109" s="1"/>
  <c r="D36" i="109" s="1"/>
  <c r="B37" i="109" s="1"/>
  <c r="D37" i="109" s="1"/>
  <c r="B38" i="109" s="1"/>
  <c r="D38" i="109" s="1"/>
  <c r="B39" i="109" s="1"/>
  <c r="D39" i="109" s="1"/>
  <c r="B40" i="109" s="1"/>
  <c r="D40" i="109" s="1"/>
  <c r="B41" i="109" s="1"/>
  <c r="D41" i="109" s="1"/>
  <c r="B42" i="109" s="1"/>
  <c r="D42" i="109" s="1"/>
  <c r="B43" i="109" s="1"/>
  <c r="D43" i="109" s="1"/>
  <c r="B44" i="109" s="1"/>
  <c r="D44" i="109" s="1"/>
  <c r="B45" i="109" s="1"/>
  <c r="D45" i="109" s="1"/>
  <c r="B46" i="109" s="1"/>
  <c r="D46" i="109" s="1"/>
  <c r="B47" i="109" s="1"/>
  <c r="D47" i="109" s="1"/>
  <c r="B48" i="109" s="1"/>
  <c r="D48" i="109" s="1"/>
  <c r="B49" i="109" s="1"/>
  <c r="D49" i="109" s="1"/>
  <c r="B50" i="109" s="1"/>
  <c r="D50" i="109" s="1"/>
  <c r="B51" i="109" s="1"/>
  <c r="D51" i="109" s="1"/>
  <c r="B52" i="109" s="1"/>
  <c r="D52" i="109" s="1"/>
  <c r="B53" i="109" s="1"/>
  <c r="D53" i="109" s="1"/>
  <c r="B54" i="109" s="1"/>
  <c r="D54" i="109" s="1"/>
  <c r="B55" i="109" s="1"/>
  <c r="D55" i="109" s="1"/>
  <c r="B56" i="109" s="1"/>
  <c r="D56" i="109" s="1"/>
  <c r="B57" i="109" s="1"/>
  <c r="D57" i="109" s="1"/>
  <c r="B58" i="109" s="1"/>
  <c r="D58" i="109" s="1"/>
  <c r="B59" i="109" s="1"/>
  <c r="D59" i="109" s="1"/>
  <c r="B60" i="109" s="1"/>
  <c r="D60" i="109" s="1"/>
  <c r="B61" i="109" s="1"/>
  <c r="D61" i="109" s="1"/>
  <c r="B62" i="109" s="1"/>
  <c r="D62" i="109" s="1"/>
  <c r="F29" i="109"/>
  <c r="H29" i="109" s="1"/>
  <c r="E30" i="109" s="1"/>
  <c r="F14" i="109"/>
  <c r="F15" i="109" s="1"/>
  <c r="G28" i="111" l="1"/>
  <c r="G73" i="111"/>
  <c r="G72" i="111"/>
  <c r="G25" i="111"/>
  <c r="H25" i="111" s="1"/>
  <c r="F26" i="111" s="1"/>
  <c r="I25" i="111"/>
  <c r="G48" i="111"/>
  <c r="G47" i="111"/>
  <c r="G29" i="111"/>
  <c r="G26" i="111"/>
  <c r="G51" i="111"/>
  <c r="G33" i="111"/>
  <c r="G49" i="111"/>
  <c r="G55" i="111"/>
  <c r="G62" i="111"/>
  <c r="G27" i="111"/>
  <c r="G67" i="111"/>
  <c r="G32" i="111"/>
  <c r="G70" i="111"/>
  <c r="G46" i="111"/>
  <c r="G50" i="111"/>
  <c r="G39" i="111"/>
  <c r="G53" i="111"/>
  <c r="G52" i="111"/>
  <c r="G56" i="111"/>
  <c r="G63" i="111"/>
  <c r="G38" i="111"/>
  <c r="G31" i="111"/>
  <c r="G30" i="111"/>
  <c r="G60" i="111"/>
  <c r="G34" i="111"/>
  <c r="G66" i="111"/>
  <c r="G42" i="111"/>
  <c r="G61" i="111"/>
  <c r="G37" i="111"/>
  <c r="G35" i="111"/>
  <c r="G65" i="111"/>
  <c r="G64" i="111"/>
  <c r="G71" i="111"/>
  <c r="G41" i="111"/>
  <c r="G57" i="111"/>
  <c r="G36" i="111"/>
  <c r="G40" i="111"/>
  <c r="G59" i="111"/>
  <c r="G69" i="111"/>
  <c r="G68" i="111"/>
  <c r="G75" i="111"/>
  <c r="G45" i="111"/>
  <c r="G74" i="111"/>
  <c r="G54" i="111"/>
  <c r="G44" i="111"/>
  <c r="G58" i="111"/>
  <c r="G43" i="111"/>
  <c r="K25" i="111"/>
  <c r="L25" i="111" s="1"/>
  <c r="I26" i="111" s="1"/>
  <c r="G48" i="110"/>
  <c r="G52" i="110"/>
  <c r="G56" i="110"/>
  <c r="G27" i="110"/>
  <c r="G31" i="110"/>
  <c r="G35" i="110"/>
  <c r="G39" i="110"/>
  <c r="G43" i="110"/>
  <c r="G72" i="110"/>
  <c r="G76" i="110"/>
  <c r="G80" i="110"/>
  <c r="G47" i="110"/>
  <c r="G51" i="110"/>
  <c r="G26" i="110"/>
  <c r="G30" i="110"/>
  <c r="G34" i="110"/>
  <c r="G59" i="110"/>
  <c r="G63" i="110"/>
  <c r="G67" i="110"/>
  <c r="G25" i="110"/>
  <c r="G29" i="110"/>
  <c r="G33" i="110"/>
  <c r="G62" i="110"/>
  <c r="G66" i="110"/>
  <c r="G70" i="110"/>
  <c r="G37" i="110"/>
  <c r="G41" i="110"/>
  <c r="G45" i="110"/>
  <c r="G74" i="110"/>
  <c r="G78" i="110"/>
  <c r="G82" i="110"/>
  <c r="I25" i="110"/>
  <c r="G49" i="110"/>
  <c r="G28" i="110"/>
  <c r="G32" i="110"/>
  <c r="G57" i="110"/>
  <c r="G38" i="110"/>
  <c r="G65" i="110"/>
  <c r="G69" i="110"/>
  <c r="G73" i="110"/>
  <c r="G77" i="110"/>
  <c r="G36" i="110"/>
  <c r="G50" i="110"/>
  <c r="G44" i="110"/>
  <c r="G53" i="110"/>
  <c r="G55" i="110"/>
  <c r="G61" i="110"/>
  <c r="G71" i="110"/>
  <c r="G75" i="110"/>
  <c r="G60" i="110"/>
  <c r="G54" i="110"/>
  <c r="G42" i="110"/>
  <c r="G79" i="110"/>
  <c r="G64" i="110"/>
  <c r="G58" i="110"/>
  <c r="G46" i="110"/>
  <c r="G68" i="110"/>
  <c r="G81" i="110"/>
  <c r="G40" i="110"/>
  <c r="G14" i="109"/>
  <c r="G15" i="109" s="1"/>
  <c r="F30" i="109"/>
  <c r="H30" i="109" s="1"/>
  <c r="E31" i="109" s="1"/>
  <c r="H26" i="111" l="1"/>
  <c r="F27" i="111" s="1"/>
  <c r="H27" i="111" s="1"/>
  <c r="F28" i="111" s="1"/>
  <c r="H28" i="111" s="1"/>
  <c r="F29" i="111" s="1"/>
  <c r="H29" i="111" s="1"/>
  <c r="F30" i="111" s="1"/>
  <c r="H30" i="111" s="1"/>
  <c r="F31" i="111" s="1"/>
  <c r="H31" i="111" s="1"/>
  <c r="F32" i="111" s="1"/>
  <c r="H32" i="111" s="1"/>
  <c r="F33" i="111" s="1"/>
  <c r="H33" i="111" s="1"/>
  <c r="F34" i="111" s="1"/>
  <c r="H34" i="111" s="1"/>
  <c r="F35" i="111" s="1"/>
  <c r="H35" i="111" s="1"/>
  <c r="F36" i="111" s="1"/>
  <c r="H36" i="111" s="1"/>
  <c r="F37" i="111" s="1"/>
  <c r="H37" i="111" s="1"/>
  <c r="F38" i="111" s="1"/>
  <c r="H38" i="111" s="1"/>
  <c r="F39" i="111" s="1"/>
  <c r="H39" i="111" s="1"/>
  <c r="F40" i="111" s="1"/>
  <c r="H40" i="111" s="1"/>
  <c r="F41" i="111" s="1"/>
  <c r="H41" i="111" s="1"/>
  <c r="F42" i="111" s="1"/>
  <c r="H42" i="111" s="1"/>
  <c r="F43" i="111" s="1"/>
  <c r="H43" i="111" s="1"/>
  <c r="F44" i="111" s="1"/>
  <c r="H44" i="111" s="1"/>
  <c r="F45" i="111" s="1"/>
  <c r="H45" i="111" s="1"/>
  <c r="F46" i="111" s="1"/>
  <c r="H46" i="111" s="1"/>
  <c r="F47" i="111" s="1"/>
  <c r="H47" i="111" s="1"/>
  <c r="F48" i="111" s="1"/>
  <c r="H48" i="111" s="1"/>
  <c r="F49" i="111" s="1"/>
  <c r="H49" i="111" s="1"/>
  <c r="F50" i="111" s="1"/>
  <c r="H50" i="111" s="1"/>
  <c r="F51" i="111" s="1"/>
  <c r="H51" i="111" s="1"/>
  <c r="F52" i="111" s="1"/>
  <c r="H52" i="111" s="1"/>
  <c r="F53" i="111" s="1"/>
  <c r="H53" i="111" s="1"/>
  <c r="F54" i="111" s="1"/>
  <c r="H54" i="111" s="1"/>
  <c r="F55" i="111" s="1"/>
  <c r="H55" i="111" s="1"/>
  <c r="F56" i="111" s="1"/>
  <c r="H56" i="111" s="1"/>
  <c r="F57" i="111" s="1"/>
  <c r="H57" i="111" s="1"/>
  <c r="F58" i="111" s="1"/>
  <c r="H58" i="111" s="1"/>
  <c r="F59" i="111" s="1"/>
  <c r="H59" i="111" s="1"/>
  <c r="F60" i="111" s="1"/>
  <c r="H60" i="111" s="1"/>
  <c r="F61" i="111" s="1"/>
  <c r="H61" i="111" s="1"/>
  <c r="F62" i="111" s="1"/>
  <c r="H62" i="111" s="1"/>
  <c r="F63" i="111" s="1"/>
  <c r="H63" i="111" s="1"/>
  <c r="F64" i="111" s="1"/>
  <c r="H64" i="111" s="1"/>
  <c r="F65" i="111" s="1"/>
  <c r="H65" i="111" s="1"/>
  <c r="F66" i="111" s="1"/>
  <c r="H66" i="111" s="1"/>
  <c r="F67" i="111" s="1"/>
  <c r="H67" i="111" s="1"/>
  <c r="F68" i="111" s="1"/>
  <c r="H68" i="111" s="1"/>
  <c r="F69" i="111" s="1"/>
  <c r="H69" i="111" s="1"/>
  <c r="F70" i="111" s="1"/>
  <c r="H70" i="111" s="1"/>
  <c r="F71" i="111" s="1"/>
  <c r="H71" i="111" s="1"/>
  <c r="F72" i="111" s="1"/>
  <c r="H72" i="111" s="1"/>
  <c r="F73" i="111" s="1"/>
  <c r="H73" i="111" s="1"/>
  <c r="F74" i="111" s="1"/>
  <c r="H74" i="111" s="1"/>
  <c r="F75" i="111" s="1"/>
  <c r="H75" i="111" s="1"/>
  <c r="F76" i="111" s="1"/>
  <c r="G76" i="111" s="1"/>
  <c r="F14" i="110"/>
  <c r="F15" i="110" s="1"/>
  <c r="K26" i="111"/>
  <c r="L26" i="111" s="1"/>
  <c r="I27" i="111" s="1"/>
  <c r="K25" i="110"/>
  <c r="L25" i="110" s="1"/>
  <c r="I26" i="110" s="1"/>
  <c r="G15" i="111"/>
  <c r="H25" i="110"/>
  <c r="F26" i="110" s="1"/>
  <c r="H26" i="110" s="1"/>
  <c r="F27" i="110" s="1"/>
  <c r="H27" i="110" s="1"/>
  <c r="F28" i="110" s="1"/>
  <c r="H28" i="110" s="1"/>
  <c r="F29" i="110" s="1"/>
  <c r="H29" i="110" s="1"/>
  <c r="F30" i="110" s="1"/>
  <c r="H30" i="110" s="1"/>
  <c r="F31" i="110" s="1"/>
  <c r="H31" i="110" s="1"/>
  <c r="F32" i="110" s="1"/>
  <c r="H32" i="110" s="1"/>
  <c r="F33" i="110" s="1"/>
  <c r="H33" i="110" s="1"/>
  <c r="F34" i="110" s="1"/>
  <c r="H34" i="110" s="1"/>
  <c r="F35" i="110" s="1"/>
  <c r="H35" i="110" s="1"/>
  <c r="F36" i="110" s="1"/>
  <c r="H36" i="110" s="1"/>
  <c r="F37" i="110" s="1"/>
  <c r="H37" i="110" s="1"/>
  <c r="F38" i="110" s="1"/>
  <c r="H38" i="110" s="1"/>
  <c r="F39" i="110" s="1"/>
  <c r="H39" i="110" s="1"/>
  <c r="F40" i="110" s="1"/>
  <c r="H40" i="110" s="1"/>
  <c r="F41" i="110" s="1"/>
  <c r="H41" i="110" s="1"/>
  <c r="F42" i="110" s="1"/>
  <c r="H42" i="110" s="1"/>
  <c r="F43" i="110" s="1"/>
  <c r="H43" i="110" s="1"/>
  <c r="F44" i="110" s="1"/>
  <c r="H44" i="110" s="1"/>
  <c r="F45" i="110" s="1"/>
  <c r="H45" i="110" s="1"/>
  <c r="F46" i="110" s="1"/>
  <c r="H46" i="110" s="1"/>
  <c r="F47" i="110" s="1"/>
  <c r="H47" i="110" s="1"/>
  <c r="F48" i="110" s="1"/>
  <c r="H48" i="110" s="1"/>
  <c r="F31" i="109"/>
  <c r="H31" i="109" s="1"/>
  <c r="E32" i="109" s="1"/>
  <c r="H76" i="111" l="1"/>
  <c r="F49" i="110"/>
  <c r="H49" i="110" s="1"/>
  <c r="F50" i="110" s="1"/>
  <c r="H50" i="110" s="1"/>
  <c r="F51" i="110" s="1"/>
  <c r="H51" i="110" s="1"/>
  <c r="F52" i="110" s="1"/>
  <c r="H52" i="110" s="1"/>
  <c r="F53" i="110" s="1"/>
  <c r="H53" i="110" s="1"/>
  <c r="F54" i="110" s="1"/>
  <c r="H54" i="110" s="1"/>
  <c r="F55" i="110" s="1"/>
  <c r="H55" i="110" s="1"/>
  <c r="F56" i="110" s="1"/>
  <c r="H56" i="110" s="1"/>
  <c r="F57" i="110" s="1"/>
  <c r="H57" i="110" s="1"/>
  <c r="F58" i="110" s="1"/>
  <c r="H58" i="110" s="1"/>
  <c r="F59" i="110" s="1"/>
  <c r="H59" i="110" s="1"/>
  <c r="F60" i="110" s="1"/>
  <c r="H60" i="110" s="1"/>
  <c r="F61" i="110" s="1"/>
  <c r="H61" i="110" s="1"/>
  <c r="F62" i="110" s="1"/>
  <c r="H62" i="110" s="1"/>
  <c r="F63" i="110" s="1"/>
  <c r="H63" i="110" s="1"/>
  <c r="F64" i="110" s="1"/>
  <c r="H64" i="110" s="1"/>
  <c r="F65" i="110" s="1"/>
  <c r="H65" i="110" s="1"/>
  <c r="F66" i="110" s="1"/>
  <c r="H66" i="110" s="1"/>
  <c r="F67" i="110" s="1"/>
  <c r="H67" i="110" s="1"/>
  <c r="F68" i="110" s="1"/>
  <c r="H68" i="110" s="1"/>
  <c r="F69" i="110" s="1"/>
  <c r="H69" i="110" s="1"/>
  <c r="F70" i="110" s="1"/>
  <c r="H70" i="110" s="1"/>
  <c r="F71" i="110" s="1"/>
  <c r="H71" i="110" s="1"/>
  <c r="F72" i="110" s="1"/>
  <c r="H72" i="110" s="1"/>
  <c r="F73" i="110" s="1"/>
  <c r="H73" i="110" s="1"/>
  <c r="F74" i="110" s="1"/>
  <c r="H74" i="110" s="1"/>
  <c r="F75" i="110" s="1"/>
  <c r="H75" i="110" s="1"/>
  <c r="F76" i="110" s="1"/>
  <c r="H76" i="110" s="1"/>
  <c r="F77" i="110" s="1"/>
  <c r="H77" i="110" s="1"/>
  <c r="F78" i="110" s="1"/>
  <c r="H78" i="110" s="1"/>
  <c r="F79" i="110" s="1"/>
  <c r="H79" i="110" s="1"/>
  <c r="F80" i="110" s="1"/>
  <c r="H80" i="110" s="1"/>
  <c r="F81" i="110" s="1"/>
  <c r="H81" i="110" s="1"/>
  <c r="F82" i="110" s="1"/>
  <c r="H82" i="110" s="1"/>
  <c r="F83" i="110" s="1"/>
  <c r="G83" i="110" s="1"/>
  <c r="H83" i="110" s="1"/>
  <c r="G14" i="110"/>
  <c r="G15" i="110"/>
  <c r="K27" i="111"/>
  <c r="L27" i="111"/>
  <c r="I28" i="111" s="1"/>
  <c r="K26" i="110"/>
  <c r="F32" i="109"/>
  <c r="H32" i="109" s="1"/>
  <c r="E33" i="109" s="1"/>
  <c r="L26" i="110" l="1"/>
  <c r="I27" i="110" s="1"/>
  <c r="K28" i="111"/>
  <c r="L28" i="111" s="1"/>
  <c r="I29" i="111" s="1"/>
  <c r="F33" i="109"/>
  <c r="H33" i="109" s="1"/>
  <c r="E34" i="109" s="1"/>
  <c r="K29" i="111" l="1"/>
  <c r="L29" i="111" s="1"/>
  <c r="I30" i="111" s="1"/>
  <c r="K27" i="110"/>
  <c r="L27" i="110" s="1"/>
  <c r="I28" i="110" s="1"/>
  <c r="F34" i="109"/>
  <c r="H34" i="109" s="1"/>
  <c r="E35" i="109" s="1"/>
  <c r="K30" i="111" l="1"/>
  <c r="L30" i="111" s="1"/>
  <c r="I31" i="111" s="1"/>
  <c r="K28" i="110"/>
  <c r="L28" i="110" s="1"/>
  <c r="I29" i="110" s="1"/>
  <c r="F35" i="109"/>
  <c r="H35" i="109" s="1"/>
  <c r="E36" i="109" s="1"/>
  <c r="K29" i="110" l="1"/>
  <c r="L29" i="110" s="1"/>
  <c r="I30" i="110" s="1"/>
  <c r="K31" i="111"/>
  <c r="L31" i="111" s="1"/>
  <c r="I32" i="111" s="1"/>
  <c r="F36" i="109"/>
  <c r="H36" i="109" s="1"/>
  <c r="E37" i="109" s="1"/>
  <c r="K32" i="111" l="1"/>
  <c r="L32" i="111" s="1"/>
  <c r="I33" i="111" s="1"/>
  <c r="K30" i="110"/>
  <c r="L30" i="110" s="1"/>
  <c r="I31" i="110" s="1"/>
  <c r="F37" i="109"/>
  <c r="H37" i="109" s="1"/>
  <c r="E38" i="109" s="1"/>
  <c r="K33" i="111" l="1"/>
  <c r="L33" i="111" s="1"/>
  <c r="I34" i="111" s="1"/>
  <c r="K31" i="110"/>
  <c r="L31" i="110"/>
  <c r="I32" i="110" s="1"/>
  <c r="F38" i="109"/>
  <c r="H38" i="109" s="1"/>
  <c r="E39" i="109" s="1"/>
  <c r="K34" i="111" l="1"/>
  <c r="L34" i="111"/>
  <c r="I35" i="111" s="1"/>
  <c r="K32" i="110"/>
  <c r="L32" i="110" s="1"/>
  <c r="I33" i="110" s="1"/>
  <c r="F39" i="109"/>
  <c r="H39" i="109" s="1"/>
  <c r="E40" i="109" s="1"/>
  <c r="K33" i="110" l="1"/>
  <c r="L33" i="110" s="1"/>
  <c r="I34" i="110" s="1"/>
  <c r="K35" i="111"/>
  <c r="L35" i="111" s="1"/>
  <c r="I36" i="111" s="1"/>
  <c r="F40" i="109"/>
  <c r="H40" i="109" s="1"/>
  <c r="E41" i="109" s="1"/>
  <c r="K34" i="110" l="1"/>
  <c r="L34" i="110" s="1"/>
  <c r="I35" i="110" s="1"/>
  <c r="K36" i="111"/>
  <c r="L36" i="111"/>
  <c r="I37" i="111" s="1"/>
  <c r="F41" i="109"/>
  <c r="H41" i="109" s="1"/>
  <c r="E42" i="109" s="1"/>
  <c r="K35" i="110" l="1"/>
  <c r="L35" i="110" s="1"/>
  <c r="I36" i="110" s="1"/>
  <c r="H15" i="111"/>
  <c r="K37" i="111"/>
  <c r="L37" i="111"/>
  <c r="I38" i="111" s="1"/>
  <c r="F42" i="109"/>
  <c r="H42" i="109" s="1"/>
  <c r="E43" i="109" s="1"/>
  <c r="K36" i="110" l="1"/>
  <c r="L36" i="110" s="1"/>
  <c r="I37" i="110" s="1"/>
  <c r="K38" i="111"/>
  <c r="L38" i="111" s="1"/>
  <c r="I39" i="111" s="1"/>
  <c r="J15" i="111"/>
  <c r="F43" i="109"/>
  <c r="H43" i="109" s="1"/>
  <c r="E44" i="109" s="1"/>
  <c r="K39" i="111" l="1"/>
  <c r="L39" i="111" s="1"/>
  <c r="I40" i="111" s="1"/>
  <c r="K37" i="110"/>
  <c r="F44" i="109"/>
  <c r="H44" i="109" s="1"/>
  <c r="E45" i="109" s="1"/>
  <c r="E31" i="42"/>
  <c r="E30" i="42"/>
  <c r="E29" i="42"/>
  <c r="F31" i="42"/>
  <c r="F30" i="42"/>
  <c r="F29" i="42"/>
  <c r="L37" i="110" l="1"/>
  <c r="I38" i="110" s="1"/>
  <c r="L38" i="110" s="1"/>
  <c r="I39" i="110" s="1"/>
  <c r="K38" i="110"/>
  <c r="K40" i="111"/>
  <c r="L40" i="111" s="1"/>
  <c r="I41" i="111" s="1"/>
  <c r="F45" i="109"/>
  <c r="H45" i="109" s="1"/>
  <c r="E46" i="109" s="1"/>
  <c r="E18" i="42"/>
  <c r="E17" i="42"/>
  <c r="E32" i="42"/>
  <c r="E28" i="42"/>
  <c r="E27" i="42"/>
  <c r="E26" i="42"/>
  <c r="E25" i="42"/>
  <c r="E24" i="42"/>
  <c r="E23" i="42"/>
  <c r="E22" i="42"/>
  <c r="E21" i="42"/>
  <c r="E20" i="42"/>
  <c r="E19" i="42"/>
  <c r="E16" i="42"/>
  <c r="E15" i="42"/>
  <c r="E14" i="42"/>
  <c r="E13" i="42"/>
  <c r="E12" i="42"/>
  <c r="E11" i="42"/>
  <c r="K41" i="111" l="1"/>
  <c r="L41" i="111" s="1"/>
  <c r="I42" i="111" s="1"/>
  <c r="K39" i="110"/>
  <c r="L39" i="110" s="1"/>
  <c r="I40" i="110" s="1"/>
  <c r="F46" i="109"/>
  <c r="H46" i="109" s="1"/>
  <c r="E47" i="109" s="1"/>
  <c r="F32" i="42"/>
  <c r="F28" i="42"/>
  <c r="F27" i="42"/>
  <c r="F26" i="42"/>
  <c r="F25" i="42"/>
  <c r="F24" i="42"/>
  <c r="F23" i="42"/>
  <c r="F22" i="42"/>
  <c r="F21" i="42"/>
  <c r="F20" i="42"/>
  <c r="F19" i="42"/>
  <c r="F18" i="42"/>
  <c r="F17" i="42"/>
  <c r="F16" i="42"/>
  <c r="B20" i="101"/>
  <c r="F93" i="107"/>
  <c r="F92" i="107"/>
  <c r="F91" i="107"/>
  <c r="F90" i="107"/>
  <c r="F89" i="107"/>
  <c r="F88" i="107"/>
  <c r="F87" i="107"/>
  <c r="F86" i="107"/>
  <c r="F85" i="107"/>
  <c r="F84" i="107"/>
  <c r="F83" i="107"/>
  <c r="F82" i="107"/>
  <c r="F81" i="107"/>
  <c r="F80" i="107"/>
  <c r="F79" i="107"/>
  <c r="F78" i="107"/>
  <c r="F77" i="107"/>
  <c r="F76" i="107"/>
  <c r="F75" i="107"/>
  <c r="F74" i="107"/>
  <c r="F73" i="107"/>
  <c r="F72" i="107"/>
  <c r="F71" i="107"/>
  <c r="F70" i="107"/>
  <c r="F69" i="107"/>
  <c r="F68" i="107"/>
  <c r="F67" i="107"/>
  <c r="F66" i="107"/>
  <c r="F65" i="107"/>
  <c r="F64" i="107"/>
  <c r="F63" i="107"/>
  <c r="F62" i="107"/>
  <c r="F61" i="107"/>
  <c r="F60" i="107"/>
  <c r="F59" i="107"/>
  <c r="F58" i="107"/>
  <c r="F57" i="107"/>
  <c r="F56" i="107"/>
  <c r="F55" i="107"/>
  <c r="F54" i="107"/>
  <c r="F53" i="107"/>
  <c r="F52" i="107"/>
  <c r="F51" i="107"/>
  <c r="F50" i="107"/>
  <c r="F49" i="107"/>
  <c r="F48" i="107"/>
  <c r="F47" i="107"/>
  <c r="F46" i="107"/>
  <c r="F45" i="107"/>
  <c r="F44" i="107"/>
  <c r="F43" i="107"/>
  <c r="F42" i="107"/>
  <c r="F41" i="107"/>
  <c r="F40" i="107"/>
  <c r="F39" i="107"/>
  <c r="F38" i="107"/>
  <c r="C38" i="107"/>
  <c r="F37" i="107"/>
  <c r="F36" i="107"/>
  <c r="F35" i="107"/>
  <c r="F34" i="107"/>
  <c r="F33" i="107"/>
  <c r="F32" i="107"/>
  <c r="F31" i="107"/>
  <c r="F30" i="107"/>
  <c r="F29" i="107"/>
  <c r="F28" i="107"/>
  <c r="C28" i="107"/>
  <c r="F27" i="107"/>
  <c r="F26" i="107"/>
  <c r="F25" i="107"/>
  <c r="F24" i="107"/>
  <c r="F23" i="107"/>
  <c r="F22" i="107"/>
  <c r="B16" i="107"/>
  <c r="B15" i="107"/>
  <c r="B17" i="107" s="1"/>
  <c r="C69" i="107" s="1"/>
  <c r="D12" i="107"/>
  <c r="C12" i="107"/>
  <c r="B12" i="107"/>
  <c r="I11" i="107"/>
  <c r="I12" i="107" s="1"/>
  <c r="F96" i="106"/>
  <c r="F95" i="106"/>
  <c r="F94" i="106"/>
  <c r="C94" i="106"/>
  <c r="F93" i="106"/>
  <c r="F92" i="106"/>
  <c r="F91" i="106"/>
  <c r="F90" i="106"/>
  <c r="F89" i="106"/>
  <c r="F88" i="106"/>
  <c r="F87" i="106"/>
  <c r="F86" i="106"/>
  <c r="F85" i="106"/>
  <c r="F84" i="106"/>
  <c r="F83" i="106"/>
  <c r="F82" i="106"/>
  <c r="F81" i="106"/>
  <c r="F80" i="106"/>
  <c r="F79" i="106"/>
  <c r="F78" i="106"/>
  <c r="F77" i="106"/>
  <c r="C77" i="106"/>
  <c r="F76" i="106"/>
  <c r="F75" i="106"/>
  <c r="F74" i="106"/>
  <c r="F73" i="106"/>
  <c r="F72" i="106"/>
  <c r="F71" i="106"/>
  <c r="F70" i="106"/>
  <c r="F69" i="106"/>
  <c r="F68" i="106"/>
  <c r="F67" i="106"/>
  <c r="F66" i="106"/>
  <c r="F65" i="106"/>
  <c r="F64" i="106"/>
  <c r="F63" i="106"/>
  <c r="F62" i="106"/>
  <c r="F61" i="106"/>
  <c r="F60" i="106"/>
  <c r="F59" i="106"/>
  <c r="F58" i="106"/>
  <c r="F57" i="106"/>
  <c r="F56" i="106"/>
  <c r="F55" i="106"/>
  <c r="F54" i="106"/>
  <c r="F53" i="106"/>
  <c r="F52" i="106"/>
  <c r="C52" i="106"/>
  <c r="F51" i="106"/>
  <c r="F50" i="106"/>
  <c r="F49" i="106"/>
  <c r="F48" i="106"/>
  <c r="F47" i="106"/>
  <c r="F46" i="106"/>
  <c r="F45" i="106"/>
  <c r="F44" i="106"/>
  <c r="F43" i="106"/>
  <c r="F42" i="106"/>
  <c r="F41" i="106"/>
  <c r="F40" i="106"/>
  <c r="C40" i="106"/>
  <c r="F39" i="106"/>
  <c r="F38" i="106"/>
  <c r="F37" i="106"/>
  <c r="F36" i="106"/>
  <c r="F35" i="106"/>
  <c r="F34" i="106"/>
  <c r="F33" i="106"/>
  <c r="F32" i="106"/>
  <c r="F31" i="106"/>
  <c r="F30" i="106"/>
  <c r="F29" i="106"/>
  <c r="F28" i="106"/>
  <c r="C28" i="106"/>
  <c r="F27" i="106"/>
  <c r="F26" i="106"/>
  <c r="F25" i="106"/>
  <c r="I14" i="106" s="1"/>
  <c r="B19" i="106"/>
  <c r="B18" i="106"/>
  <c r="B20" i="106" s="1"/>
  <c r="I15" i="106"/>
  <c r="D15" i="106"/>
  <c r="C15" i="106"/>
  <c r="B15" i="106"/>
  <c r="I15" i="101"/>
  <c r="L15" i="101"/>
  <c r="K15" i="101"/>
  <c r="I14" i="101"/>
  <c r="F62" i="101"/>
  <c r="F61" i="101"/>
  <c r="F60" i="101"/>
  <c r="F59" i="101"/>
  <c r="F58" i="101"/>
  <c r="F57" i="101"/>
  <c r="F56" i="101"/>
  <c r="F55" i="101"/>
  <c r="F54" i="101"/>
  <c r="F53" i="101"/>
  <c r="F52" i="101"/>
  <c r="F51" i="101"/>
  <c r="F50" i="101"/>
  <c r="F49" i="101"/>
  <c r="F48" i="101"/>
  <c r="F47" i="101"/>
  <c r="F46" i="101"/>
  <c r="F45" i="101"/>
  <c r="F44" i="101"/>
  <c r="F43" i="101"/>
  <c r="F42" i="101"/>
  <c r="F41" i="101"/>
  <c r="F40" i="101"/>
  <c r="F39" i="101"/>
  <c r="F38" i="101"/>
  <c r="F37" i="101"/>
  <c r="F36" i="101"/>
  <c r="F35" i="101"/>
  <c r="F34" i="101"/>
  <c r="F33" i="101"/>
  <c r="F32" i="101"/>
  <c r="F31" i="101"/>
  <c r="F30" i="101"/>
  <c r="F29" i="101"/>
  <c r="F28" i="101"/>
  <c r="F27" i="101"/>
  <c r="F26" i="101"/>
  <c r="F25" i="101"/>
  <c r="B15" i="101"/>
  <c r="B19" i="101"/>
  <c r="C57" i="107" l="1"/>
  <c r="C52" i="107"/>
  <c r="C62" i="107"/>
  <c r="C86" i="107"/>
  <c r="C33" i="107"/>
  <c r="K42" i="111"/>
  <c r="L42" i="111" s="1"/>
  <c r="I43" i="111" s="1"/>
  <c r="K40" i="110"/>
  <c r="L40" i="110" s="1"/>
  <c r="I41" i="110" s="1"/>
  <c r="F47" i="109"/>
  <c r="H47" i="109" s="1"/>
  <c r="E48" i="109" s="1"/>
  <c r="C93" i="106"/>
  <c r="C81" i="106"/>
  <c r="C69" i="106"/>
  <c r="C57" i="106"/>
  <c r="C45" i="106"/>
  <c r="C33" i="106"/>
  <c r="C86" i="106"/>
  <c r="C74" i="106"/>
  <c r="C62" i="106"/>
  <c r="C50" i="106"/>
  <c r="C38" i="106"/>
  <c r="C26" i="106"/>
  <c r="C91" i="106"/>
  <c r="C79" i="106"/>
  <c r="C67" i="106"/>
  <c r="C55" i="106"/>
  <c r="C43" i="106"/>
  <c r="C31" i="106"/>
  <c r="C96" i="106"/>
  <c r="C84" i="106"/>
  <c r="C72" i="106"/>
  <c r="C60" i="106"/>
  <c r="C48" i="106"/>
  <c r="C36" i="106"/>
  <c r="C92" i="106"/>
  <c r="C80" i="106"/>
  <c r="C68" i="106"/>
  <c r="C56" i="106"/>
  <c r="C44" i="106"/>
  <c r="C32" i="106"/>
  <c r="E14" i="106"/>
  <c r="E15" i="106" s="1"/>
  <c r="C85" i="106"/>
  <c r="C73" i="106"/>
  <c r="C61" i="106"/>
  <c r="C49" i="106"/>
  <c r="C37" i="106"/>
  <c r="C25" i="106"/>
  <c r="C90" i="106"/>
  <c r="C78" i="106"/>
  <c r="C66" i="106"/>
  <c r="C54" i="106"/>
  <c r="C42" i="106"/>
  <c r="C30" i="106"/>
  <c r="B25" i="106"/>
  <c r="C76" i="106"/>
  <c r="C95" i="106"/>
  <c r="C83" i="106"/>
  <c r="C71" i="106"/>
  <c r="C59" i="106"/>
  <c r="C47" i="106"/>
  <c r="C35" i="106"/>
  <c r="C88" i="106"/>
  <c r="C64" i="106"/>
  <c r="C75" i="106"/>
  <c r="C65" i="106"/>
  <c r="C29" i="106"/>
  <c r="C41" i="106"/>
  <c r="C53" i="106"/>
  <c r="C74" i="107"/>
  <c r="C34" i="106"/>
  <c r="C46" i="106"/>
  <c r="C58" i="106"/>
  <c r="C70" i="106"/>
  <c r="C26" i="107"/>
  <c r="C45" i="107"/>
  <c r="C50" i="107"/>
  <c r="C92" i="107"/>
  <c r="C80" i="107"/>
  <c r="C68" i="107"/>
  <c r="C56" i="107"/>
  <c r="C44" i="107"/>
  <c r="C32" i="107"/>
  <c r="C85" i="107"/>
  <c r="C73" i="107"/>
  <c r="C61" i="107"/>
  <c r="C49" i="107"/>
  <c r="C37" i="107"/>
  <c r="C25" i="107"/>
  <c r="C76" i="107"/>
  <c r="C90" i="107"/>
  <c r="C78" i="107"/>
  <c r="C66" i="107"/>
  <c r="C54" i="107"/>
  <c r="C42" i="107"/>
  <c r="C30" i="107"/>
  <c r="C83" i="107"/>
  <c r="C71" i="107"/>
  <c r="C59" i="107"/>
  <c r="C47" i="107"/>
  <c r="C35" i="107"/>
  <c r="C23" i="107"/>
  <c r="C88" i="107"/>
  <c r="C91" i="107"/>
  <c r="C79" i="107"/>
  <c r="C67" i="107"/>
  <c r="C55" i="107"/>
  <c r="C43" i="107"/>
  <c r="C31" i="107"/>
  <c r="C84" i="107"/>
  <c r="C72" i="107"/>
  <c r="C60" i="107"/>
  <c r="C48" i="107"/>
  <c r="C36" i="107"/>
  <c r="C24" i="107"/>
  <c r="C89" i="107"/>
  <c r="C77" i="107"/>
  <c r="C65" i="107"/>
  <c r="C53" i="107"/>
  <c r="C41" i="107"/>
  <c r="C29" i="107"/>
  <c r="C82" i="107"/>
  <c r="C70" i="107"/>
  <c r="C58" i="107"/>
  <c r="C46" i="107"/>
  <c r="C34" i="107"/>
  <c r="C22" i="107"/>
  <c r="F11" i="107" s="1"/>
  <c r="F12" i="107" s="1"/>
  <c r="C87" i="107"/>
  <c r="C75" i="107"/>
  <c r="C63" i="107"/>
  <c r="C51" i="107"/>
  <c r="C39" i="107"/>
  <c r="C27" i="107"/>
  <c r="B22" i="107"/>
  <c r="C40" i="107"/>
  <c r="C64" i="107"/>
  <c r="C81" i="107"/>
  <c r="C93" i="107"/>
  <c r="C89" i="106"/>
  <c r="C27" i="106"/>
  <c r="C39" i="106"/>
  <c r="C51" i="106"/>
  <c r="C63" i="106"/>
  <c r="C82" i="106"/>
  <c r="C87" i="106"/>
  <c r="J14" i="94"/>
  <c r="I15" i="94"/>
  <c r="I14" i="94"/>
  <c r="G14" i="94"/>
  <c r="H14" i="94"/>
  <c r="F14" i="94"/>
  <c r="F44" i="94"/>
  <c r="C44" i="94"/>
  <c r="F43" i="94"/>
  <c r="C43" i="94"/>
  <c r="F42" i="94"/>
  <c r="E42" i="94"/>
  <c r="C42" i="94"/>
  <c r="B42" i="94"/>
  <c r="D42" i="94" s="1"/>
  <c r="B43" i="94" s="1"/>
  <c r="D43" i="94" s="1"/>
  <c r="B44" i="94" s="1"/>
  <c r="D44" i="94" s="1"/>
  <c r="F41" i="94"/>
  <c r="C41" i="94"/>
  <c r="F40" i="94"/>
  <c r="C40" i="94"/>
  <c r="F39" i="94"/>
  <c r="C39" i="94"/>
  <c r="F38" i="94"/>
  <c r="C38" i="94"/>
  <c r="F37" i="94"/>
  <c r="C37" i="94"/>
  <c r="F36" i="94"/>
  <c r="F35" i="94"/>
  <c r="F34" i="94"/>
  <c r="F33" i="94"/>
  <c r="F32" i="94"/>
  <c r="F31" i="94"/>
  <c r="F30" i="94"/>
  <c r="F29" i="94"/>
  <c r="F28" i="94"/>
  <c r="F27" i="94"/>
  <c r="F26" i="94"/>
  <c r="F25" i="94"/>
  <c r="B19" i="94"/>
  <c r="B18" i="94"/>
  <c r="E15" i="94"/>
  <c r="D15" i="94"/>
  <c r="C15" i="94"/>
  <c r="B15" i="94"/>
  <c r="L13" i="94"/>
  <c r="L15" i="94" s="1"/>
  <c r="A6" i="94"/>
  <c r="A3" i="94"/>
  <c r="A2" i="94"/>
  <c r="A1" i="94"/>
  <c r="L14" i="104"/>
  <c r="K14" i="104"/>
  <c r="J14" i="104"/>
  <c r="J15" i="104"/>
  <c r="I15" i="104"/>
  <c r="I14" i="104"/>
  <c r="G81" i="104"/>
  <c r="G80" i="104"/>
  <c r="G79" i="104"/>
  <c r="G78" i="104"/>
  <c r="G77" i="104"/>
  <c r="G76" i="104"/>
  <c r="G75" i="104"/>
  <c r="G74" i="104"/>
  <c r="G73" i="104"/>
  <c r="G72" i="104"/>
  <c r="G71" i="104"/>
  <c r="G70" i="104"/>
  <c r="G69" i="104"/>
  <c r="G68" i="104"/>
  <c r="G67" i="104"/>
  <c r="G66" i="104"/>
  <c r="G65" i="104"/>
  <c r="G64" i="104"/>
  <c r="G63" i="104"/>
  <c r="G62" i="104"/>
  <c r="G61" i="104"/>
  <c r="G60" i="104"/>
  <c r="B20" i="104"/>
  <c r="B19" i="104"/>
  <c r="L15" i="104"/>
  <c r="G56" i="104"/>
  <c r="G55" i="104"/>
  <c r="G53" i="104"/>
  <c r="G52" i="104"/>
  <c r="G51" i="104"/>
  <c r="G50" i="104"/>
  <c r="G49" i="104"/>
  <c r="G48" i="104"/>
  <c r="G46" i="104"/>
  <c r="G44" i="104"/>
  <c r="G43" i="104"/>
  <c r="G41" i="104"/>
  <c r="G40" i="104"/>
  <c r="G39" i="104"/>
  <c r="G38" i="104"/>
  <c r="G37" i="104"/>
  <c r="G36" i="104"/>
  <c r="G34" i="104"/>
  <c r="G32" i="104"/>
  <c r="G31" i="104"/>
  <c r="G29" i="104"/>
  <c r="G28" i="104"/>
  <c r="G27" i="104"/>
  <c r="G26" i="104"/>
  <c r="G25" i="104"/>
  <c r="G24" i="104"/>
  <c r="G54" i="104"/>
  <c r="K15" i="104"/>
  <c r="E15" i="104"/>
  <c r="D15" i="104"/>
  <c r="C15" i="104"/>
  <c r="B15" i="104"/>
  <c r="A6" i="104"/>
  <c r="K41" i="110" l="1"/>
  <c r="L41" i="110" s="1"/>
  <c r="I42" i="110" s="1"/>
  <c r="K43" i="111"/>
  <c r="L43" i="111" s="1"/>
  <c r="I44" i="111" s="1"/>
  <c r="F48" i="109"/>
  <c r="H48" i="109" s="1"/>
  <c r="E49" i="109" s="1"/>
  <c r="E22" i="107"/>
  <c r="D22" i="107"/>
  <c r="B23" i="107" s="1"/>
  <c r="D23" i="107" s="1"/>
  <c r="B24" i="107" s="1"/>
  <c r="D24" i="107" s="1"/>
  <c r="B25" i="107" s="1"/>
  <c r="D25" i="107" s="1"/>
  <c r="E11" i="107"/>
  <c r="E12" i="107" s="1"/>
  <c r="D25" i="106"/>
  <c r="B26" i="106" s="1"/>
  <c r="D26" i="106" s="1"/>
  <c r="B27" i="106" s="1"/>
  <c r="D27" i="106" s="1"/>
  <c r="B28" i="106" s="1"/>
  <c r="D28" i="106" s="1"/>
  <c r="E25" i="106"/>
  <c r="F14" i="106"/>
  <c r="F15" i="106" s="1"/>
  <c r="H42" i="94"/>
  <c r="E43" i="94" s="1"/>
  <c r="G42" i="94"/>
  <c r="B20" i="94"/>
  <c r="C28" i="94" s="1"/>
  <c r="C36" i="94"/>
  <c r="C32" i="94"/>
  <c r="C27" i="94"/>
  <c r="C34" i="94"/>
  <c r="C26" i="94"/>
  <c r="B21" i="104"/>
  <c r="C24" i="104" s="1"/>
  <c r="C60" i="104"/>
  <c r="G58" i="104"/>
  <c r="G33" i="104"/>
  <c r="G45" i="104"/>
  <c r="G57" i="104"/>
  <c r="G35" i="104"/>
  <c r="G47" i="104"/>
  <c r="G59" i="104"/>
  <c r="G30" i="104"/>
  <c r="G42" i="104"/>
  <c r="K44" i="111" l="1"/>
  <c r="L44" i="111" s="1"/>
  <c r="I45" i="111" s="1"/>
  <c r="K42" i="110"/>
  <c r="L42" i="110"/>
  <c r="I43" i="110" s="1"/>
  <c r="F49" i="109"/>
  <c r="H49" i="109" s="1"/>
  <c r="E50" i="109" s="1"/>
  <c r="G22" i="107"/>
  <c r="H22" i="107" s="1"/>
  <c r="E23" i="107" s="1"/>
  <c r="H25" i="106"/>
  <c r="E26" i="106" s="1"/>
  <c r="G25" i="106"/>
  <c r="B29" i="106"/>
  <c r="D29" i="106" s="1"/>
  <c r="B30" i="106" s="1"/>
  <c r="D30" i="106" s="1"/>
  <c r="B31" i="106" s="1"/>
  <c r="D31" i="106" s="1"/>
  <c r="B32" i="106" s="1"/>
  <c r="D32" i="106" s="1"/>
  <c r="B33" i="106" s="1"/>
  <c r="D33" i="106" s="1"/>
  <c r="B34" i="106" s="1"/>
  <c r="D34" i="106" s="1"/>
  <c r="B35" i="106" s="1"/>
  <c r="D35" i="106" s="1"/>
  <c r="B36" i="106" s="1"/>
  <c r="D36" i="106" s="1"/>
  <c r="B37" i="106" s="1"/>
  <c r="D37" i="106" s="1"/>
  <c r="B38" i="106" s="1"/>
  <c r="D38" i="106" s="1"/>
  <c r="B39" i="106" s="1"/>
  <c r="D39" i="106" s="1"/>
  <c r="B40" i="106" s="1"/>
  <c r="D40" i="106" s="1"/>
  <c r="B41" i="106" s="1"/>
  <c r="D41" i="106" s="1"/>
  <c r="B42" i="106" s="1"/>
  <c r="D42" i="106" s="1"/>
  <c r="B43" i="106" s="1"/>
  <c r="D43" i="106" s="1"/>
  <c r="B44" i="106" s="1"/>
  <c r="D44" i="106" s="1"/>
  <c r="B45" i="106" s="1"/>
  <c r="D45" i="106" s="1"/>
  <c r="B46" i="106" s="1"/>
  <c r="D46" i="106" s="1"/>
  <c r="B47" i="106" s="1"/>
  <c r="D47" i="106" s="1"/>
  <c r="B48" i="106" s="1"/>
  <c r="D48" i="106" s="1"/>
  <c r="B49" i="106" s="1"/>
  <c r="D49" i="106" s="1"/>
  <c r="B50" i="106" s="1"/>
  <c r="D50" i="106" s="1"/>
  <c r="B51" i="106" s="1"/>
  <c r="D51" i="106" s="1"/>
  <c r="B52" i="106" s="1"/>
  <c r="D52" i="106" s="1"/>
  <c r="B53" i="106" s="1"/>
  <c r="D53" i="106" s="1"/>
  <c r="B54" i="106" s="1"/>
  <c r="D54" i="106" s="1"/>
  <c r="B55" i="106" s="1"/>
  <c r="D55" i="106" s="1"/>
  <c r="B56" i="106" s="1"/>
  <c r="D56" i="106" s="1"/>
  <c r="B57" i="106" s="1"/>
  <c r="D57" i="106" s="1"/>
  <c r="B58" i="106" s="1"/>
  <c r="D58" i="106" s="1"/>
  <c r="B59" i="106" s="1"/>
  <c r="D59" i="106" s="1"/>
  <c r="B60" i="106" s="1"/>
  <c r="D60" i="106" s="1"/>
  <c r="B61" i="106" s="1"/>
  <c r="D61" i="106" s="1"/>
  <c r="B62" i="106" s="1"/>
  <c r="D62" i="106" s="1"/>
  <c r="B63" i="106" s="1"/>
  <c r="D63" i="106" s="1"/>
  <c r="B64" i="106" s="1"/>
  <c r="D64" i="106" s="1"/>
  <c r="B65" i="106" s="1"/>
  <c r="D65" i="106" s="1"/>
  <c r="B66" i="106" s="1"/>
  <c r="D66" i="106" s="1"/>
  <c r="B67" i="106" s="1"/>
  <c r="D67" i="106" s="1"/>
  <c r="B68" i="106" s="1"/>
  <c r="D68" i="106" s="1"/>
  <c r="B69" i="106" s="1"/>
  <c r="D69" i="106" s="1"/>
  <c r="B70" i="106" s="1"/>
  <c r="D70" i="106" s="1"/>
  <c r="B71" i="106" s="1"/>
  <c r="D71" i="106" s="1"/>
  <c r="B72" i="106" s="1"/>
  <c r="D72" i="106" s="1"/>
  <c r="B73" i="106" s="1"/>
  <c r="D73" i="106" s="1"/>
  <c r="B74" i="106" s="1"/>
  <c r="D74" i="106" s="1"/>
  <c r="B75" i="106" s="1"/>
  <c r="D75" i="106" s="1"/>
  <c r="B76" i="106" s="1"/>
  <c r="D76" i="106" s="1"/>
  <c r="B77" i="106" s="1"/>
  <c r="D77" i="106" s="1"/>
  <c r="B78" i="106" s="1"/>
  <c r="D78" i="106" s="1"/>
  <c r="B79" i="106" s="1"/>
  <c r="D79" i="106" s="1"/>
  <c r="B80" i="106" s="1"/>
  <c r="D80" i="106" s="1"/>
  <c r="B81" i="106" s="1"/>
  <c r="D81" i="106" s="1"/>
  <c r="B82" i="106" s="1"/>
  <c r="D82" i="106" s="1"/>
  <c r="B83" i="106" s="1"/>
  <c r="D83" i="106" s="1"/>
  <c r="B84" i="106" s="1"/>
  <c r="D84" i="106" s="1"/>
  <c r="B85" i="106" s="1"/>
  <c r="D85" i="106" s="1"/>
  <c r="B86" i="106" s="1"/>
  <c r="D86" i="106" s="1"/>
  <c r="B87" i="106" s="1"/>
  <c r="D87" i="106" s="1"/>
  <c r="B88" i="106" s="1"/>
  <c r="D88" i="106" s="1"/>
  <c r="B89" i="106" s="1"/>
  <c r="D89" i="106" s="1"/>
  <c r="B90" i="106" s="1"/>
  <c r="D90" i="106" s="1"/>
  <c r="B91" i="106" s="1"/>
  <c r="D91" i="106" s="1"/>
  <c r="B92" i="106" s="1"/>
  <c r="D92" i="106" s="1"/>
  <c r="B93" i="106" s="1"/>
  <c r="D93" i="106" s="1"/>
  <c r="B94" i="106" s="1"/>
  <c r="D94" i="106" s="1"/>
  <c r="B95" i="106" s="1"/>
  <c r="D95" i="106" s="1"/>
  <c r="B96" i="106" s="1"/>
  <c r="D96" i="106" s="1"/>
  <c r="G14" i="106"/>
  <c r="G15" i="106" s="1"/>
  <c r="B26" i="107"/>
  <c r="D26" i="107" s="1"/>
  <c r="B27" i="107" s="1"/>
  <c r="D27" i="107" s="1"/>
  <c r="B28" i="107" s="1"/>
  <c r="D28" i="107" s="1"/>
  <c r="B29" i="107" s="1"/>
  <c r="D29" i="107" s="1"/>
  <c r="B30" i="107" s="1"/>
  <c r="D30" i="107" s="1"/>
  <c r="B31" i="107" s="1"/>
  <c r="D31" i="107" s="1"/>
  <c r="B32" i="107" s="1"/>
  <c r="D32" i="107" s="1"/>
  <c r="B33" i="107" s="1"/>
  <c r="D33" i="107" s="1"/>
  <c r="B34" i="107" s="1"/>
  <c r="D34" i="107" s="1"/>
  <c r="B35" i="107" s="1"/>
  <c r="D35" i="107" s="1"/>
  <c r="B36" i="107" s="1"/>
  <c r="D36" i="107" s="1"/>
  <c r="B37" i="107" s="1"/>
  <c r="D37" i="107" s="1"/>
  <c r="B38" i="107" s="1"/>
  <c r="D38" i="107" s="1"/>
  <c r="B39" i="107" s="1"/>
  <c r="D39" i="107" s="1"/>
  <c r="B40" i="107" s="1"/>
  <c r="D40" i="107" s="1"/>
  <c r="B41" i="107" s="1"/>
  <c r="D41" i="107" s="1"/>
  <c r="B42" i="107" s="1"/>
  <c r="D42" i="107" s="1"/>
  <c r="B43" i="107" s="1"/>
  <c r="D43" i="107" s="1"/>
  <c r="B44" i="107" s="1"/>
  <c r="D44" i="107" s="1"/>
  <c r="B45" i="107" s="1"/>
  <c r="D45" i="107" s="1"/>
  <c r="B46" i="107" s="1"/>
  <c r="D46" i="107" s="1"/>
  <c r="B47" i="107" s="1"/>
  <c r="D47" i="107" s="1"/>
  <c r="B48" i="107" s="1"/>
  <c r="D48" i="107" s="1"/>
  <c r="B49" i="107" s="1"/>
  <c r="D49" i="107" s="1"/>
  <c r="B50" i="107" s="1"/>
  <c r="D50" i="107" s="1"/>
  <c r="B51" i="107" s="1"/>
  <c r="D51" i="107" s="1"/>
  <c r="B52" i="107" s="1"/>
  <c r="D52" i="107" s="1"/>
  <c r="B53" i="107" s="1"/>
  <c r="D53" i="107" s="1"/>
  <c r="B54" i="107" s="1"/>
  <c r="D54" i="107" s="1"/>
  <c r="B55" i="107" s="1"/>
  <c r="D55" i="107" s="1"/>
  <c r="B56" i="107" s="1"/>
  <c r="D56" i="107" s="1"/>
  <c r="B57" i="107" s="1"/>
  <c r="D57" i="107" s="1"/>
  <c r="B58" i="107" s="1"/>
  <c r="D58" i="107" s="1"/>
  <c r="B59" i="107" s="1"/>
  <c r="D59" i="107" s="1"/>
  <c r="B60" i="107" s="1"/>
  <c r="D60" i="107" s="1"/>
  <c r="B61" i="107" s="1"/>
  <c r="D61" i="107" s="1"/>
  <c r="B62" i="107" s="1"/>
  <c r="D62" i="107" s="1"/>
  <c r="B63" i="107" s="1"/>
  <c r="D63" i="107" s="1"/>
  <c r="B64" i="107" s="1"/>
  <c r="D64" i="107" s="1"/>
  <c r="B65" i="107" s="1"/>
  <c r="D65" i="107" s="1"/>
  <c r="B66" i="107" s="1"/>
  <c r="D66" i="107" s="1"/>
  <c r="B67" i="107" s="1"/>
  <c r="D67" i="107" s="1"/>
  <c r="B68" i="107" s="1"/>
  <c r="D68" i="107" s="1"/>
  <c r="B69" i="107" s="1"/>
  <c r="D69" i="107" s="1"/>
  <c r="B70" i="107" s="1"/>
  <c r="D70" i="107" s="1"/>
  <c r="B71" i="107" s="1"/>
  <c r="D71" i="107" s="1"/>
  <c r="B72" i="107" s="1"/>
  <c r="D72" i="107" s="1"/>
  <c r="B73" i="107" s="1"/>
  <c r="D73" i="107" s="1"/>
  <c r="B74" i="107" s="1"/>
  <c r="D74" i="107" s="1"/>
  <c r="B75" i="107" s="1"/>
  <c r="D75" i="107" s="1"/>
  <c r="B76" i="107" s="1"/>
  <c r="D76" i="107" s="1"/>
  <c r="B77" i="107" s="1"/>
  <c r="D77" i="107" s="1"/>
  <c r="B78" i="107" s="1"/>
  <c r="D78" i="107" s="1"/>
  <c r="B79" i="107" s="1"/>
  <c r="D79" i="107" s="1"/>
  <c r="B80" i="107" s="1"/>
  <c r="D80" i="107" s="1"/>
  <c r="B81" i="107" s="1"/>
  <c r="D81" i="107" s="1"/>
  <c r="B82" i="107" s="1"/>
  <c r="D82" i="107" s="1"/>
  <c r="B83" i="107" s="1"/>
  <c r="D83" i="107" s="1"/>
  <c r="B84" i="107" s="1"/>
  <c r="D84" i="107" s="1"/>
  <c r="B85" i="107" s="1"/>
  <c r="D85" i="107" s="1"/>
  <c r="B86" i="107" s="1"/>
  <c r="D86" i="107" s="1"/>
  <c r="B87" i="107" s="1"/>
  <c r="D87" i="107" s="1"/>
  <c r="B88" i="107" s="1"/>
  <c r="D88" i="107" s="1"/>
  <c r="B89" i="107" s="1"/>
  <c r="D89" i="107" s="1"/>
  <c r="B90" i="107" s="1"/>
  <c r="D90" i="107" s="1"/>
  <c r="B91" i="107" s="1"/>
  <c r="D91" i="107" s="1"/>
  <c r="B92" i="107" s="1"/>
  <c r="D92" i="107" s="1"/>
  <c r="B93" i="107" s="1"/>
  <c r="D93" i="107" s="1"/>
  <c r="G11" i="107"/>
  <c r="G12" i="107" s="1"/>
  <c r="G43" i="94"/>
  <c r="H43" i="94" s="1"/>
  <c r="E44" i="94" s="1"/>
  <c r="C25" i="94"/>
  <c r="C30" i="94"/>
  <c r="B25" i="94"/>
  <c r="C35" i="94"/>
  <c r="C33" i="94"/>
  <c r="C31" i="94"/>
  <c r="C29" i="94"/>
  <c r="E25" i="94"/>
  <c r="D25" i="94"/>
  <c r="B26" i="94" s="1"/>
  <c r="D26" i="94" s="1"/>
  <c r="B27" i="94" s="1"/>
  <c r="D27" i="94" s="1"/>
  <c r="B28" i="94" s="1"/>
  <c r="D28" i="94" s="1"/>
  <c r="B29" i="94" s="1"/>
  <c r="D29" i="94" s="1"/>
  <c r="B30" i="94" s="1"/>
  <c r="D30" i="94" s="1"/>
  <c r="B31" i="94" s="1"/>
  <c r="D31" i="94" s="1"/>
  <c r="B32" i="94" s="1"/>
  <c r="D32" i="94" s="1"/>
  <c r="B33" i="94" s="1"/>
  <c r="D33" i="94" s="1"/>
  <c r="B34" i="94" s="1"/>
  <c r="D34" i="94" s="1"/>
  <c r="B35" i="94" s="1"/>
  <c r="D35" i="94" s="1"/>
  <c r="B36" i="94" s="1"/>
  <c r="D36" i="94" s="1"/>
  <c r="F15" i="94"/>
  <c r="C72" i="104"/>
  <c r="C65" i="104"/>
  <c r="C78" i="104"/>
  <c r="C76" i="104"/>
  <c r="C77" i="104"/>
  <c r="C48" i="104"/>
  <c r="C66" i="104"/>
  <c r="C52" i="104"/>
  <c r="C62" i="104"/>
  <c r="C30" i="104"/>
  <c r="C68" i="104"/>
  <c r="C70" i="104"/>
  <c r="C26" i="104"/>
  <c r="C38" i="104"/>
  <c r="C50" i="104"/>
  <c r="C32" i="104"/>
  <c r="C74" i="104"/>
  <c r="C64" i="104"/>
  <c r="C63" i="104"/>
  <c r="C42" i="104"/>
  <c r="C61" i="104"/>
  <c r="C69" i="104"/>
  <c r="C25" i="104"/>
  <c r="C67" i="104"/>
  <c r="C75" i="104"/>
  <c r="C37" i="104"/>
  <c r="C73" i="104"/>
  <c r="C81" i="104"/>
  <c r="C36" i="104"/>
  <c r="C79" i="104"/>
  <c r="C80" i="104"/>
  <c r="E24" i="104"/>
  <c r="C58" i="104"/>
  <c r="C71" i="104"/>
  <c r="C45" i="104"/>
  <c r="C31" i="104"/>
  <c r="C33" i="104"/>
  <c r="C27" i="104"/>
  <c r="C43" i="104"/>
  <c r="C40" i="104"/>
  <c r="C39" i="104"/>
  <c r="C29" i="104"/>
  <c r="C35" i="104"/>
  <c r="C56" i="104"/>
  <c r="C41" i="104"/>
  <c r="C59" i="104"/>
  <c r="C53" i="104"/>
  <c r="F14" i="104" s="1"/>
  <c r="F15" i="104" s="1"/>
  <c r="C54" i="104"/>
  <c r="C55" i="104"/>
  <c r="C47" i="104"/>
  <c r="C34" i="104"/>
  <c r="C51" i="104"/>
  <c r="C57" i="104"/>
  <c r="C44" i="104"/>
  <c r="B24" i="104"/>
  <c r="C28" i="104"/>
  <c r="C49" i="104"/>
  <c r="C46" i="104"/>
  <c r="F24" i="104"/>
  <c r="H24" i="104" s="1"/>
  <c r="E25" i="104" s="1"/>
  <c r="K43" i="110" l="1"/>
  <c r="L43" i="110" s="1"/>
  <c r="I44" i="110" s="1"/>
  <c r="K45" i="111"/>
  <c r="L45" i="111"/>
  <c r="I46" i="111" s="1"/>
  <c r="F50" i="109"/>
  <c r="H50" i="109" s="1"/>
  <c r="E51" i="109" s="1"/>
  <c r="G26" i="106"/>
  <c r="G23" i="107"/>
  <c r="G44" i="94"/>
  <c r="H44" i="94" s="1"/>
  <c r="G15" i="94"/>
  <c r="B37" i="94"/>
  <c r="D37" i="94" s="1"/>
  <c r="B38" i="94" s="1"/>
  <c r="D38" i="94" s="1"/>
  <c r="B39" i="94" s="1"/>
  <c r="D39" i="94" s="1"/>
  <c r="B40" i="94" s="1"/>
  <c r="D40" i="94" s="1"/>
  <c r="B41" i="94" s="1"/>
  <c r="D41" i="94" s="1"/>
  <c r="G25" i="94"/>
  <c r="H25" i="94" s="1"/>
  <c r="E26" i="94" s="1"/>
  <c r="D24" i="104"/>
  <c r="B25" i="104" s="1"/>
  <c r="D25" i="104" s="1"/>
  <c r="B26" i="104" s="1"/>
  <c r="D26" i="104" s="1"/>
  <c r="B27" i="104" s="1"/>
  <c r="D27" i="104" s="1"/>
  <c r="B28" i="104" s="1"/>
  <c r="D28" i="104" s="1"/>
  <c r="B29" i="104" s="1"/>
  <c r="D29" i="104" s="1"/>
  <c r="B30" i="104" s="1"/>
  <c r="D30" i="104" s="1"/>
  <c r="B31" i="104" s="1"/>
  <c r="D31" i="104" s="1"/>
  <c r="B32" i="104" s="1"/>
  <c r="D32" i="104" s="1"/>
  <c r="B33" i="104" s="1"/>
  <c r="D33" i="104" s="1"/>
  <c r="B34" i="104" s="1"/>
  <c r="D34" i="104" s="1"/>
  <c r="B35" i="104" s="1"/>
  <c r="D35" i="104" s="1"/>
  <c r="B36" i="104" s="1"/>
  <c r="D36" i="104" s="1"/>
  <c r="B37" i="104" s="1"/>
  <c r="D37" i="104" s="1"/>
  <c r="B38" i="104" s="1"/>
  <c r="D38" i="104" s="1"/>
  <c r="B39" i="104" s="1"/>
  <c r="D39" i="104" s="1"/>
  <c r="B40" i="104" s="1"/>
  <c r="D40" i="104" s="1"/>
  <c r="B41" i="104" s="1"/>
  <c r="D41" i="104" s="1"/>
  <c r="B42" i="104" s="1"/>
  <c r="D42" i="104" s="1"/>
  <c r="B43" i="104" s="1"/>
  <c r="D43" i="104" s="1"/>
  <c r="B44" i="104" s="1"/>
  <c r="D44" i="104" s="1"/>
  <c r="B45" i="104" s="1"/>
  <c r="D45" i="104" s="1"/>
  <c r="B46" i="104" s="1"/>
  <c r="D46" i="104" s="1"/>
  <c r="B47" i="104" s="1"/>
  <c r="D47" i="104" s="1"/>
  <c r="B48" i="104" s="1"/>
  <c r="D48" i="104" s="1"/>
  <c r="B49" i="104" s="1"/>
  <c r="D49" i="104" s="1"/>
  <c r="B50" i="104" s="1"/>
  <c r="D50" i="104" s="1"/>
  <c r="B51" i="104" s="1"/>
  <c r="D51" i="104" s="1"/>
  <c r="B52" i="104" s="1"/>
  <c r="D52" i="104" s="1"/>
  <c r="B53" i="104" s="1"/>
  <c r="D53" i="104" s="1"/>
  <c r="B54" i="104" s="1"/>
  <c r="D54" i="104" s="1"/>
  <c r="B55" i="104" s="1"/>
  <c r="D55" i="104" s="1"/>
  <c r="B56" i="104" s="1"/>
  <c r="D56" i="104" s="1"/>
  <c r="B57" i="104" s="1"/>
  <c r="D57" i="104" s="1"/>
  <c r="B58" i="104" s="1"/>
  <c r="D58" i="104" s="1"/>
  <c r="B59" i="104" s="1"/>
  <c r="D59" i="104" s="1"/>
  <c r="F25" i="104"/>
  <c r="H25" i="104" s="1"/>
  <c r="E26" i="104" s="1"/>
  <c r="K44" i="110" l="1"/>
  <c r="L44" i="110" s="1"/>
  <c r="I45" i="110" s="1"/>
  <c r="K46" i="111"/>
  <c r="L46" i="111" s="1"/>
  <c r="I47" i="111" s="1"/>
  <c r="F51" i="109"/>
  <c r="H51" i="109" s="1"/>
  <c r="E52" i="109" s="1"/>
  <c r="H23" i="107"/>
  <c r="E24" i="107" s="1"/>
  <c r="H26" i="106"/>
  <c r="E27" i="106" s="1"/>
  <c r="G26" i="94"/>
  <c r="H26" i="94" s="1"/>
  <c r="E27" i="94" s="1"/>
  <c r="B60" i="104"/>
  <c r="D60" i="104" s="1"/>
  <c r="B61" i="104" s="1"/>
  <c r="D61" i="104" s="1"/>
  <c r="B62" i="104" s="1"/>
  <c r="D62" i="104" s="1"/>
  <c r="B63" i="104" s="1"/>
  <c r="D63" i="104" s="1"/>
  <c r="F26" i="104"/>
  <c r="H26" i="104" s="1"/>
  <c r="E27" i="104" s="1"/>
  <c r="K47" i="111" l="1"/>
  <c r="L47" i="111" s="1"/>
  <c r="I48" i="111" s="1"/>
  <c r="K45" i="110"/>
  <c r="L45" i="110" s="1"/>
  <c r="I46" i="110" s="1"/>
  <c r="F52" i="109"/>
  <c r="H52" i="109" s="1"/>
  <c r="E53" i="109" s="1"/>
  <c r="G27" i="106"/>
  <c r="H27" i="106" s="1"/>
  <c r="E28" i="106" s="1"/>
  <c r="G24" i="107"/>
  <c r="H24" i="107" s="1"/>
  <c r="E25" i="107" s="1"/>
  <c r="G27" i="94"/>
  <c r="H27" i="94" s="1"/>
  <c r="E28" i="94" s="1"/>
  <c r="B64" i="104"/>
  <c r="D64" i="104" s="1"/>
  <c r="B65" i="104" s="1"/>
  <c r="D65" i="104" s="1"/>
  <c r="B66" i="104" s="1"/>
  <c r="D66" i="104" s="1"/>
  <c r="B67" i="104" s="1"/>
  <c r="D67" i="104" s="1"/>
  <c r="B68" i="104" s="1"/>
  <c r="D68" i="104" s="1"/>
  <c r="B69" i="104" s="1"/>
  <c r="D69" i="104" s="1"/>
  <c r="B70" i="104" s="1"/>
  <c r="D70" i="104" s="1"/>
  <c r="B71" i="104" s="1"/>
  <c r="D71" i="104" s="1"/>
  <c r="B72" i="104" s="1"/>
  <c r="D72" i="104" s="1"/>
  <c r="B73" i="104" s="1"/>
  <c r="D73" i="104" s="1"/>
  <c r="B74" i="104" s="1"/>
  <c r="D74" i="104" s="1"/>
  <c r="B75" i="104" s="1"/>
  <c r="D75" i="104" s="1"/>
  <c r="B76" i="104" s="1"/>
  <c r="D76" i="104" s="1"/>
  <c r="B77" i="104" s="1"/>
  <c r="D77" i="104" s="1"/>
  <c r="B78" i="104" s="1"/>
  <c r="D78" i="104" s="1"/>
  <c r="B79" i="104" s="1"/>
  <c r="D79" i="104" s="1"/>
  <c r="B80" i="104" s="1"/>
  <c r="D80" i="104" s="1"/>
  <c r="B81" i="104" s="1"/>
  <c r="D81" i="104" s="1"/>
  <c r="G14" i="104"/>
  <c r="G15" i="104" s="1"/>
  <c r="F27" i="104"/>
  <c r="H27" i="104" s="1"/>
  <c r="E28" i="104" s="1"/>
  <c r="K46" i="110" l="1"/>
  <c r="L46" i="110" s="1"/>
  <c r="I47" i="110" s="1"/>
  <c r="K48" i="111"/>
  <c r="L48" i="111" s="1"/>
  <c r="F53" i="109"/>
  <c r="H53" i="109" s="1"/>
  <c r="E54" i="109" s="1"/>
  <c r="G28" i="106"/>
  <c r="H14" i="106" s="1"/>
  <c r="H15" i="106" s="1"/>
  <c r="G25" i="107"/>
  <c r="H11" i="107" s="1"/>
  <c r="H12" i="107" s="1"/>
  <c r="G28" i="94"/>
  <c r="H28" i="94" s="1"/>
  <c r="E29" i="94" s="1"/>
  <c r="F28" i="104"/>
  <c r="H28" i="104" s="1"/>
  <c r="E29" i="104" s="1"/>
  <c r="K14" i="99"/>
  <c r="J14" i="99"/>
  <c r="I14" i="99"/>
  <c r="H14" i="99"/>
  <c r="F14" i="99"/>
  <c r="G14" i="99"/>
  <c r="I15" i="95"/>
  <c r="I14" i="95"/>
  <c r="H14" i="95"/>
  <c r="G14" i="95"/>
  <c r="F14" i="95"/>
  <c r="K47" i="110" l="1"/>
  <c r="L47" i="110" s="1"/>
  <c r="I48" i="110" s="1"/>
  <c r="I49" i="111"/>
  <c r="F54" i="109"/>
  <c r="H54" i="109" s="1"/>
  <c r="E55" i="109" s="1"/>
  <c r="H28" i="106"/>
  <c r="H25" i="107"/>
  <c r="G29" i="94"/>
  <c r="H29" i="94" s="1"/>
  <c r="E30" i="94" s="1"/>
  <c r="F29" i="104"/>
  <c r="H29" i="104" s="1"/>
  <c r="E30" i="104" s="1"/>
  <c r="F36" i="95"/>
  <c r="F35" i="95"/>
  <c r="F34" i="95"/>
  <c r="F33" i="95"/>
  <c r="F32" i="95"/>
  <c r="F31" i="95"/>
  <c r="F30" i="95"/>
  <c r="F29" i="95"/>
  <c r="F28" i="95"/>
  <c r="F27" i="95"/>
  <c r="F26" i="95"/>
  <c r="F25" i="95"/>
  <c r="B19" i="95"/>
  <c r="B18" i="95"/>
  <c r="E15" i="95"/>
  <c r="D15" i="95"/>
  <c r="C15" i="95"/>
  <c r="B15" i="95"/>
  <c r="L13" i="95"/>
  <c r="L15" i="95" s="1"/>
  <c r="A6" i="95"/>
  <c r="A3" i="95"/>
  <c r="A3" i="104" s="1"/>
  <c r="A2" i="95"/>
  <c r="A2" i="104" s="1"/>
  <c r="A1" i="95"/>
  <c r="A1" i="104" s="1"/>
  <c r="J14" i="96"/>
  <c r="J15" i="96" s="1"/>
  <c r="I15" i="96"/>
  <c r="I14" i="96"/>
  <c r="H15" i="96"/>
  <c r="H14" i="96"/>
  <c r="G14" i="96"/>
  <c r="F14" i="96"/>
  <c r="L13" i="96"/>
  <c r="L15" i="96" s="1"/>
  <c r="F36" i="96"/>
  <c r="F35" i="96"/>
  <c r="F34" i="96"/>
  <c r="F33" i="96"/>
  <c r="F32" i="96"/>
  <c r="F31" i="96"/>
  <c r="F30" i="96"/>
  <c r="F29" i="96"/>
  <c r="F28" i="96"/>
  <c r="F27" i="96"/>
  <c r="F26" i="96"/>
  <c r="F25" i="96"/>
  <c r="B19" i="96"/>
  <c r="B20" i="96" s="1"/>
  <c r="C28" i="96" s="1"/>
  <c r="B18" i="96"/>
  <c r="E15" i="96"/>
  <c r="D15" i="96"/>
  <c r="C15" i="96"/>
  <c r="B15" i="96"/>
  <c r="A6" i="96"/>
  <c r="A3" i="96"/>
  <c r="A2" i="96"/>
  <c r="A1" i="96"/>
  <c r="K14" i="97"/>
  <c r="J14" i="97"/>
  <c r="I15" i="97"/>
  <c r="F25" i="97"/>
  <c r="F26" i="97"/>
  <c r="F27" i="97"/>
  <c r="F28" i="97"/>
  <c r="F29" i="97"/>
  <c r="F30" i="97"/>
  <c r="F31" i="97"/>
  <c r="F32" i="97"/>
  <c r="F33" i="97"/>
  <c r="F34" i="97"/>
  <c r="F35" i="97"/>
  <c r="F36" i="97"/>
  <c r="I14" i="97"/>
  <c r="G14" i="97"/>
  <c r="F15" i="97"/>
  <c r="F14" i="97"/>
  <c r="D15" i="97"/>
  <c r="B13" i="97"/>
  <c r="B15" i="97" s="1"/>
  <c r="B19" i="97"/>
  <c r="B18" i="97"/>
  <c r="E15" i="97"/>
  <c r="C15" i="97"/>
  <c r="A6" i="97"/>
  <c r="A3" i="97"/>
  <c r="A2" i="97"/>
  <c r="A1" i="97"/>
  <c r="K48" i="110" l="1"/>
  <c r="H14" i="110" s="1"/>
  <c r="L48" i="110"/>
  <c r="K49" i="111"/>
  <c r="L49" i="111"/>
  <c r="I50" i="111" s="1"/>
  <c r="F55" i="109"/>
  <c r="H55" i="109" s="1"/>
  <c r="E56" i="109" s="1"/>
  <c r="E26" i="107"/>
  <c r="J11" i="107"/>
  <c r="E29" i="106"/>
  <c r="J14" i="106"/>
  <c r="J15" i="106" s="1"/>
  <c r="G30" i="94"/>
  <c r="H30" i="94" s="1"/>
  <c r="E31" i="94" s="1"/>
  <c r="F30" i="104"/>
  <c r="H30" i="104" s="1"/>
  <c r="E31" i="104" s="1"/>
  <c r="B20" i="95"/>
  <c r="C33" i="95" s="1"/>
  <c r="C27" i="96"/>
  <c r="C25" i="96"/>
  <c r="C32" i="96"/>
  <c r="C34" i="96"/>
  <c r="C35" i="96"/>
  <c r="B25" i="96"/>
  <c r="C30" i="96"/>
  <c r="C29" i="96"/>
  <c r="C36" i="96"/>
  <c r="C31" i="96"/>
  <c r="C26" i="96"/>
  <c r="C33" i="96"/>
  <c r="B20" i="97"/>
  <c r="B25" i="97" s="1"/>
  <c r="C25" i="97"/>
  <c r="B19" i="100"/>
  <c r="B17" i="100"/>
  <c r="H15" i="110" l="1"/>
  <c r="K50" i="111"/>
  <c r="L50" i="111" s="1"/>
  <c r="I51" i="111" s="1"/>
  <c r="I49" i="110"/>
  <c r="F56" i="109"/>
  <c r="H56" i="109" s="1"/>
  <c r="E57" i="109" s="1"/>
  <c r="G29" i="106"/>
  <c r="H29" i="106" s="1"/>
  <c r="J12" i="107"/>
  <c r="G26" i="107"/>
  <c r="H26" i="107" s="1"/>
  <c r="E27" i="107" s="1"/>
  <c r="G31" i="94"/>
  <c r="H31" i="94" s="1"/>
  <c r="E32" i="94" s="1"/>
  <c r="F31" i="104"/>
  <c r="H31" i="104" s="1"/>
  <c r="E32" i="104" s="1"/>
  <c r="C25" i="95"/>
  <c r="C34" i="95"/>
  <c r="C29" i="95"/>
  <c r="B25" i="95"/>
  <c r="E25" i="95" s="1"/>
  <c r="C30" i="95"/>
  <c r="C32" i="95"/>
  <c r="C27" i="95"/>
  <c r="C36" i="95"/>
  <c r="C31" i="95"/>
  <c r="C26" i="95"/>
  <c r="C28" i="95"/>
  <c r="C35" i="95"/>
  <c r="F15" i="96"/>
  <c r="E25" i="96"/>
  <c r="D25" i="96"/>
  <c r="B26" i="96" s="1"/>
  <c r="D26" i="96" s="1"/>
  <c r="B27" i="96" s="1"/>
  <c r="D27" i="96" s="1"/>
  <c r="B28" i="96" s="1"/>
  <c r="D28" i="96" s="1"/>
  <c r="B29" i="96" s="1"/>
  <c r="D29" i="96" s="1"/>
  <c r="B30" i="96" s="1"/>
  <c r="D30" i="96" s="1"/>
  <c r="B31" i="96" s="1"/>
  <c r="D31" i="96" s="1"/>
  <c r="B32" i="96" s="1"/>
  <c r="D32" i="96" s="1"/>
  <c r="B33" i="96" s="1"/>
  <c r="D33" i="96" s="1"/>
  <c r="B34" i="96" s="1"/>
  <c r="D34" i="96" s="1"/>
  <c r="B35" i="96" s="1"/>
  <c r="D35" i="96" s="1"/>
  <c r="C31" i="97"/>
  <c r="C29" i="97"/>
  <c r="C27" i="97"/>
  <c r="C34" i="97"/>
  <c r="C26" i="97"/>
  <c r="C33" i="97"/>
  <c r="E25" i="97"/>
  <c r="C30" i="97"/>
  <c r="C32" i="97"/>
  <c r="C36" i="97"/>
  <c r="C28" i="97"/>
  <c r="C35" i="97"/>
  <c r="B18" i="101"/>
  <c r="E15" i="101"/>
  <c r="D15" i="101"/>
  <c r="C15" i="101"/>
  <c r="A6" i="101"/>
  <c r="A3" i="101"/>
  <c r="A2" i="101"/>
  <c r="A1" i="101"/>
  <c r="F26" i="99"/>
  <c r="F84" i="100"/>
  <c r="F83" i="100"/>
  <c r="F82" i="100"/>
  <c r="F81" i="100"/>
  <c r="F80" i="100"/>
  <c r="F79" i="100"/>
  <c r="F78" i="100"/>
  <c r="F77" i="100"/>
  <c r="F76" i="100"/>
  <c r="F75" i="100"/>
  <c r="F74" i="100"/>
  <c r="F73" i="100"/>
  <c r="F72" i="100"/>
  <c r="F71" i="100"/>
  <c r="F70" i="100"/>
  <c r="F69" i="100"/>
  <c r="F68" i="100"/>
  <c r="F67" i="100"/>
  <c r="F66" i="100"/>
  <c r="F65" i="100"/>
  <c r="F64" i="100"/>
  <c r="F63" i="100"/>
  <c r="F62" i="100"/>
  <c r="F61" i="100"/>
  <c r="F60" i="100"/>
  <c r="F59" i="100"/>
  <c r="F58" i="100"/>
  <c r="F57" i="100"/>
  <c r="F56" i="100"/>
  <c r="F55" i="100"/>
  <c r="F54" i="100"/>
  <c r="F53" i="100"/>
  <c r="F52" i="100"/>
  <c r="F51" i="100"/>
  <c r="F50" i="100"/>
  <c r="B19" i="98"/>
  <c r="B19" i="99"/>
  <c r="F84" i="99"/>
  <c r="F83" i="99"/>
  <c r="F82" i="99"/>
  <c r="F81" i="99"/>
  <c r="F80" i="99"/>
  <c r="F79" i="99"/>
  <c r="F78" i="99"/>
  <c r="F77" i="99"/>
  <c r="F76" i="99"/>
  <c r="F75" i="99"/>
  <c r="F74" i="99"/>
  <c r="F73" i="99"/>
  <c r="F72" i="99"/>
  <c r="F71" i="99"/>
  <c r="F70" i="99"/>
  <c r="F69" i="99"/>
  <c r="F68" i="99"/>
  <c r="F67" i="99"/>
  <c r="F66" i="99"/>
  <c r="F65" i="99"/>
  <c r="F64" i="99"/>
  <c r="F63" i="99"/>
  <c r="F62" i="99"/>
  <c r="F61" i="99"/>
  <c r="F60" i="99"/>
  <c r="F59" i="99"/>
  <c r="F58" i="99"/>
  <c r="F57" i="99"/>
  <c r="F56" i="99"/>
  <c r="F55" i="99"/>
  <c r="F54" i="99"/>
  <c r="F53" i="99"/>
  <c r="F52" i="99"/>
  <c r="F51" i="99"/>
  <c r="F50" i="99"/>
  <c r="F49" i="99"/>
  <c r="F48" i="99"/>
  <c r="F47" i="99"/>
  <c r="F46" i="99"/>
  <c r="F45" i="99"/>
  <c r="F44" i="99"/>
  <c r="F43" i="99"/>
  <c r="F42" i="99"/>
  <c r="F41" i="99"/>
  <c r="F40" i="99"/>
  <c r="F39" i="99"/>
  <c r="F38" i="99"/>
  <c r="F37" i="99"/>
  <c r="F36" i="99"/>
  <c r="F35" i="99"/>
  <c r="F34" i="99"/>
  <c r="F33" i="99"/>
  <c r="F32" i="99"/>
  <c r="F31" i="99"/>
  <c r="F30" i="99"/>
  <c r="F29" i="99"/>
  <c r="F28" i="99"/>
  <c r="F27" i="99"/>
  <c r="F25" i="99"/>
  <c r="B18" i="99"/>
  <c r="E15" i="99"/>
  <c r="D15" i="99"/>
  <c r="C15" i="99"/>
  <c r="B15" i="99"/>
  <c r="A6" i="99"/>
  <c r="A3" i="99"/>
  <c r="A2" i="99"/>
  <c r="A1" i="99"/>
  <c r="F84" i="98"/>
  <c r="F83" i="98"/>
  <c r="F82" i="98"/>
  <c r="F81" i="98"/>
  <c r="F80" i="98"/>
  <c r="F79" i="98"/>
  <c r="F78" i="98"/>
  <c r="F77" i="98"/>
  <c r="F76" i="98"/>
  <c r="F75" i="98"/>
  <c r="F74" i="98"/>
  <c r="F73" i="98"/>
  <c r="F72" i="98"/>
  <c r="F71" i="98"/>
  <c r="F70" i="98"/>
  <c r="F69" i="98"/>
  <c r="F68" i="98"/>
  <c r="F67" i="98"/>
  <c r="F66" i="98"/>
  <c r="F65" i="98"/>
  <c r="F64" i="98"/>
  <c r="F63" i="98"/>
  <c r="F62" i="98"/>
  <c r="F61" i="98"/>
  <c r="F60" i="98"/>
  <c r="F59" i="98"/>
  <c r="F58" i="98"/>
  <c r="F57" i="98"/>
  <c r="F56" i="98"/>
  <c r="F55" i="98"/>
  <c r="F54" i="98"/>
  <c r="F53" i="98"/>
  <c r="F52" i="98"/>
  <c r="F51" i="98"/>
  <c r="F50" i="98"/>
  <c r="F49" i="98"/>
  <c r="F48" i="98"/>
  <c r="F47" i="98"/>
  <c r="F46" i="98"/>
  <c r="F45" i="98"/>
  <c r="F44" i="98"/>
  <c r="F43" i="98"/>
  <c r="F42" i="98"/>
  <c r="F41" i="98"/>
  <c r="F40" i="98"/>
  <c r="F39" i="98"/>
  <c r="F38" i="98"/>
  <c r="F37" i="98"/>
  <c r="F36" i="98"/>
  <c r="F35" i="98"/>
  <c r="F34" i="98"/>
  <c r="F33" i="98"/>
  <c r="F32" i="98"/>
  <c r="F31" i="98"/>
  <c r="F30" i="98"/>
  <c r="F29" i="98"/>
  <c r="F28" i="98"/>
  <c r="F27" i="98"/>
  <c r="F26" i="98"/>
  <c r="F25" i="98"/>
  <c r="B18" i="98"/>
  <c r="E15" i="98"/>
  <c r="D15" i="98"/>
  <c r="C15" i="98"/>
  <c r="B15" i="98"/>
  <c r="A6" i="98"/>
  <c r="A3" i="98"/>
  <c r="A2" i="98"/>
  <c r="A1" i="98"/>
  <c r="B14" i="100"/>
  <c r="F49" i="100"/>
  <c r="F48" i="100"/>
  <c r="F47" i="100"/>
  <c r="F46" i="100"/>
  <c r="F45" i="100"/>
  <c r="F44" i="100"/>
  <c r="F43" i="100"/>
  <c r="F42" i="100"/>
  <c r="F41" i="100"/>
  <c r="F40" i="100"/>
  <c r="F39" i="100"/>
  <c r="F38" i="100"/>
  <c r="F37" i="100"/>
  <c r="F36" i="100"/>
  <c r="F35" i="100"/>
  <c r="F34" i="100"/>
  <c r="F33" i="100"/>
  <c r="F32" i="100"/>
  <c r="F31" i="100"/>
  <c r="F30" i="100"/>
  <c r="F29" i="100"/>
  <c r="F28" i="100"/>
  <c r="F27" i="100"/>
  <c r="F26" i="100"/>
  <c r="F25" i="100"/>
  <c r="E15" i="100"/>
  <c r="D15" i="100"/>
  <c r="C15" i="100"/>
  <c r="A6" i="100"/>
  <c r="A3" i="100"/>
  <c r="A2" i="100"/>
  <c r="A1" i="100"/>
  <c r="F49" i="93"/>
  <c r="F48" i="93"/>
  <c r="F47" i="93"/>
  <c r="F46" i="93"/>
  <c r="F45" i="93"/>
  <c r="F44" i="93"/>
  <c r="F43" i="93"/>
  <c r="F42" i="93"/>
  <c r="F41" i="93"/>
  <c r="F40" i="93"/>
  <c r="F39" i="93"/>
  <c r="F38" i="93"/>
  <c r="F37" i="93"/>
  <c r="B19" i="93"/>
  <c r="B18" i="93"/>
  <c r="B15" i="93"/>
  <c r="E15" i="93"/>
  <c r="D15" i="93"/>
  <c r="C15" i="93"/>
  <c r="A6" i="93"/>
  <c r="A3" i="93"/>
  <c r="A2" i="93"/>
  <c r="A1" i="93"/>
  <c r="J14" i="78"/>
  <c r="B19" i="92"/>
  <c r="G35" i="92"/>
  <c r="G34" i="92"/>
  <c r="G33" i="92"/>
  <c r="G32" i="92"/>
  <c r="G30" i="92"/>
  <c r="G28" i="92"/>
  <c r="G27" i="92"/>
  <c r="G26" i="92"/>
  <c r="G25" i="92"/>
  <c r="G31" i="92"/>
  <c r="E15" i="92"/>
  <c r="D15" i="92"/>
  <c r="C15" i="92"/>
  <c r="B18" i="92"/>
  <c r="A6" i="92"/>
  <c r="A3" i="92"/>
  <c r="A2" i="92"/>
  <c r="A1" i="92"/>
  <c r="K49" i="110" l="1"/>
  <c r="L49" i="110" s="1"/>
  <c r="I50" i="110" s="1"/>
  <c r="K51" i="111"/>
  <c r="L51" i="111"/>
  <c r="I52" i="111" s="1"/>
  <c r="F57" i="109"/>
  <c r="H57" i="109" s="1"/>
  <c r="E58" i="109" s="1"/>
  <c r="G27" i="107"/>
  <c r="H27" i="107"/>
  <c r="E28" i="107" s="1"/>
  <c r="E30" i="106"/>
  <c r="C57" i="101"/>
  <c r="C51" i="101"/>
  <c r="C45" i="101"/>
  <c r="C39" i="101"/>
  <c r="C62" i="101"/>
  <c r="F14" i="101" s="1"/>
  <c r="F15" i="101" s="1"/>
  <c r="C56" i="101"/>
  <c r="C50" i="101"/>
  <c r="C44" i="101"/>
  <c r="C38" i="101"/>
  <c r="C61" i="101"/>
  <c r="C55" i="101"/>
  <c r="C49" i="101"/>
  <c r="C43" i="101"/>
  <c r="C37" i="101"/>
  <c r="C60" i="101"/>
  <c r="C54" i="101"/>
  <c r="C48" i="101"/>
  <c r="C42" i="101"/>
  <c r="C59" i="101"/>
  <c r="C53" i="101"/>
  <c r="C47" i="101"/>
  <c r="C41" i="101"/>
  <c r="C58" i="101"/>
  <c r="C46" i="101"/>
  <c r="C40" i="101"/>
  <c r="C52" i="101"/>
  <c r="B25" i="101"/>
  <c r="C30" i="101"/>
  <c r="C34" i="101"/>
  <c r="C28" i="101"/>
  <c r="C27" i="101"/>
  <c r="C26" i="101"/>
  <c r="C31" i="101"/>
  <c r="C36" i="101"/>
  <c r="C29" i="101"/>
  <c r="C35" i="101"/>
  <c r="C32" i="101"/>
  <c r="C25" i="101"/>
  <c r="C33" i="101"/>
  <c r="G32" i="94"/>
  <c r="H32" i="94" s="1"/>
  <c r="E33" i="94" s="1"/>
  <c r="F32" i="104"/>
  <c r="H32" i="104" s="1"/>
  <c r="E33" i="104" s="1"/>
  <c r="D25" i="95"/>
  <c r="B26" i="95" s="1"/>
  <c r="D26" i="95" s="1"/>
  <c r="B27" i="95" s="1"/>
  <c r="D27" i="95" s="1"/>
  <c r="B28" i="95" s="1"/>
  <c r="D28" i="95" s="1"/>
  <c r="B29" i="95" s="1"/>
  <c r="D29" i="95" s="1"/>
  <c r="B30" i="95" s="1"/>
  <c r="D30" i="95" s="1"/>
  <c r="B31" i="95" s="1"/>
  <c r="D31" i="95" s="1"/>
  <c r="B32" i="95" s="1"/>
  <c r="D32" i="95" s="1"/>
  <c r="B33" i="95" s="1"/>
  <c r="D33" i="95" s="1"/>
  <c r="B34" i="95" s="1"/>
  <c r="D34" i="95" s="1"/>
  <c r="B35" i="95" s="1"/>
  <c r="D35" i="95" s="1"/>
  <c r="F15" i="95"/>
  <c r="G25" i="95"/>
  <c r="H25" i="95" s="1"/>
  <c r="E26" i="95" s="1"/>
  <c r="B36" i="96"/>
  <c r="D36" i="96" s="1"/>
  <c r="G15" i="96"/>
  <c r="G25" i="96"/>
  <c r="H25" i="96" s="1"/>
  <c r="E26" i="96" s="1"/>
  <c r="D25" i="97"/>
  <c r="B26" i="97" s="1"/>
  <c r="D26" i="97" s="1"/>
  <c r="B27" i="97" s="1"/>
  <c r="D27" i="97" s="1"/>
  <c r="B28" i="97" s="1"/>
  <c r="D28" i="97" s="1"/>
  <c r="B29" i="97" s="1"/>
  <c r="D29" i="97" s="1"/>
  <c r="B30" i="97" s="1"/>
  <c r="D30" i="97" s="1"/>
  <c r="B31" i="97" s="1"/>
  <c r="D31" i="97" s="1"/>
  <c r="G15" i="97" s="1"/>
  <c r="G25" i="97"/>
  <c r="H25" i="97" s="1"/>
  <c r="E26" i="97" s="1"/>
  <c r="B15" i="100"/>
  <c r="B18" i="100"/>
  <c r="I14" i="100"/>
  <c r="I14" i="98"/>
  <c r="I15" i="98" s="1"/>
  <c r="I15" i="99"/>
  <c r="B20" i="99"/>
  <c r="C68" i="99" s="1"/>
  <c r="C44" i="99"/>
  <c r="C34" i="99"/>
  <c r="C58" i="99"/>
  <c r="C39" i="99"/>
  <c r="C72" i="99"/>
  <c r="C84" i="99"/>
  <c r="C50" i="99"/>
  <c r="C45" i="99"/>
  <c r="C43" i="99"/>
  <c r="C67" i="99"/>
  <c r="C62" i="99"/>
  <c r="C83" i="99"/>
  <c r="B25" i="99"/>
  <c r="C35" i="99"/>
  <c r="C59" i="99"/>
  <c r="C37" i="99"/>
  <c r="C73" i="99"/>
  <c r="I14" i="93"/>
  <c r="B20" i="93"/>
  <c r="C37" i="93" s="1"/>
  <c r="B20" i="98"/>
  <c r="I15" i="100"/>
  <c r="C40" i="93"/>
  <c r="C45" i="93"/>
  <c r="C39" i="93"/>
  <c r="C47" i="93"/>
  <c r="C41" i="93"/>
  <c r="C38" i="93"/>
  <c r="C44" i="93"/>
  <c r="C49" i="93"/>
  <c r="C43" i="93"/>
  <c r="C42" i="93"/>
  <c r="F34" i="93"/>
  <c r="F33" i="93"/>
  <c r="F32" i="93"/>
  <c r="F30" i="93"/>
  <c r="F28" i="93"/>
  <c r="F27" i="93"/>
  <c r="F25" i="93"/>
  <c r="F26" i="93"/>
  <c r="F35" i="93"/>
  <c r="F36" i="93"/>
  <c r="F29" i="93"/>
  <c r="F31" i="93"/>
  <c r="B20" i="92"/>
  <c r="D28" i="92" s="1"/>
  <c r="G29" i="92"/>
  <c r="I14" i="92" s="1"/>
  <c r="I15" i="92" s="1"/>
  <c r="B15" i="92"/>
  <c r="G36" i="92"/>
  <c r="L14" i="80"/>
  <c r="J14" i="80"/>
  <c r="G15" i="80"/>
  <c r="G14" i="80"/>
  <c r="J15" i="79"/>
  <c r="J14" i="79"/>
  <c r="G14" i="79"/>
  <c r="K14" i="78"/>
  <c r="L14" i="78"/>
  <c r="J15" i="78"/>
  <c r="H14" i="78"/>
  <c r="G14" i="78"/>
  <c r="I14" i="78"/>
  <c r="F14" i="78"/>
  <c r="B14" i="88"/>
  <c r="B14" i="87"/>
  <c r="B14" i="86"/>
  <c r="K52" i="111" l="1"/>
  <c r="L52" i="111" s="1"/>
  <c r="I53" i="111" s="1"/>
  <c r="K50" i="110"/>
  <c r="L50" i="110"/>
  <c r="I51" i="110" s="1"/>
  <c r="F58" i="109"/>
  <c r="H58" i="109" s="1"/>
  <c r="E59" i="109" s="1"/>
  <c r="G30" i="106"/>
  <c r="H30" i="106"/>
  <c r="E31" i="106" s="1"/>
  <c r="G28" i="107"/>
  <c r="H28" i="107" s="1"/>
  <c r="E29" i="107" s="1"/>
  <c r="D25" i="101"/>
  <c r="B26" i="101" s="1"/>
  <c r="D26" i="101" s="1"/>
  <c r="B27" i="101" s="1"/>
  <c r="D27" i="101" s="1"/>
  <c r="B28" i="101" s="1"/>
  <c r="D28" i="101" s="1"/>
  <c r="B29" i="101" s="1"/>
  <c r="D29" i="101" s="1"/>
  <c r="B30" i="101" s="1"/>
  <c r="D30" i="101" s="1"/>
  <c r="B31" i="101" s="1"/>
  <c r="D31" i="101" s="1"/>
  <c r="B32" i="101" s="1"/>
  <c r="D32" i="101" s="1"/>
  <c r="B33" i="101" s="1"/>
  <c r="D33" i="101" s="1"/>
  <c r="B34" i="101" s="1"/>
  <c r="D34" i="101" s="1"/>
  <c r="B35" i="101" s="1"/>
  <c r="D35" i="101" s="1"/>
  <c r="B36" i="101" s="1"/>
  <c r="D36" i="101" s="1"/>
  <c r="B37" i="101" s="1"/>
  <c r="D37" i="101" s="1"/>
  <c r="B38" i="101" s="1"/>
  <c r="D38" i="101" s="1"/>
  <c r="B39" i="101" s="1"/>
  <c r="D39" i="101" s="1"/>
  <c r="B40" i="101" s="1"/>
  <c r="D40" i="101" s="1"/>
  <c r="B41" i="101" s="1"/>
  <c r="D41" i="101" s="1"/>
  <c r="B42" i="101" s="1"/>
  <c r="D42" i="101" s="1"/>
  <c r="B43" i="101" s="1"/>
  <c r="D43" i="101" s="1"/>
  <c r="B44" i="101" s="1"/>
  <c r="D44" i="101" s="1"/>
  <c r="B45" i="101" s="1"/>
  <c r="D45" i="101" s="1"/>
  <c r="B46" i="101" s="1"/>
  <c r="D46" i="101" s="1"/>
  <c r="B47" i="101" s="1"/>
  <c r="D47" i="101" s="1"/>
  <c r="B48" i="101" s="1"/>
  <c r="D48" i="101" s="1"/>
  <c r="B49" i="101" s="1"/>
  <c r="D49" i="101" s="1"/>
  <c r="B50" i="101" s="1"/>
  <c r="D50" i="101" s="1"/>
  <c r="B51" i="101" s="1"/>
  <c r="D51" i="101" s="1"/>
  <c r="B52" i="101" s="1"/>
  <c r="D52" i="101" s="1"/>
  <c r="B53" i="101" s="1"/>
  <c r="D53" i="101" s="1"/>
  <c r="B54" i="101" s="1"/>
  <c r="D54" i="101" s="1"/>
  <c r="B55" i="101" s="1"/>
  <c r="D55" i="101" s="1"/>
  <c r="B56" i="101" s="1"/>
  <c r="D56" i="101" s="1"/>
  <c r="B57" i="101" s="1"/>
  <c r="D57" i="101" s="1"/>
  <c r="B58" i="101" s="1"/>
  <c r="D58" i="101" s="1"/>
  <c r="B59" i="101" s="1"/>
  <c r="D59" i="101" s="1"/>
  <c r="B60" i="101" s="1"/>
  <c r="D60" i="101" s="1"/>
  <c r="B61" i="101" s="1"/>
  <c r="D61" i="101" s="1"/>
  <c r="B62" i="101" s="1"/>
  <c r="D62" i="101" s="1"/>
  <c r="E25" i="101"/>
  <c r="G25" i="101" s="1"/>
  <c r="H25" i="101" s="1"/>
  <c r="E26" i="101" s="1"/>
  <c r="G26" i="101" s="1"/>
  <c r="H26" i="101" s="1"/>
  <c r="E27" i="101" s="1"/>
  <c r="G33" i="94"/>
  <c r="H33" i="94" s="1"/>
  <c r="E34" i="94" s="1"/>
  <c r="F33" i="104"/>
  <c r="H33" i="104" s="1"/>
  <c r="E34" i="104" s="1"/>
  <c r="C74" i="99"/>
  <c r="C47" i="99"/>
  <c r="C55" i="99"/>
  <c r="C80" i="99"/>
  <c r="C61" i="99"/>
  <c r="C52" i="99"/>
  <c r="C56" i="99"/>
  <c r="C49" i="99"/>
  <c r="C28" i="99"/>
  <c r="C38" i="99"/>
  <c r="C51" i="99"/>
  <c r="C26" i="99"/>
  <c r="C48" i="99"/>
  <c r="C63" i="99"/>
  <c r="C78" i="99"/>
  <c r="C31" i="99"/>
  <c r="C36" i="99"/>
  <c r="C27" i="99"/>
  <c r="C54" i="99"/>
  <c r="C82" i="99"/>
  <c r="C77" i="99"/>
  <c r="C42" i="99"/>
  <c r="C81" i="99"/>
  <c r="C65" i="99"/>
  <c r="C30" i="99"/>
  <c r="C57" i="99"/>
  <c r="C41" i="99"/>
  <c r="B36" i="95"/>
  <c r="D36" i="95" s="1"/>
  <c r="G15" i="95"/>
  <c r="G26" i="95"/>
  <c r="H26" i="95" s="1"/>
  <c r="E27" i="95" s="1"/>
  <c r="G26" i="96"/>
  <c r="H26" i="96" s="1"/>
  <c r="E27" i="96" s="1"/>
  <c r="B32" i="97"/>
  <c r="D32" i="97" s="1"/>
  <c r="B33" i="97" s="1"/>
  <c r="D33" i="97" s="1"/>
  <c r="B34" i="97" s="1"/>
  <c r="D34" i="97" s="1"/>
  <c r="B35" i="97" s="1"/>
  <c r="D35" i="97" s="1"/>
  <c r="B36" i="97" s="1"/>
  <c r="D36" i="97" s="1"/>
  <c r="G26" i="97"/>
  <c r="H26" i="97" s="1"/>
  <c r="E27" i="97" s="1"/>
  <c r="C38" i="100"/>
  <c r="B25" i="100"/>
  <c r="E25" i="100" s="1"/>
  <c r="C43" i="100"/>
  <c r="C32" i="100"/>
  <c r="C44" i="100"/>
  <c r="C33" i="100"/>
  <c r="C49" i="100"/>
  <c r="C45" i="100"/>
  <c r="C27" i="100"/>
  <c r="C28" i="100"/>
  <c r="C39" i="100"/>
  <c r="C31" i="100"/>
  <c r="C34" i="100"/>
  <c r="C40" i="100"/>
  <c r="C46" i="100"/>
  <c r="C35" i="100"/>
  <c r="C29" i="100"/>
  <c r="C47" i="100"/>
  <c r="C30" i="100"/>
  <c r="C42" i="100"/>
  <c r="C48" i="100"/>
  <c r="C25" i="100"/>
  <c r="C26" i="100"/>
  <c r="C78" i="100"/>
  <c r="C80" i="100"/>
  <c r="C74" i="100"/>
  <c r="C68" i="100"/>
  <c r="C62" i="100"/>
  <c r="C56" i="100"/>
  <c r="C50" i="100"/>
  <c r="C84" i="100"/>
  <c r="C54" i="100"/>
  <c r="C57" i="100"/>
  <c r="C79" i="100"/>
  <c r="C73" i="100"/>
  <c r="C67" i="100"/>
  <c r="C61" i="100"/>
  <c r="C55" i="100"/>
  <c r="C72" i="100"/>
  <c r="C66" i="100"/>
  <c r="C60" i="100"/>
  <c r="C75" i="100"/>
  <c r="C81" i="100"/>
  <c r="C83" i="100"/>
  <c r="C77" i="100"/>
  <c r="C71" i="100"/>
  <c r="C65" i="100"/>
  <c r="C59" i="100"/>
  <c r="C53" i="100"/>
  <c r="C51" i="100"/>
  <c r="C64" i="100"/>
  <c r="C69" i="100"/>
  <c r="C82" i="100"/>
  <c r="C76" i="100"/>
  <c r="C70" i="100"/>
  <c r="C58" i="100"/>
  <c r="C52" i="100"/>
  <c r="C63" i="100"/>
  <c r="C64" i="99"/>
  <c r="C33" i="99"/>
  <c r="C53" i="99"/>
  <c r="C46" i="99"/>
  <c r="C71" i="99"/>
  <c r="C40" i="99"/>
  <c r="C29" i="99"/>
  <c r="C66" i="99"/>
  <c r="C79" i="99"/>
  <c r="C70" i="99"/>
  <c r="C75" i="99"/>
  <c r="C32" i="99"/>
  <c r="C36" i="98"/>
  <c r="C84" i="98"/>
  <c r="C72" i="98"/>
  <c r="C66" i="98"/>
  <c r="C54" i="98"/>
  <c r="C83" i="98"/>
  <c r="C77" i="98"/>
  <c r="C71" i="98"/>
  <c r="C65" i="98"/>
  <c r="C59" i="98"/>
  <c r="C53" i="98"/>
  <c r="C82" i="98"/>
  <c r="C76" i="98"/>
  <c r="C70" i="98"/>
  <c r="C64" i="98"/>
  <c r="C58" i="98"/>
  <c r="C52" i="98"/>
  <c r="C81" i="98"/>
  <c r="C75" i="98"/>
  <c r="C69" i="98"/>
  <c r="C63" i="98"/>
  <c r="C57" i="98"/>
  <c r="C51" i="98"/>
  <c r="C80" i="98"/>
  <c r="C74" i="98"/>
  <c r="C68" i="98"/>
  <c r="C62" i="98"/>
  <c r="C56" i="98"/>
  <c r="C50" i="98"/>
  <c r="C79" i="98"/>
  <c r="C73" i="98"/>
  <c r="C67" i="98"/>
  <c r="C61" i="98"/>
  <c r="C55" i="98"/>
  <c r="C78" i="98"/>
  <c r="C60" i="98"/>
  <c r="C25" i="99"/>
  <c r="D25" i="99" s="1"/>
  <c r="B26" i="99" s="1"/>
  <c r="C76" i="99"/>
  <c r="C69" i="99"/>
  <c r="C60" i="99"/>
  <c r="E25" i="99"/>
  <c r="F15" i="99"/>
  <c r="C38" i="98"/>
  <c r="C40" i="98"/>
  <c r="C47" i="98"/>
  <c r="C32" i="98"/>
  <c r="C26" i="98"/>
  <c r="C35" i="98"/>
  <c r="C30" i="98"/>
  <c r="C25" i="98"/>
  <c r="C34" i="98"/>
  <c r="C46" i="98"/>
  <c r="C28" i="98"/>
  <c r="C29" i="98"/>
  <c r="C41" i="98"/>
  <c r="B25" i="98"/>
  <c r="E25" i="98" s="1"/>
  <c r="C42" i="98"/>
  <c r="C37" i="98"/>
  <c r="C48" i="98"/>
  <c r="C49" i="98"/>
  <c r="C31" i="98"/>
  <c r="C27" i="98"/>
  <c r="C45" i="98"/>
  <c r="C43" i="98"/>
  <c r="C39" i="98"/>
  <c r="C46" i="93"/>
  <c r="C48" i="93"/>
  <c r="C35" i="93"/>
  <c r="C33" i="98"/>
  <c r="C44" i="98"/>
  <c r="C41" i="100"/>
  <c r="C37" i="100"/>
  <c r="C36" i="100"/>
  <c r="F14" i="93"/>
  <c r="I15" i="93"/>
  <c r="B25" i="93"/>
  <c r="C33" i="93"/>
  <c r="C30" i="93"/>
  <c r="C25" i="93"/>
  <c r="C32" i="93"/>
  <c r="C27" i="93"/>
  <c r="C29" i="93"/>
  <c r="C36" i="93"/>
  <c r="C31" i="93"/>
  <c r="C26" i="93"/>
  <c r="C28" i="93"/>
  <c r="C34" i="93"/>
  <c r="E25" i="93"/>
  <c r="C25" i="92"/>
  <c r="D25" i="92"/>
  <c r="D32" i="92"/>
  <c r="D27" i="92"/>
  <c r="D29" i="92"/>
  <c r="D36" i="92"/>
  <c r="D31" i="92"/>
  <c r="D26" i="92"/>
  <c r="D30" i="92"/>
  <c r="D34" i="92"/>
  <c r="D33" i="92"/>
  <c r="D35" i="92"/>
  <c r="F25" i="92"/>
  <c r="B14" i="79"/>
  <c r="K53" i="111" l="1"/>
  <c r="L53" i="111" s="1"/>
  <c r="I54" i="111" s="1"/>
  <c r="K51" i="110"/>
  <c r="L51" i="110" s="1"/>
  <c r="I52" i="110" s="1"/>
  <c r="F59" i="109"/>
  <c r="H59" i="109" s="1"/>
  <c r="E60" i="109" s="1"/>
  <c r="G29" i="107"/>
  <c r="H29" i="107" s="1"/>
  <c r="E30" i="107" s="1"/>
  <c r="H31" i="106"/>
  <c r="E32" i="106" s="1"/>
  <c r="G31" i="106"/>
  <c r="G27" i="101"/>
  <c r="H27" i="101" s="1"/>
  <c r="E28" i="101" s="1"/>
  <c r="G34" i="94"/>
  <c r="F34" i="104"/>
  <c r="H34" i="104" s="1"/>
  <c r="E35" i="104" s="1"/>
  <c r="D26" i="99"/>
  <c r="B27" i="99" s="1"/>
  <c r="D27" i="99" s="1"/>
  <c r="B28" i="99" s="1"/>
  <c r="D28" i="99" s="1"/>
  <c r="B29" i="99" s="1"/>
  <c r="D29" i="99" s="1"/>
  <c r="B30" i="99" s="1"/>
  <c r="D30" i="99" s="1"/>
  <c r="B31" i="99" s="1"/>
  <c r="D31" i="99" s="1"/>
  <c r="B32" i="99" s="1"/>
  <c r="D32" i="99" s="1"/>
  <c r="B33" i="99" s="1"/>
  <c r="D33" i="99" s="1"/>
  <c r="B34" i="99" s="1"/>
  <c r="D34" i="99" s="1"/>
  <c r="B35" i="99" s="1"/>
  <c r="D35" i="99" s="1"/>
  <c r="B36" i="99" s="1"/>
  <c r="D36" i="99" s="1"/>
  <c r="B37" i="99" s="1"/>
  <c r="D37" i="99" s="1"/>
  <c r="B38" i="99" s="1"/>
  <c r="D38" i="99" s="1"/>
  <c r="B39" i="99" s="1"/>
  <c r="D39" i="99" s="1"/>
  <c r="B40" i="99" s="1"/>
  <c r="D40" i="99" s="1"/>
  <c r="B41" i="99" s="1"/>
  <c r="D41" i="99" s="1"/>
  <c r="B42" i="99" s="1"/>
  <c r="D42" i="99" s="1"/>
  <c r="B43" i="99" s="1"/>
  <c r="D43" i="99" s="1"/>
  <c r="B44" i="99" s="1"/>
  <c r="D44" i="99" s="1"/>
  <c r="B45" i="99" s="1"/>
  <c r="D45" i="99" s="1"/>
  <c r="B46" i="99" s="1"/>
  <c r="D46" i="99" s="1"/>
  <c r="B47" i="99" s="1"/>
  <c r="D47" i="99" s="1"/>
  <c r="B48" i="99" s="1"/>
  <c r="D48" i="99" s="1"/>
  <c r="G15" i="99" s="1"/>
  <c r="G27" i="95"/>
  <c r="H27" i="95" s="1"/>
  <c r="E28" i="95" s="1"/>
  <c r="G27" i="96"/>
  <c r="H27" i="96" s="1"/>
  <c r="E28" i="96" s="1"/>
  <c r="G27" i="97"/>
  <c r="F14" i="100"/>
  <c r="F15" i="100" s="1"/>
  <c r="D25" i="100"/>
  <c r="B26" i="100" s="1"/>
  <c r="D26" i="100" s="1"/>
  <c r="B27" i="100" s="1"/>
  <c r="D27" i="100" s="1"/>
  <c r="B28" i="100" s="1"/>
  <c r="D28" i="100" s="1"/>
  <c r="B29" i="100" s="1"/>
  <c r="D29" i="100" s="1"/>
  <c r="B30" i="100" s="1"/>
  <c r="D30" i="100" s="1"/>
  <c r="B31" i="100" s="1"/>
  <c r="D31" i="100" s="1"/>
  <c r="B32" i="100" s="1"/>
  <c r="D32" i="100" s="1"/>
  <c r="B33" i="100" s="1"/>
  <c r="D33" i="100" s="1"/>
  <c r="B34" i="100" s="1"/>
  <c r="D34" i="100" s="1"/>
  <c r="B35" i="100" s="1"/>
  <c r="D35" i="100" s="1"/>
  <c r="B36" i="100" s="1"/>
  <c r="D36" i="100" s="1"/>
  <c r="B37" i="100" s="1"/>
  <c r="D37" i="100" s="1"/>
  <c r="B38" i="100" s="1"/>
  <c r="D38" i="100" s="1"/>
  <c r="B39" i="100" s="1"/>
  <c r="D39" i="100" s="1"/>
  <c r="B40" i="100" s="1"/>
  <c r="D40" i="100" s="1"/>
  <c r="B41" i="100" s="1"/>
  <c r="D41" i="100" s="1"/>
  <c r="D25" i="98"/>
  <c r="B26" i="98" s="1"/>
  <c r="D26" i="98" s="1"/>
  <c r="B27" i="98" s="1"/>
  <c r="D27" i="98" s="1"/>
  <c r="B28" i="98" s="1"/>
  <c r="D28" i="98" s="1"/>
  <c r="B29" i="98" s="1"/>
  <c r="D29" i="98" s="1"/>
  <c r="B30" i="98" s="1"/>
  <c r="D30" i="98" s="1"/>
  <c r="B31" i="98" s="1"/>
  <c r="D31" i="98" s="1"/>
  <c r="B32" i="98" s="1"/>
  <c r="D32" i="98" s="1"/>
  <c r="B33" i="98" s="1"/>
  <c r="D33" i="98" s="1"/>
  <c r="B34" i="98" s="1"/>
  <c r="D34" i="98" s="1"/>
  <c r="B35" i="98" s="1"/>
  <c r="D35" i="98" s="1"/>
  <c r="B36" i="98" s="1"/>
  <c r="D36" i="98" s="1"/>
  <c r="B37" i="98" s="1"/>
  <c r="D37" i="98" s="1"/>
  <c r="B38" i="98" s="1"/>
  <c r="D38" i="98" s="1"/>
  <c r="B39" i="98" s="1"/>
  <c r="D39" i="98" s="1"/>
  <c r="B40" i="98" s="1"/>
  <c r="D40" i="98" s="1"/>
  <c r="B41" i="98" s="1"/>
  <c r="D41" i="98" s="1"/>
  <c r="B42" i="98" s="1"/>
  <c r="D42" i="98" s="1"/>
  <c r="B43" i="98" s="1"/>
  <c r="D43" i="98" s="1"/>
  <c r="B44" i="98" s="1"/>
  <c r="D44" i="98" s="1"/>
  <c r="B45" i="98" s="1"/>
  <c r="D45" i="98" s="1"/>
  <c r="B46" i="98" s="1"/>
  <c r="D46" i="98" s="1"/>
  <c r="B47" i="98" s="1"/>
  <c r="D47" i="98" s="1"/>
  <c r="B48" i="98" s="1"/>
  <c r="D48" i="98" s="1"/>
  <c r="G14" i="98" s="1"/>
  <c r="G15" i="98" s="1"/>
  <c r="F14" i="98"/>
  <c r="F15" i="98" s="1"/>
  <c r="G25" i="99"/>
  <c r="H25" i="99" s="1"/>
  <c r="E26" i="99" s="1"/>
  <c r="G25" i="98"/>
  <c r="H25" i="98" s="1"/>
  <c r="E26" i="98" s="1"/>
  <c r="G25" i="100"/>
  <c r="H25" i="100" s="1"/>
  <c r="E26" i="100" s="1"/>
  <c r="D25" i="93"/>
  <c r="B26" i="93" s="1"/>
  <c r="D26" i="93" s="1"/>
  <c r="B27" i="93" s="1"/>
  <c r="D27" i="93" s="1"/>
  <c r="B28" i="93" s="1"/>
  <c r="D28" i="93" s="1"/>
  <c r="B29" i="93" s="1"/>
  <c r="D29" i="93" s="1"/>
  <c r="B30" i="93" s="1"/>
  <c r="D30" i="93" s="1"/>
  <c r="B31" i="93" s="1"/>
  <c r="D31" i="93" s="1"/>
  <c r="F15" i="93"/>
  <c r="G25" i="93"/>
  <c r="H25" i="93" s="1"/>
  <c r="E26" i="93" s="1"/>
  <c r="E25" i="92"/>
  <c r="C26" i="92" s="1"/>
  <c r="E26" i="92"/>
  <c r="C27" i="92" s="1"/>
  <c r="E27" i="92" s="1"/>
  <c r="C28" i="92" s="1"/>
  <c r="E28" i="92" s="1"/>
  <c r="C29" i="92" s="1"/>
  <c r="E29" i="92" s="1"/>
  <c r="C30" i="92" s="1"/>
  <c r="E30" i="92" s="1"/>
  <c r="C31" i="92" s="1"/>
  <c r="E31" i="92" s="1"/>
  <c r="F14" i="92"/>
  <c r="F15" i="92" s="1"/>
  <c r="H25" i="92"/>
  <c r="I25" i="92" s="1"/>
  <c r="F26" i="92" s="1"/>
  <c r="K54" i="111" l="1"/>
  <c r="L54" i="111" s="1"/>
  <c r="I55" i="111" s="1"/>
  <c r="K52" i="110"/>
  <c r="L52" i="110" s="1"/>
  <c r="I53" i="110" s="1"/>
  <c r="F60" i="109"/>
  <c r="H60" i="109" s="1"/>
  <c r="E61" i="109" s="1"/>
  <c r="G30" i="107"/>
  <c r="H30" i="107" s="1"/>
  <c r="E31" i="107" s="1"/>
  <c r="G32" i="106"/>
  <c r="H32" i="106" s="1"/>
  <c r="E33" i="106" s="1"/>
  <c r="G28" i="101"/>
  <c r="H28" i="101"/>
  <c r="E29" i="101" s="1"/>
  <c r="G29" i="101" s="1"/>
  <c r="H29" i="101" s="1"/>
  <c r="E30" i="101" s="1"/>
  <c r="H34" i="94"/>
  <c r="E35" i="94" s="1"/>
  <c r="F35" i="104"/>
  <c r="H35" i="104" s="1"/>
  <c r="E36" i="104" s="1"/>
  <c r="G26" i="99"/>
  <c r="H26" i="99" s="1"/>
  <c r="E27" i="99" s="1"/>
  <c r="G28" i="95"/>
  <c r="H28" i="95" s="1"/>
  <c r="E29" i="95" s="1"/>
  <c r="G28" i="96"/>
  <c r="H28" i="96" s="1"/>
  <c r="E29" i="96" s="1"/>
  <c r="H27" i="97"/>
  <c r="E28" i="97" s="1"/>
  <c r="B42" i="100"/>
  <c r="D42" i="100" s="1"/>
  <c r="B43" i="100" s="1"/>
  <c r="D43" i="100" s="1"/>
  <c r="B44" i="100" s="1"/>
  <c r="D44" i="100" s="1"/>
  <c r="B45" i="100" s="1"/>
  <c r="D45" i="100" s="1"/>
  <c r="B46" i="100" s="1"/>
  <c r="D46" i="100" s="1"/>
  <c r="B47" i="100" s="1"/>
  <c r="D47" i="100" s="1"/>
  <c r="B48" i="100" s="1"/>
  <c r="D48" i="100" s="1"/>
  <c r="B49" i="100" s="1"/>
  <c r="D49" i="100" s="1"/>
  <c r="B50" i="100" s="1"/>
  <c r="D50" i="100" s="1"/>
  <c r="B51" i="100" s="1"/>
  <c r="D51" i="100" s="1"/>
  <c r="B52" i="100" s="1"/>
  <c r="D52" i="100" s="1"/>
  <c r="B53" i="100" s="1"/>
  <c r="D53" i="100" s="1"/>
  <c r="B54" i="100" s="1"/>
  <c r="D54" i="100" s="1"/>
  <c r="B55" i="100" s="1"/>
  <c r="D55" i="100" s="1"/>
  <c r="B56" i="100" s="1"/>
  <c r="D56" i="100" s="1"/>
  <c r="B57" i="100" s="1"/>
  <c r="D57" i="100" s="1"/>
  <c r="B58" i="100" s="1"/>
  <c r="D58" i="100" s="1"/>
  <c r="B59" i="100" s="1"/>
  <c r="D59" i="100" s="1"/>
  <c r="B60" i="100" s="1"/>
  <c r="D60" i="100" s="1"/>
  <c r="B61" i="100" s="1"/>
  <c r="D61" i="100" s="1"/>
  <c r="B62" i="100" s="1"/>
  <c r="D62" i="100" s="1"/>
  <c r="B63" i="100" s="1"/>
  <c r="D63" i="100" s="1"/>
  <c r="B64" i="100" s="1"/>
  <c r="D64" i="100" s="1"/>
  <c r="B65" i="100" s="1"/>
  <c r="D65" i="100" s="1"/>
  <c r="B66" i="100" s="1"/>
  <c r="D66" i="100" s="1"/>
  <c r="B67" i="100" s="1"/>
  <c r="D67" i="100" s="1"/>
  <c r="B68" i="100" s="1"/>
  <c r="D68" i="100" s="1"/>
  <c r="B69" i="100" s="1"/>
  <c r="D69" i="100" s="1"/>
  <c r="B70" i="100" s="1"/>
  <c r="D70" i="100" s="1"/>
  <c r="B71" i="100" s="1"/>
  <c r="D71" i="100" s="1"/>
  <c r="B72" i="100" s="1"/>
  <c r="D72" i="100" s="1"/>
  <c r="B73" i="100" s="1"/>
  <c r="D73" i="100" s="1"/>
  <c r="B74" i="100" s="1"/>
  <c r="D74" i="100" s="1"/>
  <c r="B75" i="100" s="1"/>
  <c r="D75" i="100" s="1"/>
  <c r="B76" i="100" s="1"/>
  <c r="D76" i="100" s="1"/>
  <c r="B77" i="100" s="1"/>
  <c r="D77" i="100" s="1"/>
  <c r="B78" i="100" s="1"/>
  <c r="D78" i="100" s="1"/>
  <c r="B79" i="100" s="1"/>
  <c r="D79" i="100" s="1"/>
  <c r="B80" i="100" s="1"/>
  <c r="D80" i="100" s="1"/>
  <c r="B81" i="100" s="1"/>
  <c r="D81" i="100" s="1"/>
  <c r="B82" i="100" s="1"/>
  <c r="D82" i="100" s="1"/>
  <c r="B83" i="100" s="1"/>
  <c r="D83" i="100" s="1"/>
  <c r="B84" i="100" s="1"/>
  <c r="D84" i="100" s="1"/>
  <c r="G14" i="100"/>
  <c r="G15" i="100" s="1"/>
  <c r="G15" i="101"/>
  <c r="B49" i="99"/>
  <c r="D49" i="99" s="1"/>
  <c r="B50" i="99" s="1"/>
  <c r="D50" i="99" s="1"/>
  <c r="B51" i="99" s="1"/>
  <c r="D51" i="99" s="1"/>
  <c r="B52" i="99" s="1"/>
  <c r="D52" i="99" s="1"/>
  <c r="B53" i="99" s="1"/>
  <c r="D53" i="99" s="1"/>
  <c r="B54" i="99" s="1"/>
  <c r="D54" i="99" s="1"/>
  <c r="B55" i="99" s="1"/>
  <c r="D55" i="99" s="1"/>
  <c r="B56" i="99" s="1"/>
  <c r="D56" i="99" s="1"/>
  <c r="B57" i="99" s="1"/>
  <c r="D57" i="99" s="1"/>
  <c r="B58" i="99" s="1"/>
  <c r="D58" i="99" s="1"/>
  <c r="B59" i="99" s="1"/>
  <c r="D59" i="99" s="1"/>
  <c r="B60" i="99" s="1"/>
  <c r="D60" i="99" s="1"/>
  <c r="B61" i="99" s="1"/>
  <c r="D61" i="99" s="1"/>
  <c r="B62" i="99" s="1"/>
  <c r="D62" i="99" s="1"/>
  <c r="B63" i="99" s="1"/>
  <c r="D63" i="99" s="1"/>
  <c r="B64" i="99" s="1"/>
  <c r="D64" i="99" s="1"/>
  <c r="B65" i="99" s="1"/>
  <c r="D65" i="99" s="1"/>
  <c r="B66" i="99" s="1"/>
  <c r="D66" i="99" s="1"/>
  <c r="B67" i="99" s="1"/>
  <c r="D67" i="99" s="1"/>
  <c r="B68" i="99" s="1"/>
  <c r="D68" i="99" s="1"/>
  <c r="B69" i="99" s="1"/>
  <c r="D69" i="99" s="1"/>
  <c r="B70" i="99" s="1"/>
  <c r="D70" i="99" s="1"/>
  <c r="B71" i="99" s="1"/>
  <c r="D71" i="99" s="1"/>
  <c r="B72" i="99" s="1"/>
  <c r="D72" i="99" s="1"/>
  <c r="B73" i="99" s="1"/>
  <c r="D73" i="99" s="1"/>
  <c r="B74" i="99" s="1"/>
  <c r="D74" i="99" s="1"/>
  <c r="B75" i="99" s="1"/>
  <c r="D75" i="99" s="1"/>
  <c r="B76" i="99" s="1"/>
  <c r="D76" i="99" s="1"/>
  <c r="B77" i="99" s="1"/>
  <c r="D77" i="99" s="1"/>
  <c r="B78" i="99" s="1"/>
  <c r="D78" i="99" s="1"/>
  <c r="B79" i="99" s="1"/>
  <c r="D79" i="99" s="1"/>
  <c r="B80" i="99" s="1"/>
  <c r="D80" i="99" s="1"/>
  <c r="B81" i="99" s="1"/>
  <c r="D81" i="99" s="1"/>
  <c r="B82" i="99" s="1"/>
  <c r="D82" i="99" s="1"/>
  <c r="B83" i="99" s="1"/>
  <c r="D83" i="99" s="1"/>
  <c r="B84" i="99" s="1"/>
  <c r="D84" i="99" s="1"/>
  <c r="B49" i="98"/>
  <c r="D49" i="98" s="1"/>
  <c r="B50" i="98" s="1"/>
  <c r="D50" i="98" s="1"/>
  <c r="B51" i="98" s="1"/>
  <c r="D51" i="98" s="1"/>
  <c r="B52" i="98" s="1"/>
  <c r="D52" i="98" s="1"/>
  <c r="B53" i="98" s="1"/>
  <c r="D53" i="98" s="1"/>
  <c r="B54" i="98" s="1"/>
  <c r="D54" i="98" s="1"/>
  <c r="B55" i="98" s="1"/>
  <c r="D55" i="98" s="1"/>
  <c r="B56" i="98" s="1"/>
  <c r="D56" i="98" s="1"/>
  <c r="B57" i="98" s="1"/>
  <c r="D57" i="98" s="1"/>
  <c r="B58" i="98" s="1"/>
  <c r="D58" i="98" s="1"/>
  <c r="B59" i="98" s="1"/>
  <c r="D59" i="98" s="1"/>
  <c r="B60" i="98" s="1"/>
  <c r="D60" i="98" s="1"/>
  <c r="B61" i="98" s="1"/>
  <c r="D61" i="98" s="1"/>
  <c r="B62" i="98" s="1"/>
  <c r="D62" i="98" s="1"/>
  <c r="B63" i="98" s="1"/>
  <c r="D63" i="98" s="1"/>
  <c r="B64" i="98" s="1"/>
  <c r="D64" i="98" s="1"/>
  <c r="B65" i="98" s="1"/>
  <c r="D65" i="98" s="1"/>
  <c r="B66" i="98" s="1"/>
  <c r="D66" i="98" s="1"/>
  <c r="B67" i="98" s="1"/>
  <c r="D67" i="98" s="1"/>
  <c r="B68" i="98" s="1"/>
  <c r="D68" i="98" s="1"/>
  <c r="B69" i="98" s="1"/>
  <c r="D69" i="98" s="1"/>
  <c r="B70" i="98" s="1"/>
  <c r="D70" i="98" s="1"/>
  <c r="B71" i="98" s="1"/>
  <c r="D71" i="98" s="1"/>
  <c r="B72" i="98" s="1"/>
  <c r="D72" i="98" s="1"/>
  <c r="B73" i="98" s="1"/>
  <c r="D73" i="98" s="1"/>
  <c r="B74" i="98" s="1"/>
  <c r="D74" i="98" s="1"/>
  <c r="B75" i="98" s="1"/>
  <c r="D75" i="98" s="1"/>
  <c r="B76" i="98" s="1"/>
  <c r="D76" i="98" s="1"/>
  <c r="B77" i="98" s="1"/>
  <c r="D77" i="98" s="1"/>
  <c r="B78" i="98" s="1"/>
  <c r="D78" i="98" s="1"/>
  <c r="B79" i="98" s="1"/>
  <c r="D79" i="98" s="1"/>
  <c r="B80" i="98" s="1"/>
  <c r="D80" i="98" s="1"/>
  <c r="B81" i="98" s="1"/>
  <c r="D81" i="98" s="1"/>
  <c r="B82" i="98" s="1"/>
  <c r="D82" i="98" s="1"/>
  <c r="B83" i="98" s="1"/>
  <c r="D83" i="98" s="1"/>
  <c r="B84" i="98" s="1"/>
  <c r="D84" i="98" s="1"/>
  <c r="G26" i="98"/>
  <c r="H26" i="98" s="1"/>
  <c r="E27" i="98" s="1"/>
  <c r="G26" i="100"/>
  <c r="H26" i="100" s="1"/>
  <c r="E27" i="100" s="1"/>
  <c r="B32" i="93"/>
  <c r="D32" i="93" s="1"/>
  <c r="B33" i="93" s="1"/>
  <c r="D33" i="93" s="1"/>
  <c r="B34" i="93" s="1"/>
  <c r="D34" i="93" s="1"/>
  <c r="B35" i="93" s="1"/>
  <c r="D35" i="93" s="1"/>
  <c r="B36" i="93" s="1"/>
  <c r="D36" i="93" s="1"/>
  <c r="B37" i="93" s="1"/>
  <c r="D37" i="93" s="1"/>
  <c r="B38" i="93" s="1"/>
  <c r="D38" i="93" s="1"/>
  <c r="B39" i="93" s="1"/>
  <c r="D39" i="93" s="1"/>
  <c r="B40" i="93" s="1"/>
  <c r="D40" i="93" s="1"/>
  <c r="B41" i="93" s="1"/>
  <c r="D41" i="93" s="1"/>
  <c r="B42" i="93" s="1"/>
  <c r="D42" i="93" s="1"/>
  <c r="B43" i="93" s="1"/>
  <c r="D43" i="93" s="1"/>
  <c r="B44" i="93" s="1"/>
  <c r="D44" i="93" s="1"/>
  <c r="B45" i="93" s="1"/>
  <c r="D45" i="93" s="1"/>
  <c r="B46" i="93" s="1"/>
  <c r="D46" i="93" s="1"/>
  <c r="B47" i="93" s="1"/>
  <c r="D47" i="93" s="1"/>
  <c r="B48" i="93" s="1"/>
  <c r="D48" i="93" s="1"/>
  <c r="B49" i="93" s="1"/>
  <c r="D49" i="93" s="1"/>
  <c r="G14" i="93" s="1"/>
  <c r="G15" i="93" s="1"/>
  <c r="G26" i="93"/>
  <c r="H26" i="93" s="1"/>
  <c r="E27" i="93" s="1"/>
  <c r="C32" i="92"/>
  <c r="E32" i="92" s="1"/>
  <c r="C33" i="92" s="1"/>
  <c r="E33" i="92" s="1"/>
  <c r="C34" i="92" s="1"/>
  <c r="E34" i="92" s="1"/>
  <c r="C35" i="92" s="1"/>
  <c r="E35" i="92" s="1"/>
  <c r="C36" i="92" s="1"/>
  <c r="E36" i="92" s="1"/>
  <c r="G14" i="92"/>
  <c r="G15" i="92" s="1"/>
  <c r="H26" i="92"/>
  <c r="I26" i="92" s="1"/>
  <c r="F27" i="92" s="1"/>
  <c r="K53" i="110" l="1"/>
  <c r="L53" i="110"/>
  <c r="I54" i="110" s="1"/>
  <c r="K55" i="111"/>
  <c r="L55" i="111" s="1"/>
  <c r="I56" i="111" s="1"/>
  <c r="F61" i="109"/>
  <c r="H33" i="106"/>
  <c r="E34" i="106" s="1"/>
  <c r="G33" i="106"/>
  <c r="G31" i="107"/>
  <c r="H31" i="107" s="1"/>
  <c r="E32" i="107" s="1"/>
  <c r="G30" i="101"/>
  <c r="H30" i="101" s="1"/>
  <c r="E31" i="101" s="1"/>
  <c r="G35" i="94"/>
  <c r="F36" i="104"/>
  <c r="H36" i="104" s="1"/>
  <c r="E37" i="104" s="1"/>
  <c r="G29" i="95"/>
  <c r="H29" i="95" s="1"/>
  <c r="E30" i="95" s="1"/>
  <c r="G29" i="96"/>
  <c r="H29" i="96" s="1"/>
  <c r="E30" i="96" s="1"/>
  <c r="G28" i="97"/>
  <c r="H28" i="97" s="1"/>
  <c r="E29" i="97" s="1"/>
  <c r="G27" i="99"/>
  <c r="H27" i="99" s="1"/>
  <c r="E28" i="99" s="1"/>
  <c r="G27" i="98"/>
  <c r="H27" i="98" s="1"/>
  <c r="E28" i="98" s="1"/>
  <c r="G27" i="100"/>
  <c r="H27" i="100" s="1"/>
  <c r="E28" i="100" s="1"/>
  <c r="G27" i="93"/>
  <c r="H27" i="92"/>
  <c r="I27" i="92" s="1"/>
  <c r="F28" i="92" s="1"/>
  <c r="K56" i="111" l="1"/>
  <c r="L56" i="111" s="1"/>
  <c r="I57" i="111" s="1"/>
  <c r="K54" i="110"/>
  <c r="L54" i="110" s="1"/>
  <c r="I55" i="110" s="1"/>
  <c r="H61" i="109"/>
  <c r="E62" i="109" s="1"/>
  <c r="H34" i="106"/>
  <c r="E35" i="106" s="1"/>
  <c r="G34" i="106"/>
  <c r="G32" i="107"/>
  <c r="H32" i="107" s="1"/>
  <c r="E33" i="107" s="1"/>
  <c r="G31" i="101"/>
  <c r="H31" i="101"/>
  <c r="E32" i="101" s="1"/>
  <c r="G32" i="101" s="1"/>
  <c r="H32" i="101" s="1"/>
  <c r="E33" i="101" s="1"/>
  <c r="H35" i="94"/>
  <c r="E36" i="94" s="1"/>
  <c r="F37" i="104"/>
  <c r="H37" i="104" s="1"/>
  <c r="E38" i="104" s="1"/>
  <c r="G30" i="95"/>
  <c r="H30" i="95" s="1"/>
  <c r="E31" i="95" s="1"/>
  <c r="G30" i="96"/>
  <c r="H30" i="96" s="1"/>
  <c r="E31" i="96" s="1"/>
  <c r="G29" i="97"/>
  <c r="H29" i="97" s="1"/>
  <c r="E30" i="97" s="1"/>
  <c r="G28" i="99"/>
  <c r="H28" i="99" s="1"/>
  <c r="E29" i="99" s="1"/>
  <c r="G28" i="98"/>
  <c r="H28" i="98" s="1"/>
  <c r="E29" i="98" s="1"/>
  <c r="G28" i="100"/>
  <c r="H28" i="100" s="1"/>
  <c r="E29" i="100" s="1"/>
  <c r="H27" i="93"/>
  <c r="E28" i="93" s="1"/>
  <c r="H28" i="92"/>
  <c r="I28" i="92" s="1"/>
  <c r="F29" i="92" s="1"/>
  <c r="K57" i="111" l="1"/>
  <c r="L57" i="111" s="1"/>
  <c r="I58" i="111" s="1"/>
  <c r="K55" i="110"/>
  <c r="L55" i="110"/>
  <c r="I56" i="110" s="1"/>
  <c r="F62" i="109"/>
  <c r="H14" i="109" s="1"/>
  <c r="H15" i="109" s="1"/>
  <c r="G35" i="106"/>
  <c r="H35" i="106" s="1"/>
  <c r="E36" i="106" s="1"/>
  <c r="G33" i="107"/>
  <c r="H33" i="107" s="1"/>
  <c r="E34" i="107" s="1"/>
  <c r="G33" i="101"/>
  <c r="H33" i="101" s="1"/>
  <c r="E34" i="101" s="1"/>
  <c r="G34" i="101" s="1"/>
  <c r="H34" i="101" s="1"/>
  <c r="E35" i="101" s="1"/>
  <c r="G35" i="101" s="1"/>
  <c r="H35" i="101" s="1"/>
  <c r="E36" i="101" s="1"/>
  <c r="G36" i="101" s="1"/>
  <c r="H36" i="101" s="1"/>
  <c r="E37" i="101" s="1"/>
  <c r="G37" i="101" s="1"/>
  <c r="H37" i="101" s="1"/>
  <c r="E38" i="101" s="1"/>
  <c r="G38" i="101" s="1"/>
  <c r="H38" i="101" s="1"/>
  <c r="E39" i="101" s="1"/>
  <c r="G39" i="101" s="1"/>
  <c r="H39" i="101" s="1"/>
  <c r="E40" i="101" s="1"/>
  <c r="G40" i="101" s="1"/>
  <c r="H40" i="101" s="1"/>
  <c r="E41" i="101" s="1"/>
  <c r="G41" i="101" s="1"/>
  <c r="H41" i="101" s="1"/>
  <c r="E42" i="101" s="1"/>
  <c r="G42" i="101" s="1"/>
  <c r="H42" i="101" s="1"/>
  <c r="E43" i="101" s="1"/>
  <c r="G43" i="101" s="1"/>
  <c r="H43" i="101" s="1"/>
  <c r="E44" i="101" s="1"/>
  <c r="G44" i="101" s="1"/>
  <c r="H44" i="101" s="1"/>
  <c r="E45" i="101" s="1"/>
  <c r="G36" i="94"/>
  <c r="H15" i="94" s="1"/>
  <c r="F38" i="104"/>
  <c r="H38" i="104" s="1"/>
  <c r="E39" i="104" s="1"/>
  <c r="G31" i="95"/>
  <c r="H31" i="95" s="1"/>
  <c r="E32" i="95" s="1"/>
  <c r="G31" i="96"/>
  <c r="H31" i="96" s="1"/>
  <c r="E32" i="96" s="1"/>
  <c r="G30" i="97"/>
  <c r="H30" i="97" s="1"/>
  <c r="E31" i="97" s="1"/>
  <c r="G29" i="99"/>
  <c r="H29" i="99" s="1"/>
  <c r="E30" i="99" s="1"/>
  <c r="G29" i="98"/>
  <c r="H29" i="98" s="1"/>
  <c r="E30" i="98" s="1"/>
  <c r="G29" i="100"/>
  <c r="H29" i="100" s="1"/>
  <c r="E30" i="100" s="1"/>
  <c r="G28" i="93"/>
  <c r="H28" i="93" s="1"/>
  <c r="E29" i="93" s="1"/>
  <c r="H29" i="92"/>
  <c r="I29" i="92" s="1"/>
  <c r="F30" i="92" s="1"/>
  <c r="K58" i="111" l="1"/>
  <c r="L58" i="111" s="1"/>
  <c r="I59" i="111" s="1"/>
  <c r="K56" i="110"/>
  <c r="L56" i="110"/>
  <c r="I57" i="110" s="1"/>
  <c r="H62" i="109"/>
  <c r="J14" i="109" s="1"/>
  <c r="G36" i="106"/>
  <c r="H36" i="106" s="1"/>
  <c r="E37" i="106" s="1"/>
  <c r="G34" i="107"/>
  <c r="H34" i="107" s="1"/>
  <c r="E35" i="107" s="1"/>
  <c r="G45" i="101"/>
  <c r="H45" i="101" s="1"/>
  <c r="E46" i="101" s="1"/>
  <c r="G46" i="101" s="1"/>
  <c r="H46" i="101" s="1"/>
  <c r="E47" i="101" s="1"/>
  <c r="G47" i="101" s="1"/>
  <c r="H47" i="101" s="1"/>
  <c r="E48" i="101" s="1"/>
  <c r="G48" i="101" s="1"/>
  <c r="H48" i="101" s="1"/>
  <c r="E49" i="101" s="1"/>
  <c r="G49" i="101" s="1"/>
  <c r="H49" i="101" s="1"/>
  <c r="E50" i="101" s="1"/>
  <c r="G50" i="101" s="1"/>
  <c r="H50" i="101" s="1"/>
  <c r="E51" i="101" s="1"/>
  <c r="G51" i="101" s="1"/>
  <c r="H51" i="101" s="1"/>
  <c r="E52" i="101" s="1"/>
  <c r="G52" i="101" s="1"/>
  <c r="H52" i="101" s="1"/>
  <c r="E53" i="101" s="1"/>
  <c r="G53" i="101" s="1"/>
  <c r="H53" i="101" s="1"/>
  <c r="E54" i="101" s="1"/>
  <c r="G54" i="101" s="1"/>
  <c r="H54" i="101" s="1"/>
  <c r="E55" i="101" s="1"/>
  <c r="G55" i="101" s="1"/>
  <c r="H55" i="101" s="1"/>
  <c r="E56" i="101" s="1"/>
  <c r="G56" i="101" s="1"/>
  <c r="H56" i="101" s="1"/>
  <c r="E57" i="101" s="1"/>
  <c r="H36" i="94"/>
  <c r="F39" i="104"/>
  <c r="H39" i="104" s="1"/>
  <c r="E40" i="104" s="1"/>
  <c r="G32" i="95"/>
  <c r="G32" i="96"/>
  <c r="G31" i="97"/>
  <c r="G30" i="99"/>
  <c r="H30" i="99" s="1"/>
  <c r="E31" i="99" s="1"/>
  <c r="G30" i="98"/>
  <c r="H30" i="98" s="1"/>
  <c r="E31" i="98" s="1"/>
  <c r="G30" i="100"/>
  <c r="G29" i="93"/>
  <c r="H29" i="93" s="1"/>
  <c r="E30" i="93" s="1"/>
  <c r="H30" i="92"/>
  <c r="I30" i="92" s="1"/>
  <c r="F31" i="92" s="1"/>
  <c r="K57" i="110" l="1"/>
  <c r="L57" i="110" s="1"/>
  <c r="I58" i="110" s="1"/>
  <c r="K59" i="111"/>
  <c r="L59" i="111"/>
  <c r="I60" i="111" s="1"/>
  <c r="K14" i="109"/>
  <c r="K15" i="109" s="1"/>
  <c r="J15" i="109"/>
  <c r="G37" i="106"/>
  <c r="H37" i="106" s="1"/>
  <c r="E38" i="106" s="1"/>
  <c r="G35" i="107"/>
  <c r="H35" i="107" s="1"/>
  <c r="E36" i="107" s="1"/>
  <c r="G57" i="101"/>
  <c r="H57" i="101"/>
  <c r="E58" i="101" s="1"/>
  <c r="G58" i="101" s="1"/>
  <c r="H58" i="101" s="1"/>
  <c r="E59" i="101" s="1"/>
  <c r="G59" i="101" s="1"/>
  <c r="H59" i="101" s="1"/>
  <c r="E60" i="101" s="1"/>
  <c r="G60" i="101" s="1"/>
  <c r="H60" i="101" s="1"/>
  <c r="E61" i="101" s="1"/>
  <c r="J15" i="94"/>
  <c r="E37" i="94"/>
  <c r="K14" i="94"/>
  <c r="K15" i="94" s="1"/>
  <c r="F40" i="104"/>
  <c r="H40" i="104" s="1"/>
  <c r="E41" i="104" s="1"/>
  <c r="H32" i="95"/>
  <c r="E33" i="95" s="1"/>
  <c r="H32" i="96"/>
  <c r="E33" i="96" s="1"/>
  <c r="H31" i="97"/>
  <c r="H30" i="100"/>
  <c r="E31" i="100" s="1"/>
  <c r="G31" i="100" s="1"/>
  <c r="G31" i="99"/>
  <c r="H31" i="99" s="1"/>
  <c r="E32" i="99" s="1"/>
  <c r="G31" i="98"/>
  <c r="H31" i="98" s="1"/>
  <c r="E32" i="98" s="1"/>
  <c r="G30" i="93"/>
  <c r="H30" i="93" s="1"/>
  <c r="E31" i="93" s="1"/>
  <c r="H31" i="92"/>
  <c r="H14" i="92" s="1"/>
  <c r="H15" i="92" s="1"/>
  <c r="K58" i="110" l="1"/>
  <c r="L58" i="110" s="1"/>
  <c r="I59" i="110" s="1"/>
  <c r="K60" i="111"/>
  <c r="L60" i="111"/>
  <c r="I61" i="111" s="1"/>
  <c r="L14" i="109"/>
  <c r="L15" i="109" s="1"/>
  <c r="G38" i="106"/>
  <c r="H38" i="106" s="1"/>
  <c r="E39" i="106" s="1"/>
  <c r="G36" i="107"/>
  <c r="H36" i="107" s="1"/>
  <c r="E37" i="107" s="1"/>
  <c r="G61" i="101"/>
  <c r="H61" i="101"/>
  <c r="E62" i="101" s="1"/>
  <c r="G62" i="101" s="1"/>
  <c r="G37" i="94"/>
  <c r="H37" i="94"/>
  <c r="E38" i="94" s="1"/>
  <c r="F41" i="104"/>
  <c r="H41" i="104" s="1"/>
  <c r="E42" i="104" s="1"/>
  <c r="G33" i="95"/>
  <c r="H33" i="95" s="1"/>
  <c r="E34" i="95" s="1"/>
  <c r="G33" i="96"/>
  <c r="E32" i="97"/>
  <c r="H31" i="100"/>
  <c r="E32" i="100" s="1"/>
  <c r="G32" i="100" s="1"/>
  <c r="H32" i="100" s="1"/>
  <c r="E33" i="100" s="1"/>
  <c r="G32" i="99"/>
  <c r="H32" i="99" s="1"/>
  <c r="E33" i="99" s="1"/>
  <c r="G32" i="98"/>
  <c r="H32" i="98" s="1"/>
  <c r="E33" i="98" s="1"/>
  <c r="G31" i="93"/>
  <c r="I31" i="92"/>
  <c r="K59" i="110" l="1"/>
  <c r="L59" i="110" s="1"/>
  <c r="I60" i="110" s="1"/>
  <c r="K61" i="111"/>
  <c r="L61" i="111"/>
  <c r="I62" i="111" s="1"/>
  <c r="H62" i="101"/>
  <c r="H14" i="101"/>
  <c r="H15" i="101" s="1"/>
  <c r="G39" i="106"/>
  <c r="H39" i="106" s="1"/>
  <c r="E40" i="106" s="1"/>
  <c r="G37" i="107"/>
  <c r="H37" i="107" s="1"/>
  <c r="H38" i="94"/>
  <c r="E39" i="94" s="1"/>
  <c r="G38" i="94"/>
  <c r="F42" i="104"/>
  <c r="H42" i="104" s="1"/>
  <c r="E43" i="104" s="1"/>
  <c r="G34" i="95"/>
  <c r="H34" i="95" s="1"/>
  <c r="E35" i="95" s="1"/>
  <c r="H33" i="96"/>
  <c r="E34" i="96" s="1"/>
  <c r="J15" i="97"/>
  <c r="G32" i="97"/>
  <c r="G33" i="99"/>
  <c r="H33" i="99" s="1"/>
  <c r="E34" i="99" s="1"/>
  <c r="G33" i="98"/>
  <c r="H33" i="98" s="1"/>
  <c r="E34" i="98" s="1"/>
  <c r="G33" i="100"/>
  <c r="H33" i="100" s="1"/>
  <c r="E34" i="100" s="1"/>
  <c r="H31" i="93"/>
  <c r="F32" i="92"/>
  <c r="J14" i="92"/>
  <c r="K62" i="111" l="1"/>
  <c r="L62" i="111"/>
  <c r="I63" i="111" s="1"/>
  <c r="K60" i="110"/>
  <c r="L60" i="110"/>
  <c r="I61" i="110" s="1"/>
  <c r="G40" i="106"/>
  <c r="H40" i="106" s="1"/>
  <c r="E41" i="106" s="1"/>
  <c r="E38" i="107"/>
  <c r="K11" i="107"/>
  <c r="G39" i="94"/>
  <c r="H39" i="94"/>
  <c r="E40" i="94" s="1"/>
  <c r="F43" i="104"/>
  <c r="H43" i="104" s="1"/>
  <c r="E44" i="104" s="1"/>
  <c r="G35" i="95"/>
  <c r="H35" i="95" s="1"/>
  <c r="E36" i="95" s="1"/>
  <c r="G34" i="96"/>
  <c r="H34" i="96" s="1"/>
  <c r="E35" i="96" s="1"/>
  <c r="H32" i="97"/>
  <c r="E33" i="97" s="1"/>
  <c r="G33" i="97" s="1"/>
  <c r="G34" i="99"/>
  <c r="H34" i="99" s="1"/>
  <c r="E35" i="99" s="1"/>
  <c r="G34" i="98"/>
  <c r="H34" i="98" s="1"/>
  <c r="E35" i="98" s="1"/>
  <c r="G34" i="100"/>
  <c r="E32" i="93"/>
  <c r="G32" i="93" s="1"/>
  <c r="H32" i="93" s="1"/>
  <c r="E33" i="93" s="1"/>
  <c r="J15" i="92"/>
  <c r="H32" i="92"/>
  <c r="I32" i="92" s="1"/>
  <c r="F33" i="92" s="1"/>
  <c r="K61" i="110" l="1"/>
  <c r="L61" i="110" s="1"/>
  <c r="I62" i="110" s="1"/>
  <c r="K63" i="111"/>
  <c r="L63" i="111"/>
  <c r="I64" i="111" s="1"/>
  <c r="G41" i="106"/>
  <c r="H41" i="106" s="1"/>
  <c r="K12" i="107"/>
  <c r="L11" i="107"/>
  <c r="L12" i="107" s="1"/>
  <c r="G38" i="107"/>
  <c r="H38" i="107" s="1"/>
  <c r="E39" i="107" s="1"/>
  <c r="G40" i="94"/>
  <c r="H40" i="94" s="1"/>
  <c r="E41" i="94" s="1"/>
  <c r="F44" i="104"/>
  <c r="H44" i="104" s="1"/>
  <c r="E45" i="104" s="1"/>
  <c r="G36" i="95"/>
  <c r="H15" i="95" s="1"/>
  <c r="G35" i="96"/>
  <c r="H35" i="96" s="1"/>
  <c r="H33" i="97"/>
  <c r="E34" i="97" s="1"/>
  <c r="G34" i="97" s="1"/>
  <c r="H34" i="97" s="1"/>
  <c r="E35" i="97" s="1"/>
  <c r="H34" i="100"/>
  <c r="E35" i="100" s="1"/>
  <c r="G35" i="100" s="1"/>
  <c r="G35" i="99"/>
  <c r="H35" i="99" s="1"/>
  <c r="E36" i="99" s="1"/>
  <c r="G35" i="98"/>
  <c r="H35" i="98" s="1"/>
  <c r="E36" i="98" s="1"/>
  <c r="G33" i="93"/>
  <c r="H33" i="93" s="1"/>
  <c r="E34" i="93" s="1"/>
  <c r="H33" i="92"/>
  <c r="I33" i="92" s="1"/>
  <c r="F34" i="92" s="1"/>
  <c r="K64" i="111" l="1"/>
  <c r="L64" i="111" s="1"/>
  <c r="I65" i="111" s="1"/>
  <c r="K62" i="110"/>
  <c r="L62" i="110" s="1"/>
  <c r="I63" i="110" s="1"/>
  <c r="L14" i="106"/>
  <c r="L15" i="106" s="1"/>
  <c r="E42" i="106"/>
  <c r="K14" i="106"/>
  <c r="K15" i="106" s="1"/>
  <c r="G39" i="107"/>
  <c r="H39" i="107"/>
  <c r="E40" i="107" s="1"/>
  <c r="G41" i="94"/>
  <c r="H41" i="94" s="1"/>
  <c r="F45" i="104"/>
  <c r="H45" i="104" s="1"/>
  <c r="E46" i="104" s="1"/>
  <c r="H36" i="95"/>
  <c r="J14" i="95" s="1"/>
  <c r="K14" i="95" s="1"/>
  <c r="K15" i="95" s="1"/>
  <c r="E36" i="96"/>
  <c r="G35" i="97"/>
  <c r="H35" i="100"/>
  <c r="E36" i="100" s="1"/>
  <c r="G36" i="100" s="1"/>
  <c r="H36" i="100" s="1"/>
  <c r="E37" i="100" s="1"/>
  <c r="G36" i="99"/>
  <c r="H36" i="99" s="1"/>
  <c r="E37" i="99" s="1"/>
  <c r="G36" i="98"/>
  <c r="H36" i="98" s="1"/>
  <c r="E37" i="98" s="1"/>
  <c r="G34" i="93"/>
  <c r="H34" i="93" s="1"/>
  <c r="E35" i="93" s="1"/>
  <c r="H34" i="92"/>
  <c r="I34" i="92" s="1"/>
  <c r="F35" i="92" s="1"/>
  <c r="K63" i="110" l="1"/>
  <c r="L63" i="110" s="1"/>
  <c r="I64" i="110" s="1"/>
  <c r="K65" i="111"/>
  <c r="L65" i="111"/>
  <c r="I66" i="111" s="1"/>
  <c r="G40" i="107"/>
  <c r="H40" i="107"/>
  <c r="E41" i="107" s="1"/>
  <c r="G42" i="106"/>
  <c r="H42" i="106"/>
  <c r="E43" i="106" s="1"/>
  <c r="F46" i="104"/>
  <c r="H46" i="104" s="1"/>
  <c r="E47" i="104" s="1"/>
  <c r="J15" i="95"/>
  <c r="K14" i="96"/>
  <c r="K15" i="96" s="1"/>
  <c r="G36" i="96"/>
  <c r="H36" i="96" s="1"/>
  <c r="H35" i="97"/>
  <c r="H14" i="97"/>
  <c r="H15" i="97" s="1"/>
  <c r="E36" i="97"/>
  <c r="G37" i="99"/>
  <c r="H37" i="99" s="1"/>
  <c r="E38" i="99" s="1"/>
  <c r="G37" i="98"/>
  <c r="G37" i="100"/>
  <c r="H37" i="100" s="1"/>
  <c r="E38" i="100" s="1"/>
  <c r="G35" i="93"/>
  <c r="H35" i="93" s="1"/>
  <c r="H35" i="92"/>
  <c r="I35" i="92" s="1"/>
  <c r="K66" i="111" l="1"/>
  <c r="L66" i="111" s="1"/>
  <c r="I67" i="111" s="1"/>
  <c r="K64" i="110"/>
  <c r="L64" i="110" s="1"/>
  <c r="I65" i="110" s="1"/>
  <c r="G43" i="106"/>
  <c r="H43" i="106" s="1"/>
  <c r="E44" i="106" s="1"/>
  <c r="G41" i="107"/>
  <c r="H41" i="107" s="1"/>
  <c r="E42" i="107" s="1"/>
  <c r="F47" i="104"/>
  <c r="H47" i="104" s="1"/>
  <c r="E48" i="104" s="1"/>
  <c r="L15" i="97"/>
  <c r="K15" i="97"/>
  <c r="G36" i="97"/>
  <c r="H36" i="97" s="1"/>
  <c r="H37" i="98"/>
  <c r="E38" i="98" s="1"/>
  <c r="G38" i="98" s="1"/>
  <c r="G38" i="99"/>
  <c r="G38" i="100"/>
  <c r="H38" i="100" s="1"/>
  <c r="E39" i="100" s="1"/>
  <c r="E36" i="93"/>
  <c r="F36" i="92"/>
  <c r="L14" i="92"/>
  <c r="K65" i="110" l="1"/>
  <c r="L65" i="110" s="1"/>
  <c r="I66" i="110" s="1"/>
  <c r="K67" i="111"/>
  <c r="L67" i="111"/>
  <c r="I68" i="111" s="1"/>
  <c r="G44" i="106"/>
  <c r="H44" i="106" s="1"/>
  <c r="E45" i="106" s="1"/>
  <c r="G42" i="107"/>
  <c r="H42" i="107" s="1"/>
  <c r="E43" i="107" s="1"/>
  <c r="F48" i="104"/>
  <c r="H48" i="104" s="1"/>
  <c r="E49" i="104" s="1"/>
  <c r="H38" i="98"/>
  <c r="E39" i="98" s="1"/>
  <c r="G39" i="98" s="1"/>
  <c r="H38" i="99"/>
  <c r="E39" i="99" s="1"/>
  <c r="G39" i="100"/>
  <c r="H39" i="100" s="1"/>
  <c r="E40" i="100" s="1"/>
  <c r="L15" i="93"/>
  <c r="K15" i="93"/>
  <c r="G36" i="93"/>
  <c r="H36" i="93" s="1"/>
  <c r="E37" i="93" s="1"/>
  <c r="L15" i="92"/>
  <c r="K14" i="92"/>
  <c r="K15" i="92" s="1"/>
  <c r="H36" i="92"/>
  <c r="I36" i="92" s="1"/>
  <c r="K68" i="111" l="1"/>
  <c r="L68" i="111" s="1"/>
  <c r="I69" i="111" s="1"/>
  <c r="K66" i="110"/>
  <c r="L66" i="110" s="1"/>
  <c r="I67" i="110" s="1"/>
  <c r="H45" i="106"/>
  <c r="E46" i="106" s="1"/>
  <c r="G45" i="106"/>
  <c r="G43" i="107"/>
  <c r="H43" i="107" s="1"/>
  <c r="E44" i="107" s="1"/>
  <c r="F49" i="104"/>
  <c r="H39" i="98"/>
  <c r="E40" i="98" s="1"/>
  <c r="G40" i="98" s="1"/>
  <c r="H40" i="98" s="1"/>
  <c r="E41" i="98" s="1"/>
  <c r="G39" i="99"/>
  <c r="G40" i="100"/>
  <c r="G37" i="93"/>
  <c r="H37" i="93" s="1"/>
  <c r="E38" i="93" s="1"/>
  <c r="I14" i="80"/>
  <c r="H15" i="80"/>
  <c r="H14" i="80"/>
  <c r="F15" i="80"/>
  <c r="F14" i="80"/>
  <c r="A16" i="80"/>
  <c r="B13" i="80"/>
  <c r="I15" i="87"/>
  <c r="I14" i="87"/>
  <c r="I14" i="86"/>
  <c r="I14" i="88"/>
  <c r="C15" i="87"/>
  <c r="D15" i="87"/>
  <c r="G52" i="88"/>
  <c r="G48" i="88"/>
  <c r="G31" i="88"/>
  <c r="B20" i="88"/>
  <c r="B19" i="88"/>
  <c r="B18" i="88"/>
  <c r="G59" i="88" s="1"/>
  <c r="D15" i="88"/>
  <c r="C15" i="88"/>
  <c r="A6" i="88"/>
  <c r="G58" i="87"/>
  <c r="G56" i="87"/>
  <c r="G55" i="87"/>
  <c r="G54" i="87"/>
  <c r="G52" i="87"/>
  <c r="G49" i="87"/>
  <c r="G39" i="87"/>
  <c r="G37" i="87"/>
  <c r="G34" i="87"/>
  <c r="G32" i="87"/>
  <c r="G31" i="87"/>
  <c r="B20" i="87"/>
  <c r="B18" i="87"/>
  <c r="G57" i="87" s="1"/>
  <c r="B15" i="87"/>
  <c r="A6" i="87"/>
  <c r="A3" i="87"/>
  <c r="A2" i="87"/>
  <c r="A1" i="87"/>
  <c r="B20" i="86"/>
  <c r="B18" i="86"/>
  <c r="G53" i="86" s="1"/>
  <c r="D15" i="86"/>
  <c r="C15" i="86"/>
  <c r="B19" i="86"/>
  <c r="K67" i="110" l="1"/>
  <c r="L67" i="110" s="1"/>
  <c r="I68" i="110" s="1"/>
  <c r="K69" i="111"/>
  <c r="L69" i="111"/>
  <c r="I70" i="111" s="1"/>
  <c r="H46" i="106"/>
  <c r="E47" i="106" s="1"/>
  <c r="G46" i="106"/>
  <c r="G44" i="107"/>
  <c r="H44" i="107" s="1"/>
  <c r="E45" i="107" s="1"/>
  <c r="H49" i="104"/>
  <c r="E50" i="104" s="1"/>
  <c r="H39" i="99"/>
  <c r="E40" i="99" s="1"/>
  <c r="G41" i="98"/>
  <c r="H41" i="98" s="1"/>
  <c r="E42" i="98" s="1"/>
  <c r="H40" i="100"/>
  <c r="E41" i="100" s="1"/>
  <c r="G38" i="93"/>
  <c r="H38" i="93" s="1"/>
  <c r="E39" i="93" s="1"/>
  <c r="G27" i="87"/>
  <c r="G46" i="87"/>
  <c r="G40" i="87"/>
  <c r="B19" i="87"/>
  <c r="B21" i="87" s="1"/>
  <c r="C49" i="87" s="1"/>
  <c r="G42" i="87"/>
  <c r="G43" i="87"/>
  <c r="G25" i="87"/>
  <c r="G44" i="87"/>
  <c r="G28" i="87"/>
  <c r="G30" i="87"/>
  <c r="G51" i="87"/>
  <c r="G48" i="86"/>
  <c r="G42" i="86"/>
  <c r="G50" i="86"/>
  <c r="G54" i="86"/>
  <c r="B15" i="86"/>
  <c r="G27" i="86"/>
  <c r="G28" i="86"/>
  <c r="G30" i="86"/>
  <c r="G47" i="86"/>
  <c r="G24" i="86"/>
  <c r="G35" i="86"/>
  <c r="G26" i="86"/>
  <c r="G59" i="86"/>
  <c r="G36" i="86"/>
  <c r="G38" i="86"/>
  <c r="G40" i="86"/>
  <c r="G25" i="88"/>
  <c r="G39" i="88"/>
  <c r="G54" i="88"/>
  <c r="G36" i="88"/>
  <c r="G26" i="88"/>
  <c r="G40" i="88"/>
  <c r="G55" i="88"/>
  <c r="G32" i="88"/>
  <c r="G49" i="88"/>
  <c r="G34" i="88"/>
  <c r="B21" i="88"/>
  <c r="C40" i="88" s="1"/>
  <c r="G51" i="88"/>
  <c r="G37" i="88"/>
  <c r="G24" i="88"/>
  <c r="G38" i="88"/>
  <c r="G53" i="88"/>
  <c r="G27" i="88"/>
  <c r="G41" i="88"/>
  <c r="G28" i="88"/>
  <c r="G42" i="88"/>
  <c r="G29" i="88"/>
  <c r="G43" i="88"/>
  <c r="G30" i="88"/>
  <c r="G46" i="88"/>
  <c r="G50" i="88"/>
  <c r="B21" i="86"/>
  <c r="C36" i="86" s="1"/>
  <c r="B15" i="88"/>
  <c r="C27" i="86"/>
  <c r="C25" i="87"/>
  <c r="E24" i="87"/>
  <c r="C54" i="87"/>
  <c r="C42" i="87"/>
  <c r="C30" i="87"/>
  <c r="C40" i="87"/>
  <c r="C57" i="87"/>
  <c r="C45" i="87"/>
  <c r="C33" i="87"/>
  <c r="C48" i="87"/>
  <c r="C36" i="87"/>
  <c r="C24" i="87"/>
  <c r="C51" i="87"/>
  <c r="E15" i="87"/>
  <c r="C56" i="87"/>
  <c r="C31" i="87"/>
  <c r="C46" i="87"/>
  <c r="C34" i="87"/>
  <c r="C44" i="87"/>
  <c r="G31" i="86"/>
  <c r="G43" i="86"/>
  <c r="G55" i="86"/>
  <c r="G35" i="87"/>
  <c r="G47" i="87"/>
  <c r="G59" i="87"/>
  <c r="G44" i="88"/>
  <c r="G56" i="88"/>
  <c r="G33" i="86"/>
  <c r="G45" i="86"/>
  <c r="G57" i="86"/>
  <c r="G58" i="88"/>
  <c r="G52" i="86"/>
  <c r="G25" i="86"/>
  <c r="G37" i="86"/>
  <c r="G49" i="86"/>
  <c r="G29" i="87"/>
  <c r="G41" i="87"/>
  <c r="G53" i="87"/>
  <c r="G32" i="86"/>
  <c r="G44" i="86"/>
  <c r="G56" i="86"/>
  <c r="G24" i="87"/>
  <c r="G36" i="87"/>
  <c r="G48" i="87"/>
  <c r="G33" i="88"/>
  <c r="G45" i="88"/>
  <c r="G57" i="88"/>
  <c r="G39" i="86"/>
  <c r="G51" i="86"/>
  <c r="G34" i="86"/>
  <c r="G46" i="86"/>
  <c r="G58" i="86"/>
  <c r="G26" i="87"/>
  <c r="G38" i="87"/>
  <c r="G50" i="87"/>
  <c r="G35" i="88"/>
  <c r="G47" i="88"/>
  <c r="G29" i="86"/>
  <c r="G41" i="86"/>
  <c r="G33" i="87"/>
  <c r="G45" i="87"/>
  <c r="K70" i="111" l="1"/>
  <c r="L70" i="111" s="1"/>
  <c r="I71" i="111" s="1"/>
  <c r="K68" i="110"/>
  <c r="L68" i="110" s="1"/>
  <c r="I69" i="110" s="1"/>
  <c r="G45" i="107"/>
  <c r="H45" i="107" s="1"/>
  <c r="E46" i="107" s="1"/>
  <c r="G47" i="106"/>
  <c r="H47" i="106"/>
  <c r="E48" i="106" s="1"/>
  <c r="F50" i="104"/>
  <c r="H50" i="104" s="1"/>
  <c r="E51" i="104" s="1"/>
  <c r="G40" i="99"/>
  <c r="H40" i="99" s="1"/>
  <c r="E41" i="99" s="1"/>
  <c r="G42" i="98"/>
  <c r="G41" i="100"/>
  <c r="H14" i="100" s="1"/>
  <c r="G39" i="93"/>
  <c r="H39" i="93" s="1"/>
  <c r="E40" i="93" s="1"/>
  <c r="C27" i="87"/>
  <c r="C26" i="87"/>
  <c r="C39" i="87"/>
  <c r="C38" i="87"/>
  <c r="C58" i="87"/>
  <c r="C52" i="87"/>
  <c r="C41" i="87"/>
  <c r="C35" i="87"/>
  <c r="C43" i="87"/>
  <c r="C53" i="87"/>
  <c r="F14" i="87" s="1"/>
  <c r="F15" i="87" s="1"/>
  <c r="C59" i="87"/>
  <c r="C52" i="88"/>
  <c r="C47" i="88"/>
  <c r="C59" i="88"/>
  <c r="C47" i="87"/>
  <c r="C55" i="87"/>
  <c r="B24" i="87"/>
  <c r="D24" i="87" s="1"/>
  <c r="B25" i="87" s="1"/>
  <c r="D25" i="87" s="1"/>
  <c r="B26" i="87" s="1"/>
  <c r="D26" i="87" s="1"/>
  <c r="B27" i="87" s="1"/>
  <c r="D27" i="87" s="1"/>
  <c r="B28" i="87" s="1"/>
  <c r="C50" i="87"/>
  <c r="C37" i="87"/>
  <c r="C32" i="87"/>
  <c r="C29" i="87"/>
  <c r="C28" i="87"/>
  <c r="C38" i="86"/>
  <c r="C33" i="86"/>
  <c r="C47" i="86"/>
  <c r="C40" i="86"/>
  <c r="C53" i="86"/>
  <c r="C52" i="86"/>
  <c r="C48" i="86"/>
  <c r="C42" i="86"/>
  <c r="C31" i="86"/>
  <c r="E15" i="86"/>
  <c r="C54" i="86"/>
  <c r="C43" i="86"/>
  <c r="I15" i="86"/>
  <c r="C34" i="86"/>
  <c r="C26" i="86"/>
  <c r="B24" i="86"/>
  <c r="D24" i="86" s="1"/>
  <c r="B25" i="86" s="1"/>
  <c r="D25" i="86" s="1"/>
  <c r="B26" i="86" s="1"/>
  <c r="D26" i="86" s="1"/>
  <c r="B27" i="86" s="1"/>
  <c r="D27" i="86" s="1"/>
  <c r="B28" i="86" s="1"/>
  <c r="D28" i="86" s="1"/>
  <c r="B29" i="86" s="1"/>
  <c r="D29" i="86" s="1"/>
  <c r="C49" i="86"/>
  <c r="C32" i="86"/>
  <c r="C29" i="86"/>
  <c r="C48" i="88"/>
  <c r="C31" i="88"/>
  <c r="C50" i="88"/>
  <c r="C25" i="88"/>
  <c r="C27" i="88"/>
  <c r="C39" i="88"/>
  <c r="C58" i="88"/>
  <c r="C41" i="88"/>
  <c r="C33" i="88"/>
  <c r="E15" i="88"/>
  <c r="C24" i="88"/>
  <c r="C57" i="88"/>
  <c r="C44" i="88"/>
  <c r="C53" i="88"/>
  <c r="C45" i="88"/>
  <c r="C32" i="88"/>
  <c r="C36" i="88"/>
  <c r="C35" i="88"/>
  <c r="C56" i="88"/>
  <c r="E24" i="88"/>
  <c r="C30" i="88"/>
  <c r="C51" i="88"/>
  <c r="C26" i="88"/>
  <c r="C42" i="88"/>
  <c r="C34" i="88"/>
  <c r="C28" i="88"/>
  <c r="C38" i="88"/>
  <c r="C54" i="88"/>
  <c r="C46" i="88"/>
  <c r="B24" i="88"/>
  <c r="C43" i="88"/>
  <c r="C37" i="88"/>
  <c r="I15" i="88"/>
  <c r="C29" i="88"/>
  <c r="C55" i="88"/>
  <c r="C49" i="88"/>
  <c r="C46" i="86"/>
  <c r="C44" i="86"/>
  <c r="C55" i="86"/>
  <c r="C28" i="86"/>
  <c r="C56" i="86"/>
  <c r="E24" i="86"/>
  <c r="F24" i="86" s="1"/>
  <c r="H24" i="86" s="1"/>
  <c r="E25" i="86" s="1"/>
  <c r="C35" i="86"/>
  <c r="C41" i="86"/>
  <c r="C50" i="86"/>
  <c r="C51" i="86"/>
  <c r="C59" i="86"/>
  <c r="C58" i="86"/>
  <c r="C45" i="86"/>
  <c r="C39" i="86"/>
  <c r="C25" i="86"/>
  <c r="C24" i="86"/>
  <c r="C57" i="86"/>
  <c r="C30" i="86"/>
  <c r="C37" i="86"/>
  <c r="F24" i="88"/>
  <c r="H24" i="88" s="1"/>
  <c r="E25" i="88" s="1"/>
  <c r="F24" i="87"/>
  <c r="H24" i="87" s="1"/>
  <c r="E25" i="87" s="1"/>
  <c r="K69" i="110" l="1"/>
  <c r="L69" i="110"/>
  <c r="I70" i="110" s="1"/>
  <c r="K71" i="111"/>
  <c r="L71" i="111" s="1"/>
  <c r="I72" i="111" s="1"/>
  <c r="G46" i="107"/>
  <c r="H46" i="107" s="1"/>
  <c r="E47" i="107" s="1"/>
  <c r="G48" i="106"/>
  <c r="H48" i="106" s="1"/>
  <c r="E49" i="106" s="1"/>
  <c r="F51" i="104"/>
  <c r="H51" i="104" s="1"/>
  <c r="E52" i="104" s="1"/>
  <c r="H42" i="98"/>
  <c r="E43" i="98" s="1"/>
  <c r="G43" i="98" s="1"/>
  <c r="G41" i="99"/>
  <c r="H41" i="99" s="1"/>
  <c r="E42" i="99" s="1"/>
  <c r="H41" i="100"/>
  <c r="G40" i="93"/>
  <c r="D28" i="87"/>
  <c r="B29" i="87" s="1"/>
  <c r="D29" i="87" s="1"/>
  <c r="B30" i="87" s="1"/>
  <c r="D30" i="87" s="1"/>
  <c r="B31" i="87" s="1"/>
  <c r="D31" i="87" s="1"/>
  <c r="B32" i="87" s="1"/>
  <c r="D32" i="87" s="1"/>
  <c r="B33" i="87" s="1"/>
  <c r="D33" i="87" s="1"/>
  <c r="B34" i="87" s="1"/>
  <c r="D34" i="87" s="1"/>
  <c r="B35" i="87" s="1"/>
  <c r="D35" i="87" s="1"/>
  <c r="B36" i="87" s="1"/>
  <c r="D36" i="87" s="1"/>
  <c r="B37" i="87" s="1"/>
  <c r="D37" i="87" s="1"/>
  <c r="B38" i="87" s="1"/>
  <c r="D38" i="87" s="1"/>
  <c r="B39" i="87" s="1"/>
  <c r="D39" i="87" s="1"/>
  <c r="B40" i="87" s="1"/>
  <c r="D40" i="87" s="1"/>
  <c r="B41" i="87" s="1"/>
  <c r="D41" i="87" s="1"/>
  <c r="B42" i="87" s="1"/>
  <c r="D42" i="87" s="1"/>
  <c r="B43" i="87" s="1"/>
  <c r="D43" i="87" s="1"/>
  <c r="B44" i="87" s="1"/>
  <c r="D44" i="87" s="1"/>
  <c r="B45" i="87" s="1"/>
  <c r="D45" i="87" s="1"/>
  <c r="B46" i="87" s="1"/>
  <c r="D46" i="87" s="1"/>
  <c r="B47" i="87" s="1"/>
  <c r="D47" i="87" s="1"/>
  <c r="B48" i="87" s="1"/>
  <c r="D48" i="87" s="1"/>
  <c r="B49" i="87" s="1"/>
  <c r="D49" i="87" s="1"/>
  <c r="B50" i="87" s="1"/>
  <c r="D50" i="87" s="1"/>
  <c r="B51" i="87" s="1"/>
  <c r="D51" i="87" s="1"/>
  <c r="B52" i="87" s="1"/>
  <c r="D52" i="87" s="1"/>
  <c r="B53" i="87" s="1"/>
  <c r="D53" i="87" s="1"/>
  <c r="B54" i="87" s="1"/>
  <c r="D54" i="87" s="1"/>
  <c r="B55" i="87" s="1"/>
  <c r="D55" i="87" s="1"/>
  <c r="B56" i="87" s="1"/>
  <c r="D56" i="87" s="1"/>
  <c r="B57" i="87" s="1"/>
  <c r="D57" i="87" s="1"/>
  <c r="B58" i="87" s="1"/>
  <c r="D58" i="87" s="1"/>
  <c r="B59" i="87" s="1"/>
  <c r="D59" i="87" s="1"/>
  <c r="G14" i="87" s="1"/>
  <c r="G15" i="87" s="1"/>
  <c r="F14" i="86"/>
  <c r="F15" i="86" s="1"/>
  <c r="D24" i="88"/>
  <c r="B25" i="88" s="1"/>
  <c r="D25" i="88" s="1"/>
  <c r="B26" i="88" s="1"/>
  <c r="D26" i="88" s="1"/>
  <c r="B27" i="88" s="1"/>
  <c r="D27" i="88" s="1"/>
  <c r="B28" i="88" s="1"/>
  <c r="D28" i="88" s="1"/>
  <c r="B29" i="88" s="1"/>
  <c r="D29" i="88" s="1"/>
  <c r="B30" i="88" s="1"/>
  <c r="D30" i="88" s="1"/>
  <c r="B31" i="88" s="1"/>
  <c r="D31" i="88" s="1"/>
  <c r="F14" i="88"/>
  <c r="F15" i="88" s="1"/>
  <c r="F25" i="86"/>
  <c r="H25" i="86" s="1"/>
  <c r="E26" i="86" s="1"/>
  <c r="F25" i="87"/>
  <c r="B30" i="86"/>
  <c r="D30" i="86" s="1"/>
  <c r="B31" i="86" s="1"/>
  <c r="D31" i="86" s="1"/>
  <c r="B32" i="86" s="1"/>
  <c r="D32" i="86" s="1"/>
  <c r="B33" i="86" s="1"/>
  <c r="D33" i="86" s="1"/>
  <c r="B34" i="86" s="1"/>
  <c r="D34" i="86" s="1"/>
  <c r="B35" i="86" s="1"/>
  <c r="D35" i="86" s="1"/>
  <c r="B36" i="86" s="1"/>
  <c r="D36" i="86" s="1"/>
  <c r="B37" i="86" s="1"/>
  <c r="D37" i="86" s="1"/>
  <c r="B38" i="86" s="1"/>
  <c r="D38" i="86" s="1"/>
  <c r="B39" i="86" s="1"/>
  <c r="D39" i="86" s="1"/>
  <c r="B40" i="86" s="1"/>
  <c r="D40" i="86" s="1"/>
  <c r="B41" i="86" s="1"/>
  <c r="D41" i="86" s="1"/>
  <c r="B42" i="86" s="1"/>
  <c r="D42" i="86" s="1"/>
  <c r="B43" i="86" s="1"/>
  <c r="D43" i="86" s="1"/>
  <c r="B44" i="86" s="1"/>
  <c r="D44" i="86" s="1"/>
  <c r="B45" i="86" s="1"/>
  <c r="D45" i="86" s="1"/>
  <c r="B46" i="86" s="1"/>
  <c r="D46" i="86" s="1"/>
  <c r="B47" i="86" s="1"/>
  <c r="D47" i="86" s="1"/>
  <c r="B48" i="86" s="1"/>
  <c r="D48" i="86" s="1"/>
  <c r="B49" i="86" s="1"/>
  <c r="D49" i="86" s="1"/>
  <c r="B50" i="86" s="1"/>
  <c r="D50" i="86" s="1"/>
  <c r="B51" i="86" s="1"/>
  <c r="D51" i="86" s="1"/>
  <c r="B52" i="86" s="1"/>
  <c r="D52" i="86" s="1"/>
  <c r="B53" i="86" s="1"/>
  <c r="D53" i="86" s="1"/>
  <c r="F25" i="88"/>
  <c r="H25" i="88" s="1"/>
  <c r="E26" i="88" s="1"/>
  <c r="K72" i="111" l="1"/>
  <c r="L72" i="111"/>
  <c r="I73" i="111" s="1"/>
  <c r="K70" i="110"/>
  <c r="L70" i="110" s="1"/>
  <c r="I71" i="110" s="1"/>
  <c r="G47" i="107"/>
  <c r="H47" i="107" s="1"/>
  <c r="E48" i="107" s="1"/>
  <c r="H49" i="106"/>
  <c r="E50" i="106" s="1"/>
  <c r="G49" i="106"/>
  <c r="F52" i="104"/>
  <c r="E42" i="100"/>
  <c r="G42" i="100" s="1"/>
  <c r="H42" i="100" s="1"/>
  <c r="E43" i="100" s="1"/>
  <c r="J14" i="100"/>
  <c r="G42" i="99"/>
  <c r="H42" i="99" s="1"/>
  <c r="E43" i="99" s="1"/>
  <c r="H43" i="98"/>
  <c r="E44" i="98" s="1"/>
  <c r="H40" i="93"/>
  <c r="E41" i="93" s="1"/>
  <c r="G41" i="93"/>
  <c r="H41" i="93" s="1"/>
  <c r="E42" i="93" s="1"/>
  <c r="B54" i="86"/>
  <c r="D54" i="86" s="1"/>
  <c r="B55" i="86" s="1"/>
  <c r="D55" i="86" s="1"/>
  <c r="B56" i="86" s="1"/>
  <c r="D56" i="86" s="1"/>
  <c r="B57" i="86" s="1"/>
  <c r="D57" i="86" s="1"/>
  <c r="B58" i="86" s="1"/>
  <c r="D58" i="86" s="1"/>
  <c r="B59" i="86" s="1"/>
  <c r="D59" i="86" s="1"/>
  <c r="G14" i="86"/>
  <c r="B32" i="88"/>
  <c r="D32" i="88" s="1"/>
  <c r="B33" i="88" s="1"/>
  <c r="D33" i="88" s="1"/>
  <c r="B34" i="88" s="1"/>
  <c r="D34" i="88" s="1"/>
  <c r="B35" i="88" s="1"/>
  <c r="D35" i="88" s="1"/>
  <c r="B36" i="88" s="1"/>
  <c r="D36" i="88" s="1"/>
  <c r="B37" i="88" s="1"/>
  <c r="D37" i="88" s="1"/>
  <c r="B38" i="88" s="1"/>
  <c r="D38" i="88" s="1"/>
  <c r="B39" i="88" s="1"/>
  <c r="D39" i="88" s="1"/>
  <c r="B40" i="88" s="1"/>
  <c r="D40" i="88" s="1"/>
  <c r="B41" i="88" s="1"/>
  <c r="D41" i="88" s="1"/>
  <c r="B42" i="88" s="1"/>
  <c r="D42" i="88" s="1"/>
  <c r="B43" i="88" s="1"/>
  <c r="D43" i="88" s="1"/>
  <c r="B44" i="88" s="1"/>
  <c r="D44" i="88" s="1"/>
  <c r="B45" i="88" s="1"/>
  <c r="D45" i="88" s="1"/>
  <c r="B46" i="88" s="1"/>
  <c r="D46" i="88" s="1"/>
  <c r="B47" i="88" s="1"/>
  <c r="D47" i="88" s="1"/>
  <c r="B48" i="88" s="1"/>
  <c r="D48" i="88" s="1"/>
  <c r="B49" i="88" s="1"/>
  <c r="D49" i="88" s="1"/>
  <c r="B50" i="88" s="1"/>
  <c r="D50" i="88" s="1"/>
  <c r="B51" i="88" s="1"/>
  <c r="D51" i="88" s="1"/>
  <c r="B52" i="88" s="1"/>
  <c r="D52" i="88" s="1"/>
  <c r="B53" i="88" s="1"/>
  <c r="D53" i="88" s="1"/>
  <c r="B54" i="88" s="1"/>
  <c r="D54" i="88" s="1"/>
  <c r="B55" i="88" s="1"/>
  <c r="D55" i="88" s="1"/>
  <c r="F26" i="86"/>
  <c r="F26" i="88"/>
  <c r="H26" i="88" s="1"/>
  <c r="E27" i="88" s="1"/>
  <c r="H25" i="87"/>
  <c r="E26" i="87" s="1"/>
  <c r="K71" i="110" l="1"/>
  <c r="L71" i="110" s="1"/>
  <c r="I72" i="110" s="1"/>
  <c r="K73" i="111"/>
  <c r="L73" i="111" s="1"/>
  <c r="I74" i="111" s="1"/>
  <c r="G48" i="107"/>
  <c r="H48" i="107" s="1"/>
  <c r="E49" i="107" s="1"/>
  <c r="G50" i="106"/>
  <c r="H50" i="106" s="1"/>
  <c r="E51" i="106" s="1"/>
  <c r="H52" i="104"/>
  <c r="E53" i="104" s="1"/>
  <c r="F53" i="104" s="1"/>
  <c r="G43" i="99"/>
  <c r="H43" i="99" s="1"/>
  <c r="E44" i="99" s="1"/>
  <c r="G44" i="98"/>
  <c r="H44" i="98" s="1"/>
  <c r="E45" i="98" s="1"/>
  <c r="G43" i="100"/>
  <c r="H43" i="100" s="1"/>
  <c r="E44" i="100" s="1"/>
  <c r="G42" i="93"/>
  <c r="B56" i="88"/>
  <c r="D56" i="88" s="1"/>
  <c r="B57" i="88" s="1"/>
  <c r="D57" i="88" s="1"/>
  <c r="B58" i="88" s="1"/>
  <c r="D58" i="88" s="1"/>
  <c r="B59" i="88" s="1"/>
  <c r="D59" i="88" s="1"/>
  <c r="G14" i="88"/>
  <c r="G15" i="88" s="1"/>
  <c r="H26" i="86"/>
  <c r="E27" i="86" s="1"/>
  <c r="F26" i="87"/>
  <c r="H26" i="87" s="1"/>
  <c r="E27" i="87" s="1"/>
  <c r="F27" i="88"/>
  <c r="K74" i="111" l="1"/>
  <c r="L74" i="111" s="1"/>
  <c r="I75" i="111" s="1"/>
  <c r="K72" i="110"/>
  <c r="L72" i="110" s="1"/>
  <c r="I73" i="110" s="1"/>
  <c r="G51" i="106"/>
  <c r="H51" i="106" s="1"/>
  <c r="E52" i="106" s="1"/>
  <c r="G49" i="107"/>
  <c r="H49" i="107" s="1"/>
  <c r="E50" i="107" s="1"/>
  <c r="H53" i="104"/>
  <c r="E54" i="104" s="1"/>
  <c r="F54" i="104" s="1"/>
  <c r="H54" i="104" s="1"/>
  <c r="E55" i="104" s="1"/>
  <c r="G44" i="99"/>
  <c r="H44" i="99" s="1"/>
  <c r="E45" i="99" s="1"/>
  <c r="G45" i="98"/>
  <c r="H45" i="98" s="1"/>
  <c r="E46" i="98" s="1"/>
  <c r="G44" i="100"/>
  <c r="H44" i="100" s="1"/>
  <c r="E45" i="100" s="1"/>
  <c r="H42" i="93"/>
  <c r="E43" i="93" s="1"/>
  <c r="G43" i="93" s="1"/>
  <c r="F27" i="87"/>
  <c r="H27" i="87" s="1"/>
  <c r="E28" i="87" s="1"/>
  <c r="F27" i="86"/>
  <c r="H27" i="86" s="1"/>
  <c r="E28" i="86" s="1"/>
  <c r="H27" i="88"/>
  <c r="E28" i="88" s="1"/>
  <c r="K75" i="111" l="1"/>
  <c r="L75" i="111" s="1"/>
  <c r="I76" i="111" s="1"/>
  <c r="K73" i="110"/>
  <c r="L73" i="110" s="1"/>
  <c r="I74" i="110" s="1"/>
  <c r="G52" i="106"/>
  <c r="H52" i="106"/>
  <c r="E53" i="106" s="1"/>
  <c r="G50" i="107"/>
  <c r="H50" i="107" s="1"/>
  <c r="E51" i="107" s="1"/>
  <c r="F55" i="104"/>
  <c r="H55" i="104" s="1"/>
  <c r="E56" i="104" s="1"/>
  <c r="G45" i="99"/>
  <c r="H45" i="99" s="1"/>
  <c r="E46" i="99" s="1"/>
  <c r="G46" i="98"/>
  <c r="H46" i="98" s="1"/>
  <c r="E47" i="98" s="1"/>
  <c r="G45" i="100"/>
  <c r="H45" i="100" s="1"/>
  <c r="E46" i="100" s="1"/>
  <c r="H43" i="93"/>
  <c r="E44" i="93" s="1"/>
  <c r="G44" i="93" s="1"/>
  <c r="F28" i="86"/>
  <c r="H28" i="86" s="1"/>
  <c r="E29" i="86" s="1"/>
  <c r="F28" i="87"/>
  <c r="H28" i="87" s="1"/>
  <c r="E29" i="87" s="1"/>
  <c r="F28" i="88"/>
  <c r="H28" i="88" s="1"/>
  <c r="E29" i="88" s="1"/>
  <c r="K74" i="110" l="1"/>
  <c r="L74" i="110" s="1"/>
  <c r="I75" i="110" s="1"/>
  <c r="J76" i="111"/>
  <c r="K76" i="111" s="1"/>
  <c r="L76" i="111" s="1"/>
  <c r="G51" i="107"/>
  <c r="H51" i="107" s="1"/>
  <c r="E52" i="107" s="1"/>
  <c r="G53" i="106"/>
  <c r="H53" i="106" s="1"/>
  <c r="E54" i="106" s="1"/>
  <c r="F56" i="104"/>
  <c r="H56" i="104" s="1"/>
  <c r="E57" i="104" s="1"/>
  <c r="G46" i="99"/>
  <c r="H46" i="99" s="1"/>
  <c r="E47" i="99" s="1"/>
  <c r="G47" i="98"/>
  <c r="H47" i="98" s="1"/>
  <c r="E48" i="98" s="1"/>
  <c r="G46" i="100"/>
  <c r="H46" i="100" s="1"/>
  <c r="E47" i="100" s="1"/>
  <c r="H44" i="93"/>
  <c r="E45" i="93" s="1"/>
  <c r="G45" i="93" s="1"/>
  <c r="H45" i="93" s="1"/>
  <c r="E46" i="93" s="1"/>
  <c r="F29" i="86"/>
  <c r="F29" i="88"/>
  <c r="H29" i="88" s="1"/>
  <c r="E30" i="88" s="1"/>
  <c r="F29" i="87"/>
  <c r="H29" i="87" s="1"/>
  <c r="E30" i="87" s="1"/>
  <c r="K75" i="110" l="1"/>
  <c r="L75" i="110" s="1"/>
  <c r="I76" i="110" s="1"/>
  <c r="G54" i="106"/>
  <c r="H54" i="106" s="1"/>
  <c r="E55" i="106" s="1"/>
  <c r="G52" i="107"/>
  <c r="H52" i="107" s="1"/>
  <c r="E53" i="107" s="1"/>
  <c r="F57" i="104"/>
  <c r="G47" i="99"/>
  <c r="H47" i="99" s="1"/>
  <c r="E48" i="99" s="1"/>
  <c r="G48" i="98"/>
  <c r="G47" i="100"/>
  <c r="H47" i="100" s="1"/>
  <c r="E48" i="100" s="1"/>
  <c r="G46" i="93"/>
  <c r="H46" i="93" s="1"/>
  <c r="E47" i="93" s="1"/>
  <c r="H29" i="86"/>
  <c r="F30" i="88"/>
  <c r="H30" i="88" s="1"/>
  <c r="E31" i="88" s="1"/>
  <c r="F30" i="87"/>
  <c r="H30" i="87" s="1"/>
  <c r="E31" i="87" s="1"/>
  <c r="K76" i="110" l="1"/>
  <c r="L76" i="110" s="1"/>
  <c r="I77" i="110" s="1"/>
  <c r="G53" i="107"/>
  <c r="H53" i="107" s="1"/>
  <c r="E54" i="107" s="1"/>
  <c r="H55" i="106"/>
  <c r="E56" i="106" s="1"/>
  <c r="G55" i="106"/>
  <c r="H57" i="104"/>
  <c r="E58" i="104" s="1"/>
  <c r="F58" i="104" s="1"/>
  <c r="H58" i="104" s="1"/>
  <c r="E59" i="104" s="1"/>
  <c r="H48" i="98"/>
  <c r="H14" i="98"/>
  <c r="G48" i="99"/>
  <c r="H15" i="99" s="1"/>
  <c r="G48" i="100"/>
  <c r="H48" i="100" s="1"/>
  <c r="E49" i="100" s="1"/>
  <c r="G47" i="93"/>
  <c r="H47" i="93" s="1"/>
  <c r="E48" i="93" s="1"/>
  <c r="E30" i="86"/>
  <c r="F30" i="86"/>
  <c r="H30" i="86" s="1"/>
  <c r="E31" i="86" s="1"/>
  <c r="F31" i="87"/>
  <c r="H31" i="87" s="1"/>
  <c r="E32" i="87" s="1"/>
  <c r="F31" i="88"/>
  <c r="K77" i="110" l="1"/>
  <c r="L77" i="110" s="1"/>
  <c r="I78" i="110" s="1"/>
  <c r="G54" i="107"/>
  <c r="H54" i="107" s="1"/>
  <c r="E55" i="107" s="1"/>
  <c r="G56" i="106"/>
  <c r="H56" i="106" s="1"/>
  <c r="E57" i="106" s="1"/>
  <c r="F59" i="104"/>
  <c r="E49" i="98"/>
  <c r="G49" i="98" s="1"/>
  <c r="H15" i="98" s="1"/>
  <c r="J14" i="98"/>
  <c r="H48" i="99"/>
  <c r="E49" i="99" s="1"/>
  <c r="G49" i="100"/>
  <c r="H15" i="100" s="1"/>
  <c r="G48" i="93"/>
  <c r="H48" i="93" s="1"/>
  <c r="E49" i="93" s="1"/>
  <c r="F32" i="87"/>
  <c r="H32" i="87"/>
  <c r="E33" i="87" s="1"/>
  <c r="F31" i="86"/>
  <c r="H31" i="86" s="1"/>
  <c r="E32" i="86" s="1"/>
  <c r="H31" i="88"/>
  <c r="K78" i="110" l="1"/>
  <c r="L78" i="110" s="1"/>
  <c r="I79" i="110" s="1"/>
  <c r="G57" i="106"/>
  <c r="H57" i="106" s="1"/>
  <c r="E58" i="106" s="1"/>
  <c r="G55" i="107"/>
  <c r="H55" i="107" s="1"/>
  <c r="E56" i="107" s="1"/>
  <c r="H59" i="104"/>
  <c r="H49" i="98"/>
  <c r="E50" i="98" s="1"/>
  <c r="G49" i="99"/>
  <c r="H49" i="99" s="1"/>
  <c r="E50" i="99" s="1"/>
  <c r="J15" i="99"/>
  <c r="J15" i="98"/>
  <c r="H49" i="100"/>
  <c r="G49" i="93"/>
  <c r="F32" i="86"/>
  <c r="H32" i="86" s="1"/>
  <c r="E33" i="86" s="1"/>
  <c r="E32" i="88"/>
  <c r="F33" i="87"/>
  <c r="H33" i="87"/>
  <c r="E34" i="87" s="1"/>
  <c r="K79" i="110" l="1"/>
  <c r="L79" i="110"/>
  <c r="I80" i="110" s="1"/>
  <c r="H58" i="106"/>
  <c r="E59" i="106" s="1"/>
  <c r="G58" i="106"/>
  <c r="G56" i="107"/>
  <c r="H56" i="107" s="1"/>
  <c r="E57" i="107" s="1"/>
  <c r="E60" i="104"/>
  <c r="J15" i="100"/>
  <c r="E50" i="100"/>
  <c r="G50" i="99"/>
  <c r="H50" i="99" s="1"/>
  <c r="E51" i="99" s="1"/>
  <c r="G50" i="98"/>
  <c r="H50" i="98" s="1"/>
  <c r="E51" i="98" s="1"/>
  <c r="H49" i="93"/>
  <c r="J14" i="93" s="1"/>
  <c r="J15" i="93" s="1"/>
  <c r="H14" i="93"/>
  <c r="H15" i="93" s="1"/>
  <c r="F33" i="86"/>
  <c r="H33" i="86" s="1"/>
  <c r="E34" i="86" s="1"/>
  <c r="F32" i="88"/>
  <c r="H32" i="88" s="1"/>
  <c r="E33" i="88" s="1"/>
  <c r="F34" i="87"/>
  <c r="H34" i="87" s="1"/>
  <c r="E35" i="87" s="1"/>
  <c r="K80" i="110" l="1"/>
  <c r="L80" i="110" s="1"/>
  <c r="I81" i="110" s="1"/>
  <c r="G57" i="107"/>
  <c r="H57" i="107" s="1"/>
  <c r="E58" i="107" s="1"/>
  <c r="G59" i="106"/>
  <c r="H59" i="106" s="1"/>
  <c r="E60" i="106" s="1"/>
  <c r="F60" i="104"/>
  <c r="H60" i="104" s="1"/>
  <c r="E61" i="104" s="1"/>
  <c r="G50" i="100"/>
  <c r="H50" i="100" s="1"/>
  <c r="E51" i="100" s="1"/>
  <c r="G51" i="99"/>
  <c r="H51" i="99" s="1"/>
  <c r="E52" i="99" s="1"/>
  <c r="G51" i="98"/>
  <c r="H51" i="98"/>
  <c r="E52" i="98" s="1"/>
  <c r="F35" i="87"/>
  <c r="H35" i="87" s="1"/>
  <c r="E36" i="87" s="1"/>
  <c r="F33" i="88"/>
  <c r="H33" i="88" s="1"/>
  <c r="E34" i="88" s="1"/>
  <c r="F34" i="86"/>
  <c r="H34" i="86" s="1"/>
  <c r="E35" i="86" s="1"/>
  <c r="K81" i="110" l="1"/>
  <c r="L81" i="110" s="1"/>
  <c r="I82" i="110" s="1"/>
  <c r="G58" i="107"/>
  <c r="H58" i="107" s="1"/>
  <c r="E59" i="107" s="1"/>
  <c r="H60" i="106"/>
  <c r="E61" i="106" s="1"/>
  <c r="G60" i="106"/>
  <c r="F61" i="104"/>
  <c r="H61" i="104" s="1"/>
  <c r="E62" i="104" s="1"/>
  <c r="G51" i="100"/>
  <c r="H51" i="100" s="1"/>
  <c r="E52" i="100" s="1"/>
  <c r="G52" i="99"/>
  <c r="H52" i="99" s="1"/>
  <c r="E53" i="99" s="1"/>
  <c r="G52" i="98"/>
  <c r="H52" i="98" s="1"/>
  <c r="E53" i="98" s="1"/>
  <c r="F34" i="88"/>
  <c r="H34" i="88" s="1"/>
  <c r="E35" i="88" s="1"/>
  <c r="F35" i="86"/>
  <c r="H35" i="86" s="1"/>
  <c r="E36" i="86" s="1"/>
  <c r="F36" i="87"/>
  <c r="H36" i="87" s="1"/>
  <c r="K82" i="110" l="1"/>
  <c r="L82" i="110" s="1"/>
  <c r="I83" i="110" s="1"/>
  <c r="G59" i="107"/>
  <c r="H59" i="107" s="1"/>
  <c r="E60" i="107" s="1"/>
  <c r="G61" i="106"/>
  <c r="H61" i="106" s="1"/>
  <c r="E62" i="106" s="1"/>
  <c r="F62" i="104"/>
  <c r="H62" i="104" s="1"/>
  <c r="E63" i="104" s="1"/>
  <c r="G52" i="100"/>
  <c r="H52" i="100" s="1"/>
  <c r="E53" i="100" s="1"/>
  <c r="G53" i="99"/>
  <c r="H53" i="99" s="1"/>
  <c r="E54" i="99" s="1"/>
  <c r="G53" i="98"/>
  <c r="H53" i="98" s="1"/>
  <c r="E54" i="98" s="1"/>
  <c r="F35" i="88"/>
  <c r="H35" i="88" s="1"/>
  <c r="E36" i="88" s="1"/>
  <c r="E37" i="87"/>
  <c r="F36" i="86"/>
  <c r="H36" i="86" s="1"/>
  <c r="E37" i="86" s="1"/>
  <c r="J83" i="110" l="1"/>
  <c r="K83" i="110"/>
  <c r="L83" i="110"/>
  <c r="G62" i="106"/>
  <c r="H62" i="106" s="1"/>
  <c r="E63" i="106" s="1"/>
  <c r="G60" i="107"/>
  <c r="H60" i="107" s="1"/>
  <c r="E61" i="107" s="1"/>
  <c r="F63" i="104"/>
  <c r="G53" i="100"/>
  <c r="H53" i="100" s="1"/>
  <c r="E54" i="100" s="1"/>
  <c r="G54" i="99"/>
  <c r="H54" i="99" s="1"/>
  <c r="E55" i="99" s="1"/>
  <c r="G54" i="98"/>
  <c r="H54" i="98" s="1"/>
  <c r="E55" i="98" s="1"/>
  <c r="F36" i="88"/>
  <c r="H36" i="88" s="1"/>
  <c r="E37" i="88" s="1"/>
  <c r="F37" i="86"/>
  <c r="H37" i="86" s="1"/>
  <c r="E38" i="86" s="1"/>
  <c r="F37" i="87"/>
  <c r="H37" i="87" s="1"/>
  <c r="E38" i="87" s="1"/>
  <c r="H63" i="106" l="1"/>
  <c r="E64" i="106" s="1"/>
  <c r="G63" i="106"/>
  <c r="G61" i="107"/>
  <c r="H61" i="107" s="1"/>
  <c r="E62" i="107" s="1"/>
  <c r="H63" i="104"/>
  <c r="H14" i="104"/>
  <c r="H15" i="104" s="1"/>
  <c r="G54" i="100"/>
  <c r="H54" i="100" s="1"/>
  <c r="G55" i="99"/>
  <c r="H55" i="99" s="1"/>
  <c r="E56" i="99" s="1"/>
  <c r="G55" i="98"/>
  <c r="H55" i="98" s="1"/>
  <c r="E56" i="98" s="1"/>
  <c r="F38" i="86"/>
  <c r="H38" i="86" s="1"/>
  <c r="E39" i="86" s="1"/>
  <c r="F37" i="88"/>
  <c r="H37" i="88" s="1"/>
  <c r="E38" i="88" s="1"/>
  <c r="F38" i="87"/>
  <c r="H38" i="87" s="1"/>
  <c r="E39" i="87" s="1"/>
  <c r="G64" i="106" l="1"/>
  <c r="H64" i="106" s="1"/>
  <c r="E65" i="106" s="1"/>
  <c r="G62" i="107"/>
  <c r="H62" i="107" s="1"/>
  <c r="E63" i="107" s="1"/>
  <c r="E64" i="104"/>
  <c r="F64" i="104" s="1"/>
  <c r="H64" i="104" s="1"/>
  <c r="E65" i="104" s="1"/>
  <c r="F65" i="104" s="1"/>
  <c r="H65" i="104" s="1"/>
  <c r="E66" i="104" s="1"/>
  <c r="E55" i="100"/>
  <c r="G55" i="100" s="1"/>
  <c r="H55" i="100" s="1"/>
  <c r="E56" i="100" s="1"/>
  <c r="K14" i="100"/>
  <c r="G56" i="99"/>
  <c r="H56" i="99" s="1"/>
  <c r="E57" i="99" s="1"/>
  <c r="G56" i="98"/>
  <c r="H56" i="98" s="1"/>
  <c r="E57" i="98" s="1"/>
  <c r="F39" i="87"/>
  <c r="H39" i="87" s="1"/>
  <c r="E40" i="87" s="1"/>
  <c r="F39" i="86"/>
  <c r="H39" i="86" s="1"/>
  <c r="E40" i="86" s="1"/>
  <c r="F38" i="88"/>
  <c r="H38" i="88" s="1"/>
  <c r="E39" i="88" s="1"/>
  <c r="G63" i="107" l="1"/>
  <c r="H63" i="107" s="1"/>
  <c r="E64" i="107" s="1"/>
  <c r="G65" i="106"/>
  <c r="H65" i="106" s="1"/>
  <c r="E66" i="106" s="1"/>
  <c r="F66" i="104"/>
  <c r="H66" i="104" s="1"/>
  <c r="E67" i="104" s="1"/>
  <c r="K15" i="100"/>
  <c r="L14" i="100"/>
  <c r="L15" i="100" s="1"/>
  <c r="G56" i="100"/>
  <c r="H56" i="100" s="1"/>
  <c r="E57" i="100" s="1"/>
  <c r="G57" i="99"/>
  <c r="H57" i="99" s="1"/>
  <c r="E58" i="99" s="1"/>
  <c r="G57" i="98"/>
  <c r="H57" i="98" s="1"/>
  <c r="E58" i="98" s="1"/>
  <c r="F39" i="88"/>
  <c r="H39" i="88" s="1"/>
  <c r="E40" i="88" s="1"/>
  <c r="F40" i="86"/>
  <c r="H40" i="86" s="1"/>
  <c r="E41" i="86" s="1"/>
  <c r="F40" i="87"/>
  <c r="H40" i="87" s="1"/>
  <c r="E41" i="87" s="1"/>
  <c r="G66" i="106" l="1"/>
  <c r="H66" i="106" s="1"/>
  <c r="E67" i="106" s="1"/>
  <c r="G64" i="107"/>
  <c r="H64" i="107" s="1"/>
  <c r="E65" i="107" s="1"/>
  <c r="F67" i="104"/>
  <c r="H67" i="104"/>
  <c r="E68" i="104" s="1"/>
  <c r="G57" i="100"/>
  <c r="H57" i="100" s="1"/>
  <c r="E58" i="100" s="1"/>
  <c r="G58" i="99"/>
  <c r="H58" i="99" s="1"/>
  <c r="E59" i="99" s="1"/>
  <c r="G58" i="98"/>
  <c r="H58" i="98" s="1"/>
  <c r="E59" i="98" s="1"/>
  <c r="F41" i="87"/>
  <c r="H41" i="87" s="1"/>
  <c r="E42" i="87" s="1"/>
  <c r="F40" i="88"/>
  <c r="H40" i="88" s="1"/>
  <c r="E41" i="88" s="1"/>
  <c r="F41" i="86"/>
  <c r="H41" i="86"/>
  <c r="G67" i="106" l="1"/>
  <c r="H67" i="106" s="1"/>
  <c r="E68" i="106" s="1"/>
  <c r="G65" i="107"/>
  <c r="H65" i="107" s="1"/>
  <c r="E66" i="107" s="1"/>
  <c r="F68" i="104"/>
  <c r="H68" i="104" s="1"/>
  <c r="E69" i="104" s="1"/>
  <c r="G58" i="100"/>
  <c r="H58" i="100" s="1"/>
  <c r="E59" i="100" s="1"/>
  <c r="G59" i="99"/>
  <c r="H59" i="99" s="1"/>
  <c r="E60" i="99" s="1"/>
  <c r="G59" i="98"/>
  <c r="H59" i="98" s="1"/>
  <c r="E60" i="98" s="1"/>
  <c r="F42" i="87"/>
  <c r="H42" i="87" s="1"/>
  <c r="E43" i="87" s="1"/>
  <c r="E42" i="86"/>
  <c r="F41" i="88"/>
  <c r="H41" i="88" s="1"/>
  <c r="E42" i="88" s="1"/>
  <c r="G66" i="107" l="1"/>
  <c r="H66" i="107" s="1"/>
  <c r="E67" i="107" s="1"/>
  <c r="G68" i="106"/>
  <c r="H68" i="106" s="1"/>
  <c r="E69" i="106" s="1"/>
  <c r="F69" i="104"/>
  <c r="H69" i="104" s="1"/>
  <c r="E70" i="104" s="1"/>
  <c r="G59" i="100"/>
  <c r="H59" i="100" s="1"/>
  <c r="E60" i="100" s="1"/>
  <c r="G60" i="99"/>
  <c r="H60" i="99" s="1"/>
  <c r="E61" i="99" s="1"/>
  <c r="G60" i="98"/>
  <c r="H60" i="98" s="1"/>
  <c r="E61" i="98" s="1"/>
  <c r="F43" i="87"/>
  <c r="H43" i="87" s="1"/>
  <c r="E44" i="87" s="1"/>
  <c r="F42" i="88"/>
  <c r="H42" i="88" s="1"/>
  <c r="E43" i="88" s="1"/>
  <c r="F42" i="86"/>
  <c r="H69" i="106" l="1"/>
  <c r="E70" i="106" s="1"/>
  <c r="G69" i="106"/>
  <c r="G67" i="107"/>
  <c r="H67" i="107" s="1"/>
  <c r="E68" i="107" s="1"/>
  <c r="F70" i="104"/>
  <c r="H70" i="104" s="1"/>
  <c r="E71" i="104" s="1"/>
  <c r="G60" i="100"/>
  <c r="H60" i="100" s="1"/>
  <c r="E61" i="100" s="1"/>
  <c r="G61" i="99"/>
  <c r="H61" i="99" s="1"/>
  <c r="G61" i="98"/>
  <c r="H61" i="98" s="1"/>
  <c r="H42" i="86"/>
  <c r="E43" i="86" s="1"/>
  <c r="F43" i="86"/>
  <c r="H43" i="86" s="1"/>
  <c r="E44" i="86" s="1"/>
  <c r="F43" i="88"/>
  <c r="H43" i="88" s="1"/>
  <c r="F44" i="87"/>
  <c r="H44" i="87" s="1"/>
  <c r="E45" i="87" s="1"/>
  <c r="G68" i="107" l="1"/>
  <c r="H68" i="107" s="1"/>
  <c r="E69" i="107" s="1"/>
  <c r="G70" i="106"/>
  <c r="H70" i="106" s="1"/>
  <c r="E71" i="106" s="1"/>
  <c r="F71" i="104"/>
  <c r="H71" i="104" s="1"/>
  <c r="E72" i="104" s="1"/>
  <c r="G61" i="100"/>
  <c r="H61" i="100" s="1"/>
  <c r="E62" i="100" s="1"/>
  <c r="E62" i="98"/>
  <c r="G62" i="98" s="1"/>
  <c r="K14" i="98"/>
  <c r="E62" i="99"/>
  <c r="F45" i="87"/>
  <c r="H45" i="87" s="1"/>
  <c r="E46" i="87" s="1"/>
  <c r="F44" i="86"/>
  <c r="H44" i="86" s="1"/>
  <c r="E45" i="86" s="1"/>
  <c r="E44" i="88"/>
  <c r="G69" i="107" l="1"/>
  <c r="H69" i="107" s="1"/>
  <c r="E70" i="107" s="1"/>
  <c r="G71" i="106"/>
  <c r="H71" i="106" s="1"/>
  <c r="E72" i="106" s="1"/>
  <c r="F72" i="104"/>
  <c r="H72" i="104"/>
  <c r="E73" i="104" s="1"/>
  <c r="G62" i="100"/>
  <c r="H62" i="100" s="1"/>
  <c r="E63" i="100" s="1"/>
  <c r="H62" i="98"/>
  <c r="E63" i="98" s="1"/>
  <c r="G63" i="98" s="1"/>
  <c r="H63" i="98" s="1"/>
  <c r="E64" i="98" s="1"/>
  <c r="K15" i="98"/>
  <c r="L14" i="98"/>
  <c r="L15" i="98" s="1"/>
  <c r="K15" i="99"/>
  <c r="L14" i="99"/>
  <c r="L15" i="99" s="1"/>
  <c r="G62" i="99"/>
  <c r="H62" i="99" s="1"/>
  <c r="E63" i="99" s="1"/>
  <c r="F44" i="88"/>
  <c r="F45" i="86"/>
  <c r="H45" i="86" s="1"/>
  <c r="E46" i="86" s="1"/>
  <c r="F46" i="87"/>
  <c r="H46" i="87" s="1"/>
  <c r="E47" i="87" s="1"/>
  <c r="G72" i="106" l="1"/>
  <c r="H72" i="106"/>
  <c r="E73" i="106" s="1"/>
  <c r="G70" i="107"/>
  <c r="H70" i="107" s="1"/>
  <c r="E71" i="107" s="1"/>
  <c r="F73" i="104"/>
  <c r="H73" i="104" s="1"/>
  <c r="E74" i="104" s="1"/>
  <c r="G63" i="100"/>
  <c r="H63" i="100" s="1"/>
  <c r="E64" i="100" s="1"/>
  <c r="G63" i="99"/>
  <c r="H63" i="99"/>
  <c r="E64" i="99" s="1"/>
  <c r="G64" i="98"/>
  <c r="H64" i="98" s="1"/>
  <c r="E65" i="98" s="1"/>
  <c r="H44" i="88"/>
  <c r="E45" i="88" s="1"/>
  <c r="F45" i="88" s="1"/>
  <c r="F47" i="87"/>
  <c r="H47" i="87" s="1"/>
  <c r="F46" i="86"/>
  <c r="H46" i="86" s="1"/>
  <c r="E47" i="86" s="1"/>
  <c r="G71" i="107" l="1"/>
  <c r="H71" i="107" s="1"/>
  <c r="E72" i="107" s="1"/>
  <c r="H73" i="106"/>
  <c r="E74" i="106" s="1"/>
  <c r="G73" i="106"/>
  <c r="F74" i="104"/>
  <c r="H74" i="104" s="1"/>
  <c r="E75" i="104" s="1"/>
  <c r="G64" i="100"/>
  <c r="H64" i="100" s="1"/>
  <c r="E65" i="100" s="1"/>
  <c r="G64" i="99"/>
  <c r="H64" i="99" s="1"/>
  <c r="E65" i="99" s="1"/>
  <c r="G65" i="98"/>
  <c r="H65" i="98" s="1"/>
  <c r="E66" i="98" s="1"/>
  <c r="H45" i="88"/>
  <c r="E46" i="88" s="1"/>
  <c r="F46" i="88" s="1"/>
  <c r="F47" i="86"/>
  <c r="H47" i="86" s="1"/>
  <c r="E48" i="86" s="1"/>
  <c r="E48" i="87"/>
  <c r="G72" i="107" l="1"/>
  <c r="H72" i="107" s="1"/>
  <c r="E73" i="107" s="1"/>
  <c r="G74" i="106"/>
  <c r="H74" i="106" s="1"/>
  <c r="E75" i="106" s="1"/>
  <c r="F75" i="104"/>
  <c r="H75" i="104" s="1"/>
  <c r="E76" i="104" s="1"/>
  <c r="G65" i="100"/>
  <c r="H65" i="100" s="1"/>
  <c r="E66" i="100" s="1"/>
  <c r="G65" i="99"/>
  <c r="H65" i="99" s="1"/>
  <c r="E66" i="99" s="1"/>
  <c r="G66" i="98"/>
  <c r="H66" i="98" s="1"/>
  <c r="E67" i="98" s="1"/>
  <c r="H46" i="88"/>
  <c r="E47" i="88" s="1"/>
  <c r="F47" i="88" s="1"/>
  <c r="K15" i="87"/>
  <c r="L15" i="87"/>
  <c r="F48" i="87"/>
  <c r="F48" i="86"/>
  <c r="H48" i="86" s="1"/>
  <c r="E49" i="86" s="1"/>
  <c r="G75" i="106" l="1"/>
  <c r="H75" i="106" s="1"/>
  <c r="E76" i="106" s="1"/>
  <c r="G73" i="107"/>
  <c r="H73" i="107" s="1"/>
  <c r="E74" i="107" s="1"/>
  <c r="F76" i="104"/>
  <c r="H76" i="104" s="1"/>
  <c r="E77" i="104" s="1"/>
  <c r="G66" i="100"/>
  <c r="H66" i="100" s="1"/>
  <c r="E67" i="100" s="1"/>
  <c r="G66" i="99"/>
  <c r="H66" i="99" s="1"/>
  <c r="E67" i="99" s="1"/>
  <c r="G67" i="98"/>
  <c r="H67" i="98" s="1"/>
  <c r="E68" i="98" s="1"/>
  <c r="H48" i="87"/>
  <c r="E49" i="87" s="1"/>
  <c r="F49" i="87" s="1"/>
  <c r="H47" i="88"/>
  <c r="E48" i="88" s="1"/>
  <c r="F49" i="86"/>
  <c r="H49" i="86" s="1"/>
  <c r="E50" i="86" s="1"/>
  <c r="F48" i="88"/>
  <c r="H48" i="88" s="1"/>
  <c r="E49" i="88" s="1"/>
  <c r="G74" i="107" l="1"/>
  <c r="H74" i="107" s="1"/>
  <c r="E75" i="107" s="1"/>
  <c r="G76" i="106"/>
  <c r="H76" i="106"/>
  <c r="E77" i="106" s="1"/>
  <c r="F77" i="104"/>
  <c r="H77" i="104" s="1"/>
  <c r="E78" i="104" s="1"/>
  <c r="G67" i="100"/>
  <c r="H67" i="100" s="1"/>
  <c r="E68" i="100" s="1"/>
  <c r="G67" i="99"/>
  <c r="H67" i="99" s="1"/>
  <c r="E68" i="99" s="1"/>
  <c r="G68" i="98"/>
  <c r="H68" i="98" s="1"/>
  <c r="E69" i="98" s="1"/>
  <c r="H49" i="87"/>
  <c r="E50" i="87" s="1"/>
  <c r="F50" i="87" s="1"/>
  <c r="F49" i="88"/>
  <c r="H49" i="88" s="1"/>
  <c r="E50" i="88" s="1"/>
  <c r="F50" i="86"/>
  <c r="H50" i="86" s="1"/>
  <c r="E51" i="86" s="1"/>
  <c r="G77" i="106" l="1"/>
  <c r="H77" i="106" s="1"/>
  <c r="E78" i="106" s="1"/>
  <c r="G75" i="107"/>
  <c r="H75" i="107" s="1"/>
  <c r="E76" i="107" s="1"/>
  <c r="F78" i="104"/>
  <c r="H78" i="104" s="1"/>
  <c r="E79" i="104" s="1"/>
  <c r="G68" i="100"/>
  <c r="H68" i="100" s="1"/>
  <c r="E69" i="100" s="1"/>
  <c r="G68" i="99"/>
  <c r="H68" i="99" s="1"/>
  <c r="E69" i="99" s="1"/>
  <c r="G69" i="98"/>
  <c r="H69" i="98"/>
  <c r="E70" i="98" s="1"/>
  <c r="H50" i="87"/>
  <c r="E51" i="87" s="1"/>
  <c r="F51" i="86"/>
  <c r="H51" i="86" s="1"/>
  <c r="E52" i="86" s="1"/>
  <c r="F51" i="87"/>
  <c r="H51" i="87" s="1"/>
  <c r="E52" i="87" s="1"/>
  <c r="F50" i="88"/>
  <c r="H50" i="88" s="1"/>
  <c r="E51" i="88" s="1"/>
  <c r="G76" i="107" l="1"/>
  <c r="H76" i="107" s="1"/>
  <c r="E77" i="107" s="1"/>
  <c r="G78" i="106"/>
  <c r="H78" i="106" s="1"/>
  <c r="E79" i="106" s="1"/>
  <c r="F79" i="104"/>
  <c r="H79" i="104" s="1"/>
  <c r="E80" i="104" s="1"/>
  <c r="G69" i="100"/>
  <c r="H69" i="100" s="1"/>
  <c r="E70" i="100" s="1"/>
  <c r="G69" i="99"/>
  <c r="H69" i="99" s="1"/>
  <c r="E70" i="99" s="1"/>
  <c r="G70" i="98"/>
  <c r="H70" i="98" s="1"/>
  <c r="E71" i="98" s="1"/>
  <c r="F51" i="88"/>
  <c r="H51" i="88" s="1"/>
  <c r="E52" i="88" s="1"/>
  <c r="F52" i="87"/>
  <c r="H52" i="87" s="1"/>
  <c r="E53" i="87" s="1"/>
  <c r="F52" i="86"/>
  <c r="H52" i="86"/>
  <c r="E53" i="86" s="1"/>
  <c r="G77" i="107" l="1"/>
  <c r="H77" i="107" s="1"/>
  <c r="E78" i="107" s="1"/>
  <c r="G79" i="106"/>
  <c r="H79" i="106" s="1"/>
  <c r="E80" i="106" s="1"/>
  <c r="F80" i="104"/>
  <c r="H80" i="104" s="1"/>
  <c r="E81" i="104" s="1"/>
  <c r="G70" i="100"/>
  <c r="H70" i="100" s="1"/>
  <c r="E71" i="100" s="1"/>
  <c r="G70" i="99"/>
  <c r="H70" i="99" s="1"/>
  <c r="E71" i="99" s="1"/>
  <c r="G71" i="98"/>
  <c r="H71" i="98" s="1"/>
  <c r="E72" i="98" s="1"/>
  <c r="F53" i="87"/>
  <c r="F53" i="86"/>
  <c r="F52" i="88"/>
  <c r="H52" i="88" s="1"/>
  <c r="E53" i="88" s="1"/>
  <c r="G78" i="107" l="1"/>
  <c r="H78" i="107" s="1"/>
  <c r="E79" i="107" s="1"/>
  <c r="G80" i="106"/>
  <c r="H80" i="106" s="1"/>
  <c r="E81" i="106" s="1"/>
  <c r="F81" i="104"/>
  <c r="H81" i="104" s="1"/>
  <c r="G71" i="100"/>
  <c r="H71" i="100" s="1"/>
  <c r="E72" i="100" s="1"/>
  <c r="G71" i="99"/>
  <c r="H71" i="99" s="1"/>
  <c r="E72" i="99" s="1"/>
  <c r="G72" i="98"/>
  <c r="H72" i="98" s="1"/>
  <c r="E73" i="98" s="1"/>
  <c r="H53" i="87"/>
  <c r="E54" i="87" s="1"/>
  <c r="F54" i="87" s="1"/>
  <c r="H54" i="87" s="1"/>
  <c r="E55" i="87" s="1"/>
  <c r="H53" i="86"/>
  <c r="H14" i="86"/>
  <c r="H15" i="86" s="1"/>
  <c r="F53" i="88"/>
  <c r="H53" i="88" s="1"/>
  <c r="E54" i="88" s="1"/>
  <c r="H81" i="106" l="1"/>
  <c r="E82" i="106" s="1"/>
  <c r="G81" i="106"/>
  <c r="G79" i="107"/>
  <c r="H79" i="107" s="1"/>
  <c r="E80" i="107" s="1"/>
  <c r="G72" i="100"/>
  <c r="H72" i="100" s="1"/>
  <c r="E73" i="100" s="1"/>
  <c r="G72" i="99"/>
  <c r="H72" i="99" s="1"/>
  <c r="E73" i="99" s="1"/>
  <c r="G73" i="98"/>
  <c r="H73" i="98" s="1"/>
  <c r="E74" i="98" s="1"/>
  <c r="E54" i="86"/>
  <c r="F54" i="86" s="1"/>
  <c r="H54" i="86" s="1"/>
  <c r="E55" i="86" s="1"/>
  <c r="J14" i="86"/>
  <c r="F55" i="86"/>
  <c r="H55" i="86" s="1"/>
  <c r="E56" i="86" s="1"/>
  <c r="F55" i="87"/>
  <c r="H55" i="87" s="1"/>
  <c r="E56" i="87" s="1"/>
  <c r="F54" i="88"/>
  <c r="H54" i="88" s="1"/>
  <c r="E55" i="88" s="1"/>
  <c r="G80" i="107" l="1"/>
  <c r="H80" i="107" s="1"/>
  <c r="E81" i="107" s="1"/>
  <c r="H82" i="106"/>
  <c r="E83" i="106" s="1"/>
  <c r="G82" i="106"/>
  <c r="G73" i="100"/>
  <c r="H73" i="100" s="1"/>
  <c r="E74" i="100" s="1"/>
  <c r="G73" i="99"/>
  <c r="H73" i="99" s="1"/>
  <c r="E74" i="99" s="1"/>
  <c r="G74" i="98"/>
  <c r="H74" i="98" s="1"/>
  <c r="E75" i="98" s="1"/>
  <c r="F56" i="87"/>
  <c r="H56" i="87" s="1"/>
  <c r="E57" i="87" s="1"/>
  <c r="F55" i="88"/>
  <c r="F56" i="86"/>
  <c r="H56" i="86" s="1"/>
  <c r="E57" i="86" s="1"/>
  <c r="G81" i="107" l="1"/>
  <c r="H81" i="107" s="1"/>
  <c r="E82" i="107" s="1"/>
  <c r="G83" i="106"/>
  <c r="H83" i="106" s="1"/>
  <c r="E84" i="106" s="1"/>
  <c r="G74" i="100"/>
  <c r="H74" i="100" s="1"/>
  <c r="E75" i="100" s="1"/>
  <c r="G74" i="99"/>
  <c r="H74" i="99" s="1"/>
  <c r="E75" i="99" s="1"/>
  <c r="G75" i="98"/>
  <c r="H75" i="98" s="1"/>
  <c r="E76" i="98" s="1"/>
  <c r="H55" i="88"/>
  <c r="H14" i="88"/>
  <c r="H15" i="88" s="1"/>
  <c r="F57" i="86"/>
  <c r="H57" i="86" s="1"/>
  <c r="E58" i="86" s="1"/>
  <c r="F57" i="87"/>
  <c r="H57" i="87" s="1"/>
  <c r="E58" i="87" s="1"/>
  <c r="H84" i="106" l="1"/>
  <c r="E85" i="106" s="1"/>
  <c r="G84" i="106"/>
  <c r="G82" i="107"/>
  <c r="H82" i="107" s="1"/>
  <c r="E83" i="107" s="1"/>
  <c r="G75" i="100"/>
  <c r="H75" i="100" s="1"/>
  <c r="E76" i="100" s="1"/>
  <c r="G75" i="99"/>
  <c r="H75" i="99" s="1"/>
  <c r="E76" i="99" s="1"/>
  <c r="G76" i="98"/>
  <c r="H76" i="98" s="1"/>
  <c r="E77" i="98" s="1"/>
  <c r="E56" i="88"/>
  <c r="F56" i="88" s="1"/>
  <c r="H56" i="88" s="1"/>
  <c r="E57" i="88" s="1"/>
  <c r="F57" i="88" s="1"/>
  <c r="H57" i="88" s="1"/>
  <c r="E58" i="88" s="1"/>
  <c r="J14" i="88"/>
  <c r="F58" i="86"/>
  <c r="H58" i="86" s="1"/>
  <c r="E59" i="86" s="1"/>
  <c r="F58" i="87"/>
  <c r="H58" i="87" s="1"/>
  <c r="E59" i="87" s="1"/>
  <c r="G83" i="107" l="1"/>
  <c r="H83" i="107" s="1"/>
  <c r="E84" i="107" s="1"/>
  <c r="G85" i="106"/>
  <c r="H85" i="106" s="1"/>
  <c r="E86" i="106" s="1"/>
  <c r="G76" i="100"/>
  <c r="H76" i="100" s="1"/>
  <c r="E77" i="100" s="1"/>
  <c r="G76" i="99"/>
  <c r="H76" i="99" s="1"/>
  <c r="E77" i="99" s="1"/>
  <c r="G77" i="98"/>
  <c r="H77" i="98" s="1"/>
  <c r="E78" i="98" s="1"/>
  <c r="J15" i="88"/>
  <c r="F59" i="86"/>
  <c r="H59" i="86" s="1"/>
  <c r="K14" i="86" s="1"/>
  <c r="F59" i="87"/>
  <c r="F58" i="88"/>
  <c r="H58" i="88" s="1"/>
  <c r="E59" i="88" s="1"/>
  <c r="H86" i="106" l="1"/>
  <c r="E87" i="106" s="1"/>
  <c r="G86" i="106"/>
  <c r="G84" i="107"/>
  <c r="H84" i="107"/>
  <c r="E85" i="107" s="1"/>
  <c r="G77" i="100"/>
  <c r="H77" i="100" s="1"/>
  <c r="E78" i="100" s="1"/>
  <c r="G77" i="99"/>
  <c r="H77" i="99" s="1"/>
  <c r="E78" i="99" s="1"/>
  <c r="G78" i="98"/>
  <c r="H78" i="98" s="1"/>
  <c r="E79" i="98" s="1"/>
  <c r="H59" i="87"/>
  <c r="J14" i="87" s="1"/>
  <c r="H14" i="87"/>
  <c r="H15" i="87" s="1"/>
  <c r="K15" i="86"/>
  <c r="L14" i="86"/>
  <c r="L15" i="86" s="1"/>
  <c r="F59" i="88"/>
  <c r="H59" i="88" s="1"/>
  <c r="K14" i="88" s="1"/>
  <c r="G85" i="107" l="1"/>
  <c r="H85" i="107" s="1"/>
  <c r="E86" i="107" s="1"/>
  <c r="G87" i="106"/>
  <c r="H87" i="106" s="1"/>
  <c r="E88" i="106" s="1"/>
  <c r="G78" i="100"/>
  <c r="H78" i="100" s="1"/>
  <c r="E79" i="100" s="1"/>
  <c r="G78" i="99"/>
  <c r="H78" i="99" s="1"/>
  <c r="E79" i="99" s="1"/>
  <c r="G79" i="98"/>
  <c r="H79" i="98" s="1"/>
  <c r="E80" i="98" s="1"/>
  <c r="K15" i="88"/>
  <c r="L14" i="88"/>
  <c r="L15" i="88" s="1"/>
  <c r="C18" i="41"/>
  <c r="D18" i="41"/>
  <c r="L18" i="41"/>
  <c r="M18" i="41"/>
  <c r="N18" i="41"/>
  <c r="G88" i="106" l="1"/>
  <c r="H88" i="106"/>
  <c r="E89" i="106" s="1"/>
  <c r="G86" i="107"/>
  <c r="H86" i="107" s="1"/>
  <c r="E87" i="107" s="1"/>
  <c r="G79" i="100"/>
  <c r="H79" i="100" s="1"/>
  <c r="E80" i="100" s="1"/>
  <c r="G79" i="99"/>
  <c r="H79" i="99" s="1"/>
  <c r="E80" i="99" s="1"/>
  <c r="G80" i="98"/>
  <c r="H80" i="98" s="1"/>
  <c r="E81" i="98" s="1"/>
  <c r="F18" i="41"/>
  <c r="I8" i="69"/>
  <c r="I48" i="69"/>
  <c r="G87" i="107" l="1"/>
  <c r="H87" i="107" s="1"/>
  <c r="E88" i="107" s="1"/>
  <c r="G89" i="106"/>
  <c r="H89" i="106" s="1"/>
  <c r="E90" i="106" s="1"/>
  <c r="G80" i="100"/>
  <c r="H80" i="100" s="1"/>
  <c r="E81" i="100" s="1"/>
  <c r="G80" i="99"/>
  <c r="H80" i="99" s="1"/>
  <c r="E81" i="99" s="1"/>
  <c r="G81" i="98"/>
  <c r="H81" i="98" s="1"/>
  <c r="E82" i="98" s="1"/>
  <c r="M310" i="69"/>
  <c r="S310" i="69"/>
  <c r="G88" i="107" l="1"/>
  <c r="H88" i="107" s="1"/>
  <c r="E89" i="107" s="1"/>
  <c r="G90" i="106"/>
  <c r="H90" i="106" s="1"/>
  <c r="E91" i="106" s="1"/>
  <c r="G81" i="100"/>
  <c r="H81" i="100" s="1"/>
  <c r="E82" i="100" s="1"/>
  <c r="G81" i="99"/>
  <c r="H81" i="99" s="1"/>
  <c r="E82" i="99" s="1"/>
  <c r="G82" i="98"/>
  <c r="H82" i="98" s="1"/>
  <c r="E83" i="98" s="1"/>
  <c r="U8" i="69"/>
  <c r="T8" i="69"/>
  <c r="L8" i="69"/>
  <c r="H8" i="69"/>
  <c r="S309" i="69"/>
  <c r="S308" i="69"/>
  <c r="S307" i="69"/>
  <c r="S306" i="69"/>
  <c r="S305" i="69"/>
  <c r="S304" i="69"/>
  <c r="S303" i="69"/>
  <c r="S302" i="69"/>
  <c r="S301" i="69"/>
  <c r="S300" i="69"/>
  <c r="S299" i="69"/>
  <c r="S298" i="69"/>
  <c r="S297" i="69"/>
  <c r="S296" i="69"/>
  <c r="S295" i="69"/>
  <c r="S294" i="69"/>
  <c r="S293" i="69"/>
  <c r="S292" i="69"/>
  <c r="S291" i="69"/>
  <c r="S290" i="69"/>
  <c r="S289" i="69"/>
  <c r="S288" i="69"/>
  <c r="S287" i="69"/>
  <c r="S286" i="69"/>
  <c r="S285" i="69"/>
  <c r="S284" i="69"/>
  <c r="S283" i="69"/>
  <c r="S282" i="69"/>
  <c r="S281" i="69"/>
  <c r="S280" i="69"/>
  <c r="S279" i="69"/>
  <c r="S278" i="69"/>
  <c r="S277" i="69"/>
  <c r="S276" i="69"/>
  <c r="S275" i="69"/>
  <c r="S274" i="69"/>
  <c r="S273" i="69"/>
  <c r="S272" i="69"/>
  <c r="S271" i="69"/>
  <c r="S270" i="69"/>
  <c r="S269" i="69"/>
  <c r="S268" i="69"/>
  <c r="S267" i="69"/>
  <c r="S266" i="69"/>
  <c r="S265" i="69"/>
  <c r="S264" i="69"/>
  <c r="S263" i="69"/>
  <c r="S262" i="69"/>
  <c r="S261" i="69"/>
  <c r="S260" i="69"/>
  <c r="S259" i="69"/>
  <c r="S258" i="69"/>
  <c r="S257" i="69"/>
  <c r="S256" i="69"/>
  <c r="J13" i="101" s="1"/>
  <c r="J15" i="101" s="1"/>
  <c r="S255" i="69"/>
  <c r="S254" i="69"/>
  <c r="S253" i="69"/>
  <c r="S252" i="69"/>
  <c r="S251" i="69"/>
  <c r="S250" i="69"/>
  <c r="S249" i="69"/>
  <c r="S248" i="69"/>
  <c r="S247" i="69"/>
  <c r="S246" i="69"/>
  <c r="S245" i="69"/>
  <c r="S244" i="69"/>
  <c r="S243" i="69"/>
  <c r="S242" i="69"/>
  <c r="S241" i="69"/>
  <c r="S240" i="69"/>
  <c r="S239" i="69"/>
  <c r="S238" i="69"/>
  <c r="S237" i="69"/>
  <c r="S236" i="69"/>
  <c r="S235" i="69"/>
  <c r="S234" i="69"/>
  <c r="S233" i="69"/>
  <c r="S232" i="69"/>
  <c r="S231" i="69"/>
  <c r="S230" i="69"/>
  <c r="S229" i="69"/>
  <c r="S228" i="69"/>
  <c r="S227" i="69"/>
  <c r="S226" i="69"/>
  <c r="S225" i="69"/>
  <c r="S224" i="69"/>
  <c r="S223" i="69"/>
  <c r="S222" i="69"/>
  <c r="S221" i="69"/>
  <c r="S220" i="69"/>
  <c r="S219" i="69"/>
  <c r="S218" i="69"/>
  <c r="S217" i="69"/>
  <c r="S216" i="69"/>
  <c r="S215" i="69"/>
  <c r="S214" i="69"/>
  <c r="S213" i="69"/>
  <c r="S212" i="69"/>
  <c r="S211" i="69"/>
  <c r="S210" i="69"/>
  <c r="S209" i="69"/>
  <c r="S208" i="69"/>
  <c r="S207" i="69"/>
  <c r="S206" i="69"/>
  <c r="S205" i="69"/>
  <c r="S204" i="69"/>
  <c r="S203" i="69"/>
  <c r="S202" i="69"/>
  <c r="S201" i="69"/>
  <c r="S200" i="69"/>
  <c r="S199" i="69"/>
  <c r="S198" i="69"/>
  <c r="S197" i="69"/>
  <c r="S196" i="69"/>
  <c r="S195" i="69"/>
  <c r="S194" i="69"/>
  <c r="S193" i="69"/>
  <c r="S192" i="69"/>
  <c r="S191" i="69"/>
  <c r="S190" i="69"/>
  <c r="S189" i="69"/>
  <c r="S188" i="69"/>
  <c r="S187" i="69"/>
  <c r="S186" i="69"/>
  <c r="S185" i="69"/>
  <c r="S184" i="69"/>
  <c r="S183" i="69"/>
  <c r="S182" i="69"/>
  <c r="S181" i="69"/>
  <c r="S180" i="69"/>
  <c r="S179" i="69"/>
  <c r="S178" i="69"/>
  <c r="S177" i="69"/>
  <c r="S176" i="69"/>
  <c r="S175" i="69"/>
  <c r="S174" i="69"/>
  <c r="S173" i="69"/>
  <c r="S172" i="69"/>
  <c r="S171" i="69"/>
  <c r="S170" i="69"/>
  <c r="S169" i="69"/>
  <c r="S168" i="69"/>
  <c r="S167" i="69"/>
  <c r="S166" i="69"/>
  <c r="S165" i="69"/>
  <c r="S164" i="69"/>
  <c r="S163" i="69"/>
  <c r="S162" i="69"/>
  <c r="S161" i="69"/>
  <c r="S160" i="69"/>
  <c r="S159" i="69"/>
  <c r="S158" i="69"/>
  <c r="S157" i="69"/>
  <c r="S156" i="69"/>
  <c r="S155" i="69"/>
  <c r="S154" i="69"/>
  <c r="S153" i="69"/>
  <c r="S152" i="69"/>
  <c r="S151" i="69"/>
  <c r="S150" i="69"/>
  <c r="S149" i="69"/>
  <c r="S148" i="69"/>
  <c r="S147" i="69"/>
  <c r="S146" i="69"/>
  <c r="S145" i="69"/>
  <c r="S144" i="69"/>
  <c r="S143" i="69"/>
  <c r="S142" i="69"/>
  <c r="S141" i="69"/>
  <c r="S140" i="69"/>
  <c r="S139" i="69"/>
  <c r="S138" i="69"/>
  <c r="S137" i="69"/>
  <c r="S136" i="69"/>
  <c r="S135" i="69"/>
  <c r="S134" i="69"/>
  <c r="S133" i="69"/>
  <c r="S132" i="69"/>
  <c r="S131" i="69"/>
  <c r="S130" i="69"/>
  <c r="S129" i="69"/>
  <c r="S128" i="69"/>
  <c r="S127" i="69"/>
  <c r="S126" i="69"/>
  <c r="S125" i="69"/>
  <c r="S124" i="69"/>
  <c r="S123" i="69"/>
  <c r="S122" i="69"/>
  <c r="S121" i="69"/>
  <c r="S120" i="69"/>
  <c r="S119" i="69"/>
  <c r="S118" i="69"/>
  <c r="J13" i="86" s="1"/>
  <c r="J15" i="86" s="1"/>
  <c r="S117" i="69"/>
  <c r="S116" i="69"/>
  <c r="S115" i="69"/>
  <c r="S114" i="69"/>
  <c r="S113" i="69"/>
  <c r="S112" i="69"/>
  <c r="S111" i="69"/>
  <c r="S110" i="69"/>
  <c r="S109" i="69"/>
  <c r="S108" i="69"/>
  <c r="S107" i="69"/>
  <c r="S106" i="69"/>
  <c r="S105" i="69"/>
  <c r="S104" i="69"/>
  <c r="S103" i="69"/>
  <c r="S102" i="69"/>
  <c r="S101" i="69"/>
  <c r="S100" i="69"/>
  <c r="S99" i="69"/>
  <c r="S98" i="69"/>
  <c r="S97" i="69"/>
  <c r="S96" i="69"/>
  <c r="S95" i="69"/>
  <c r="S94" i="69"/>
  <c r="S93" i="69"/>
  <c r="S92" i="69"/>
  <c r="S91" i="69"/>
  <c r="S90" i="69"/>
  <c r="S89" i="69"/>
  <c r="S88" i="69"/>
  <c r="S87" i="69"/>
  <c r="S86" i="69"/>
  <c r="S85" i="69"/>
  <c r="S84" i="69"/>
  <c r="S83" i="69"/>
  <c r="S82" i="69"/>
  <c r="S81" i="69"/>
  <c r="S80" i="69"/>
  <c r="S79" i="69"/>
  <c r="S78" i="69"/>
  <c r="S77" i="69"/>
  <c r="S76" i="69"/>
  <c r="S75" i="69"/>
  <c r="S74" i="69"/>
  <c r="S73" i="69"/>
  <c r="S72" i="69"/>
  <c r="S71" i="69"/>
  <c r="S70" i="69"/>
  <c r="S69" i="69"/>
  <c r="S68" i="69"/>
  <c r="S67" i="69"/>
  <c r="S66" i="69"/>
  <c r="S65" i="69"/>
  <c r="S64" i="69"/>
  <c r="S63" i="69"/>
  <c r="S62" i="69"/>
  <c r="S61" i="69"/>
  <c r="S60" i="69"/>
  <c r="S59" i="69"/>
  <c r="S58" i="69"/>
  <c r="S57" i="69"/>
  <c r="S56" i="69"/>
  <c r="S55" i="69"/>
  <c r="S54" i="69"/>
  <c r="S53" i="69"/>
  <c r="S52" i="69"/>
  <c r="S51" i="69"/>
  <c r="S50" i="69"/>
  <c r="S49" i="69"/>
  <c r="M309" i="69"/>
  <c r="M308" i="69"/>
  <c r="M307" i="69"/>
  <c r="M306" i="69"/>
  <c r="M305" i="69"/>
  <c r="M304" i="69"/>
  <c r="M303" i="69"/>
  <c r="M302" i="69"/>
  <c r="M301" i="69"/>
  <c r="M300" i="69"/>
  <c r="M299" i="69"/>
  <c r="M298" i="69"/>
  <c r="M297" i="69"/>
  <c r="M296" i="69"/>
  <c r="M295" i="69"/>
  <c r="M294" i="69"/>
  <c r="M293" i="69"/>
  <c r="M292" i="69"/>
  <c r="M291" i="69"/>
  <c r="M290" i="69"/>
  <c r="M289" i="69"/>
  <c r="M288" i="69"/>
  <c r="M287" i="69"/>
  <c r="M286" i="69"/>
  <c r="M285" i="69"/>
  <c r="M284" i="69"/>
  <c r="M283" i="69"/>
  <c r="M282" i="69"/>
  <c r="M281" i="69"/>
  <c r="M280" i="69"/>
  <c r="M279" i="69"/>
  <c r="M278" i="69"/>
  <c r="M277" i="69"/>
  <c r="M276" i="69"/>
  <c r="M275" i="69"/>
  <c r="M274" i="69"/>
  <c r="M273" i="69"/>
  <c r="M272" i="69"/>
  <c r="M271" i="69"/>
  <c r="M270" i="69"/>
  <c r="M269" i="69"/>
  <c r="M268" i="69"/>
  <c r="M267" i="69"/>
  <c r="M266" i="69"/>
  <c r="M265" i="69"/>
  <c r="M264" i="69"/>
  <c r="M263" i="69"/>
  <c r="M262" i="69"/>
  <c r="M261" i="69"/>
  <c r="M260" i="69"/>
  <c r="M259" i="69"/>
  <c r="M258" i="69"/>
  <c r="M257" i="69"/>
  <c r="M256" i="69"/>
  <c r="M255" i="69"/>
  <c r="M254" i="69"/>
  <c r="M253" i="69"/>
  <c r="M252" i="69"/>
  <c r="M251" i="69"/>
  <c r="M250" i="69"/>
  <c r="M249" i="69"/>
  <c r="M248" i="69"/>
  <c r="M247" i="69"/>
  <c r="M246" i="69"/>
  <c r="M245" i="69"/>
  <c r="M244" i="69"/>
  <c r="M243" i="69"/>
  <c r="M242" i="69"/>
  <c r="M241" i="69"/>
  <c r="M240" i="69"/>
  <c r="M239" i="69"/>
  <c r="M238" i="69"/>
  <c r="M237" i="69"/>
  <c r="M236" i="69"/>
  <c r="M235" i="69"/>
  <c r="M234" i="69"/>
  <c r="M233" i="69"/>
  <c r="M232" i="69"/>
  <c r="M231" i="69"/>
  <c r="M230" i="69"/>
  <c r="M229" i="69"/>
  <c r="M228" i="69"/>
  <c r="M227" i="69"/>
  <c r="M226" i="69"/>
  <c r="M225" i="69"/>
  <c r="M224" i="69"/>
  <c r="M223" i="69"/>
  <c r="M222" i="69"/>
  <c r="M221" i="69"/>
  <c r="M220" i="69"/>
  <c r="M219" i="69"/>
  <c r="M218" i="69"/>
  <c r="M217" i="69"/>
  <c r="M216" i="69"/>
  <c r="M215" i="69"/>
  <c r="M214" i="69"/>
  <c r="M213" i="69"/>
  <c r="M212" i="69"/>
  <c r="M211" i="69"/>
  <c r="M210" i="69"/>
  <c r="M209" i="69"/>
  <c r="M208" i="69"/>
  <c r="M207" i="69"/>
  <c r="M206" i="69"/>
  <c r="M205" i="69"/>
  <c r="M204" i="69"/>
  <c r="M203" i="69"/>
  <c r="M202" i="69"/>
  <c r="M201" i="69"/>
  <c r="M200" i="69"/>
  <c r="M199" i="69"/>
  <c r="M198" i="69"/>
  <c r="M197" i="69"/>
  <c r="M196" i="69"/>
  <c r="M195" i="69"/>
  <c r="M194" i="69"/>
  <c r="M193" i="69"/>
  <c r="M192" i="69"/>
  <c r="M191" i="69"/>
  <c r="M190" i="69"/>
  <c r="M189" i="69"/>
  <c r="M188" i="69"/>
  <c r="M187" i="69"/>
  <c r="M186" i="69"/>
  <c r="M185" i="69"/>
  <c r="M184" i="69"/>
  <c r="M183" i="69"/>
  <c r="M182" i="69"/>
  <c r="M181" i="69"/>
  <c r="M180" i="69"/>
  <c r="M179" i="69"/>
  <c r="M178" i="69"/>
  <c r="M177" i="69"/>
  <c r="M176" i="69"/>
  <c r="M175" i="69"/>
  <c r="M174" i="69"/>
  <c r="M173" i="69"/>
  <c r="M172" i="69"/>
  <c r="M171" i="69"/>
  <c r="M170" i="69"/>
  <c r="M169" i="69"/>
  <c r="M168" i="69"/>
  <c r="M167" i="69"/>
  <c r="M166" i="69"/>
  <c r="M165" i="69"/>
  <c r="M164" i="69"/>
  <c r="M163" i="69"/>
  <c r="M162" i="69"/>
  <c r="M161" i="69"/>
  <c r="M160" i="69"/>
  <c r="M159" i="69"/>
  <c r="M158" i="69"/>
  <c r="M157" i="69"/>
  <c r="M156" i="69"/>
  <c r="M155" i="69"/>
  <c r="M154" i="69"/>
  <c r="M153" i="69"/>
  <c r="M152" i="69"/>
  <c r="M151" i="69"/>
  <c r="M150" i="69"/>
  <c r="M149" i="69"/>
  <c r="M148" i="69"/>
  <c r="M147" i="69"/>
  <c r="M146" i="69"/>
  <c r="M145" i="69"/>
  <c r="M144" i="69"/>
  <c r="M143" i="69"/>
  <c r="M142" i="69"/>
  <c r="M141" i="69"/>
  <c r="M140" i="69"/>
  <c r="M139" i="69"/>
  <c r="M138" i="69"/>
  <c r="M137" i="69"/>
  <c r="M136" i="69"/>
  <c r="M135" i="69"/>
  <c r="M134" i="69"/>
  <c r="M133" i="69"/>
  <c r="M132" i="69"/>
  <c r="M131" i="69"/>
  <c r="M130" i="69"/>
  <c r="M129" i="69"/>
  <c r="M128" i="69"/>
  <c r="M127" i="69"/>
  <c r="M126" i="69"/>
  <c r="M125" i="69"/>
  <c r="M124" i="69"/>
  <c r="M123" i="69"/>
  <c r="M122" i="69"/>
  <c r="M121" i="69"/>
  <c r="M120" i="69"/>
  <c r="M119" i="69"/>
  <c r="M118" i="69"/>
  <c r="G13" i="86" s="1"/>
  <c r="G15" i="86" s="1"/>
  <c r="M117" i="69"/>
  <c r="M116" i="69"/>
  <c r="M115" i="69"/>
  <c r="M114" i="69"/>
  <c r="M113" i="69"/>
  <c r="M112" i="69"/>
  <c r="M111" i="69"/>
  <c r="M110" i="69"/>
  <c r="M109" i="69"/>
  <c r="M108" i="69"/>
  <c r="M107" i="69"/>
  <c r="M106" i="69"/>
  <c r="M105" i="69"/>
  <c r="M104" i="69"/>
  <c r="M103" i="69"/>
  <c r="M102" i="69"/>
  <c r="M101" i="69"/>
  <c r="M100" i="69"/>
  <c r="M99" i="69"/>
  <c r="M98" i="69"/>
  <c r="M97" i="69"/>
  <c r="M96" i="69"/>
  <c r="M95" i="69"/>
  <c r="M94" i="69"/>
  <c r="M93" i="69"/>
  <c r="M92" i="69"/>
  <c r="M91" i="69"/>
  <c r="M90" i="69"/>
  <c r="M89" i="69"/>
  <c r="M88" i="69"/>
  <c r="M87" i="69"/>
  <c r="M86" i="69"/>
  <c r="M85" i="69"/>
  <c r="M84" i="69"/>
  <c r="M83" i="69"/>
  <c r="M82" i="69"/>
  <c r="M81" i="69"/>
  <c r="M80" i="69"/>
  <c r="M79" i="69"/>
  <c r="M78" i="69"/>
  <c r="M77" i="69"/>
  <c r="M76" i="69"/>
  <c r="M75" i="69"/>
  <c r="M74" i="69"/>
  <c r="M73" i="69"/>
  <c r="M72" i="69"/>
  <c r="M71" i="69"/>
  <c r="M70" i="69"/>
  <c r="M69" i="69"/>
  <c r="M68" i="69"/>
  <c r="M67" i="69"/>
  <c r="M66" i="69"/>
  <c r="M65" i="69"/>
  <c r="M64" i="69"/>
  <c r="M63" i="69"/>
  <c r="M62" i="69"/>
  <c r="M61" i="69"/>
  <c r="M60" i="69"/>
  <c r="M59" i="69"/>
  <c r="M58" i="69"/>
  <c r="M57" i="69"/>
  <c r="M56" i="69"/>
  <c r="M55" i="69"/>
  <c r="M54" i="69"/>
  <c r="M53" i="69"/>
  <c r="M52" i="69"/>
  <c r="M51" i="69"/>
  <c r="M50" i="69"/>
  <c r="M49" i="69"/>
  <c r="H91" i="106" l="1"/>
  <c r="E92" i="106" s="1"/>
  <c r="G91" i="106"/>
  <c r="G89" i="107"/>
  <c r="H89" i="107" s="1"/>
  <c r="E90" i="107" s="1"/>
  <c r="J13" i="87"/>
  <c r="J15" i="87" s="1"/>
  <c r="G82" i="100"/>
  <c r="H82" i="100" s="1"/>
  <c r="E83" i="100" s="1"/>
  <c r="G82" i="99"/>
  <c r="H82" i="99" s="1"/>
  <c r="E83" i="99" s="1"/>
  <c r="G83" i="98"/>
  <c r="H83" i="98" s="1"/>
  <c r="E84" i="98" s="1"/>
  <c r="J29" i="69"/>
  <c r="J30" i="69"/>
  <c r="J31" i="69"/>
  <c r="J32" i="69"/>
  <c r="J33" i="69"/>
  <c r="J34" i="69"/>
  <c r="J35" i="69"/>
  <c r="J36" i="69"/>
  <c r="J37" i="69"/>
  <c r="J38" i="69"/>
  <c r="J39" i="69"/>
  <c r="J40" i="69"/>
  <c r="G90" i="107" l="1"/>
  <c r="H90" i="107" s="1"/>
  <c r="E91" i="107" s="1"/>
  <c r="G92" i="106"/>
  <c r="H92" i="106" s="1"/>
  <c r="E93" i="106" s="1"/>
  <c r="J8" i="69"/>
  <c r="G83" i="100"/>
  <c r="H83" i="100" s="1"/>
  <c r="E84" i="100" s="1"/>
  <c r="G83" i="99"/>
  <c r="H83" i="99" s="1"/>
  <c r="E84" i="99" s="1"/>
  <c r="G84" i="98"/>
  <c r="H84" i="98" s="1"/>
  <c r="S42" i="69"/>
  <c r="S41" i="69"/>
  <c r="S32" i="69"/>
  <c r="S31" i="69"/>
  <c r="S30" i="69"/>
  <c r="S28" i="69"/>
  <c r="R29" i="69"/>
  <c r="R33" i="69"/>
  <c r="R35" i="69"/>
  <c r="R36" i="69"/>
  <c r="R41" i="69"/>
  <c r="R42" i="69"/>
  <c r="R43" i="69"/>
  <c r="S43" i="69" s="1"/>
  <c r="R44" i="69"/>
  <c r="S44" i="69" s="1"/>
  <c r="R45" i="69"/>
  <c r="S45" i="69" s="1"/>
  <c r="R46" i="69"/>
  <c r="S46" i="69" s="1"/>
  <c r="R47" i="69"/>
  <c r="S47" i="69" s="1"/>
  <c r="R48" i="69"/>
  <c r="P39" i="69"/>
  <c r="P8" i="69" s="1"/>
  <c r="Q39" i="69"/>
  <c r="Q8" i="69" s="1"/>
  <c r="O29" i="69"/>
  <c r="O30" i="69"/>
  <c r="O31" i="69"/>
  <c r="O32" i="69"/>
  <c r="O33" i="69"/>
  <c r="S33" i="69" s="1"/>
  <c r="O34" i="69"/>
  <c r="S34" i="69" s="1"/>
  <c r="O35" i="69"/>
  <c r="S35" i="69" s="1"/>
  <c r="O36" i="69"/>
  <c r="S36" i="69" s="1"/>
  <c r="O37" i="69"/>
  <c r="S37" i="69" s="1"/>
  <c r="O38" i="69"/>
  <c r="S38" i="69" s="1"/>
  <c r="O39" i="69"/>
  <c r="S39" i="69" s="1"/>
  <c r="O40" i="69"/>
  <c r="S40" i="69" s="1"/>
  <c r="N48" i="69"/>
  <c r="N8" i="69" s="1"/>
  <c r="M40" i="69"/>
  <c r="M39" i="69"/>
  <c r="M38" i="69"/>
  <c r="M37" i="69"/>
  <c r="M34" i="69"/>
  <c r="M32" i="69"/>
  <c r="M31" i="69"/>
  <c r="M30" i="69"/>
  <c r="K29" i="69"/>
  <c r="K33" i="69"/>
  <c r="M33" i="69" s="1"/>
  <c r="K35" i="69"/>
  <c r="M35" i="69" s="1"/>
  <c r="K36" i="69"/>
  <c r="M36" i="69" s="1"/>
  <c r="K41" i="69"/>
  <c r="M41" i="69" s="1"/>
  <c r="K42" i="69"/>
  <c r="M42" i="69" s="1"/>
  <c r="K43" i="69"/>
  <c r="M43" i="69" s="1"/>
  <c r="K44" i="69"/>
  <c r="M44" i="69" s="1"/>
  <c r="K45" i="69"/>
  <c r="M45" i="69" s="1"/>
  <c r="K46" i="69"/>
  <c r="M46" i="69" s="1"/>
  <c r="K47" i="69"/>
  <c r="M47" i="69" s="1"/>
  <c r="K48" i="69"/>
  <c r="M48" i="69" s="1"/>
  <c r="A12" i="69"/>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37" i="69" s="1"/>
  <c r="A38" i="69" s="1"/>
  <c r="A39" i="69" s="1"/>
  <c r="A40" i="69" s="1"/>
  <c r="A41" i="69" s="1"/>
  <c r="A42" i="69" s="1"/>
  <c r="A43" i="69" s="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A110" i="69" s="1"/>
  <c r="A111" i="69" s="1"/>
  <c r="A112" i="69" s="1"/>
  <c r="A113" i="69" s="1"/>
  <c r="A114" i="69" s="1"/>
  <c r="A115" i="69" s="1"/>
  <c r="A116" i="69" s="1"/>
  <c r="A117" i="69" s="1"/>
  <c r="A118" i="69" s="1"/>
  <c r="A119" i="69" s="1"/>
  <c r="A120" i="69" s="1"/>
  <c r="A121" i="69" s="1"/>
  <c r="A122" i="69" s="1"/>
  <c r="A123" i="69" s="1"/>
  <c r="A124" i="69" s="1"/>
  <c r="A125" i="69" s="1"/>
  <c r="A126" i="69" s="1"/>
  <c r="A127" i="69" s="1"/>
  <c r="A128" i="69" s="1"/>
  <c r="A129" i="69" s="1"/>
  <c r="A130" i="69" s="1"/>
  <c r="A131" i="69" s="1"/>
  <c r="A132" i="69" s="1"/>
  <c r="A133" i="69" s="1"/>
  <c r="A134" i="69" s="1"/>
  <c r="A135" i="69" s="1"/>
  <c r="A136" i="69" s="1"/>
  <c r="A137" i="69" s="1"/>
  <c r="A138" i="69" s="1"/>
  <c r="A139" i="69" s="1"/>
  <c r="A140" i="69" s="1"/>
  <c r="A141" i="69" s="1"/>
  <c r="A142" i="69" s="1"/>
  <c r="A143" i="69" s="1"/>
  <c r="A144" i="69" s="1"/>
  <c r="A145" i="69" s="1"/>
  <c r="A146" i="69" s="1"/>
  <c r="A147" i="69" s="1"/>
  <c r="A148" i="69" s="1"/>
  <c r="A149" i="69" s="1"/>
  <c r="A150" i="69" s="1"/>
  <c r="A151" i="69" s="1"/>
  <c r="A152" i="69" s="1"/>
  <c r="A153" i="69" s="1"/>
  <c r="A154" i="69" s="1"/>
  <c r="A155" i="69" s="1"/>
  <c r="A156" i="69" s="1"/>
  <c r="A157" i="69" s="1"/>
  <c r="A158" i="69" s="1"/>
  <c r="A159" i="69" s="1"/>
  <c r="A160" i="69" s="1"/>
  <c r="A161" i="69" s="1"/>
  <c r="A162" i="69" s="1"/>
  <c r="A163" i="69" s="1"/>
  <c r="A164" i="69" s="1"/>
  <c r="A165" i="69" s="1"/>
  <c r="A166" i="69" s="1"/>
  <c r="A167" i="69" s="1"/>
  <c r="A168" i="69" s="1"/>
  <c r="A169" i="69" s="1"/>
  <c r="A170" i="69" s="1"/>
  <c r="A171" i="69" s="1"/>
  <c r="A172" i="69" s="1"/>
  <c r="A173" i="69" s="1"/>
  <c r="A174" i="69" s="1"/>
  <c r="A175" i="69" s="1"/>
  <c r="A176" i="69" s="1"/>
  <c r="A177" i="69" s="1"/>
  <c r="A178" i="69" s="1"/>
  <c r="A179" i="69" s="1"/>
  <c r="A180" i="69" s="1"/>
  <c r="A181" i="69" s="1"/>
  <c r="A182" i="69" s="1"/>
  <c r="A183" i="69" s="1"/>
  <c r="A184" i="69" s="1"/>
  <c r="A185" i="69" s="1"/>
  <c r="A186" i="69" s="1"/>
  <c r="A187" i="69" s="1"/>
  <c r="A188" i="69" s="1"/>
  <c r="A189" i="69" s="1"/>
  <c r="A190" i="69" s="1"/>
  <c r="A191" i="69" s="1"/>
  <c r="A192" i="69" s="1"/>
  <c r="A193" i="69" s="1"/>
  <c r="A194" i="69" s="1"/>
  <c r="A195" i="69" s="1"/>
  <c r="A196" i="69" s="1"/>
  <c r="A197" i="69" s="1"/>
  <c r="A198" i="69" s="1"/>
  <c r="A199" i="69" s="1"/>
  <c r="A200" i="69" s="1"/>
  <c r="A201" i="69" s="1"/>
  <c r="A202" i="69" s="1"/>
  <c r="A203" i="69" s="1"/>
  <c r="A204" i="69" s="1"/>
  <c r="A205" i="69" s="1"/>
  <c r="A206" i="69" s="1"/>
  <c r="A207" i="69" s="1"/>
  <c r="A208" i="69" s="1"/>
  <c r="A209" i="69" s="1"/>
  <c r="A210" i="69" s="1"/>
  <c r="A211" i="69" s="1"/>
  <c r="A212" i="69" s="1"/>
  <c r="A213" i="69" s="1"/>
  <c r="A214" i="69" s="1"/>
  <c r="A215" i="69" s="1"/>
  <c r="A216" i="69" s="1"/>
  <c r="A217" i="69" s="1"/>
  <c r="A218" i="69" s="1"/>
  <c r="A219" i="69" s="1"/>
  <c r="A220" i="69" s="1"/>
  <c r="A221" i="69" s="1"/>
  <c r="A222" i="69" s="1"/>
  <c r="A223" i="69" s="1"/>
  <c r="A224" i="69" s="1"/>
  <c r="A225" i="69" s="1"/>
  <c r="A226" i="69" s="1"/>
  <c r="A227" i="69" s="1"/>
  <c r="A228" i="69" s="1"/>
  <c r="A229" i="69" s="1"/>
  <c r="A230" i="69" s="1"/>
  <c r="A231" i="69" s="1"/>
  <c r="A232" i="69" s="1"/>
  <c r="A233" i="69" s="1"/>
  <c r="A234" i="69" s="1"/>
  <c r="A235" i="69" s="1"/>
  <c r="A236" i="69" s="1"/>
  <c r="A237" i="69" s="1"/>
  <c r="A238" i="69" s="1"/>
  <c r="A239" i="69" s="1"/>
  <c r="A240" i="69" s="1"/>
  <c r="A241" i="69" s="1"/>
  <c r="A242" i="69" s="1"/>
  <c r="A243" i="69" s="1"/>
  <c r="A244" i="69" s="1"/>
  <c r="A245" i="69" s="1"/>
  <c r="A246" i="69" s="1"/>
  <c r="A247" i="69" s="1"/>
  <c r="A248" i="69" s="1"/>
  <c r="A249" i="69" s="1"/>
  <c r="A250" i="69" s="1"/>
  <c r="A251" i="69" s="1"/>
  <c r="A252" i="69" s="1"/>
  <c r="A253" i="69" s="1"/>
  <c r="A254" i="69" s="1"/>
  <c r="A255" i="69" s="1"/>
  <c r="A256" i="69" s="1"/>
  <c r="A257" i="69" s="1"/>
  <c r="A258" i="69" s="1"/>
  <c r="A259" i="69" s="1"/>
  <c r="A260" i="69" s="1"/>
  <c r="A261" i="69" s="1"/>
  <c r="A262" i="69" s="1"/>
  <c r="A263" i="69" s="1"/>
  <c r="A264" i="69" s="1"/>
  <c r="A265" i="69" s="1"/>
  <c r="A266" i="69" s="1"/>
  <c r="A267" i="69" s="1"/>
  <c r="A268" i="69" s="1"/>
  <c r="A269" i="69" s="1"/>
  <c r="A270" i="69" s="1"/>
  <c r="A271" i="69" s="1"/>
  <c r="A272" i="69" s="1"/>
  <c r="A273" i="69" s="1"/>
  <c r="A274" i="69" s="1"/>
  <c r="A275" i="69" s="1"/>
  <c r="A276" i="69" s="1"/>
  <c r="A277" i="69" s="1"/>
  <c r="A278" i="69" s="1"/>
  <c r="A279" i="69" s="1"/>
  <c r="A280" i="69" s="1"/>
  <c r="A281" i="69" s="1"/>
  <c r="A282" i="69" s="1"/>
  <c r="A283" i="69" s="1"/>
  <c r="A284" i="69" s="1"/>
  <c r="A285" i="69" s="1"/>
  <c r="A286" i="69" s="1"/>
  <c r="A287" i="69" s="1"/>
  <c r="A288" i="69" s="1"/>
  <c r="A289" i="69" s="1"/>
  <c r="A290" i="69" s="1"/>
  <c r="A291" i="69" s="1"/>
  <c r="A292" i="69" s="1"/>
  <c r="A293" i="69" s="1"/>
  <c r="A294" i="69" s="1"/>
  <c r="A295" i="69" s="1"/>
  <c r="A296" i="69" s="1"/>
  <c r="A297" i="69" s="1"/>
  <c r="A298" i="69" s="1"/>
  <c r="A299" i="69" s="1"/>
  <c r="A300" i="69" s="1"/>
  <c r="A301" i="69" s="1"/>
  <c r="A302" i="69" s="1"/>
  <c r="A303" i="69" s="1"/>
  <c r="A304" i="69" s="1"/>
  <c r="A305" i="69" s="1"/>
  <c r="A306" i="69" s="1"/>
  <c r="A307" i="69" s="1"/>
  <c r="A308" i="69" s="1"/>
  <c r="A309" i="69" s="1"/>
  <c r="A310" i="69" s="1"/>
  <c r="H93" i="106" l="1"/>
  <c r="E94" i="106" s="1"/>
  <c r="G93" i="106"/>
  <c r="G91" i="107"/>
  <c r="H91" i="107" s="1"/>
  <c r="E92" i="107" s="1"/>
  <c r="R8" i="69"/>
  <c r="G84" i="100"/>
  <c r="H84" i="100" s="1"/>
  <c r="G84" i="99"/>
  <c r="H84" i="99" s="1"/>
  <c r="K8" i="69"/>
  <c r="S29" i="69"/>
  <c r="M29" i="69"/>
  <c r="S48" i="69"/>
  <c r="O8" i="69"/>
  <c r="S27" i="69"/>
  <c r="S26" i="69"/>
  <c r="S25" i="69"/>
  <c r="S24" i="69"/>
  <c r="S23" i="69"/>
  <c r="S22" i="69"/>
  <c r="S21" i="69"/>
  <c r="S20" i="69"/>
  <c r="S19" i="69"/>
  <c r="S18" i="69"/>
  <c r="S17" i="69"/>
  <c r="S16" i="69"/>
  <c r="S15" i="69"/>
  <c r="S14" i="69"/>
  <c r="S13" i="69"/>
  <c r="S12" i="69"/>
  <c r="S11" i="69"/>
  <c r="M28" i="69"/>
  <c r="M27" i="69"/>
  <c r="M26" i="69"/>
  <c r="M25" i="69"/>
  <c r="M24" i="69"/>
  <c r="M23" i="69"/>
  <c r="M22" i="69"/>
  <c r="M21" i="69"/>
  <c r="M20" i="69"/>
  <c r="M19" i="69"/>
  <c r="M18" i="69"/>
  <c r="M17" i="69"/>
  <c r="M16" i="69"/>
  <c r="M15" i="69"/>
  <c r="M14" i="69"/>
  <c r="M13" i="69"/>
  <c r="M12" i="69"/>
  <c r="M11" i="69"/>
  <c r="G92" i="107" l="1"/>
  <c r="H92" i="107" s="1"/>
  <c r="E93" i="107" s="1"/>
  <c r="G94" i="106"/>
  <c r="H94" i="106" s="1"/>
  <c r="E95" i="106" s="1"/>
  <c r="S8" i="69"/>
  <c r="M8" i="69"/>
  <c r="G95" i="106" l="1"/>
  <c r="H95" i="106" s="1"/>
  <c r="E96" i="106" s="1"/>
  <c r="G93" i="107"/>
  <c r="H93" i="107" s="1"/>
  <c r="E44" i="37"/>
  <c r="E41" i="37"/>
  <c r="C41" i="37"/>
  <c r="B41" i="37"/>
  <c r="A5" i="85"/>
  <c r="A2" i="85"/>
  <c r="A3" i="85"/>
  <c r="A1" i="85"/>
  <c r="G96" i="106" l="1"/>
  <c r="H96" i="106" s="1"/>
  <c r="C16" i="85" l="1"/>
  <c r="D14" i="85"/>
  <c r="D16" i="85" l="1"/>
  <c r="D15" i="85"/>
  <c r="B26" i="85" s="1"/>
  <c r="Y22" i="62"/>
  <c r="B20" i="80" l="1"/>
  <c r="F15" i="42"/>
  <c r="F14" i="42"/>
  <c r="D20" i="85" l="1"/>
  <c r="B27" i="85" s="1"/>
  <c r="B21" i="85"/>
  <c r="D21" i="85" s="1"/>
  <c r="B17" i="78" l="1"/>
  <c r="G36" i="78" s="1"/>
  <c r="B14" i="80"/>
  <c r="B19" i="80" s="1"/>
  <c r="B18" i="79"/>
  <c r="B14" i="78"/>
  <c r="B18" i="78" s="1"/>
  <c r="B18" i="80"/>
  <c r="D15" i="80"/>
  <c r="C15" i="80"/>
  <c r="A6" i="80"/>
  <c r="A3" i="80"/>
  <c r="A2" i="80"/>
  <c r="A1" i="80"/>
  <c r="B19" i="79"/>
  <c r="G25" i="79"/>
  <c r="D15" i="79"/>
  <c r="C15" i="79"/>
  <c r="A6" i="79"/>
  <c r="A3" i="79"/>
  <c r="A2" i="79"/>
  <c r="A1" i="79"/>
  <c r="B19" i="78"/>
  <c r="D15" i="78"/>
  <c r="C15" i="78"/>
  <c r="A6" i="78"/>
  <c r="A3" i="78"/>
  <c r="A2" i="78"/>
  <c r="A1" i="78"/>
  <c r="B20" i="79" l="1"/>
  <c r="D26" i="79" s="1"/>
  <c r="B21" i="80"/>
  <c r="B15" i="80"/>
  <c r="G31" i="80"/>
  <c r="G29" i="80"/>
  <c r="G36" i="80"/>
  <c r="G27" i="80"/>
  <c r="G34" i="80"/>
  <c r="G25" i="80"/>
  <c r="G32" i="80"/>
  <c r="G33" i="80"/>
  <c r="G30" i="80"/>
  <c r="G28" i="80"/>
  <c r="G35" i="80"/>
  <c r="G26" i="80"/>
  <c r="B15" i="79"/>
  <c r="G29" i="79"/>
  <c r="G31" i="79"/>
  <c r="G36" i="79"/>
  <c r="G32" i="79"/>
  <c r="G30" i="79"/>
  <c r="G28" i="79"/>
  <c r="G35" i="79"/>
  <c r="G33" i="79"/>
  <c r="G27" i="79"/>
  <c r="G34" i="79"/>
  <c r="G26" i="79"/>
  <c r="G27" i="78"/>
  <c r="G31" i="78"/>
  <c r="G34" i="78"/>
  <c r="G25" i="78"/>
  <c r="B15" i="78"/>
  <c r="G33" i="78"/>
  <c r="B20" i="78"/>
  <c r="G29" i="78"/>
  <c r="G32" i="78"/>
  <c r="G30" i="78"/>
  <c r="G28" i="78"/>
  <c r="G35" i="78"/>
  <c r="G26" i="78"/>
  <c r="D33" i="79" l="1"/>
  <c r="D34" i="79"/>
  <c r="D29" i="79"/>
  <c r="D31" i="79"/>
  <c r="D32" i="79"/>
  <c r="D35" i="79"/>
  <c r="D36" i="79"/>
  <c r="D25" i="79"/>
  <c r="E25" i="79" s="1"/>
  <c r="C26" i="79" s="1"/>
  <c r="E26" i="79" s="1"/>
  <c r="C27" i="79" s="1"/>
  <c r="D27" i="79"/>
  <c r="D28" i="79"/>
  <c r="I14" i="79"/>
  <c r="I15" i="79" s="1"/>
  <c r="D30" i="79"/>
  <c r="D29" i="80"/>
  <c r="D35" i="80"/>
  <c r="D26" i="80"/>
  <c r="D28" i="80"/>
  <c r="D30" i="80"/>
  <c r="D34" i="80"/>
  <c r="D31" i="80"/>
  <c r="D32" i="80"/>
  <c r="D33" i="80"/>
  <c r="D36" i="80"/>
  <c r="D27" i="80"/>
  <c r="D25" i="80"/>
  <c r="C25" i="80"/>
  <c r="F25" i="80"/>
  <c r="H25" i="80" s="1"/>
  <c r="I15" i="80"/>
  <c r="C25" i="79"/>
  <c r="F25" i="79" s="1"/>
  <c r="H25" i="79" s="1"/>
  <c r="E15" i="79"/>
  <c r="I15" i="78"/>
  <c r="D33" i="78"/>
  <c r="D34" i="78"/>
  <c r="D35" i="78"/>
  <c r="D29" i="78"/>
  <c r="D31" i="78"/>
  <c r="D36" i="78"/>
  <c r="D25" i="78"/>
  <c r="D26" i="78"/>
  <c r="D27" i="78"/>
  <c r="D28" i="78"/>
  <c r="D30" i="78"/>
  <c r="D32" i="78"/>
  <c r="C25" i="78"/>
  <c r="F25" i="78" s="1"/>
  <c r="E27" i="79" l="1"/>
  <c r="C28" i="79" s="1"/>
  <c r="E28" i="79" s="1"/>
  <c r="C29" i="79" s="1"/>
  <c r="E29" i="79" s="1"/>
  <c r="C30" i="79" s="1"/>
  <c r="E30" i="79" s="1"/>
  <c r="C31" i="79" s="1"/>
  <c r="E31" i="79" s="1"/>
  <c r="C32" i="79" s="1"/>
  <c r="E32" i="79" s="1"/>
  <c r="C33" i="79" s="1"/>
  <c r="E33" i="79" s="1"/>
  <c r="C34" i="79" s="1"/>
  <c r="E34" i="79" s="1"/>
  <c r="C35" i="79" s="1"/>
  <c r="E35" i="79" s="1"/>
  <c r="C36" i="79" s="1"/>
  <c r="E36" i="79" s="1"/>
  <c r="F14" i="79"/>
  <c r="E25" i="80"/>
  <c r="C26" i="80" s="1"/>
  <c r="E26" i="80" s="1"/>
  <c r="C27" i="80" s="1"/>
  <c r="E27" i="80" s="1"/>
  <c r="C28" i="80" s="1"/>
  <c r="E28" i="80" s="1"/>
  <c r="C29" i="80" s="1"/>
  <c r="E29" i="80" s="1"/>
  <c r="C30" i="80" s="1"/>
  <c r="E30" i="80" s="1"/>
  <c r="C31" i="80" s="1"/>
  <c r="E31" i="80" s="1"/>
  <c r="C32" i="80" s="1"/>
  <c r="E32" i="80" s="1"/>
  <c r="C33" i="80" s="1"/>
  <c r="E33" i="80" s="1"/>
  <c r="C34" i="80" s="1"/>
  <c r="E34" i="80" s="1"/>
  <c r="C35" i="80" s="1"/>
  <c r="E35" i="80" s="1"/>
  <c r="C36" i="80" s="1"/>
  <c r="E36" i="80" s="1"/>
  <c r="E15" i="80"/>
  <c r="I25" i="80"/>
  <c r="F26" i="80" s="1"/>
  <c r="F15" i="78"/>
  <c r="H25" i="78"/>
  <c r="E15" i="78"/>
  <c r="E25" i="78"/>
  <c r="C26" i="78" s="1"/>
  <c r="E26" i="78" s="1"/>
  <c r="C27" i="78" s="1"/>
  <c r="E27" i="78" s="1"/>
  <c r="C28" i="78" s="1"/>
  <c r="E28" i="78" s="1"/>
  <c r="C29" i="78" s="1"/>
  <c r="E29" i="78" s="1"/>
  <c r="C30" i="78" s="1"/>
  <c r="E30" i="78" s="1"/>
  <c r="C31" i="78" s="1"/>
  <c r="E31" i="78" s="1"/>
  <c r="C32" i="78" s="1"/>
  <c r="E32" i="78" s="1"/>
  <c r="C33" i="78" s="1"/>
  <c r="E33" i="78" s="1"/>
  <c r="C34" i="78" s="1"/>
  <c r="E34" i="78" s="1"/>
  <c r="C35" i="78" s="1"/>
  <c r="E35" i="78" s="1"/>
  <c r="C36" i="78" s="1"/>
  <c r="E36" i="78" s="1"/>
  <c r="G15" i="79" l="1"/>
  <c r="F15" i="79"/>
  <c r="G15" i="78"/>
  <c r="H26" i="80"/>
  <c r="I25" i="79"/>
  <c r="F26" i="79" s="1"/>
  <c r="I25" i="78"/>
  <c r="F26" i="78" s="1"/>
  <c r="I26" i="80" l="1"/>
  <c r="F27" i="80" s="1"/>
  <c r="H27" i="80" s="1"/>
  <c r="I27" i="80" s="1"/>
  <c r="F28" i="80" s="1"/>
  <c r="H26" i="79"/>
  <c r="H26" i="78"/>
  <c r="I26" i="78" s="1"/>
  <c r="F27" i="78" s="1"/>
  <c r="H28" i="80" l="1"/>
  <c r="I26" i="79"/>
  <c r="F27" i="79" s="1"/>
  <c r="H27" i="78"/>
  <c r="I27" i="78" s="1"/>
  <c r="F28" i="78" s="1"/>
  <c r="I28" i="80" l="1"/>
  <c r="F29" i="80" s="1"/>
  <c r="H27" i="79"/>
  <c r="H28" i="78"/>
  <c r="I27" i="79" l="1"/>
  <c r="F28" i="79" s="1"/>
  <c r="H28" i="79" s="1"/>
  <c r="I28" i="79" s="1"/>
  <c r="F29" i="79" s="1"/>
  <c r="H29" i="80"/>
  <c r="I29" i="80" s="1"/>
  <c r="F30" i="80" s="1"/>
  <c r="I28" i="78"/>
  <c r="F29" i="78" s="1"/>
  <c r="H30" i="80" l="1"/>
  <c r="I30" i="80" s="1"/>
  <c r="F31" i="80" s="1"/>
  <c r="H29" i="79"/>
  <c r="I29" i="79" s="1"/>
  <c r="F30" i="79" s="1"/>
  <c r="H29" i="78"/>
  <c r="I29" i="78" s="1"/>
  <c r="F30" i="78" s="1"/>
  <c r="H31" i="80" l="1"/>
  <c r="I31" i="80" s="1"/>
  <c r="H30" i="79"/>
  <c r="I30" i="79" s="1"/>
  <c r="F31" i="79" s="1"/>
  <c r="H30" i="78"/>
  <c r="I30" i="78" s="1"/>
  <c r="F31" i="78" s="1"/>
  <c r="F32" i="80" l="1"/>
  <c r="H32" i="80" s="1"/>
  <c r="I32" i="80" s="1"/>
  <c r="F33" i="80" s="1"/>
  <c r="K14" i="80"/>
  <c r="H31" i="79"/>
  <c r="H31" i="78"/>
  <c r="I31" i="78" s="1"/>
  <c r="F32" i="78" s="1"/>
  <c r="I31" i="79" l="1"/>
  <c r="H14" i="79"/>
  <c r="H33" i="80"/>
  <c r="H32" i="78"/>
  <c r="H15" i="79" l="1"/>
  <c r="F32" i="79"/>
  <c r="H32" i="79" s="1"/>
  <c r="I33" i="80"/>
  <c r="F34" i="80" s="1"/>
  <c r="I32" i="79"/>
  <c r="F33" i="79" s="1"/>
  <c r="H15" i="78"/>
  <c r="I32" i="78"/>
  <c r="F33" i="78" s="1"/>
  <c r="H34" i="80" l="1"/>
  <c r="I34" i="80" s="1"/>
  <c r="F35" i="80" s="1"/>
  <c r="J15" i="80"/>
  <c r="H33" i="79"/>
  <c r="I33" i="79" s="1"/>
  <c r="F34" i="79" s="1"/>
  <c r="H33" i="78"/>
  <c r="I33" i="78" s="1"/>
  <c r="F34" i="78" s="1"/>
  <c r="H35" i="80" l="1"/>
  <c r="I35" i="80" s="1"/>
  <c r="F36" i="80" s="1"/>
  <c r="H34" i="79"/>
  <c r="I34" i="79" s="1"/>
  <c r="F35" i="79" s="1"/>
  <c r="H34" i="78"/>
  <c r="I34" i="78" s="1"/>
  <c r="F35" i="78" s="1"/>
  <c r="H36" i="80" l="1"/>
  <c r="I36" i="80" s="1"/>
  <c r="H35" i="79"/>
  <c r="I35" i="79" s="1"/>
  <c r="H35" i="78"/>
  <c r="I35" i="78"/>
  <c r="F36" i="78" s="1"/>
  <c r="F36" i="79" l="1"/>
  <c r="H36" i="79" s="1"/>
  <c r="I36" i="79" s="1"/>
  <c r="L14" i="79"/>
  <c r="K14" i="79" s="1"/>
  <c r="K15" i="79" s="1"/>
  <c r="H36" i="78"/>
  <c r="I36" i="78" s="1"/>
  <c r="K15" i="78" l="1"/>
  <c r="L15" i="78"/>
  <c r="F12" i="42" l="1"/>
  <c r="F13" i="42"/>
  <c r="F11" i="42"/>
  <c r="N16" i="41"/>
  <c r="K47" i="37" s="1"/>
  <c r="V47" i="37" s="1"/>
  <c r="M47" i="37"/>
  <c r="X47" i="37" s="1"/>
  <c r="M16" i="41"/>
  <c r="K46" i="37" s="1"/>
  <c r="V46" i="37" s="1"/>
  <c r="M46" i="37"/>
  <c r="X46" i="37" s="1"/>
  <c r="M14" i="41"/>
  <c r="M44" i="37"/>
  <c r="X42" i="37"/>
  <c r="X43" i="37"/>
  <c r="X40" i="37"/>
  <c r="U37" i="37"/>
  <c r="V37" i="37"/>
  <c r="W37" i="37"/>
  <c r="X37" i="37"/>
  <c r="U38" i="37"/>
  <c r="V38" i="37"/>
  <c r="W38" i="37"/>
  <c r="X38" i="37"/>
  <c r="T38" i="37"/>
  <c r="T37" i="37"/>
  <c r="U30" i="37"/>
  <c r="V30" i="37"/>
  <c r="W30" i="37"/>
  <c r="X30" i="37"/>
  <c r="U31" i="37"/>
  <c r="V31" i="37"/>
  <c r="W31" i="37"/>
  <c r="X31" i="37"/>
  <c r="U32" i="37"/>
  <c r="V32" i="37"/>
  <c r="W32" i="37"/>
  <c r="X32" i="37"/>
  <c r="U33" i="37"/>
  <c r="V33" i="37"/>
  <c r="W33" i="37"/>
  <c r="X33" i="37"/>
  <c r="U34" i="37"/>
  <c r="V34" i="37"/>
  <c r="W34" i="37"/>
  <c r="X34" i="37"/>
  <c r="U35" i="37"/>
  <c r="V35" i="37"/>
  <c r="W35" i="37"/>
  <c r="X35" i="37"/>
  <c r="T31" i="37"/>
  <c r="T32" i="37"/>
  <c r="T33" i="37"/>
  <c r="T34" i="37"/>
  <c r="T35" i="37"/>
  <c r="T30" i="37"/>
  <c r="U29" i="37"/>
  <c r="V29" i="37"/>
  <c r="W29" i="37"/>
  <c r="X29" i="37"/>
  <c r="T29" i="37"/>
  <c r="Y29" i="37" s="1"/>
  <c r="H14" i="41"/>
  <c r="I14" i="41"/>
  <c r="J14" i="41"/>
  <c r="K14" i="41"/>
  <c r="H15" i="41"/>
  <c r="I15" i="41"/>
  <c r="J42" i="37" s="1"/>
  <c r="U42" i="37" s="1"/>
  <c r="J15" i="41"/>
  <c r="J43" i="37" s="1"/>
  <c r="U43" i="37" s="1"/>
  <c r="K15" i="41"/>
  <c r="J44" i="37" s="1"/>
  <c r="U44" i="37" s="1"/>
  <c r="H16" i="41"/>
  <c r="I16" i="41"/>
  <c r="K42" i="37" s="1"/>
  <c r="V42" i="37" s="1"/>
  <c r="J16" i="41"/>
  <c r="K43" i="37" s="1"/>
  <c r="V43" i="37" s="1"/>
  <c r="K16" i="41"/>
  <c r="K44" i="37" s="1"/>
  <c r="V44" i="37" s="1"/>
  <c r="H17" i="41"/>
  <c r="L41" i="37" s="1"/>
  <c r="I17" i="41"/>
  <c r="L42" i="37" s="1"/>
  <c r="W42" i="37" s="1"/>
  <c r="J17" i="41"/>
  <c r="L43" i="37" s="1"/>
  <c r="W43" i="37" s="1"/>
  <c r="K17" i="41"/>
  <c r="L44" i="37" s="1"/>
  <c r="W44" i="37" s="1"/>
  <c r="G15" i="41"/>
  <c r="G16" i="41"/>
  <c r="G17" i="41"/>
  <c r="G14" i="41"/>
  <c r="M41" i="37"/>
  <c r="G47" i="37"/>
  <c r="G46" i="37"/>
  <c r="F45" i="37"/>
  <c r="G44" i="37"/>
  <c r="G43" i="37"/>
  <c r="D69" i="37" s="1"/>
  <c r="G42" i="37"/>
  <c r="D70" i="37" s="1"/>
  <c r="G41" i="37"/>
  <c r="N38" i="37"/>
  <c r="N37" i="37"/>
  <c r="M36" i="37"/>
  <c r="L36" i="37"/>
  <c r="L40" i="37" s="1"/>
  <c r="K36" i="37"/>
  <c r="K40" i="37" s="1"/>
  <c r="J36" i="37"/>
  <c r="J40" i="37" s="1"/>
  <c r="I36" i="37"/>
  <c r="I40" i="37" s="1"/>
  <c r="N35" i="37"/>
  <c r="N34" i="37"/>
  <c r="N33" i="37"/>
  <c r="N32" i="37"/>
  <c r="N31" i="37"/>
  <c r="N30" i="37"/>
  <c r="N29" i="37"/>
  <c r="G38" i="37"/>
  <c r="G37" i="37"/>
  <c r="C36" i="37"/>
  <c r="C40" i="37" s="1"/>
  <c r="C45" i="37" s="1"/>
  <c r="D36" i="37"/>
  <c r="D40" i="37" s="1"/>
  <c r="D45" i="37" s="1"/>
  <c r="E36" i="37"/>
  <c r="E40" i="37" s="1"/>
  <c r="B36" i="37"/>
  <c r="B40" i="37" s="1"/>
  <c r="G30" i="37"/>
  <c r="G29" i="37"/>
  <c r="I42" i="37" l="1"/>
  <c r="T42" i="37" s="1"/>
  <c r="I19" i="41"/>
  <c r="I41" i="37"/>
  <c r="H19" i="41"/>
  <c r="I46" i="37"/>
  <c r="T46" i="37" s="1"/>
  <c r="G19" i="41"/>
  <c r="I43" i="37"/>
  <c r="T43" i="37" s="1"/>
  <c r="J19" i="41"/>
  <c r="I44" i="37"/>
  <c r="T44" i="37" s="1"/>
  <c r="K19" i="41"/>
  <c r="V36" i="37"/>
  <c r="T40" i="37"/>
  <c r="N36" i="37"/>
  <c r="D56" i="37"/>
  <c r="Y30" i="37"/>
  <c r="L14" i="41"/>
  <c r="L17" i="41"/>
  <c r="L15" i="41"/>
  <c r="L16" i="41"/>
  <c r="M45" i="37"/>
  <c r="X45" i="37" s="1"/>
  <c r="U36" i="37"/>
  <c r="X36" i="37"/>
  <c r="W36" i="37"/>
  <c r="E45" i="37"/>
  <c r="W40" i="37"/>
  <c r="Y37" i="37"/>
  <c r="X44" i="37"/>
  <c r="T36" i="37"/>
  <c r="V40" i="37"/>
  <c r="U40" i="37"/>
  <c r="Y38" i="37"/>
  <c r="X41" i="37"/>
  <c r="N40" i="37"/>
  <c r="G40" i="37"/>
  <c r="G45" i="37" s="1"/>
  <c r="B45" i="37"/>
  <c r="N43" i="37" l="1"/>
  <c r="Y43" i="37" s="1"/>
  <c r="L19" i="41"/>
  <c r="N44" i="37"/>
  <c r="Y44" i="37" s="1"/>
  <c r="N42" i="37"/>
  <c r="Y42" i="37" s="1"/>
  <c r="N14" i="41"/>
  <c r="Y40" i="37"/>
  <c r="K15" i="80" l="1"/>
  <c r="L15" i="80"/>
  <c r="L15" i="79"/>
  <c r="D14" i="41" l="1"/>
  <c r="E14" i="41"/>
  <c r="D15" i="41"/>
  <c r="J22" i="37" s="1"/>
  <c r="E15" i="41"/>
  <c r="D16" i="41"/>
  <c r="K22" i="37" s="1"/>
  <c r="V22" i="37" s="1"/>
  <c r="E16" i="41"/>
  <c r="D17" i="41"/>
  <c r="E17" i="41"/>
  <c r="L21" i="37" s="1"/>
  <c r="C15" i="41"/>
  <c r="C16" i="41"/>
  <c r="C17" i="41"/>
  <c r="X20" i="37"/>
  <c r="W22" i="37"/>
  <c r="X22" i="37"/>
  <c r="U12" i="37"/>
  <c r="V12" i="37"/>
  <c r="W12" i="37"/>
  <c r="X12" i="37"/>
  <c r="U13" i="37"/>
  <c r="V13" i="37"/>
  <c r="W13" i="37"/>
  <c r="X13" i="37"/>
  <c r="U14" i="37"/>
  <c r="V14" i="37"/>
  <c r="W14" i="37"/>
  <c r="X14" i="37"/>
  <c r="U15" i="37"/>
  <c r="V15" i="37"/>
  <c r="W15" i="37"/>
  <c r="X15" i="37"/>
  <c r="U16" i="37"/>
  <c r="V16" i="37"/>
  <c r="W16" i="37"/>
  <c r="X16" i="37"/>
  <c r="T13" i="37"/>
  <c r="T14" i="37"/>
  <c r="T15" i="37"/>
  <c r="T16" i="37"/>
  <c r="T12" i="37"/>
  <c r="U11" i="37"/>
  <c r="V11" i="37"/>
  <c r="W11" i="37"/>
  <c r="X11" i="37"/>
  <c r="T11" i="37"/>
  <c r="M17" i="37"/>
  <c r="L17" i="37"/>
  <c r="K17" i="37"/>
  <c r="J17" i="37"/>
  <c r="I17" i="37"/>
  <c r="N16" i="37"/>
  <c r="N15" i="37"/>
  <c r="N14" i="37"/>
  <c r="N13" i="37"/>
  <c r="N12" i="37"/>
  <c r="N11" i="37"/>
  <c r="G22" i="37"/>
  <c r="G21" i="37"/>
  <c r="D55" i="37" s="1"/>
  <c r="G20" i="37"/>
  <c r="E19" i="41" l="1"/>
  <c r="I22" i="37"/>
  <c r="T22" i="37" s="1"/>
  <c r="D19" i="41"/>
  <c r="N17" i="37"/>
  <c r="W17" i="37"/>
  <c r="T17" i="37"/>
  <c r="V17" i="37"/>
  <c r="U17" i="37"/>
  <c r="X17" i="37"/>
  <c r="N22" i="37" l="1"/>
  <c r="C17" i="37"/>
  <c r="C19" i="37" s="1"/>
  <c r="D17" i="37"/>
  <c r="D19" i="37" s="1"/>
  <c r="E17" i="37"/>
  <c r="E19" i="37" s="1"/>
  <c r="F17" i="37"/>
  <c r="F19" i="37" s="1"/>
  <c r="B17" i="37"/>
  <c r="B19" i="37" s="1"/>
  <c r="G16" i="37"/>
  <c r="Y16" i="37" s="1"/>
  <c r="G15" i="37"/>
  <c r="Y15" i="37" s="1"/>
  <c r="G14" i="37"/>
  <c r="Y14" i="37" s="1"/>
  <c r="G13" i="37"/>
  <c r="Y13" i="37" s="1"/>
  <c r="G12" i="37"/>
  <c r="Y12" i="37" s="1"/>
  <c r="G11" i="37"/>
  <c r="C14" i="41"/>
  <c r="C19" i="41" s="1"/>
  <c r="W21" i="37"/>
  <c r="B15" i="41"/>
  <c r="F15" i="41" s="1"/>
  <c r="B16" i="41"/>
  <c r="B17" i="41"/>
  <c r="B14" i="41"/>
  <c r="A3" i="69"/>
  <c r="A2" i="69"/>
  <c r="A1" i="69"/>
  <c r="G35" i="37"/>
  <c r="Y35" i="37" s="1"/>
  <c r="B19" i="41" l="1"/>
  <c r="M17" i="41"/>
  <c r="L46" i="37" s="1"/>
  <c r="W46" i="37" s="1"/>
  <c r="I47" i="37"/>
  <c r="M15" i="41"/>
  <c r="G17" i="37"/>
  <c r="Y11" i="37"/>
  <c r="Y17" i="37" s="1"/>
  <c r="Y19" i="37" s="1"/>
  <c r="I20" i="37"/>
  <c r="F17" i="41"/>
  <c r="F16" i="41"/>
  <c r="F14" i="41"/>
  <c r="N17" i="41"/>
  <c r="L47" i="37" s="1"/>
  <c r="W47" i="37" s="1"/>
  <c r="B11" i="62"/>
  <c r="M21" i="37"/>
  <c r="X21" i="37" s="1"/>
  <c r="U22" i="37"/>
  <c r="Y22" i="37" s="1"/>
  <c r="J21" i="37"/>
  <c r="U21" i="37" s="1"/>
  <c r="K21" i="37"/>
  <c r="V21" i="37" s="1"/>
  <c r="I21" i="37"/>
  <c r="J19" i="37"/>
  <c r="K19" i="37"/>
  <c r="L19" i="37"/>
  <c r="M19" i="37"/>
  <c r="I19" i="37"/>
  <c r="E55" i="37"/>
  <c r="F19" i="41" l="1"/>
  <c r="J46" i="37"/>
  <c r="U46" i="37" s="1"/>
  <c r="Y46" i="37" s="1"/>
  <c r="M19" i="41"/>
  <c r="D62" i="37" s="1"/>
  <c r="N15" i="41"/>
  <c r="N19" i="41" s="1"/>
  <c r="D63" i="37" s="1"/>
  <c r="T47" i="37"/>
  <c r="I23" i="37"/>
  <c r="T21" i="37"/>
  <c r="Y21" i="37" s="1"/>
  <c r="N21" i="37"/>
  <c r="T19" i="37"/>
  <c r="F23" i="37"/>
  <c r="X19" i="37"/>
  <c r="E23" i="37"/>
  <c r="W19" i="37"/>
  <c r="D23" i="37"/>
  <c r="V19" i="37"/>
  <c r="C23" i="37"/>
  <c r="U19" i="37"/>
  <c r="T20" i="37"/>
  <c r="G19" i="37"/>
  <c r="B23" i="37"/>
  <c r="M23" i="37"/>
  <c r="J20" i="37"/>
  <c r="J41" i="37" s="1"/>
  <c r="J45" i="37" s="1"/>
  <c r="K20" i="37"/>
  <c r="K41" i="37" s="1"/>
  <c r="K45" i="37" s="1"/>
  <c r="L20" i="37"/>
  <c r="L45" i="37" s="1"/>
  <c r="N46" i="37" l="1"/>
  <c r="T23" i="37"/>
  <c r="J47" i="37"/>
  <c r="N20" i="37"/>
  <c r="T41" i="37"/>
  <c r="I45" i="37"/>
  <c r="T45" i="37" s="1"/>
  <c r="J23" i="37"/>
  <c r="U23" i="37" s="1"/>
  <c r="W45" i="37"/>
  <c r="W41" i="37"/>
  <c r="U45" i="37"/>
  <c r="U41" i="37"/>
  <c r="V45" i="37"/>
  <c r="V41" i="37"/>
  <c r="N41" i="37"/>
  <c r="N45" i="37" s="1"/>
  <c r="X23" i="37"/>
  <c r="W20" i="37"/>
  <c r="V20" i="37"/>
  <c r="U20" i="37"/>
  <c r="L23" i="37"/>
  <c r="W23" i="37" s="1"/>
  <c r="K23" i="37"/>
  <c r="V23" i="37" s="1"/>
  <c r="U47" i="37" l="1"/>
  <c r="Y47" i="37" s="1"/>
  <c r="N47" i="37"/>
  <c r="Y45" i="37"/>
  <c r="Y41" i="37"/>
  <c r="Y20" i="37"/>
  <c r="G31" i="37"/>
  <c r="G32" i="37"/>
  <c r="G33" i="37"/>
  <c r="Y33" i="37" s="1"/>
  <c r="G34" i="37"/>
  <c r="Y34" i="37" s="1"/>
  <c r="Y32" i="37" l="1"/>
  <c r="Y31" i="37"/>
  <c r="E70" i="37"/>
  <c r="E69" i="37" s="1"/>
  <c r="E56" i="37"/>
  <c r="Y36" i="37"/>
  <c r="G36" i="37"/>
  <c r="Z23" i="62" l="1"/>
  <c r="Z24" i="62"/>
  <c r="Z25" i="62"/>
  <c r="Z26" i="62"/>
  <c r="Z27" i="62"/>
  <c r="Z28" i="62"/>
  <c r="A2" i="62"/>
  <c r="A1" i="62"/>
  <c r="A3" i="62"/>
  <c r="L19" i="62"/>
  <c r="M19" i="62"/>
  <c r="N19" i="62"/>
  <c r="O19" i="62"/>
  <c r="P19" i="62"/>
  <c r="Q19" i="62"/>
  <c r="R19" i="62"/>
  <c r="AA22" i="62" l="1"/>
  <c r="AB22" i="62" s="1"/>
  <c r="AD22" i="62" s="1"/>
  <c r="AA24" i="62" l="1"/>
  <c r="AB24" i="62" s="1"/>
  <c r="AD24" i="62" s="1"/>
  <c r="AA26" i="62"/>
  <c r="AB26" i="62" s="1"/>
  <c r="AD26" i="62" s="1"/>
  <c r="AA23" i="62"/>
  <c r="AB23" i="62" s="1"/>
  <c r="AD23" i="62" s="1"/>
  <c r="AA25" i="62"/>
  <c r="AB25" i="62" s="1"/>
  <c r="AD25" i="62" s="1"/>
  <c r="AA28" i="62"/>
  <c r="AB28" i="62" s="1"/>
  <c r="AA27" i="62"/>
  <c r="AB27" i="62" s="1"/>
  <c r="AD27" i="62" l="1"/>
  <c r="AD28" i="62"/>
  <c r="D13" i="62"/>
  <c r="C11" i="62" l="1"/>
  <c r="D11" i="62" s="1"/>
  <c r="A6" i="42" l="1"/>
  <c r="A2" i="42" l="1"/>
  <c r="A2" i="112" s="1"/>
  <c r="A3" i="42"/>
  <c r="A3" i="112" s="1"/>
  <c r="A1" i="42"/>
  <c r="A1" i="112" s="1"/>
  <c r="F36" i="37" l="1"/>
  <c r="A6" i="41"/>
  <c r="A2" i="41"/>
  <c r="A2" i="86" s="1"/>
  <c r="A3" i="41"/>
  <c r="A3" i="86" s="1"/>
  <c r="A1" i="41"/>
  <c r="A1" i="86" s="1"/>
  <c r="D71" i="37" l="1"/>
  <c r="D65" i="37" l="1"/>
  <c r="E65" i="37"/>
  <c r="E58" i="37" l="1"/>
  <c r="D58" i="37"/>
  <c r="N19" i="37"/>
  <c r="N23" i="37" s="1"/>
  <c r="A3" i="37" l="1"/>
  <c r="A2" i="37"/>
  <c r="A1" i="37"/>
  <c r="G23" i="37" l="1"/>
  <c r="Y23" i="37" s="1"/>
</calcChain>
</file>

<file path=xl/sharedStrings.xml><?xml version="1.0" encoding="utf-8"?>
<sst xmlns="http://schemas.openxmlformats.org/spreadsheetml/2006/main" count="2665" uniqueCount="470">
  <si>
    <t>System 
Lease ID</t>
  </si>
  <si>
    <t>Division</t>
  </si>
  <si>
    <t>Lease Template</t>
  </si>
  <si>
    <t>Discount Rate</t>
  </si>
  <si>
    <t>Commencement Date</t>
  </si>
  <si>
    <t>Expiration Date</t>
  </si>
  <si>
    <t>Monthly Payments</t>
  </si>
  <si>
    <t>Round Months</t>
  </si>
  <si>
    <t>Closing Balance</t>
  </si>
  <si>
    <t>Opening Balance</t>
  </si>
  <si>
    <t>Interest</t>
  </si>
  <si>
    <t>Repayment</t>
  </si>
  <si>
    <t>ITC</t>
  </si>
  <si>
    <t>IT Equipment Lease</t>
  </si>
  <si>
    <t>ROU</t>
  </si>
  <si>
    <t>Lease Liability</t>
  </si>
  <si>
    <t>Vehicle Lease</t>
  </si>
  <si>
    <t>MMF</t>
  </si>
  <si>
    <t>OCL</t>
  </si>
  <si>
    <t>Equipment Lease</t>
  </si>
  <si>
    <t xml:space="preserve">Deloitte Haskins &amp; Sells </t>
  </si>
  <si>
    <t xml:space="preserve">Purpose </t>
  </si>
  <si>
    <t>Work Done</t>
  </si>
  <si>
    <t>None</t>
  </si>
  <si>
    <t>Particulars</t>
  </si>
  <si>
    <t>Land</t>
  </si>
  <si>
    <t>Additions/ modifications during the year</t>
  </si>
  <si>
    <t>Accrual of finance cost</t>
  </si>
  <si>
    <t xml:space="preserve">Payments </t>
  </si>
  <si>
    <t>Adjustment for termination of leases</t>
  </si>
  <si>
    <t>Total</t>
  </si>
  <si>
    <t xml:space="preserve">Current </t>
  </si>
  <si>
    <t>Difference</t>
  </si>
  <si>
    <t>Buildings</t>
  </si>
  <si>
    <t xml:space="preserve">Vehicles </t>
  </si>
  <si>
    <t>Equipments</t>
  </si>
  <si>
    <t>IT Equipments</t>
  </si>
  <si>
    <t>Depreciation expense</t>
  </si>
  <si>
    <t xml:space="preserve">Non-current </t>
  </si>
  <si>
    <t>Note:</t>
  </si>
  <si>
    <t>Depreciation on right of use assets</t>
  </si>
  <si>
    <t xml:space="preserve">Interest on lease liabilities </t>
  </si>
  <si>
    <t xml:space="preserve">Expense relating to low value assets </t>
  </si>
  <si>
    <t>Less than one year</t>
  </si>
  <si>
    <t>One to five years</t>
  </si>
  <si>
    <t>Principal repayments</t>
  </si>
  <si>
    <t>Interest expense</t>
  </si>
  <si>
    <t>LT</t>
  </si>
  <si>
    <t>ST</t>
  </si>
  <si>
    <t>For the year ended
31 March 2023</t>
  </si>
  <si>
    <t>TC_SAMPLE_NO</t>
  </si>
  <si>
    <t>TC_MUS_HV</t>
  </si>
  <si>
    <t>TC_TIMES_SELECTED</t>
  </si>
  <si>
    <t>TC_RECORD_NO</t>
  </si>
  <si>
    <t>MUS ITEMS</t>
  </si>
  <si>
    <t>Dep</t>
  </si>
  <si>
    <t>GE India Industrial Private Limited</t>
  </si>
  <si>
    <t>Closing Lease Liability</t>
  </si>
  <si>
    <t>Purpose</t>
  </si>
  <si>
    <t>To verify the lease working of the sample selected</t>
  </si>
  <si>
    <t>(i) Lease hold land includes land amounting to INR 6,816 lakhs (previous year 6,816 lakhs) representing land leased from Maharashtra Industrial Development Corporation taken on 17 September 2012 for an initial period of 95 years.</t>
  </si>
  <si>
    <t>Amounts recognized in statement of profit and loss</t>
  </si>
  <si>
    <t>Grand Total</t>
  </si>
  <si>
    <t>Sum of LT</t>
  </si>
  <si>
    <t>(Amount in Rs. Lakhs)</t>
  </si>
  <si>
    <t>For the year ended
31 March 2024</t>
  </si>
  <si>
    <t>S.No</t>
  </si>
  <si>
    <t>Discount 
Rate</t>
  </si>
  <si>
    <t>Commencement 
Date</t>
  </si>
  <si>
    <t>Expiration 
Date</t>
  </si>
  <si>
    <t>Transfer due to Demerger</t>
  </si>
  <si>
    <t>Closing 
Balance</t>
  </si>
  <si>
    <t>Addition
during the year</t>
  </si>
  <si>
    <t>Deletion
during the year</t>
  </si>
  <si>
    <t>Sum of ST</t>
  </si>
  <si>
    <t>Addition</t>
  </si>
  <si>
    <t xml:space="preserve">Deletions/ Adjustment </t>
  </si>
  <si>
    <t>To document the summary of ROU Assets and Lease Liability</t>
  </si>
  <si>
    <t>Summary</t>
  </si>
  <si>
    <t>Right of Use Assets</t>
  </si>
  <si>
    <t>Adjustment on account of demerger</t>
  </si>
  <si>
    <t>Assertion</t>
  </si>
  <si>
    <t>Procedures</t>
  </si>
  <si>
    <t>Reference</t>
  </si>
  <si>
    <t>Completeness</t>
  </si>
  <si>
    <t>ET obtained the schedule of rental expenses and verified that they are not to be accounted for as lease.</t>
  </si>
  <si>
    <t>Existence</t>
  </si>
  <si>
    <t>ET obtained the executed agreement from the client of the new leases added during the year.</t>
  </si>
  <si>
    <t>&lt;&lt; Refer tab additions summary &gt;&gt;</t>
  </si>
  <si>
    <t>ET obtained the physical verification certificates from the management and analysed the coverage of the physical verification.</t>
  </si>
  <si>
    <t>Accuracy</t>
  </si>
  <si>
    <t>ET has verified the lease start date, end date, monthly payment amount as per the agreement.</t>
  </si>
  <si>
    <t>ET performed the recomputation of the lease liability and ROU to ensure the accuracy of the IPE.</t>
  </si>
  <si>
    <t>ET has verified the discount rate used for discounting from the GSEC rates which have been used by the Company.</t>
  </si>
  <si>
    <t>Presentation and Disclosure</t>
  </si>
  <si>
    <t>ET has also reconciled the values appearing in the balance sheet and verified the notes to account with the balance as per Schedule.</t>
  </si>
  <si>
    <t>Valuation and Allocation</t>
  </si>
  <si>
    <t>ET verified the lease deeds of the leasehold lands and verified whether the same are registered in the name of the Company.</t>
  </si>
  <si>
    <t>&lt;&lt; Refer workspace Rent &gt;&gt;</t>
  </si>
  <si>
    <t>&lt;&lt; Refer tab Notes to Account &gt;&gt;</t>
  </si>
  <si>
    <t>ET has ensured that the notes to account are in accordance with the requirements of Ind AS 116.</t>
  </si>
  <si>
    <t>Testing Reference</t>
  </si>
  <si>
    <t>Lease ID</t>
  </si>
  <si>
    <t>Lease Type</t>
  </si>
  <si>
    <t>As per DHS Working</t>
  </si>
  <si>
    <t>As per Lease Report</t>
  </si>
  <si>
    <t>&lt;&lt; Link &gt;&gt;</t>
  </si>
  <si>
    <t>&lt;&lt; As per agreement &gt;&gt;</t>
  </si>
  <si>
    <t xml:space="preserve">Financial Benchmarks India Private Ltd </t>
  </si>
  <si>
    <t>Monthly discount rate</t>
  </si>
  <si>
    <t>PV of rent payments</t>
  </si>
  <si>
    <t xml:space="preserve">Closing WDV </t>
  </si>
  <si>
    <t>Opening WDV</t>
  </si>
  <si>
    <t>Opening Liability</t>
  </si>
  <si>
    <t>No of Months</t>
  </si>
  <si>
    <t>Monthly Rent</t>
  </si>
  <si>
    <t>Closing WDV</t>
  </si>
  <si>
    <t>&lt;&lt; Formula &gt;&gt;</t>
  </si>
  <si>
    <t>To document the summary of samples recomputed by ET.</t>
  </si>
  <si>
    <t>Hewlett-Packard Financial Services (India) Private Limited</t>
  </si>
  <si>
    <t xml:space="preserve">Lessor details </t>
  </si>
  <si>
    <t>&lt;&lt; Refer tab testing &gt;&gt;</t>
  </si>
  <si>
    <t>Observation</t>
  </si>
  <si>
    <t>Conclusion</t>
  </si>
  <si>
    <t>No material misstatements identified</t>
  </si>
  <si>
    <t>&lt;&lt; As per Schedule &gt;&gt;</t>
  </si>
  <si>
    <t>As per schedule</t>
  </si>
  <si>
    <t>As per DHS</t>
  </si>
  <si>
    <t>Difference in Depreciation charged till date</t>
  </si>
  <si>
    <t>Period</t>
  </si>
  <si>
    <t>Difference in Closing balance of ROU</t>
  </si>
  <si>
    <t>ET verified the depreciation of ROU assets and verified that the same has been computed on the basis of the lease period.</t>
  </si>
  <si>
    <t>ET verified the finance cost on the lease liabilities</t>
  </si>
  <si>
    <t>Depreciation</t>
  </si>
  <si>
    <t>To document the schedule for ROU Assets and Lease Liability.</t>
  </si>
  <si>
    <t>Disposals</t>
  </si>
  <si>
    <t xml:space="preserve">Building Lease                                                          </t>
  </si>
  <si>
    <t>&lt;&lt; Verified from PY Financial Statements &gt;&gt;</t>
  </si>
  <si>
    <t>&lt;&lt; Refer Link &gt;&gt;</t>
  </si>
  <si>
    <t>Disposal/Adjustment during the year</t>
  </si>
  <si>
    <t>Transferred of Assets under demerger</t>
  </si>
  <si>
    <t>To compute the amount of unadjusted difference due to low discount rate considered by the company.</t>
  </si>
  <si>
    <t>Obervation</t>
  </si>
  <si>
    <t>ET observed that the difference due to low rates is not material.</t>
  </si>
  <si>
    <t>&lt;&lt;Imm&gt;&gt;</t>
  </si>
  <si>
    <t>Note 4.4. Right-of-use assets</t>
  </si>
  <si>
    <t>Transferred to Assets held for sale</t>
  </si>
  <si>
    <t>Note 4.5. Lease liabilities</t>
  </si>
  <si>
    <t>Opening Balance
as on April'24</t>
  </si>
  <si>
    <t>Addition during
FY 2024-25</t>
  </si>
  <si>
    <t>Amortisation during 
FY 2024-25</t>
  </si>
  <si>
    <t>ET performed the recomputation of new leases started as well as leases terminated during the year on samples extracted using MUS</t>
  </si>
  <si>
    <t>Balance as at 31 March 2025</t>
  </si>
  <si>
    <t>&lt;&lt; Difference &gt;&gt;</t>
  </si>
  <si>
    <t>Balance at April 1, 2024</t>
  </si>
  <si>
    <t>Balance as at 1 April 2024</t>
  </si>
  <si>
    <t>For the year ended
31 March 2025</t>
  </si>
  <si>
    <t>The details of contractual maturities of lease liabilities as at March 31, 2025 on an undiscounted basis are as follows:</t>
  </si>
  <si>
    <t>As at
31 March 2025</t>
  </si>
  <si>
    <t>As at
31 March 2024</t>
  </si>
  <si>
    <t>The details of principal and interest repayment for the year ended March 31, 2025 are as follows:</t>
  </si>
  <si>
    <t>Monetary Unit Sampling
8/4/2025 12:40:32 PM</t>
  </si>
  <si>
    <t xml:space="preserve">Source: Book1 - Sheet1
Assessed Risk: Higher
Amount Column: Addition during
FY 2024-25
Performance Materiality: 400000000
Control Reliance: Without Control Reliance
Select all items over performance materiality: Yes
Total population size of absolute value items: 88,46,49,948.67
Number of items over performance materiality: 0
Value of items over performance materiality: 0.00
Value of remaining population: 88,46,49,948.67
Small population: No
Number of Record in Population: 
Minimum sample size: 4
Sample Size: 4
Seed: 345948
Sampling Interval: 22,11,62,487.17
Starting dollar: 15,89,79,639.92
Net population subject to sampling: 88,46,49,948.67
Multiples of Population / MP: 2.21
</t>
  </si>
  <si>
    <t>Judgemental</t>
  </si>
  <si>
    <t>Building Lease</t>
  </si>
  <si>
    <t>Workprovince Technology Private Limited</t>
  </si>
  <si>
    <t>Amount</t>
  </si>
  <si>
    <t>FBIL GSec Base/Par Yield</t>
  </si>
  <si>
    <t>01-Jul-2024</t>
  </si>
  <si>
    <t>Tenor (Year)</t>
  </si>
  <si>
    <t>YTM% p.a.(Semi-Annual)</t>
  </si>
  <si>
    <t>YTM % p.a.(Annualized)</t>
  </si>
  <si>
    <t>01-Aug-2024</t>
  </si>
  <si>
    <t>Quarterly Rent (In Advance)</t>
  </si>
  <si>
    <t>Quarterly discount rate</t>
  </si>
  <si>
    <t>No of Quarters</t>
  </si>
  <si>
    <t xml:space="preserve">From </t>
  </si>
  <si>
    <t>To</t>
  </si>
  <si>
    <t>Date</t>
  </si>
  <si>
    <t>Lease payments</t>
  </si>
  <si>
    <t>PV of Lease payments</t>
  </si>
  <si>
    <t>&lt;&lt; Refer Rent Expense &gt;&gt;</t>
  </si>
  <si>
    <t>Commencement 
Date*</t>
  </si>
  <si>
    <t>Cumulative Days</t>
  </si>
  <si>
    <t>Calculation of PV of lease payments</t>
  </si>
  <si>
    <t>Right of Use Asset</t>
  </si>
  <si>
    <t>11-Nov-2024</t>
  </si>
  <si>
    <t>02-Apr-2024</t>
  </si>
  <si>
    <t>To document the impact of discounting of security deposit as per IND AS 109</t>
  </si>
  <si>
    <r>
      <t xml:space="preserve">Under IND AS 109, security deposits that are refundable in cash or other financial assets are treated as financial assets (if given) or financial liabilities (if received). These deposits are required to be measured at fair value at the time of initial recognition. The fair value is determined by discounting the future cash flows associated with the deposit using an appropriate discount rate, which reflects the time value of money.
</t>
    </r>
    <r>
      <rPr>
        <b/>
        <sz val="10"/>
        <color theme="1"/>
        <rFont val="Calibri"/>
        <family val="2"/>
        <scheme val="minor"/>
      </rPr>
      <t xml:space="preserve">
Initial Recognition: </t>
    </r>
    <r>
      <rPr>
        <sz val="10"/>
        <color theme="1"/>
        <rFont val="Calibri"/>
        <family val="2"/>
        <scheme val="minor"/>
      </rPr>
      <t xml:space="preserve">Security deposits are measured at their present value, calculated by discounting the future repayment amount using a discount rate (e.g., incremental borrowing rate). The difference between the transaction value and the present value is recognized as a prepaid expense or deferred income, depending on the nature of the deposit.
</t>
    </r>
    <r>
      <rPr>
        <b/>
        <sz val="10"/>
        <color theme="1"/>
        <rFont val="Calibri"/>
        <family val="2"/>
        <scheme val="minor"/>
      </rPr>
      <t xml:space="preserve">Subsequent Measurement: </t>
    </r>
    <r>
      <rPr>
        <sz val="10"/>
        <color theme="1"/>
        <rFont val="Calibri"/>
        <family val="2"/>
        <scheme val="minor"/>
      </rPr>
      <t>The security deposit is adjusted annually to account for interest income (for deposits given) or interest expense (for deposits received), based on the discount rate. Prepaid expenses or deferred income are amortized over the lease term or the period of the deposit.</t>
    </r>
  </si>
  <si>
    <t>ET observed that the security deposit paid on leased assets is not discounted as per Ind AS 109 by the company. ET calculated the impact of the same and found it to be immaterial.</t>
  </si>
  <si>
    <t>Ind As 109 - Relevant Extract for security deposit discounting</t>
  </si>
  <si>
    <t xml:space="preserve">Interest income </t>
  </si>
  <si>
    <t>64418-1</t>
  </si>
  <si>
    <t>64418-2</t>
  </si>
  <si>
    <t>Increase</t>
  </si>
  <si>
    <t>&lt;&lt; Refer Below &gt;&gt;</t>
  </si>
  <si>
    <t>Audit for the year ended March 31, 2026</t>
  </si>
  <si>
    <t>To verify lease liability and ROU as at March 31, 2026</t>
  </si>
  <si>
    <t>To verify the amounts disclosed in notes to account as on March 31, 2026</t>
  </si>
  <si>
    <t>Opening Balance
as on April'25</t>
  </si>
  <si>
    <t>Addition during
FY 2025-26</t>
  </si>
  <si>
    <t>Deletions/ Adjustment during
FY 2025-26</t>
  </si>
  <si>
    <t>Amortisation during 
FY 2025-26</t>
  </si>
  <si>
    <t>WIND</t>
  </si>
  <si>
    <t>Net Block as at April 1, 2025</t>
  </si>
  <si>
    <t>Net Block as at March 31, 2026</t>
  </si>
  <si>
    <t>Balance at April 1, 2025</t>
  </si>
  <si>
    <t>Balance as at 31 March 2026</t>
  </si>
  <si>
    <t>&lt;&lt; Refer WP B. CARO Workbook GEIIPL 2026&gt;&gt;</t>
  </si>
  <si>
    <t>Month</t>
  </si>
  <si>
    <t>*Lease was started in FY 23-24. Hence, no addition during the year</t>
  </si>
  <si>
    <t>FBIL GSec Prices/Yields</t>
  </si>
  <si>
    <t>29-Sep-2023</t>
  </si>
  <si>
    <t>(MONTH- END)</t>
  </si>
  <si>
    <t>ISIN</t>
  </si>
  <si>
    <t>Coupon</t>
  </si>
  <si>
    <t>Maturity(dd-mmm-yyyy)</t>
  </si>
  <si>
    <t>Price(Rs)</t>
  </si>
  <si>
    <t>YTM% p.a. (Semi-Annual)</t>
  </si>
  <si>
    <t>Remark 1</t>
  </si>
  <si>
    <t>Remark 2</t>
  </si>
  <si>
    <t>IN0020200211</t>
  </si>
  <si>
    <t>IN0020130061</t>
  </si>
  <si>
    <t>IN0020210210</t>
  </si>
  <si>
    <t>IN0020150010</t>
  </si>
  <si>
    <t>IN0020180488</t>
  </si>
  <si>
    <t>IN0020090034</t>
  </si>
  <si>
    <t>IN0020220052</t>
  </si>
  <si>
    <t>IN0020140045</t>
  </si>
  <si>
    <t>IN0020190396</t>
  </si>
  <si>
    <t>IN0020110048</t>
  </si>
  <si>
    <t>IN0020220128</t>
  </si>
  <si>
    <t>IN0020150036</t>
  </si>
  <si>
    <t>IN0020200112</t>
  </si>
  <si>
    <t>IN0020120047</t>
  </si>
  <si>
    <t>IN0020030071</t>
  </si>
  <si>
    <t>IN0020200278</t>
  </si>
  <si>
    <t>IN0020150093</t>
  </si>
  <si>
    <t>YC</t>
  </si>
  <si>
    <t>IN0020190016</t>
  </si>
  <si>
    <t>T</t>
  </si>
  <si>
    <t>IN0020210012</t>
  </si>
  <si>
    <t>Input Point</t>
  </si>
  <si>
    <t>IN0020230028</t>
  </si>
  <si>
    <t>IN0020120039</t>
  </si>
  <si>
    <t>IN0020160035</t>
  </si>
  <si>
    <t>IN0020010081</t>
  </si>
  <si>
    <t>IN0020210186</t>
  </si>
  <si>
    <t>IN0020140060</t>
  </si>
  <si>
    <t>IN0020060078</t>
  </si>
  <si>
    <t>IN0020170026</t>
  </si>
  <si>
    <t>IN0020220037</t>
  </si>
  <si>
    <t>IN0020070036</t>
  </si>
  <si>
    <t>IN0020070069</t>
  </si>
  <si>
    <t>IN0020170174</t>
  </si>
  <si>
    <t>IN0020220136</t>
  </si>
  <si>
    <t>IN0020020247</t>
  </si>
  <si>
    <t>IN0020230010</t>
  </si>
  <si>
    <t>IN0020140011</t>
  </si>
  <si>
    <t>IN0020030022</t>
  </si>
  <si>
    <t>IN0020180454</t>
  </si>
  <si>
    <t>IN0020150069</t>
  </si>
  <si>
    <t>IN0020220011</t>
  </si>
  <si>
    <t>IN0020190362</t>
  </si>
  <si>
    <t>IN0020160118</t>
  </si>
  <si>
    <t>IN0020150028</t>
  </si>
  <si>
    <t>IN0020230036</t>
  </si>
  <si>
    <t>IN0020160019</t>
  </si>
  <si>
    <t>IN0020200070</t>
  </si>
  <si>
    <t>IN0020200153</t>
  </si>
  <si>
    <t>IN0020130053</t>
  </si>
  <si>
    <t>IN0020200294</t>
  </si>
  <si>
    <t>IN0020110055</t>
  </si>
  <si>
    <t>Proxy</t>
  </si>
  <si>
    <t>IN0020210095</t>
  </si>
  <si>
    <t>IN0020170042</t>
  </si>
  <si>
    <t>IN0020210244</t>
  </si>
  <si>
    <t>IN0020060086</t>
  </si>
  <si>
    <t>IN0020070044</t>
  </si>
  <si>
    <t>IN0020220060</t>
  </si>
  <si>
    <t>IN0020020106</t>
  </si>
  <si>
    <t>IN0020070077</t>
  </si>
  <si>
    <t>IN0020220144</t>
  </si>
  <si>
    <t>IN0020220151</t>
  </si>
  <si>
    <t>IN0020190065</t>
  </si>
  <si>
    <t>IN0020230085</t>
  </si>
  <si>
    <t>IN0020140052</t>
  </si>
  <si>
    <t>IN0020160100</t>
  </si>
  <si>
    <t>IN0020040039</t>
  </si>
  <si>
    <t>IN0020200096</t>
  </si>
  <si>
    <t>IN0020150051</t>
  </si>
  <si>
    <t>IN0020200245</t>
  </si>
  <si>
    <t>IN0020210020</t>
  </si>
  <si>
    <t>IN0020050012</t>
  </si>
  <si>
    <t>IN0020210152</t>
  </si>
  <si>
    <t>IN0020220029</t>
  </si>
  <si>
    <t>IN0020060045</t>
  </si>
  <si>
    <t>IN0020220102</t>
  </si>
  <si>
    <t>IN0020230077</t>
  </si>
  <si>
    <t>IN0020080050</t>
  </si>
  <si>
    <t>IN0020190024</t>
  </si>
  <si>
    <t>IN0020100031</t>
  </si>
  <si>
    <t>IN0020110063</t>
  </si>
  <si>
    <t>IN0020120062</t>
  </si>
  <si>
    <t>IN0020190040</t>
  </si>
  <si>
    <t>IN0020130079</t>
  </si>
  <si>
    <t>IN0020140078</t>
  </si>
  <si>
    <t>IN0020150044</t>
  </si>
  <si>
    <t>IN0020160068</t>
  </si>
  <si>
    <t>IN0020190032</t>
  </si>
  <si>
    <t>IN0020200054</t>
  </si>
  <si>
    <t>IN0020200252</t>
  </si>
  <si>
    <t>IN0020160092</t>
  </si>
  <si>
    <t>IN0020210194</t>
  </si>
  <si>
    <t>IN0020220086</t>
  </si>
  <si>
    <t>IN0020230051</t>
  </si>
  <si>
    <t>IN0020150077</t>
  </si>
  <si>
    <t>IN0020190057</t>
  </si>
  <si>
    <t>IN0020200039</t>
  </si>
  <si>
    <t>IN0020200187</t>
  </si>
  <si>
    <t>IN0020200401</t>
  </si>
  <si>
    <t>IN0020210202</t>
  </si>
  <si>
    <t>IN0020220094</t>
  </si>
  <si>
    <t>IN0020230044</t>
  </si>
  <si>
    <t>IN0020160084</t>
  </si>
  <si>
    <t>FRB</t>
  </si>
  <si>
    <t>GOI FRB 2024</t>
  </si>
  <si>
    <t>IN0020210160</t>
  </si>
  <si>
    <t>GOI FRB 2028</t>
  </si>
  <si>
    <t>IN0020180041</t>
  </si>
  <si>
    <t>GOI FRB 2031</t>
  </si>
  <si>
    <t>IN0020200120</t>
  </si>
  <si>
    <t>GOI FRB 2033</t>
  </si>
  <si>
    <t>IN0020210137</t>
  </si>
  <si>
    <t>GOI FRB 2034</t>
  </si>
  <si>
    <t>IN0020042050</t>
  </si>
  <si>
    <t>01-Mar-2023</t>
  </si>
  <si>
    <t>IN0020030014</t>
  </si>
  <si>
    <t>IN0020180025</t>
  </si>
  <si>
    <t>IN0020210046</t>
  </si>
  <si>
    <t>IN0020130012</t>
  </si>
  <si>
    <t>IN0020030055</t>
  </si>
  <si>
    <t>IN0020130046</t>
  </si>
  <si>
    <t>IIB</t>
  </si>
  <si>
    <t>01-Aug-2023</t>
  </si>
  <si>
    <t>-</t>
  </si>
  <si>
    <t>Rent Alpha Private Limited</t>
  </si>
  <si>
    <t>Jan - 2024</t>
  </si>
  <si>
    <t>Feb - 2024</t>
  </si>
  <si>
    <t>Mar - 2024</t>
  </si>
  <si>
    <t>Apr - 2024</t>
  </si>
  <si>
    <t>May - 2024</t>
  </si>
  <si>
    <t>Jun - 2024</t>
  </si>
  <si>
    <t>Jul - 2024</t>
  </si>
  <si>
    <t>Aug - 2024</t>
  </si>
  <si>
    <t>Sep - 2024</t>
  </si>
  <si>
    <t>Oct - 2024</t>
  </si>
  <si>
    <t>Nov - 2024</t>
  </si>
  <si>
    <t>Dec - 2024</t>
  </si>
  <si>
    <t>Jan - 2025</t>
  </si>
  <si>
    <t>Feb - 2025</t>
  </si>
  <si>
    <t>Mar - 2025</t>
  </si>
  <si>
    <t>Apr - 2025</t>
  </si>
  <si>
    <t>May - 2025</t>
  </si>
  <si>
    <t>Jun - 2025</t>
  </si>
  <si>
    <t>Jul - 2025</t>
  </si>
  <si>
    <t>Aug - 2025</t>
  </si>
  <si>
    <t>Sep - 2025</t>
  </si>
  <si>
    <t>Oct - 2025</t>
  </si>
  <si>
    <t>Nov - 2025</t>
  </si>
  <si>
    <t>Dec - 2025</t>
  </si>
  <si>
    <t>Jan - 2026</t>
  </si>
  <si>
    <t>Monthly Rent (In Advance)</t>
  </si>
  <si>
    <t>Feb - 2026</t>
  </si>
  <si>
    <t>Mar - 2026</t>
  </si>
  <si>
    <t>Apr - 2026</t>
  </si>
  <si>
    <t>May - 2026</t>
  </si>
  <si>
    <t>Jun - 2026</t>
  </si>
  <si>
    <t>Jul - 2026</t>
  </si>
  <si>
    <t>Aug - 2026</t>
  </si>
  <si>
    <t>Sep - 2026</t>
  </si>
  <si>
    <t>Oct - 2026</t>
  </si>
  <si>
    <t>Nov - 2026</t>
  </si>
  <si>
    <t>Dec - 2026</t>
  </si>
  <si>
    <t>Jan - 2027</t>
  </si>
  <si>
    <t>Feb - 2027</t>
  </si>
  <si>
    <t>Mar - 2027</t>
  </si>
  <si>
    <t>Apr - 2027</t>
  </si>
  <si>
    <t>May - 2027</t>
  </si>
  <si>
    <t>Jun - 2027</t>
  </si>
  <si>
    <t>Jul - 2027</t>
  </si>
  <si>
    <t>Aug - 2027</t>
  </si>
  <si>
    <t>Sep - 2027</t>
  </si>
  <si>
    <t>Oct - 2027</t>
  </si>
  <si>
    <t>Nov - 2027</t>
  </si>
  <si>
    <t>Dec - 2027</t>
  </si>
  <si>
    <t>Jan - 2028</t>
  </si>
  <si>
    <t>Feb - 2028</t>
  </si>
  <si>
    <t>Mar - 2028</t>
  </si>
  <si>
    <t>Apr - 2028</t>
  </si>
  <si>
    <t>May - 2028</t>
  </si>
  <si>
    <t>Jun - 2028</t>
  </si>
  <si>
    <t>Jul - 2028</t>
  </si>
  <si>
    <t>Aug - 2028</t>
  </si>
  <si>
    <t>Sep - 2028</t>
  </si>
  <si>
    <t>Oct - 2028</t>
  </si>
  <si>
    <t>Nov - 2028</t>
  </si>
  <si>
    <t>Dec - 2028</t>
  </si>
  <si>
    <t>Jan - 2029</t>
  </si>
  <si>
    <t>Feb - 2029</t>
  </si>
  <si>
    <t>Mar - 2029</t>
  </si>
  <si>
    <t>Apr - 2029</t>
  </si>
  <si>
    <t>May - 2029</t>
  </si>
  <si>
    <t>Jun - 2029</t>
  </si>
  <si>
    <t>Jul - 2029</t>
  </si>
  <si>
    <t>Aug - 2029</t>
  </si>
  <si>
    <t>Sep - 2029</t>
  </si>
  <si>
    <t>Oct - 2029</t>
  </si>
  <si>
    <t>Balance as at 1 April 2025</t>
  </si>
  <si>
    <t>Net EMI - Months 1-36 (GST benefit available)</t>
  </si>
  <si>
    <t>&lt;&lt; As per agreement - net of GST credit &gt;&gt;</t>
  </si>
  <si>
    <t>&lt;&lt; As per Agreement &gt;&gt;</t>
  </si>
  <si>
    <t>Gross EMI - Months 37-72 (GST benefit not available)</t>
  </si>
  <si>
    <t>&lt;&lt; As per agreement - gross, no GST credit &gt;&gt;</t>
  </si>
  <si>
    <t>Shree Gajanan Corporation India Private Limited</t>
  </si>
  <si>
    <t>Orix Leasing And Financial Services India Limited A37848</t>
  </si>
  <si>
    <t>Cisco Systems Capital India Private Limited</t>
  </si>
  <si>
    <t>STT Telemedia Global Data Centre</t>
  </si>
  <si>
    <t>No of Quarterly Payments</t>
  </si>
  <si>
    <t>PV of rent payments (Annuity Due)</t>
  </si>
  <si>
    <t>Renewal Tranche (Sep-25 to Dec-25) - lump sum paid in full at commencement</t>
  </si>
  <si>
    <t>No of months - Renewal Term</t>
  </si>
  <si>
    <t>&lt;&lt; As per Renewal Agreement (Sep, Oct, Nov, Dec-25) &gt;&gt;</t>
  </si>
  <si>
    <t>PV of Renewal Payment</t>
  </si>
  <si>
    <t>&lt;&lt; Paid in full at commencement - no further discounting required &gt;&gt;</t>
  </si>
  <si>
    <t>Jul'25 - Aug'25: No lease in force (original expired Jun-25, renewal commences Sep-25)</t>
  </si>
  <si>
    <t>Difference is due to mid life discount rate change by client, whereas I have recalculated as per one rate only</t>
  </si>
  <si>
    <t>Original Tranche (Sep-22 to Aug-25) - 12 quarterly payments in advance</t>
  </si>
  <si>
    <t>Right of Use Asset &amp; Lease Liability - Combined Schedule</t>
  </si>
  <si>
    <t>Op balance as at April 01, 2025</t>
  </si>
  <si>
    <t>Closing balance as at March 31, 2026</t>
  </si>
  <si>
    <t>*The ROU asset was created on 1 April 2024</t>
  </si>
  <si>
    <t>Impact- Profit &amp; Loss (Current Year)</t>
  </si>
  <si>
    <t>Area</t>
  </si>
  <si>
    <t>Key Provision</t>
  </si>
  <si>
    <t>Objective</t>
  </si>
  <si>
    <t>Coverage</t>
  </si>
  <si>
    <t>Eligibility Limits</t>
  </si>
  <si>
    <t>Lease</t>
  </si>
  <si>
    <t>Fuel &amp; Maintenance Benefit</t>
  </si>
  <si>
    <t>Cost Allocation</t>
  </si>
  <si>
    <t>End of</t>
  </si>
  <si>
    <t>Employee Obligations</t>
  </si>
  <si>
    <t>Key Restriction</t>
  </si>
  <si>
    <t xml:space="preserve">Provides eligible employees with a company car lease for business and reasonable personal use. </t>
  </si>
  <si>
    <t>Applicable to permanent employees in LPB and SPB bands in India with a local employment contract.</t>
  </si>
  <si>
    <t>Vehicle value eligibility ranges from ₹14 lakh to ₹32 lakh depending on employee band and lease tenure.</t>
  </si>
  <si>
    <t>Employees can opt for a 3, 4, or 5-year lease. Once selected, tenure cannot be changed.</t>
  </si>
  <si>
    <t>Company bears insurance cost during lease tenure; employee bears lease rentals, road tax, registration charges, fines, and other applicable taxes.</t>
  </si>
  <si>
    <t>Employee is responsible for closing the lease, obtaining NDC, and purchasing the vehicle from the leasing company at lease expiry.</t>
  </si>
  <si>
    <t>Employee must maintain the vehicle, comply with traffic laws, and bear uninsured losses, damages, and penalties.</t>
  </si>
  <si>
    <t>Vehicle usage should not exceed 15,000 km per year on average; excess usage charges may apply.</t>
  </si>
  <si>
    <t>ET has obtained vehicle policy and performed an analysis of the same.</t>
  </si>
  <si>
    <t>Annual reimbursement capped at ₹2 lakh (LPB- Lead Professional Band) and ₹2.5 lakh (SPB- Senior Professional Band) against supporting bills</t>
  </si>
  <si>
    <t>Amortisation till FY 2025-26</t>
  </si>
  <si>
    <t>Months till March 31, 2026</t>
  </si>
  <si>
    <t>Depreciation till March 31, 2026</t>
  </si>
  <si>
    <t>Closing balance as on March 31, 2026</t>
  </si>
  <si>
    <t>Difference in Interest (Calculated on the basis of 7% rate on difference in ROU computed for average months completed i.e. 37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</si>
</sst>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8" formatCode="&quot;₹&quot;\ #,##0.00;[Red]&quot;₹&quot;\ \-#,##0.00"/>
    <numFmt numFmtId="43" formatCode="_ * #,##0.00_ ;_ * \-#,##0.00_ ;_ * &quot;-&quot;??_ ;_ @_ "/>
    <numFmt numFmtId="164" formatCode="&quot;$&quot;#,##0.00_);[Red]\(&quot;$&quot;#,##0.00\)"/>
    <numFmt numFmtId="165" formatCode="_(* #,##0_);_(* \(#,##0\);_(* &quot;-&quot;_);_(@_)"/>
    <numFmt numFmtId="166" formatCode="_(* #,##0.00_);_(* \(#,##0.00\);_(* &quot;-&quot;??_);_(@_)"/>
    <numFmt numFmtId="167" formatCode="_(* #,##0_);_(* \(#,##0\);_(* &quot;-&quot;??_);_(@_)"/>
    <numFmt numFmtId="168" formatCode="_(* #,##0.0000_);_(* \(#,##0.0000\);_(* &quot;-&quot;??_);_(@_)"/>
    <numFmt numFmtId="169" formatCode="&quot;Rs.&quot;\ #,##0_);[Red]\(&quot;Rs.&quot;\ #,##0\)"/>
    <numFmt numFmtId="170" formatCode="_-* #,##0.00_-;\-* #,##0.00_-;_-* &quot;-&quot;??_-;_-@_-"/>
    <numFmt numFmtId="171" formatCode="_-* #,##0_-;\-* #,##0_-;_-* &quot;-&quot;_-;_-@_-"/>
    <numFmt numFmtId="172" formatCode="[$-409]d\-mmm\-yy;@"/>
    <numFmt numFmtId="173" formatCode="_(* #,##0.0000_);_(* \(#,##0.0000\);_(* &quot;-&quot;????_);_(@_)"/>
    <numFmt numFmtId="174" formatCode="0.00_);[Red]\(0.00\)"/>
    <numFmt numFmtId="175" formatCode="[$-409]d/mmm/yy;@"/>
    <numFmt numFmtId="176" formatCode="0.0000"/>
    <numFmt numFmtId="177" formatCode="_ * #,##0_ ;_ * \-#,##0_ ;_ * &quot;-&quot;??_ ;_ @_ "/>
    <numFmt numFmtId="178" formatCode="_(* #,##0_);_(* \(#,##0\);_(* &quot;-&quot;????_);_(@_)"/>
    <numFmt numFmtId="179" formatCode="mm/dd/yyyy"/>
    <numFmt numFmtId="180" formatCode="dd\-mmm\-yyyy"/>
    <numFmt numFmtId="181" formatCode="0.0%"/>
    <numFmt numFmtId="182" formatCode="mmm/yyyy"/>
    <numFmt numFmtId="183" formatCode="_(* #,##0_);_(* \(#,##0\);_(* \-??_);_(@_)"/>
    <numFmt numFmtId="184" formatCode="_(* #,##0.00_);_(* \(#,##0.00\);_(* \-??_);_(@_)"/>
    <numFmt numFmtId="185" formatCode="_(* #,##0.0000_);_(* \(#,##0.0000\);_(* \-??_);_(@_)"/>
    <numFmt numFmtId="186" formatCode="m/d/yyyy"/>
    <numFmt numFmtId="187" formatCode="d\-mmm\-yy"/>
    <numFmt numFmtId="188" formatCode="_(* #,##0.0000_);_(* \(#,##0.0000\);_(* \-????_);_(@_)"/>
    <numFmt numFmtId="189" formatCode="_ * #,##0.00_ ;_ * \-#,##0.00_ ;_ * \-??_ ;_ @_ "/>
  </numFmts>
  <fonts count="33">
    <font>
      <sz val="11"/>
      <color theme="1"/>
      <name val="Calibri"/>
      <family val="2"/>
      <scheme val="minor"/>
    </font>
    <font>
      <sz val="10"/>
      <color theme="1"/>
      <name val="Calibri"/>
      <family val="2"/>
    </font>
    <font>
      <sz val="10"/>
      <color theme="1"/>
      <name val="Calibri"/>
      <family val="2"/>
    </font>
    <font>
      <sz val="11"/>
      <color theme="1"/>
      <name val="Calibri"/>
      <family val="2"/>
      <scheme val="minor"/>
    </font>
    <font>
      <b/>
      <sz val="11"/>
      <color theme="0"/>
      <name val="Calibri"/>
      <family val="2"/>
      <scheme val="minor"/>
    </font>
    <font>
      <sz val="10"/>
      <name val="Arial"/>
      <family val="2"/>
    </font>
    <font>
      <sz val="12"/>
      <name val="FuturaA Bk BT"/>
      <family val="2"/>
    </font>
    <font>
      <b/>
      <sz val="10"/>
      <color theme="1"/>
      <name val="Calibri"/>
      <family val="2"/>
    </font>
    <font>
      <sz val="10"/>
      <color theme="1"/>
      <name val="Calibri"/>
      <family val="2"/>
      <scheme val="minor"/>
    </font>
    <font>
      <sz val="10"/>
      <name val="Calibri"/>
      <family val="2"/>
    </font>
    <font>
      <b/>
      <sz val="10"/>
      <name val="Calibri"/>
      <family val="2"/>
    </font>
    <font>
      <b/>
      <sz val="10"/>
      <color theme="0"/>
      <name val="Calibri"/>
      <family val="2"/>
    </font>
    <font>
      <b/>
      <sz val="10"/>
      <color theme="0"/>
      <name val="Calibri"/>
      <family val="2"/>
      <scheme val="minor"/>
    </font>
    <font>
      <b/>
      <sz val="10"/>
      <color rgb="FFFF0000"/>
      <name val="Calibri"/>
      <family val="2"/>
      <scheme val="minor"/>
    </font>
    <font>
      <sz val="10"/>
      <name val="Calibri"/>
      <family val="2"/>
      <scheme val="minor"/>
    </font>
    <font>
      <b/>
      <sz val="10"/>
      <color theme="1"/>
      <name val="Calibri"/>
      <family val="2"/>
      <scheme val="minor"/>
    </font>
    <font>
      <sz val="11"/>
      <color theme="1"/>
      <name val="Calibri"/>
      <family val="2"/>
    </font>
    <font>
      <b/>
      <sz val="10"/>
      <name val="Calibri"/>
      <family val="2"/>
      <scheme val="minor"/>
    </font>
    <font>
      <sz val="10"/>
      <color rgb="FFFF0000"/>
      <name val="Calibri"/>
      <family val="2"/>
      <scheme val="minor"/>
    </font>
    <font>
      <sz val="11"/>
      <name val="Verdana"/>
      <family val="2"/>
    </font>
    <font>
      <sz val="10"/>
      <color theme="0"/>
      <name val="Calibri"/>
      <family val="2"/>
    </font>
    <font>
      <i/>
      <sz val="10"/>
      <name val="Calibri"/>
      <family val="2"/>
    </font>
    <font>
      <sz val="9"/>
      <color theme="1"/>
      <name val="Calibri"/>
      <family val="2"/>
      <scheme val="minor"/>
    </font>
    <font>
      <sz val="10"/>
      <color rgb="FFFF0000"/>
      <name val="Calibri"/>
      <family val="2"/>
    </font>
    <font>
      <sz val="11"/>
      <color theme="1"/>
      <name val="Calibri"/>
      <family val="2"/>
    </font>
    <font>
      <sz val="11"/>
      <name val="Calibri"/>
      <family val="2"/>
    </font>
    <font>
      <sz val="11"/>
      <color theme="1"/>
      <name val="Calibri"/>
      <family val="2"/>
      <charset val="1"/>
    </font>
    <font>
      <b/>
      <sz val="10"/>
      <color theme="1"/>
      <name val="Calibri"/>
      <family val="2"/>
      <charset val="1"/>
    </font>
    <font>
      <sz val="10"/>
      <color theme="1"/>
      <name val="Calibri"/>
      <family val="2"/>
      <charset val="1"/>
    </font>
    <font>
      <b/>
      <sz val="10"/>
      <color rgb="FFFF0000"/>
      <name val="Calibri"/>
      <family val="2"/>
      <charset val="1"/>
    </font>
    <font>
      <b/>
      <sz val="10"/>
      <color theme="0"/>
      <name val="Calibri"/>
      <family val="2"/>
      <charset val="1"/>
    </font>
    <font>
      <sz val="10"/>
      <name val="Calibri"/>
      <family val="2"/>
      <charset val="1"/>
    </font>
    <font>
      <u/>
      <sz val="11"/>
      <color theme="10"/>
      <name val="Calibri"/>
      <family val="2"/>
      <scheme val="minor"/>
    </font>
  </fonts>
  <fills count="12">
    <fill>
      <patternFill patternType="none"/>
    </fill>
    <fill>
      <patternFill patternType="gray125"/>
    </fill>
    <fill>
      <patternFill patternType="solid">
        <fgColor theme="1"/>
        <bgColor indexed="64"/>
      </patternFill>
    </fill>
    <fill>
      <patternFill patternType="solid">
        <fgColor rgb="FFF36635"/>
        <bgColor rgb="FFF36633"/>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bgColor rgb="FF003300"/>
      </patternFill>
    </fill>
    <fill>
      <patternFill patternType="solid">
        <fgColor theme="0" tint="-0.14999847407452621"/>
        <bgColor rgb="FFCCFFCC"/>
      </patternFill>
    </fill>
    <fill>
      <patternFill patternType="solid">
        <fgColor theme="2" tint="-0.249977111117893"/>
        <bgColor rgb="FF969696"/>
      </patternFill>
    </fill>
  </fills>
  <borders count="24">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theme="0"/>
      </left>
      <right style="thin">
        <color theme="0"/>
      </right>
      <top style="thin">
        <color theme="0"/>
      </top>
      <bottom style="thin">
        <color theme="0"/>
      </bottom>
      <diagonal/>
    </border>
    <border>
      <left/>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top/>
      <bottom style="thin">
        <color theme="1"/>
      </bottom>
      <diagonal/>
    </border>
  </borders>
  <cellStyleXfs count="35">
    <xf numFmtId="0" fontId="0" fillId="0" borderId="0"/>
    <xf numFmtId="166"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3" fillId="0" borderId="0"/>
    <xf numFmtId="169" fontId="3" fillId="0" borderId="0" applyFont="0" applyFill="0" applyBorder="0" applyAlignment="0" applyProtection="0"/>
    <xf numFmtId="0" fontId="3" fillId="0" borderId="0"/>
    <xf numFmtId="0" fontId="5" fillId="0" borderId="0"/>
    <xf numFmtId="43" fontId="3" fillId="0" borderId="0" applyFont="0" applyFill="0" applyBorder="0" applyAlignment="0" applyProtection="0"/>
    <xf numFmtId="0" fontId="5" fillId="0" borderId="0"/>
    <xf numFmtId="0" fontId="4" fillId="3" borderId="12" applyNumberFormat="0" applyProtection="0">
      <alignment horizontal="center" vertical="center" wrapText="1"/>
    </xf>
    <xf numFmtId="170" fontId="3" fillId="0" borderId="0" applyFont="0" applyFill="0" applyBorder="0" applyAlignment="0" applyProtection="0"/>
    <xf numFmtId="0" fontId="5" fillId="0" borderId="0" applyNumberForma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0" fontId="6" fillId="0" borderId="0"/>
    <xf numFmtId="0" fontId="3" fillId="0" borderId="0"/>
    <xf numFmtId="0" fontId="3" fillId="0" borderId="0"/>
    <xf numFmtId="166" fontId="16"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0" fontId="16" fillId="0" borderId="0"/>
    <xf numFmtId="9" fontId="3" fillId="0" borderId="0" applyFont="0" applyFill="0" applyBorder="0" applyAlignment="0" applyProtection="0"/>
    <xf numFmtId="9" fontId="3" fillId="0" borderId="0" applyFont="0" applyFill="0" applyBorder="0" applyAlignment="0" applyProtection="0"/>
    <xf numFmtId="175" fontId="19" fillId="0" borderId="0"/>
    <xf numFmtId="175" fontId="5" fillId="0" borderId="0"/>
    <xf numFmtId="0" fontId="2" fillId="0" borderId="0"/>
    <xf numFmtId="166" fontId="2" fillId="0" borderId="0" applyFont="0" applyFill="0" applyBorder="0" applyAlignment="0" applyProtection="0"/>
    <xf numFmtId="9" fontId="2" fillId="0" borderId="0" applyFont="0" applyFill="0" applyBorder="0" applyAlignment="0" applyProtection="0"/>
    <xf numFmtId="0" fontId="5" fillId="0" borderId="0"/>
    <xf numFmtId="0" fontId="25" fillId="0" borderId="0"/>
    <xf numFmtId="0" fontId="26" fillId="0" borderId="0"/>
    <xf numFmtId="184" fontId="26" fillId="0" borderId="0"/>
    <xf numFmtId="9" fontId="26" fillId="0" borderId="0"/>
    <xf numFmtId="0" fontId="32" fillId="0" borderId="0" applyNumberFormat="0" applyFill="0" applyBorder="0" applyAlignment="0" applyProtection="0"/>
  </cellStyleXfs>
  <cellXfs count="385">
    <xf numFmtId="0" fontId="0" fillId="0" borderId="0" xfId="0"/>
    <xf numFmtId="0" fontId="7" fillId="0" borderId="0" xfId="0" applyFont="1"/>
    <xf numFmtId="0" fontId="8" fillId="0" borderId="0" xfId="0" applyFont="1"/>
    <xf numFmtId="0" fontId="9" fillId="0" borderId="0" xfId="0" applyFont="1"/>
    <xf numFmtId="167" fontId="11" fillId="2" borderId="1" xfId="1"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168" fontId="11" fillId="2" borderId="1" xfId="1" applyNumberFormat="1" applyFont="1" applyFill="1" applyBorder="1" applyAlignment="1">
      <alignment horizontal="center" vertical="center" wrapText="1"/>
    </xf>
    <xf numFmtId="167" fontId="8" fillId="0" borderId="0" xfId="1" applyNumberFormat="1" applyFont="1"/>
    <xf numFmtId="167" fontId="8" fillId="0" borderId="1" xfId="1" applyNumberFormat="1" applyFont="1" applyBorder="1"/>
    <xf numFmtId="0" fontId="8" fillId="0" borderId="1" xfId="0" applyFont="1" applyBorder="1"/>
    <xf numFmtId="167" fontId="8" fillId="0" borderId="1" xfId="0" applyNumberFormat="1" applyFont="1" applyBorder="1"/>
    <xf numFmtId="167" fontId="8" fillId="0" borderId="0" xfId="0" applyNumberFormat="1" applyFont="1"/>
    <xf numFmtId="0" fontId="10" fillId="0" borderId="0" xfId="0" applyFont="1"/>
    <xf numFmtId="0" fontId="14" fillId="0" borderId="0" xfId="0" applyFont="1"/>
    <xf numFmtId="0" fontId="15" fillId="0" borderId="0" xfId="0" applyFont="1"/>
    <xf numFmtId="167" fontId="8" fillId="0" borderId="0" xfId="18" applyNumberFormat="1" applyFont="1"/>
    <xf numFmtId="171" fontId="14" fillId="0" borderId="0" xfId="15" applyNumberFormat="1" applyFont="1"/>
    <xf numFmtId="167" fontId="14" fillId="0" borderId="0" xfId="18" applyNumberFormat="1" applyFont="1"/>
    <xf numFmtId="0" fontId="17" fillId="0" borderId="0" xfId="6" applyFont="1" applyAlignment="1">
      <alignment horizontal="left" vertical="top"/>
    </xf>
    <xf numFmtId="167" fontId="14" fillId="0" borderId="0" xfId="18" applyNumberFormat="1" applyFont="1" applyAlignment="1">
      <alignment vertical="top"/>
    </xf>
    <xf numFmtId="167" fontId="14" fillId="0" borderId="3" xfId="18" applyNumberFormat="1" applyFont="1" applyBorder="1"/>
    <xf numFmtId="0" fontId="17" fillId="0" borderId="0" xfId="6" applyFont="1" applyAlignment="1">
      <alignment vertical="top"/>
    </xf>
    <xf numFmtId="167" fontId="17" fillId="0" borderId="0" xfId="18" applyNumberFormat="1" applyFont="1" applyAlignment="1">
      <alignment horizontal="right" vertical="top"/>
    </xf>
    <xf numFmtId="0" fontId="14" fillId="0" borderId="0" xfId="6" applyFont="1" applyAlignment="1">
      <alignment vertical="top"/>
    </xf>
    <xf numFmtId="167" fontId="14" fillId="0" borderId="0" xfId="18" applyNumberFormat="1" applyFont="1" applyAlignment="1">
      <alignment horizontal="right" vertical="top"/>
    </xf>
    <xf numFmtId="167" fontId="17" fillId="0" borderId="0" xfId="18" applyNumberFormat="1" applyFont="1" applyAlignment="1">
      <alignment vertical="top"/>
    </xf>
    <xf numFmtId="0" fontId="8" fillId="0" borderId="0" xfId="6" applyFont="1"/>
    <xf numFmtId="167" fontId="17" fillId="0" borderId="0" xfId="18" applyNumberFormat="1" applyFont="1" applyBorder="1" applyAlignment="1">
      <alignment horizontal="right" vertical="top"/>
    </xf>
    <xf numFmtId="167" fontId="14" fillId="0" borderId="0" xfId="18" applyNumberFormat="1" applyFont="1" applyFill="1" applyAlignment="1">
      <alignment horizontal="right" vertical="top"/>
    </xf>
    <xf numFmtId="0" fontId="17" fillId="0" borderId="0" xfId="3" applyFont="1" applyFill="1" applyBorder="1"/>
    <xf numFmtId="0" fontId="14" fillId="0" borderId="0" xfId="3" applyFont="1" applyFill="1" applyBorder="1"/>
    <xf numFmtId="167" fontId="17" fillId="0" borderId="0" xfId="18" applyNumberFormat="1" applyFont="1"/>
    <xf numFmtId="0" fontId="15" fillId="0" borderId="0" xfId="6" applyFont="1"/>
    <xf numFmtId="167" fontId="14" fillId="0" borderId="11" xfId="18" applyNumberFormat="1" applyFont="1" applyBorder="1"/>
    <xf numFmtId="167" fontId="14" fillId="4" borderId="6" xfId="18" applyNumberFormat="1" applyFont="1" applyFill="1" applyBorder="1" applyAlignment="1">
      <alignment horizontal="right" vertical="top"/>
    </xf>
    <xf numFmtId="167" fontId="14" fillId="0" borderId="9" xfId="18" applyNumberFormat="1" applyFont="1" applyBorder="1"/>
    <xf numFmtId="167" fontId="14" fillId="4" borderId="14" xfId="18" applyNumberFormat="1" applyFont="1" applyFill="1" applyBorder="1" applyAlignment="1">
      <alignment horizontal="right" vertical="top"/>
    </xf>
    <xf numFmtId="167" fontId="17" fillId="0" borderId="1" xfId="18" applyNumberFormat="1" applyFont="1" applyBorder="1" applyAlignment="1">
      <alignment horizontal="right" vertical="top"/>
    </xf>
    <xf numFmtId="0" fontId="15" fillId="0" borderId="0" xfId="6" applyFont="1" applyAlignment="1">
      <alignment vertical="top"/>
    </xf>
    <xf numFmtId="0" fontId="8" fillId="0" borderId="0" xfId="6" applyFont="1" applyAlignment="1">
      <alignment vertical="top" wrapText="1"/>
    </xf>
    <xf numFmtId="167" fontId="8" fillId="4" borderId="4" xfId="18" applyNumberFormat="1" applyFont="1" applyFill="1" applyBorder="1" applyAlignment="1">
      <alignment vertical="top"/>
    </xf>
    <xf numFmtId="167" fontId="8" fillId="4" borderId="6" xfId="18" applyNumberFormat="1" applyFont="1" applyFill="1" applyBorder="1" applyAlignment="1">
      <alignment vertical="top"/>
    </xf>
    <xf numFmtId="167" fontId="15" fillId="0" borderId="1" xfId="21" applyNumberFormat="1" applyFont="1" applyBorder="1" applyAlignment="1">
      <alignment vertical="top"/>
    </xf>
    <xf numFmtId="0" fontId="15" fillId="0" borderId="0" xfId="21" applyFont="1" applyAlignment="1">
      <alignment vertical="top"/>
    </xf>
    <xf numFmtId="167" fontId="15" fillId="0" borderId="0" xfId="21" applyNumberFormat="1" applyFont="1" applyAlignment="1">
      <alignment vertical="top"/>
    </xf>
    <xf numFmtId="0" fontId="14" fillId="0" borderId="0" xfId="15" applyFont="1"/>
    <xf numFmtId="0" fontId="17" fillId="0" borderId="0" xfId="15" applyFont="1"/>
    <xf numFmtId="167" fontId="18" fillId="0" borderId="0" xfId="18" applyNumberFormat="1" applyFont="1" applyAlignment="1">
      <alignment vertical="top"/>
    </xf>
    <xf numFmtId="171" fontId="18" fillId="0" borderId="0" xfId="15" applyNumberFormat="1" applyFont="1"/>
    <xf numFmtId="0" fontId="17" fillId="0" borderId="1" xfId="6" applyFont="1" applyBorder="1" applyAlignment="1">
      <alignment vertical="top"/>
    </xf>
    <xf numFmtId="0" fontId="14" fillId="0" borderId="1" xfId="6" applyFont="1" applyBorder="1" applyAlignment="1">
      <alignment vertical="top"/>
    </xf>
    <xf numFmtId="0" fontId="12" fillId="2" borderId="3" xfId="16" applyFont="1" applyFill="1" applyBorder="1" applyAlignment="1">
      <alignment horizontal="right" vertical="top" wrapText="1"/>
    </xf>
    <xf numFmtId="166" fontId="12" fillId="2" borderId="1" xfId="13" applyFont="1" applyFill="1" applyBorder="1" applyAlignment="1">
      <alignment horizontal="right" wrapText="1"/>
    </xf>
    <xf numFmtId="166" fontId="8" fillId="0" borderId="0" xfId="0" applyNumberFormat="1" applyFont="1"/>
    <xf numFmtId="0" fontId="14" fillId="0" borderId="2" xfId="6" applyFont="1" applyBorder="1" applyAlignment="1">
      <alignment vertical="top"/>
    </xf>
    <xf numFmtId="0" fontId="14" fillId="0" borderId="7" xfId="6" applyFont="1" applyBorder="1" applyAlignment="1">
      <alignment vertical="top"/>
    </xf>
    <xf numFmtId="0" fontId="12" fillId="2" borderId="11" xfId="6" applyFont="1" applyFill="1" applyBorder="1" applyAlignment="1">
      <alignment horizontal="center" vertical="center"/>
    </xf>
    <xf numFmtId="167" fontId="12" fillId="2" borderId="11" xfId="18" applyNumberFormat="1" applyFont="1" applyFill="1" applyBorder="1" applyAlignment="1">
      <alignment horizontal="center" vertical="center" wrapText="1"/>
    </xf>
    <xf numFmtId="0" fontId="17" fillId="0" borderId="5" xfId="6" applyFont="1" applyBorder="1" applyAlignment="1">
      <alignment vertical="top"/>
    </xf>
    <xf numFmtId="0" fontId="17" fillId="0" borderId="6" xfId="6" applyFont="1" applyBorder="1" applyAlignment="1">
      <alignment vertical="top"/>
    </xf>
    <xf numFmtId="0" fontId="14" fillId="0" borderId="5" xfId="6" applyFont="1" applyBorder="1" applyAlignment="1">
      <alignment vertical="top"/>
    </xf>
    <xf numFmtId="0" fontId="14" fillId="0" borderId="6" xfId="6" applyFont="1" applyBorder="1" applyAlignment="1">
      <alignment vertical="top"/>
    </xf>
    <xf numFmtId="167" fontId="17" fillId="0" borderId="6" xfId="1" applyNumberFormat="1" applyFont="1" applyBorder="1" applyAlignment="1">
      <alignment horizontal="right" vertical="top"/>
    </xf>
    <xf numFmtId="167" fontId="17" fillId="0" borderId="0" xfId="1" applyNumberFormat="1" applyFont="1" applyBorder="1" applyAlignment="1">
      <alignment horizontal="right" vertical="top"/>
    </xf>
    <xf numFmtId="167" fontId="14" fillId="0" borderId="6" xfId="1" applyNumberFormat="1" applyFont="1" applyFill="1" applyBorder="1" applyAlignment="1">
      <alignment vertical="top"/>
    </xf>
    <xf numFmtId="167" fontId="14" fillId="0" borderId="0" xfId="1" applyNumberFormat="1" applyFont="1" applyFill="1" applyBorder="1" applyAlignment="1">
      <alignment vertical="top"/>
    </xf>
    <xf numFmtId="167" fontId="14" fillId="0" borderId="14" xfId="1" applyNumberFormat="1" applyFont="1" applyFill="1" applyBorder="1" applyAlignment="1">
      <alignment vertical="top"/>
    </xf>
    <xf numFmtId="167" fontId="17" fillId="0" borderId="1" xfId="1" applyNumberFormat="1" applyFont="1" applyBorder="1" applyAlignment="1">
      <alignment horizontal="right" vertical="top"/>
    </xf>
    <xf numFmtId="167" fontId="12" fillId="2" borderId="4" xfId="18" applyNumberFormat="1" applyFont="1" applyFill="1" applyBorder="1" applyAlignment="1">
      <alignment horizontal="center" vertical="center" wrapText="1"/>
    </xf>
    <xf numFmtId="166" fontId="12" fillId="2" borderId="4" xfId="13" applyFont="1" applyFill="1" applyBorder="1" applyAlignment="1">
      <alignment horizontal="right" wrapText="1"/>
    </xf>
    <xf numFmtId="167" fontId="17" fillId="4" borderId="14" xfId="18" applyNumberFormat="1" applyFont="1" applyFill="1" applyBorder="1" applyAlignment="1">
      <alignment horizontal="right" vertical="top"/>
    </xf>
    <xf numFmtId="167" fontId="14" fillId="0" borderId="4" xfId="18" applyNumberFormat="1" applyFont="1" applyBorder="1" applyAlignment="1">
      <alignment horizontal="right" vertical="top"/>
    </xf>
    <xf numFmtId="14" fontId="11" fillId="2" borderId="1" xfId="0" applyNumberFormat="1" applyFont="1" applyFill="1" applyBorder="1" applyAlignment="1">
      <alignment horizontal="center" vertical="center" wrapText="1"/>
    </xf>
    <xf numFmtId="167" fontId="9" fillId="0" borderId="1" xfId="1" applyNumberFormat="1" applyFont="1" applyBorder="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vertical="center"/>
    </xf>
    <xf numFmtId="167" fontId="9" fillId="0" borderId="1" xfId="1" applyNumberFormat="1" applyFont="1" applyFill="1" applyBorder="1" applyAlignment="1">
      <alignment vertical="center"/>
    </xf>
    <xf numFmtId="0" fontId="8" fillId="0" borderId="4" xfId="0" applyFont="1" applyBorder="1"/>
    <xf numFmtId="0" fontId="12" fillId="2" borderId="1" xfId="0" applyFont="1" applyFill="1" applyBorder="1" applyAlignment="1">
      <alignment horizontal="center"/>
    </xf>
    <xf numFmtId="167" fontId="17" fillId="0" borderId="0" xfId="6" applyNumberFormat="1" applyFont="1" applyAlignment="1">
      <alignment vertical="top"/>
    </xf>
    <xf numFmtId="167" fontId="17" fillId="0" borderId="6" xfId="6" applyNumberFormat="1" applyFont="1" applyBorder="1" applyAlignment="1">
      <alignment vertical="top"/>
    </xf>
    <xf numFmtId="167" fontId="17" fillId="0" borderId="2" xfId="6" applyNumberFormat="1" applyFont="1" applyBorder="1" applyAlignment="1">
      <alignment vertical="top"/>
    </xf>
    <xf numFmtId="0" fontId="14" fillId="0" borderId="0" xfId="0" applyFont="1" applyAlignment="1">
      <alignment horizontal="center"/>
    </xf>
    <xf numFmtId="0" fontId="8" fillId="0" borderId="0" xfId="0" applyFont="1" applyAlignment="1">
      <alignment horizontal="center"/>
    </xf>
    <xf numFmtId="172" fontId="9" fillId="0" borderId="1" xfId="0" applyNumberFormat="1" applyFont="1" applyBorder="1" applyAlignment="1">
      <alignment horizontal="center" vertical="center"/>
    </xf>
    <xf numFmtId="0" fontId="8" fillId="0" borderId="1" xfId="0" applyFont="1" applyBorder="1" applyAlignment="1">
      <alignment horizontal="center"/>
    </xf>
    <xf numFmtId="173" fontId="8" fillId="0" borderId="1" xfId="0" applyNumberFormat="1" applyFont="1" applyBorder="1"/>
    <xf numFmtId="0" fontId="13" fillId="0" borderId="0" xfId="0" applyFont="1" applyAlignment="1">
      <alignment horizontal="center"/>
    </xf>
    <xf numFmtId="166" fontId="8" fillId="0" borderId="0" xfId="1" applyFont="1"/>
    <xf numFmtId="9" fontId="8" fillId="0" borderId="0" xfId="22" applyFont="1"/>
    <xf numFmtId="10" fontId="8" fillId="0" borderId="0" xfId="22" applyNumberFormat="1" applyFont="1"/>
    <xf numFmtId="10" fontId="9" fillId="0" borderId="1" xfId="22" applyNumberFormat="1" applyFont="1" applyBorder="1" applyAlignment="1">
      <alignment vertical="center"/>
    </xf>
    <xf numFmtId="172" fontId="8" fillId="0" borderId="1" xfId="0" applyNumberFormat="1" applyFont="1" applyBorder="1" applyAlignment="1">
      <alignment horizontal="center"/>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2" fillId="2" borderId="1" xfId="0" applyFont="1" applyFill="1" applyBorder="1" applyAlignment="1">
      <alignment horizontal="center" vertical="center" wrapText="1"/>
    </xf>
    <xf numFmtId="0" fontId="8" fillId="0" borderId="0" xfId="0" applyFont="1" applyAlignment="1">
      <alignment vertical="center"/>
    </xf>
    <xf numFmtId="167" fontId="7" fillId="0" borderId="0" xfId="0" applyNumberFormat="1" applyFont="1"/>
    <xf numFmtId="0" fontId="11" fillId="2" borderId="1" xfId="0" applyFont="1" applyFill="1" applyBorder="1" applyAlignment="1">
      <alignment horizontal="center" vertical="top" wrapText="1"/>
    </xf>
    <xf numFmtId="168" fontId="11" fillId="2" borderId="1" xfId="1" applyNumberFormat="1" applyFont="1" applyFill="1" applyBorder="1" applyAlignment="1">
      <alignment horizontal="center" vertical="top" wrapText="1"/>
    </xf>
    <xf numFmtId="15" fontId="11" fillId="2" borderId="1" xfId="0" applyNumberFormat="1" applyFont="1" applyFill="1" applyBorder="1" applyAlignment="1">
      <alignment horizontal="center" vertical="top" wrapText="1"/>
    </xf>
    <xf numFmtId="0" fontId="20" fillId="0" borderId="0" xfId="0" applyFont="1" applyAlignment="1">
      <alignment vertical="top"/>
    </xf>
    <xf numFmtId="0" fontId="11" fillId="2" borderId="5" xfId="0" applyFont="1" applyFill="1" applyBorder="1" applyAlignment="1">
      <alignment horizontal="center" vertical="top" wrapText="1"/>
    </xf>
    <xf numFmtId="167" fontId="9" fillId="0" borderId="1" xfId="2" applyNumberFormat="1" applyFont="1" applyFill="1" applyBorder="1" applyAlignment="1">
      <alignment horizontal="left" vertical="top"/>
    </xf>
    <xf numFmtId="10" fontId="9" fillId="0" borderId="1" xfId="1" applyNumberFormat="1" applyFont="1" applyFill="1" applyBorder="1" applyAlignment="1">
      <alignment horizontal="left" vertical="top"/>
    </xf>
    <xf numFmtId="166" fontId="9" fillId="0" borderId="1" xfId="1" applyFont="1" applyFill="1" applyBorder="1" applyAlignment="1">
      <alignment horizontal="left" vertical="top"/>
    </xf>
    <xf numFmtId="0" fontId="11" fillId="2" borderId="1" xfId="0" applyFont="1" applyFill="1" applyBorder="1" applyAlignment="1">
      <alignment horizontal="center"/>
    </xf>
    <xf numFmtId="167" fontId="9" fillId="0" borderId="1" xfId="1" applyNumberFormat="1" applyFont="1" applyBorder="1" applyAlignment="1">
      <alignment horizontal="left" vertical="top"/>
    </xf>
    <xf numFmtId="15" fontId="7" fillId="0" borderId="0" xfId="0" applyNumberFormat="1" applyFont="1"/>
    <xf numFmtId="0" fontId="8" fillId="0" borderId="1" xfId="0" applyFont="1" applyBorder="1" applyAlignment="1">
      <alignment horizontal="justify" vertical="top" wrapText="1"/>
    </xf>
    <xf numFmtId="0" fontId="8" fillId="0" borderId="1" xfId="0" applyFont="1" applyBorder="1" applyAlignment="1">
      <alignment horizontal="justify" wrapText="1"/>
    </xf>
    <xf numFmtId="167" fontId="14" fillId="0" borderId="5" xfId="1" applyNumberFormat="1" applyFont="1" applyFill="1" applyBorder="1" applyAlignment="1">
      <alignment vertical="top"/>
    </xf>
    <xf numFmtId="167" fontId="14" fillId="0" borderId="8" xfId="1" applyNumberFormat="1" applyFont="1" applyFill="1" applyBorder="1" applyAlignment="1">
      <alignment vertical="top"/>
    </xf>
    <xf numFmtId="167" fontId="17" fillId="0" borderId="1" xfId="1" applyNumberFormat="1" applyFont="1" applyBorder="1" applyAlignment="1">
      <alignment vertical="top"/>
    </xf>
    <xf numFmtId="167" fontId="14" fillId="0" borderId="6" xfId="6" applyNumberFormat="1" applyFont="1" applyBorder="1" applyAlignment="1">
      <alignment vertical="top"/>
    </xf>
    <xf numFmtId="3" fontId="14" fillId="0" borderId="1" xfId="6" applyNumberFormat="1" applyFont="1" applyBorder="1" applyAlignment="1">
      <alignment vertical="top"/>
    </xf>
    <xf numFmtId="166" fontId="14" fillId="0" borderId="2" xfId="1" applyFont="1" applyBorder="1" applyAlignment="1">
      <alignment vertical="top"/>
    </xf>
    <xf numFmtId="167" fontId="14" fillId="0" borderId="1" xfId="1" applyNumberFormat="1" applyFont="1" applyBorder="1" applyAlignment="1">
      <alignment vertical="top"/>
    </xf>
    <xf numFmtId="0" fontId="12" fillId="2" borderId="1" xfId="0" applyFont="1" applyFill="1" applyBorder="1" applyAlignment="1">
      <alignment horizontal="center" vertical="center"/>
    </xf>
    <xf numFmtId="0" fontId="15" fillId="0" borderId="0" xfId="0" applyFont="1" applyAlignment="1">
      <alignment horizontal="center" vertical="center"/>
    </xf>
    <xf numFmtId="167" fontId="8" fillId="0" borderId="4" xfId="1" applyNumberFormat="1" applyFont="1" applyBorder="1"/>
    <xf numFmtId="167" fontId="15" fillId="0" borderId="13" xfId="1" applyNumberFormat="1" applyFont="1" applyBorder="1"/>
    <xf numFmtId="167" fontId="15" fillId="0" borderId="13" xfId="0" applyNumberFormat="1" applyFont="1" applyBorder="1"/>
    <xf numFmtId="167" fontId="15" fillId="0" borderId="0" xfId="0" applyNumberFormat="1" applyFont="1"/>
    <xf numFmtId="0" fontId="18" fillId="0" borderId="0" xfId="6" applyFont="1"/>
    <xf numFmtId="167" fontId="17" fillId="0" borderId="5" xfId="1" applyNumberFormat="1" applyFont="1" applyFill="1" applyBorder="1" applyAlignment="1">
      <alignment vertical="top"/>
    </xf>
    <xf numFmtId="167" fontId="14" fillId="0" borderId="4" xfId="1" applyNumberFormat="1" applyFont="1" applyFill="1" applyBorder="1" applyAlignment="1">
      <alignment vertical="top"/>
    </xf>
    <xf numFmtId="167" fontId="17" fillId="0" borderId="6" xfId="1" applyNumberFormat="1" applyFont="1" applyFill="1" applyBorder="1" applyAlignment="1">
      <alignment vertical="top"/>
    </xf>
    <xf numFmtId="171" fontId="8" fillId="0" borderId="0" xfId="6" applyNumberFormat="1" applyFont="1"/>
    <xf numFmtId="167" fontId="17" fillId="0" borderId="0" xfId="1" applyNumberFormat="1" applyFont="1" applyFill="1" applyBorder="1" applyAlignment="1">
      <alignment vertical="top"/>
    </xf>
    <xf numFmtId="167" fontId="8" fillId="0" borderId="6" xfId="1" applyNumberFormat="1" applyFont="1" applyFill="1" applyBorder="1"/>
    <xf numFmtId="165" fontId="8" fillId="0" borderId="6" xfId="6" applyNumberFormat="1" applyFont="1" applyBorder="1"/>
    <xf numFmtId="165" fontId="8" fillId="0" borderId="0" xfId="6" applyNumberFormat="1" applyFont="1"/>
    <xf numFmtId="15" fontId="9" fillId="0" borderId="1" xfId="0" applyNumberFormat="1" applyFont="1" applyBorder="1" applyAlignment="1">
      <alignment horizontal="center" vertical="top"/>
    </xf>
    <xf numFmtId="167" fontId="8" fillId="0" borderId="0" xfId="6" applyNumberFormat="1" applyFont="1"/>
    <xf numFmtId="0" fontId="9" fillId="0" borderId="0" xfId="0" applyFont="1" applyAlignment="1">
      <alignment vertical="center"/>
    </xf>
    <xf numFmtId="0" fontId="9" fillId="0" borderId="0" xfId="0" applyFont="1" applyAlignment="1">
      <alignment horizontal="left" vertical="center"/>
    </xf>
    <xf numFmtId="168" fontId="9" fillId="0" borderId="0" xfId="1" applyNumberFormat="1" applyFont="1" applyFill="1" applyAlignment="1">
      <alignment vertical="center"/>
    </xf>
    <xf numFmtId="14" fontId="9" fillId="0" borderId="0" xfId="0" applyNumberFormat="1" applyFont="1" applyAlignment="1">
      <alignment vertical="center"/>
    </xf>
    <xf numFmtId="167" fontId="9" fillId="0" borderId="0" xfId="1" applyNumberFormat="1" applyFont="1" applyFill="1" applyAlignment="1">
      <alignment vertical="center"/>
    </xf>
    <xf numFmtId="168" fontId="9" fillId="0" borderId="1" xfId="1" applyNumberFormat="1" applyFont="1" applyFill="1" applyBorder="1" applyAlignment="1">
      <alignment vertical="center"/>
    </xf>
    <xf numFmtId="167" fontId="9" fillId="0" borderId="1" xfId="1" applyNumberFormat="1" applyFont="1" applyFill="1" applyBorder="1" applyAlignment="1">
      <alignment horizontal="left" vertical="top"/>
    </xf>
    <xf numFmtId="177" fontId="9" fillId="0" borderId="1" xfId="1" applyNumberFormat="1" applyFont="1" applyFill="1" applyBorder="1"/>
    <xf numFmtId="177" fontId="9" fillId="0" borderId="1" xfId="0" applyNumberFormat="1" applyFont="1" applyBorder="1"/>
    <xf numFmtId="0" fontId="20" fillId="2" borderId="0" xfId="0" applyFont="1" applyFill="1" applyAlignment="1">
      <alignment vertical="center"/>
    </xf>
    <xf numFmtId="0" fontId="20" fillId="2" borderId="0" xfId="0" applyFont="1" applyFill="1" applyAlignment="1">
      <alignment horizontal="left" vertical="center"/>
    </xf>
    <xf numFmtId="168" fontId="20" fillId="2" borderId="0" xfId="1" applyNumberFormat="1" applyFont="1" applyFill="1" applyAlignment="1">
      <alignment vertical="center"/>
    </xf>
    <xf numFmtId="14" fontId="20" fillId="2" borderId="0" xfId="0" applyNumberFormat="1" applyFont="1" applyFill="1" applyAlignment="1">
      <alignment vertical="center"/>
    </xf>
    <xf numFmtId="167" fontId="20" fillId="2" borderId="0" xfId="1" applyNumberFormat="1" applyFont="1" applyFill="1" applyAlignment="1">
      <alignment vertical="center"/>
    </xf>
    <xf numFmtId="0" fontId="10" fillId="0" borderId="0" xfId="0" applyFont="1" applyAlignment="1">
      <alignment vertical="center"/>
    </xf>
    <xf numFmtId="0" fontId="10" fillId="0" borderId="0" xfId="0" applyFont="1" applyAlignment="1">
      <alignment horizontal="left" vertical="center"/>
    </xf>
    <xf numFmtId="14" fontId="10" fillId="0" borderId="0" xfId="0" applyNumberFormat="1" applyFont="1" applyAlignment="1">
      <alignment vertical="center"/>
    </xf>
    <xf numFmtId="167" fontId="10" fillId="0" borderId="0" xfId="1" applyNumberFormat="1" applyFont="1" applyFill="1" applyAlignment="1">
      <alignment vertical="center"/>
    </xf>
    <xf numFmtId="10" fontId="10" fillId="0" borderId="0" xfId="22" applyNumberFormat="1" applyFont="1" applyFill="1" applyAlignment="1">
      <alignment vertical="center"/>
    </xf>
    <xf numFmtId="167" fontId="14" fillId="0" borderId="19" xfId="1" applyNumberFormat="1" applyFont="1" applyFill="1" applyBorder="1" applyAlignment="1">
      <alignment vertical="top"/>
    </xf>
    <xf numFmtId="167" fontId="17" fillId="0" borderId="4" xfId="6" applyNumberFormat="1" applyFont="1" applyBorder="1" applyAlignment="1">
      <alignment vertical="top"/>
    </xf>
    <xf numFmtId="167" fontId="12" fillId="2" borderId="1" xfId="18" applyNumberFormat="1" applyFont="1" applyFill="1" applyBorder="1" applyAlignment="1">
      <alignment horizontal="center" vertical="center" wrapText="1"/>
    </xf>
    <xf numFmtId="167" fontId="14" fillId="0" borderId="2" xfId="1" applyNumberFormat="1" applyFont="1" applyBorder="1" applyAlignment="1">
      <alignment vertical="top"/>
    </xf>
    <xf numFmtId="167" fontId="14" fillId="0" borderId="7" xfId="1" applyNumberFormat="1" applyFont="1" applyBorder="1" applyAlignment="1">
      <alignment vertical="top"/>
    </xf>
    <xf numFmtId="167" fontId="17" fillId="0" borderId="19" xfId="6" applyNumberFormat="1" applyFont="1" applyBorder="1" applyAlignment="1">
      <alignment vertical="top"/>
    </xf>
    <xf numFmtId="167" fontId="17" fillId="0" borderId="1" xfId="6" applyNumberFormat="1" applyFont="1" applyBorder="1" applyAlignment="1">
      <alignment vertical="top"/>
    </xf>
    <xf numFmtId="3" fontId="17" fillId="0" borderId="0" xfId="6" applyNumberFormat="1" applyFont="1" applyAlignment="1">
      <alignment vertical="top"/>
    </xf>
    <xf numFmtId="0" fontId="10" fillId="0" borderId="0" xfId="26" applyFont="1" applyAlignment="1">
      <alignment horizontal="left" vertical="center"/>
    </xf>
    <xf numFmtId="0" fontId="10" fillId="0" borderId="1" xfId="26" applyFont="1" applyBorder="1" applyAlignment="1">
      <alignment horizontal="left" vertical="center" wrapText="1"/>
    </xf>
    <xf numFmtId="0" fontId="10" fillId="0" borderId="1" xfId="27" applyNumberFormat="1" applyFont="1" applyFill="1" applyBorder="1" applyAlignment="1">
      <alignment horizontal="left" vertical="center" wrapText="1"/>
    </xf>
    <xf numFmtId="0" fontId="9" fillId="0" borderId="1" xfId="26" applyFont="1" applyBorder="1" applyAlignment="1">
      <alignment horizontal="left" vertical="center"/>
    </xf>
    <xf numFmtId="0" fontId="9" fillId="0" borderId="1" xfId="26" applyFont="1" applyBorder="1" applyAlignment="1">
      <alignment vertical="center"/>
    </xf>
    <xf numFmtId="168" fontId="9" fillId="0" borderId="1" xfId="27" applyNumberFormat="1" applyFont="1" applyFill="1" applyBorder="1" applyAlignment="1">
      <alignment vertical="center"/>
    </xf>
    <xf numFmtId="14" fontId="9" fillId="0" borderId="1" xfId="26" applyNumberFormat="1" applyFont="1" applyBorder="1" applyAlignment="1">
      <alignment horizontal="center" vertical="center"/>
    </xf>
    <xf numFmtId="167" fontId="9" fillId="0" borderId="1" xfId="27" applyNumberFormat="1" applyFont="1" applyFill="1" applyBorder="1" applyAlignment="1">
      <alignment vertical="center"/>
    </xf>
    <xf numFmtId="0" fontId="8" fillId="0" borderId="0" xfId="0" applyFont="1" applyAlignment="1">
      <alignment horizontal="center" vertical="center"/>
    </xf>
    <xf numFmtId="167" fontId="9" fillId="0" borderId="1" xfId="1" applyNumberFormat="1" applyFont="1" applyBorder="1" applyAlignment="1">
      <alignment horizontal="center" vertical="center"/>
    </xf>
    <xf numFmtId="164" fontId="8" fillId="0" borderId="0" xfId="0" applyNumberFormat="1" applyFont="1"/>
    <xf numFmtId="0" fontId="8" fillId="0" borderId="4" xfId="0" applyFont="1" applyBorder="1" applyAlignment="1">
      <alignment horizontal="center" vertical="center"/>
    </xf>
    <xf numFmtId="0" fontId="12" fillId="2" borderId="4" xfId="6" applyFont="1" applyFill="1" applyBorder="1" applyAlignment="1">
      <alignment horizontal="center" vertical="center"/>
    </xf>
    <xf numFmtId="0" fontId="14" fillId="0" borderId="8" xfId="6" applyFont="1" applyBorder="1" applyAlignment="1">
      <alignment vertical="top"/>
    </xf>
    <xf numFmtId="0" fontId="14" fillId="0" borderId="10" xfId="6" applyFont="1" applyBorder="1" applyAlignment="1">
      <alignment vertical="top"/>
    </xf>
    <xf numFmtId="15" fontId="8" fillId="0" borderId="1" xfId="0" applyNumberFormat="1" applyFont="1" applyBorder="1" applyAlignment="1">
      <alignment horizontal="center"/>
    </xf>
    <xf numFmtId="178" fontId="8" fillId="0" borderId="1" xfId="0" applyNumberFormat="1" applyFont="1" applyBorder="1"/>
    <xf numFmtId="0" fontId="1" fillId="0" borderId="0" xfId="0" applyFont="1"/>
    <xf numFmtId="0" fontId="1" fillId="0" borderId="0" xfId="0" applyFont="1" applyAlignment="1">
      <alignment horizontal="left" vertical="top"/>
    </xf>
    <xf numFmtId="0" fontId="1" fillId="0" borderId="1" xfId="0" applyFont="1" applyBorder="1"/>
    <xf numFmtId="167" fontId="1" fillId="0" borderId="1" xfId="0" applyNumberFormat="1" applyFont="1" applyBorder="1"/>
    <xf numFmtId="167" fontId="1" fillId="0" borderId="1" xfId="1" applyNumberFormat="1" applyFont="1" applyBorder="1" applyAlignment="1">
      <alignment vertical="top"/>
    </xf>
    <xf numFmtId="167" fontId="1" fillId="0" borderId="0" xfId="0" applyNumberFormat="1" applyFont="1"/>
    <xf numFmtId="0" fontId="1" fillId="0" borderId="0" xfId="0" applyFont="1" applyAlignment="1">
      <alignment vertical="top"/>
    </xf>
    <xf numFmtId="0" fontId="17" fillId="0" borderId="1" xfId="0" applyFont="1" applyBorder="1" applyAlignment="1">
      <alignment horizontal="left"/>
    </xf>
    <xf numFmtId="0" fontId="14" fillId="0" borderId="1" xfId="0" applyFont="1" applyBorder="1"/>
    <xf numFmtId="175" fontId="17" fillId="0" borderId="1" xfId="24" applyFont="1" applyBorder="1"/>
    <xf numFmtId="0" fontId="17" fillId="0" borderId="1" xfId="0" applyFont="1" applyBorder="1"/>
    <xf numFmtId="0" fontId="17" fillId="0" borderId="1" xfId="29" applyFont="1" applyBorder="1" applyAlignment="1">
      <alignment horizontal="center" vertical="center" wrapText="1"/>
    </xf>
    <xf numFmtId="174" fontId="17" fillId="0" borderId="1" xfId="25" applyNumberFormat="1" applyFont="1" applyBorder="1" applyAlignment="1">
      <alignment horizontal="center" wrapText="1"/>
    </xf>
    <xf numFmtId="175" fontId="17" fillId="0" borderId="1" xfId="25" applyFont="1" applyBorder="1" applyAlignment="1">
      <alignment horizontal="center" wrapText="1"/>
    </xf>
    <xf numFmtId="2" fontId="9" fillId="0" borderId="18" xfId="0" applyNumberFormat="1" applyFont="1" applyBorder="1" applyAlignment="1">
      <alignment horizontal="center"/>
    </xf>
    <xf numFmtId="0" fontId="1" fillId="0" borderId="0" xfId="26" applyFont="1"/>
    <xf numFmtId="0" fontId="1" fillId="0" borderId="0" xfId="0" applyFont="1" applyAlignment="1">
      <alignment vertical="top" wrapText="1"/>
    </xf>
    <xf numFmtId="167" fontId="7" fillId="0" borderId="0" xfId="0" applyNumberFormat="1" applyFont="1" applyAlignment="1">
      <alignment vertical="top"/>
    </xf>
    <xf numFmtId="0" fontId="10" fillId="0" borderId="7" xfId="26" applyFont="1" applyBorder="1" applyAlignment="1">
      <alignment horizontal="left" vertical="center" wrapText="1"/>
    </xf>
    <xf numFmtId="14" fontId="9" fillId="0" borderId="7" xfId="26" applyNumberFormat="1" applyFont="1" applyBorder="1" applyAlignment="1">
      <alignment horizontal="center" vertical="center"/>
    </xf>
    <xf numFmtId="0" fontId="9" fillId="0" borderId="14" xfId="26" applyFont="1" applyBorder="1" applyAlignment="1">
      <alignment horizontal="left" vertical="center"/>
    </xf>
    <xf numFmtId="0" fontId="9" fillId="0" borderId="14" xfId="26" applyFont="1" applyBorder="1" applyAlignment="1">
      <alignment vertical="center"/>
    </xf>
    <xf numFmtId="176" fontId="9" fillId="0" borderId="14" xfId="28" applyNumberFormat="1" applyFont="1" applyFill="1" applyBorder="1" applyAlignment="1">
      <alignment horizontal="right" vertical="center"/>
    </xf>
    <xf numFmtId="14" fontId="9" fillId="0" borderId="14" xfId="26" applyNumberFormat="1" applyFont="1" applyBorder="1" applyAlignment="1">
      <alignment horizontal="center" vertical="center"/>
    </xf>
    <xf numFmtId="0" fontId="10" fillId="0" borderId="1" xfId="26" applyFont="1" applyBorder="1" applyAlignment="1">
      <alignment horizontal="left" vertical="center"/>
    </xf>
    <xf numFmtId="0" fontId="1" fillId="0" borderId="1" xfId="26" applyFont="1" applyBorder="1"/>
    <xf numFmtId="15" fontId="9" fillId="0" borderId="1" xfId="0" applyNumberFormat="1" applyFont="1" applyBorder="1" applyAlignment="1">
      <alignment horizontal="center" vertical="center"/>
    </xf>
    <xf numFmtId="0" fontId="0" fillId="0" borderId="1" xfId="0" applyBorder="1"/>
    <xf numFmtId="167" fontId="0" fillId="0" borderId="1" xfId="1" applyNumberFormat="1" applyFont="1" applyBorder="1"/>
    <xf numFmtId="166" fontId="9" fillId="0" borderId="1" xfId="1" applyFont="1" applyFill="1" applyBorder="1" applyAlignment="1">
      <alignment vertical="center"/>
    </xf>
    <xf numFmtId="0" fontId="8" fillId="8" borderId="1" xfId="0" applyFont="1" applyFill="1" applyBorder="1"/>
    <xf numFmtId="167" fontId="8" fillId="8" borderId="4" xfId="1" applyNumberFormat="1" applyFont="1" applyFill="1" applyBorder="1"/>
    <xf numFmtId="0" fontId="8" fillId="8" borderId="0" xfId="0" applyFont="1" applyFill="1"/>
    <xf numFmtId="43" fontId="0" fillId="0" borderId="0" xfId="0" applyNumberFormat="1"/>
    <xf numFmtId="10" fontId="8" fillId="0" borderId="1" xfId="0" applyNumberFormat="1" applyFont="1" applyBorder="1"/>
    <xf numFmtId="14" fontId="8" fillId="0" borderId="0" xfId="0" applyNumberFormat="1" applyFont="1"/>
    <xf numFmtId="0" fontId="22" fillId="0" borderId="0" xfId="0" applyFont="1"/>
    <xf numFmtId="10" fontId="9" fillId="0" borderId="0" xfId="22" applyNumberFormat="1" applyFont="1" applyBorder="1" applyAlignment="1">
      <alignment vertical="center"/>
    </xf>
    <xf numFmtId="173" fontId="8" fillId="0" borderId="0" xfId="0" applyNumberFormat="1" applyFont="1"/>
    <xf numFmtId="167" fontId="8" fillId="0" borderId="0" xfId="1" applyNumberFormat="1" applyFont="1" applyBorder="1"/>
    <xf numFmtId="43" fontId="8" fillId="0" borderId="0" xfId="0" applyNumberFormat="1" applyFont="1"/>
    <xf numFmtId="10" fontId="9" fillId="0" borderId="1" xfId="1" applyNumberFormat="1" applyFont="1" applyFill="1" applyBorder="1" applyAlignment="1">
      <alignment vertical="center"/>
    </xf>
    <xf numFmtId="4" fontId="8" fillId="0" borderId="0" xfId="0" applyNumberFormat="1" applyFont="1"/>
    <xf numFmtId="9" fontId="8" fillId="0" borderId="0" xfId="0" applyNumberFormat="1" applyFont="1"/>
    <xf numFmtId="10" fontId="9" fillId="0" borderId="1" xfId="22" applyNumberFormat="1" applyFont="1" applyFill="1" applyBorder="1" applyAlignment="1">
      <alignment vertical="center"/>
    </xf>
    <xf numFmtId="179" fontId="17" fillId="0" borderId="1" xfId="0" applyNumberFormat="1" applyFont="1" applyBorder="1" applyAlignment="1">
      <alignment horizontal="center"/>
    </xf>
    <xf numFmtId="174" fontId="17" fillId="0" borderId="1" xfId="0" applyNumberFormat="1" applyFont="1" applyBorder="1" applyAlignment="1">
      <alignment horizontal="right"/>
    </xf>
    <xf numFmtId="0" fontId="17" fillId="0" borderId="2" xfId="0" applyFont="1" applyBorder="1" applyAlignment="1">
      <alignment horizontal="center"/>
    </xf>
    <xf numFmtId="174" fontId="17" fillId="0" borderId="2" xfId="24" applyNumberFormat="1" applyFont="1" applyBorder="1"/>
    <xf numFmtId="175" fontId="17" fillId="0" borderId="3" xfId="24" applyFont="1" applyBorder="1"/>
    <xf numFmtId="174" fontId="17" fillId="0" borderId="1" xfId="24" applyNumberFormat="1" applyFont="1" applyBorder="1" applyAlignment="1">
      <alignment horizontal="right"/>
    </xf>
    <xf numFmtId="175" fontId="17" fillId="0" borderId="1" xfId="24" applyFont="1" applyBorder="1" applyAlignment="1">
      <alignment horizontal="center" vertical="center" wrapText="1"/>
    </xf>
    <xf numFmtId="179" fontId="17" fillId="0" borderId="1" xfId="24" applyNumberFormat="1" applyFont="1" applyBorder="1" applyAlignment="1">
      <alignment horizontal="center" vertical="center" wrapText="1"/>
    </xf>
    <xf numFmtId="174" fontId="15" fillId="0" borderId="1" xfId="0" applyNumberFormat="1" applyFont="1" applyBorder="1" applyAlignment="1">
      <alignment horizontal="center"/>
    </xf>
    <xf numFmtId="15" fontId="17" fillId="0" borderId="1" xfId="24" applyNumberFormat="1" applyFont="1" applyBorder="1" applyAlignment="1">
      <alignment horizontal="center" vertical="center" wrapText="1"/>
    </xf>
    <xf numFmtId="0" fontId="9" fillId="0" borderId="18" xfId="0" applyFont="1" applyBorder="1" applyAlignment="1">
      <alignment horizontal="center"/>
    </xf>
    <xf numFmtId="180" fontId="9" fillId="0" borderId="18" xfId="0" applyNumberFormat="1" applyFont="1" applyBorder="1" applyAlignment="1">
      <alignment horizontal="center"/>
    </xf>
    <xf numFmtId="176" fontId="9" fillId="0" borderId="18" xfId="0" applyNumberFormat="1" applyFont="1" applyBorder="1" applyAlignment="1">
      <alignment horizontal="center"/>
    </xf>
    <xf numFmtId="176" fontId="23" fillId="0" borderId="18" xfId="0" applyNumberFormat="1" applyFont="1" applyBorder="1" applyAlignment="1">
      <alignment horizontal="center"/>
    </xf>
    <xf numFmtId="174" fontId="17" fillId="0" borderId="1" xfId="24" applyNumberFormat="1" applyFont="1" applyBorder="1"/>
    <xf numFmtId="43" fontId="15" fillId="0" borderId="0" xfId="0" applyNumberFormat="1" applyFont="1"/>
    <xf numFmtId="10" fontId="24" fillId="0" borderId="23" xfId="0" applyNumberFormat="1" applyFont="1" applyBorder="1"/>
    <xf numFmtId="10" fontId="24" fillId="0" borderId="1" xfId="0" applyNumberFormat="1" applyFont="1" applyBorder="1"/>
    <xf numFmtId="4" fontId="0" fillId="0" borderId="0" xfId="0" applyNumberFormat="1"/>
    <xf numFmtId="181" fontId="8" fillId="0" borderId="0" xfId="1" applyNumberFormat="1" applyFont="1"/>
    <xf numFmtId="8" fontId="8" fillId="0" borderId="0" xfId="0" applyNumberFormat="1" applyFont="1"/>
    <xf numFmtId="167" fontId="9" fillId="8" borderId="1" xfId="1" applyNumberFormat="1" applyFont="1" applyFill="1" applyBorder="1" applyAlignment="1">
      <alignment vertical="center"/>
    </xf>
    <xf numFmtId="17" fontId="8" fillId="0" borderId="1" xfId="0" applyNumberFormat="1" applyFont="1" applyBorder="1" applyAlignment="1">
      <alignment horizontal="center"/>
    </xf>
    <xf numFmtId="182" fontId="8" fillId="0" borderId="1" xfId="0" applyNumberFormat="1" applyFont="1" applyBorder="1" applyAlignment="1">
      <alignment horizontal="center"/>
    </xf>
    <xf numFmtId="167" fontId="8" fillId="0" borderId="0" xfId="1" applyNumberFormat="1" applyFont="1" applyFill="1"/>
    <xf numFmtId="166" fontId="0" fillId="0" borderId="0" xfId="1" applyFont="1"/>
    <xf numFmtId="167" fontId="0" fillId="0" borderId="0" xfId="1" applyNumberFormat="1" applyFont="1"/>
    <xf numFmtId="167" fontId="0" fillId="0" borderId="0" xfId="0" applyNumberFormat="1"/>
    <xf numFmtId="0" fontId="0" fillId="0" borderId="0" xfId="1" applyNumberFormat="1" applyFont="1"/>
    <xf numFmtId="0" fontId="9" fillId="8" borderId="1" xfId="0" applyFont="1" applyFill="1" applyBorder="1" applyAlignment="1">
      <alignment horizontal="left" vertical="center"/>
    </xf>
    <xf numFmtId="166" fontId="9" fillId="0" borderId="1" xfId="1" applyFont="1" applyBorder="1" applyAlignment="1">
      <alignment vertical="center"/>
    </xf>
    <xf numFmtId="0" fontId="27" fillId="0" borderId="0" xfId="31" applyFont="1"/>
    <xf numFmtId="0" fontId="28" fillId="0" borderId="0" xfId="31" applyFont="1"/>
    <xf numFmtId="0" fontId="29" fillId="0" borderId="0" xfId="31" applyFont="1" applyAlignment="1">
      <alignment horizontal="center"/>
    </xf>
    <xf numFmtId="183" fontId="29" fillId="0" borderId="0" xfId="31" applyNumberFormat="1" applyFont="1" applyAlignment="1">
      <alignment horizontal="center"/>
    </xf>
    <xf numFmtId="0" fontId="30" fillId="9" borderId="1" xfId="31" applyFont="1" applyFill="1" applyBorder="1" applyAlignment="1">
      <alignment horizontal="center" vertical="center" wrapText="1"/>
    </xf>
    <xf numFmtId="185" fontId="30" fillId="9" borderId="1" xfId="32" applyNumberFormat="1" applyFont="1" applyFill="1" applyBorder="1" applyAlignment="1">
      <alignment horizontal="center" vertical="center" wrapText="1"/>
    </xf>
    <xf numFmtId="186" fontId="30" fillId="9" borderId="1" xfId="31" applyNumberFormat="1" applyFont="1" applyFill="1" applyBorder="1" applyAlignment="1">
      <alignment horizontal="center" vertical="center" wrapText="1"/>
    </xf>
    <xf numFmtId="183" fontId="30" fillId="9" borderId="1" xfId="32" applyNumberFormat="1" applyFont="1" applyFill="1" applyBorder="1" applyAlignment="1">
      <alignment horizontal="center" vertical="center" wrapText="1"/>
    </xf>
    <xf numFmtId="0" fontId="31" fillId="0" borderId="1" xfId="31" applyFont="1" applyBorder="1" applyAlignment="1">
      <alignment horizontal="center" vertical="center"/>
    </xf>
    <xf numFmtId="10" fontId="31" fillId="0" borderId="1" xfId="32" applyNumberFormat="1" applyFont="1" applyBorder="1" applyAlignment="1">
      <alignment vertical="center"/>
    </xf>
    <xf numFmtId="187" fontId="31" fillId="0" borderId="1" xfId="31" applyNumberFormat="1" applyFont="1" applyBorder="1" applyAlignment="1">
      <alignment horizontal="center" vertical="center"/>
    </xf>
    <xf numFmtId="183" fontId="31" fillId="0" borderId="1" xfId="32" applyNumberFormat="1" applyFont="1" applyBorder="1" applyAlignment="1">
      <alignment vertical="center"/>
    </xf>
    <xf numFmtId="10" fontId="26" fillId="0" borderId="1" xfId="31" applyNumberFormat="1" applyBorder="1"/>
    <xf numFmtId="172" fontId="31" fillId="0" borderId="1" xfId="31" applyNumberFormat="1" applyFont="1" applyBorder="1" applyAlignment="1">
      <alignment horizontal="center" vertical="center"/>
    </xf>
    <xf numFmtId="183" fontId="28" fillId="0" borderId="1" xfId="32" applyNumberFormat="1" applyFont="1" applyBorder="1"/>
    <xf numFmtId="0" fontId="28" fillId="0" borderId="1" xfId="31" applyFont="1" applyBorder="1" applyAlignment="1">
      <alignment horizontal="center"/>
    </xf>
    <xf numFmtId="10" fontId="31" fillId="0" borderId="1" xfId="33" applyNumberFormat="1" applyFont="1" applyBorder="1" applyAlignment="1">
      <alignment vertical="center"/>
    </xf>
    <xf numFmtId="188" fontId="28" fillId="0" borderId="1" xfId="31" applyNumberFormat="1" applyFont="1" applyBorder="1"/>
    <xf numFmtId="9" fontId="28" fillId="0" borderId="0" xfId="33" applyFont="1"/>
    <xf numFmtId="184" fontId="28" fillId="0" borderId="0" xfId="31" applyNumberFormat="1" applyFont="1"/>
    <xf numFmtId="0" fontId="27" fillId="0" borderId="0" xfId="31" applyFont="1" applyAlignment="1">
      <alignment wrapText="1"/>
    </xf>
    <xf numFmtId="183" fontId="28" fillId="0" borderId="0" xfId="32" applyNumberFormat="1" applyFont="1" applyAlignment="1">
      <alignment wrapText="1"/>
    </xf>
    <xf numFmtId="0" fontId="29" fillId="0" borderId="0" xfId="31" applyFont="1" applyAlignment="1">
      <alignment horizontal="center" wrapText="1"/>
    </xf>
    <xf numFmtId="10" fontId="28" fillId="0" borderId="0" xfId="33" applyNumberFormat="1" applyFont="1"/>
    <xf numFmtId="184" fontId="28" fillId="0" borderId="0" xfId="32" applyFont="1"/>
    <xf numFmtId="183" fontId="28" fillId="0" borderId="0" xfId="32" applyNumberFormat="1" applyFont="1"/>
    <xf numFmtId="4" fontId="28" fillId="0" borderId="0" xfId="31" applyNumberFormat="1" applyFont="1"/>
    <xf numFmtId="189" fontId="28" fillId="0" borderId="0" xfId="31" applyNumberFormat="1" applyFont="1"/>
    <xf numFmtId="184" fontId="26" fillId="0" borderId="0" xfId="32"/>
    <xf numFmtId="0" fontId="30" fillId="9" borderId="1" xfId="31" applyFont="1" applyFill="1" applyBorder="1" applyAlignment="1">
      <alignment horizontal="center"/>
    </xf>
    <xf numFmtId="0" fontId="28" fillId="0" borderId="0" xfId="31" applyFont="1" applyAlignment="1">
      <alignment horizontal="center"/>
    </xf>
    <xf numFmtId="182" fontId="28" fillId="0" borderId="1" xfId="31" applyNumberFormat="1" applyFont="1" applyBorder="1" applyAlignment="1">
      <alignment horizontal="center"/>
    </xf>
    <xf numFmtId="183" fontId="28" fillId="0" borderId="1" xfId="31" applyNumberFormat="1" applyFont="1" applyBorder="1"/>
    <xf numFmtId="183" fontId="28" fillId="0" borderId="0" xfId="31" applyNumberFormat="1" applyFont="1"/>
    <xf numFmtId="0" fontId="26" fillId="0" borderId="0" xfId="31"/>
    <xf numFmtId="0" fontId="27" fillId="0" borderId="0" xfId="31" applyFont="1" applyAlignment="1">
      <alignment vertical="center" wrapText="1"/>
    </xf>
    <xf numFmtId="183" fontId="28" fillId="0" borderId="0" xfId="32" applyNumberFormat="1" applyFont="1" applyAlignment="1">
      <alignment vertical="center" wrapText="1"/>
    </xf>
    <xf numFmtId="0" fontId="29" fillId="0" borderId="0" xfId="31" applyFont="1" applyAlignment="1">
      <alignment horizontal="left" wrapText="1"/>
    </xf>
    <xf numFmtId="0" fontId="27" fillId="0" borderId="0" xfId="31" applyFont="1" applyAlignment="1">
      <alignment vertical="center"/>
    </xf>
    <xf numFmtId="10" fontId="28" fillId="0" borderId="0" xfId="33" applyNumberFormat="1" applyFont="1" applyAlignment="1">
      <alignment vertical="center"/>
    </xf>
    <xf numFmtId="0" fontId="29" fillId="0" borderId="0" xfId="31" applyFont="1" applyAlignment="1">
      <alignment horizontal="left"/>
    </xf>
    <xf numFmtId="184" fontId="28" fillId="0" borderId="0" xfId="32" applyFont="1" applyAlignment="1">
      <alignment vertical="center"/>
    </xf>
    <xf numFmtId="183" fontId="28" fillId="0" borderId="0" xfId="32" applyNumberFormat="1" applyFont="1" applyAlignment="1">
      <alignment vertical="center"/>
    </xf>
    <xf numFmtId="0" fontId="32" fillId="0" borderId="1" xfId="34" applyBorder="1" applyAlignment="1">
      <alignment horizontal="center" vertical="center"/>
    </xf>
    <xf numFmtId="0" fontId="32" fillId="0" borderId="1" xfId="34" applyBorder="1" applyAlignment="1">
      <alignment horizontal="center" vertical="center" wrapText="1"/>
    </xf>
    <xf numFmtId="185" fontId="30" fillId="9" borderId="1" xfId="31" applyNumberFormat="1" applyFont="1" applyFill="1" applyBorder="1" applyAlignment="1">
      <alignment horizontal="center" vertical="center" wrapText="1"/>
    </xf>
    <xf numFmtId="183" fontId="30" fillId="9" borderId="1" xfId="31" applyNumberFormat="1" applyFont="1" applyFill="1" applyBorder="1" applyAlignment="1">
      <alignment horizontal="center" vertical="center" wrapText="1"/>
    </xf>
    <xf numFmtId="10" fontId="31" fillId="0" borderId="1" xfId="31" applyNumberFormat="1" applyFont="1" applyBorder="1" applyAlignment="1">
      <alignment vertical="center"/>
    </xf>
    <xf numFmtId="183" fontId="31" fillId="0" borderId="1" xfId="31" applyNumberFormat="1" applyFont="1" applyBorder="1" applyAlignment="1">
      <alignment vertical="center"/>
    </xf>
    <xf numFmtId="10" fontId="26" fillId="0" borderId="23" xfId="31" applyNumberFormat="1" applyBorder="1"/>
    <xf numFmtId="184" fontId="28" fillId="0" borderId="1" xfId="31" applyNumberFormat="1" applyFont="1" applyBorder="1"/>
    <xf numFmtId="9" fontId="28" fillId="0" borderId="0" xfId="31" applyNumberFormat="1" applyFont="1"/>
    <xf numFmtId="0" fontId="7" fillId="0" borderId="1" xfId="31" applyFont="1" applyBorder="1"/>
    <xf numFmtId="10" fontId="28" fillId="0" borderId="1" xfId="31" applyNumberFormat="1" applyFont="1" applyBorder="1"/>
    <xf numFmtId="4" fontId="26" fillId="0" borderId="0" xfId="31" applyNumberFormat="1"/>
    <xf numFmtId="1" fontId="28" fillId="0" borderId="1" xfId="31" applyNumberFormat="1" applyFont="1" applyBorder="1"/>
    <xf numFmtId="0" fontId="27" fillId="0" borderId="0" xfId="31" applyFont="1" applyAlignment="1">
      <alignment horizontal="center"/>
    </xf>
    <xf numFmtId="182" fontId="28" fillId="0" borderId="1" xfId="31" applyNumberFormat="1" applyFont="1" applyBorder="1"/>
    <xf numFmtId="182" fontId="28" fillId="0" borderId="0" xfId="31" applyNumberFormat="1" applyFont="1"/>
    <xf numFmtId="182" fontId="7" fillId="0" borderId="0" xfId="31" applyNumberFormat="1" applyFont="1"/>
    <xf numFmtId="167" fontId="15" fillId="0" borderId="1" xfId="0" applyNumberFormat="1" applyFont="1" applyBorder="1"/>
    <xf numFmtId="0" fontId="11" fillId="2" borderId="1" xfId="0" applyFont="1" applyFill="1" applyBorder="1"/>
    <xf numFmtId="0" fontId="4" fillId="2" borderId="1" xfId="0" applyFont="1" applyFill="1" applyBorder="1"/>
    <xf numFmtId="167" fontId="11" fillId="2" borderId="7" xfId="1" applyNumberFormat="1" applyFont="1" applyFill="1" applyBorder="1" applyAlignment="1">
      <alignment horizontal="center" vertical="center" wrapText="1"/>
    </xf>
    <xf numFmtId="0" fontId="9" fillId="0" borderId="14" xfId="0" applyFont="1" applyBorder="1" applyAlignment="1">
      <alignment horizontal="left" vertical="center"/>
    </xf>
    <xf numFmtId="0" fontId="9" fillId="0" borderId="14" xfId="0" applyFont="1" applyBorder="1" applyAlignment="1">
      <alignment vertical="center"/>
    </xf>
    <xf numFmtId="167" fontId="9" fillId="0" borderId="14" xfId="1" applyNumberFormat="1" applyFont="1" applyBorder="1" applyAlignment="1">
      <alignment vertical="center"/>
    </xf>
    <xf numFmtId="167" fontId="9" fillId="0" borderId="14" xfId="1" applyNumberFormat="1" applyFont="1" applyFill="1" applyBorder="1" applyAlignment="1">
      <alignment vertical="center"/>
    </xf>
    <xf numFmtId="0" fontId="1" fillId="2" borderId="12" xfId="0" applyFont="1" applyFill="1" applyBorder="1" applyAlignment="1">
      <alignment horizontal="left" vertical="center"/>
    </xf>
    <xf numFmtId="0" fontId="1" fillId="2" borderId="12" xfId="0" applyFont="1" applyFill="1" applyBorder="1" applyAlignment="1">
      <alignment vertical="center"/>
    </xf>
    <xf numFmtId="168" fontId="1" fillId="2" borderId="12" xfId="1" applyNumberFormat="1" applyFont="1" applyFill="1" applyBorder="1" applyAlignment="1">
      <alignment vertical="center"/>
    </xf>
    <xf numFmtId="14" fontId="1" fillId="2" borderId="12" xfId="0" applyNumberFormat="1" applyFont="1" applyFill="1" applyBorder="1" applyAlignment="1">
      <alignment vertical="center"/>
    </xf>
    <xf numFmtId="167" fontId="1" fillId="2" borderId="12" xfId="1" applyNumberFormat="1" applyFont="1" applyFill="1" applyBorder="1" applyAlignment="1">
      <alignment vertical="center"/>
    </xf>
    <xf numFmtId="0" fontId="11" fillId="2" borderId="12" xfId="0" applyFont="1" applyFill="1" applyBorder="1" applyAlignment="1">
      <alignment horizontal="center" vertical="center" wrapText="1"/>
    </xf>
    <xf numFmtId="168" fontId="11" fillId="2" borderId="12" xfId="1" applyNumberFormat="1" applyFont="1" applyFill="1" applyBorder="1" applyAlignment="1">
      <alignment horizontal="center" vertical="center" wrapText="1"/>
    </xf>
    <xf numFmtId="14" fontId="11" fillId="2" borderId="12" xfId="0" applyNumberFormat="1" applyFont="1" applyFill="1" applyBorder="1" applyAlignment="1">
      <alignment horizontal="center" vertical="center" wrapText="1"/>
    </xf>
    <xf numFmtId="167" fontId="11" fillId="2" borderId="12" xfId="1" applyNumberFormat="1" applyFont="1" applyFill="1" applyBorder="1" applyAlignment="1">
      <alignment horizontal="center" vertical="center" wrapText="1"/>
    </xf>
    <xf numFmtId="8" fontId="1" fillId="0" borderId="0" xfId="0" applyNumberFormat="1" applyFont="1"/>
    <xf numFmtId="167" fontId="1" fillId="0" borderId="0" xfId="1" applyNumberFormat="1" applyFont="1"/>
    <xf numFmtId="0" fontId="18" fillId="0" borderId="2" xfId="0" applyFont="1" applyBorder="1" applyAlignment="1">
      <alignment horizontal="left"/>
    </xf>
    <xf numFmtId="0" fontId="8" fillId="0" borderId="3" xfId="0" applyFont="1" applyBorder="1"/>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8" fillId="0" borderId="14" xfId="0" applyFont="1" applyBorder="1" applyAlignment="1">
      <alignment horizontal="center" vertical="center"/>
    </xf>
    <xf numFmtId="171" fontId="17" fillId="0" borderId="0" xfId="15" applyNumberFormat="1" applyFont="1" applyAlignment="1">
      <alignment horizontal="right"/>
    </xf>
    <xf numFmtId="0" fontId="17" fillId="0" borderId="8" xfId="6" applyFont="1" applyBorder="1" applyAlignment="1">
      <alignment vertical="top"/>
    </xf>
    <xf numFmtId="0" fontId="17" fillId="0" borderId="9" xfId="6" applyFont="1" applyBorder="1" applyAlignment="1">
      <alignment vertical="top"/>
    </xf>
    <xf numFmtId="0" fontId="12" fillId="2" borderId="1" xfId="21" applyFont="1" applyFill="1" applyBorder="1" applyAlignment="1">
      <alignment vertical="top"/>
    </xf>
    <xf numFmtId="0" fontId="8" fillId="0" borderId="10" xfId="21" applyFont="1" applyBorder="1" applyAlignment="1">
      <alignment vertical="top"/>
    </xf>
    <xf numFmtId="0" fontId="8" fillId="0" borderId="11" xfId="21" applyFont="1" applyBorder="1" applyAlignment="1">
      <alignment vertical="top"/>
    </xf>
    <xf numFmtId="0" fontId="8" fillId="0" borderId="8" xfId="21" applyFont="1" applyBorder="1" applyAlignment="1">
      <alignment vertical="top"/>
    </xf>
    <xf numFmtId="0" fontId="8" fillId="0" borderId="9" xfId="21" applyFont="1" applyBorder="1" applyAlignment="1">
      <alignment vertical="top"/>
    </xf>
    <xf numFmtId="0" fontId="14" fillId="0" borderId="0" xfId="3" applyFont="1" applyFill="1" applyBorder="1" applyAlignment="1">
      <alignment horizontal="justify" vertical="top" wrapText="1"/>
    </xf>
    <xf numFmtId="171" fontId="13" fillId="0" borderId="9" xfId="15" applyNumberFormat="1" applyFont="1" applyBorder="1" applyAlignment="1">
      <alignment horizontal="center"/>
    </xf>
    <xf numFmtId="0" fontId="15" fillId="0" borderId="2" xfId="21" applyFont="1" applyBorder="1" applyAlignment="1">
      <alignment vertical="top"/>
    </xf>
    <xf numFmtId="0" fontId="15" fillId="0" borderId="3" xfId="21" applyFont="1" applyBorder="1" applyAlignment="1">
      <alignment vertical="top"/>
    </xf>
    <xf numFmtId="0" fontId="12" fillId="2" borderId="3" xfId="6" applyFont="1" applyFill="1" applyBorder="1" applyAlignment="1">
      <alignment horizontal="center" vertical="center"/>
    </xf>
    <xf numFmtId="0" fontId="17" fillId="0" borderId="3" xfId="6" applyFont="1" applyBorder="1" applyAlignment="1">
      <alignment horizontal="left" vertical="center"/>
    </xf>
    <xf numFmtId="0" fontId="12" fillId="2" borderId="4" xfId="6" applyFont="1" applyFill="1" applyBorder="1" applyAlignment="1">
      <alignment horizontal="center" vertical="center"/>
    </xf>
    <xf numFmtId="0" fontId="14" fillId="0" borderId="8" xfId="6" applyFont="1" applyBorder="1" applyAlignment="1">
      <alignment vertical="top"/>
    </xf>
    <xf numFmtId="0" fontId="14" fillId="0" borderId="9" xfId="6" applyFont="1" applyBorder="1" applyAlignment="1">
      <alignment vertical="top"/>
    </xf>
    <xf numFmtId="0" fontId="14" fillId="0" borderId="5" xfId="6" applyFont="1" applyBorder="1" applyAlignment="1">
      <alignment vertical="top"/>
    </xf>
    <xf numFmtId="0" fontId="14" fillId="0" borderId="0" xfId="6" applyFont="1" applyAlignment="1">
      <alignment vertical="top"/>
    </xf>
    <xf numFmtId="0" fontId="14" fillId="0" borderId="10" xfId="6" applyFont="1" applyBorder="1" applyAlignment="1">
      <alignment vertical="top"/>
    </xf>
    <xf numFmtId="0" fontId="14" fillId="0" borderId="11" xfId="6" applyFont="1" applyBorder="1" applyAlignment="1">
      <alignment vertical="top"/>
    </xf>
    <xf numFmtId="0" fontId="17" fillId="6" borderId="9" xfId="0" applyFont="1" applyFill="1" applyBorder="1" applyAlignment="1">
      <alignment horizontal="center"/>
    </xf>
    <xf numFmtId="0" fontId="17" fillId="5" borderId="9" xfId="0" applyFont="1" applyFill="1" applyBorder="1" applyAlignment="1">
      <alignment horizontal="center"/>
    </xf>
    <xf numFmtId="167" fontId="11" fillId="2" borderId="20" xfId="1" applyNumberFormat="1" applyFont="1" applyFill="1" applyBorder="1" applyAlignment="1">
      <alignment horizontal="center" vertical="center"/>
    </xf>
    <xf numFmtId="167" fontId="11" fillId="2" borderId="21" xfId="1" applyNumberFormat="1" applyFont="1" applyFill="1" applyBorder="1" applyAlignment="1">
      <alignment horizontal="center" vertical="center"/>
    </xf>
    <xf numFmtId="167" fontId="11" fillId="2" borderId="22" xfId="1" applyNumberFormat="1" applyFont="1" applyFill="1" applyBorder="1" applyAlignment="1">
      <alignment horizontal="center" vertical="center"/>
    </xf>
    <xf numFmtId="167" fontId="11" fillId="2" borderId="15" xfId="1" applyNumberFormat="1" applyFont="1" applyFill="1" applyBorder="1" applyAlignment="1">
      <alignment horizontal="center" vertical="center"/>
    </xf>
    <xf numFmtId="167" fontId="11" fillId="2" borderId="16" xfId="1" applyNumberFormat="1" applyFont="1" applyFill="1" applyBorder="1" applyAlignment="1">
      <alignment horizontal="center" vertical="center"/>
    </xf>
    <xf numFmtId="167" fontId="11" fillId="2" borderId="17" xfId="1" applyNumberFormat="1" applyFont="1" applyFill="1" applyBorder="1" applyAlignment="1">
      <alignment horizontal="center" vertical="center"/>
    </xf>
    <xf numFmtId="0" fontId="1" fillId="0" borderId="1" xfId="0" applyFont="1" applyBorder="1" applyAlignment="1">
      <alignment vertical="top" wrapText="1"/>
    </xf>
    <xf numFmtId="0" fontId="1" fillId="0" borderId="1" xfId="0" applyFont="1" applyBorder="1"/>
    <xf numFmtId="167" fontId="11" fillId="2" borderId="12" xfId="1" applyNumberFormat="1" applyFont="1" applyFill="1" applyBorder="1" applyAlignment="1">
      <alignment horizontal="center" vertical="center"/>
    </xf>
    <xf numFmtId="0" fontId="27" fillId="10" borderId="9" xfId="31" applyFont="1" applyFill="1" applyBorder="1" applyAlignment="1">
      <alignment horizontal="center"/>
    </xf>
    <xf numFmtId="0" fontId="27" fillId="11" borderId="9" xfId="31" applyFont="1" applyFill="1" applyBorder="1" applyAlignment="1">
      <alignment horizontal="center"/>
    </xf>
    <xf numFmtId="0" fontId="30" fillId="9" borderId="1" xfId="31" applyFont="1" applyFill="1" applyBorder="1" applyAlignment="1">
      <alignment horizontal="center" vertical="center" wrapText="1"/>
    </xf>
    <xf numFmtId="0" fontId="7" fillId="0" borderId="11" xfId="31" applyFont="1" applyBorder="1" applyAlignment="1">
      <alignment horizontal="left" vertical="center" wrapText="1"/>
    </xf>
    <xf numFmtId="0" fontId="15" fillId="6" borderId="9" xfId="0" applyFont="1" applyFill="1" applyBorder="1" applyAlignment="1">
      <alignment horizontal="center"/>
    </xf>
    <xf numFmtId="0" fontId="15" fillId="7" borderId="9" xfId="0" applyFont="1" applyFill="1" applyBorder="1" applyAlignment="1">
      <alignment horizontal="center"/>
    </xf>
    <xf numFmtId="0" fontId="15" fillId="0" borderId="1" xfId="0" applyFont="1" applyBorder="1" applyAlignment="1">
      <alignment horizontal="center"/>
    </xf>
    <xf numFmtId="0" fontId="8" fillId="0" borderId="0" xfId="0" applyFont="1" applyAlignment="1">
      <alignment vertical="top" wrapText="1"/>
    </xf>
    <xf numFmtId="0" fontId="10" fillId="0" borderId="1" xfId="26" applyFont="1" applyBorder="1" applyAlignment="1">
      <alignment wrapText="1"/>
    </xf>
    <xf numFmtId="0" fontId="1" fillId="0" borderId="1" xfId="26" applyFont="1" applyBorder="1" applyAlignment="1">
      <alignment wrapText="1"/>
    </xf>
    <xf numFmtId="0" fontId="21" fillId="0" borderId="1" xfId="26" applyFont="1" applyBorder="1" applyAlignment="1">
      <alignment wrapText="1"/>
    </xf>
  </cellXfs>
  <cellStyles count="35">
    <cellStyle name="COLUMN_HEADER" xfId="10" xr:uid="{F89CC176-84F0-43C5-ACD1-6AA0869F8ED1}"/>
    <cellStyle name="Comma" xfId="1" builtinId="3"/>
    <cellStyle name="Comma 10 10 2" xfId="20" xr:uid="{94E23CEA-2AB3-49DB-AEEC-1569D7DB0D9F}"/>
    <cellStyle name="Comma 2" xfId="8" xr:uid="{FE52F511-8505-4157-A889-90BF622B5A7A}"/>
    <cellStyle name="Comma 2 2" xfId="2" xr:uid="{D328797A-D77A-4549-AE17-3D4167729A54}"/>
    <cellStyle name="Comma 2 6" xfId="11" xr:uid="{525E924A-5597-4D29-B23D-DD90C93B54AB}"/>
    <cellStyle name="Comma 21 2 2" xfId="14" xr:uid="{6E17497D-73FF-46AD-8683-6E8C94E0FDFA}"/>
    <cellStyle name="Comma 28 2 5" xfId="13" xr:uid="{305C8990-087F-4C44-B375-D824AD8C8DF6}"/>
    <cellStyle name="Comma 3" xfId="18" xr:uid="{DA34646A-F339-47A6-9F0A-502DFF8F41F0}"/>
    <cellStyle name="Comma 4" xfId="27" xr:uid="{0166646A-901F-4C71-A42B-7D8240206B58}"/>
    <cellStyle name="Comma 4 2" xfId="19" xr:uid="{0BF96A34-C78B-4B64-A0BF-126EED3C2D57}"/>
    <cellStyle name="Comma 5" xfId="32" xr:uid="{72CBF29B-83AD-49F7-A738-68002ECEB471}"/>
    <cellStyle name="Comma 6" xfId="5" xr:uid="{CA25A5D4-D60A-42D2-BD3B-74F0E94B38AA}"/>
    <cellStyle name="Hyperlink" xfId="34" builtinId="8"/>
    <cellStyle name="Normal" xfId="0" builtinId="0"/>
    <cellStyle name="Normal 10 4 4" xfId="16" xr:uid="{8B6808D0-913F-4360-BCF2-5C596A5B5543}"/>
    <cellStyle name="Normal 112" xfId="15" xr:uid="{067810E3-326F-421C-B524-5058B2EDE0D8}"/>
    <cellStyle name="Normal 2" xfId="7" xr:uid="{20F19501-0BAF-4510-8144-8935E38A5D9D}"/>
    <cellStyle name="Normal 2 2" xfId="3" xr:uid="{0C873F43-DA1F-4869-B7D0-0DD32FE0C363}"/>
    <cellStyle name="Normal 2 2 2" xfId="9" xr:uid="{3870074C-443E-4A50-9840-CBD717A2DD19}"/>
    <cellStyle name="Normal 2 3" xfId="17" xr:uid="{0FD8C92B-8761-4F23-BA63-5F87198D2E23}"/>
    <cellStyle name="Normal 3" xfId="21" xr:uid="{3F48A92F-76F5-4413-8360-20BBB3D9100B}"/>
    <cellStyle name="Normal 3 2" xfId="4" xr:uid="{75C4792D-2093-43A5-B8D4-1346D7F782E0}"/>
    <cellStyle name="Normal 30 3 2 2 2" xfId="6" xr:uid="{49415B31-F7E5-4AB8-B564-DF3158B2FE57}"/>
    <cellStyle name="Normal 4" xfId="26" xr:uid="{A1C02087-E6C8-41DA-B435-F2D4F01B5618}"/>
    <cellStyle name="Normal 5" xfId="12" xr:uid="{388CA88E-3E78-4177-BA3E-C804792E36CA}"/>
    <cellStyle name="Normal 6" xfId="30" xr:uid="{6F2B0F30-1E0A-4342-9E67-69C6451538D3}"/>
    <cellStyle name="Normal 7" xfId="31" xr:uid="{9C597059-7C62-4F77-9A8F-D3BE84777764}"/>
    <cellStyle name="Normal_Sheet1" xfId="24" xr:uid="{21919E46-326B-462D-90F4-538A452AADAA}"/>
    <cellStyle name="Normal_Sheet3" xfId="29" xr:uid="{82F62605-3334-482F-A517-8B8255E03A0F}"/>
    <cellStyle name="Normal_Sheet3 2" xfId="25" xr:uid="{63385EC5-0353-47C8-8720-F54DF4A8D159}"/>
    <cellStyle name="Percent" xfId="22" builtinId="5"/>
    <cellStyle name="Percent 2" xfId="23" xr:uid="{D8B39A2F-686B-45ED-94C8-DD3BF8B94F7C}"/>
    <cellStyle name="Percent 3" xfId="28" xr:uid="{4AB77665-363A-4ECB-A583-DBA57B72CC9F}"/>
    <cellStyle name="Percent 4" xfId="33" xr:uid="{7401AA3C-72A2-44BC-889D-FA6BEBF82EA9}"/>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4.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175847</xdr:rowOff>
    </xdr:from>
    <xdr:to>
      <xdr:col>1</xdr:col>
      <xdr:colOff>2335237</xdr:colOff>
      <xdr:row>24</xdr:row>
      <xdr:rowOff>148230</xdr:rowOff>
    </xdr:to>
    <xdr:pic>
      <xdr:nvPicPr>
        <xdr:cNvPr id="2" name="Picture 1">
          <a:extLst>
            <a:ext uri="{FF2B5EF4-FFF2-40B4-BE49-F238E27FC236}">
              <a16:creationId xmlns:a16="http://schemas.microsoft.com/office/drawing/2014/main" id="{1C2F1F19-4BCD-0E7C-B857-02064A2EE719}"/>
            </a:ext>
          </a:extLst>
        </xdr:cNvPr>
        <xdr:cNvPicPr>
          <a:picLocks noChangeAspect="1"/>
        </xdr:cNvPicPr>
      </xdr:nvPicPr>
      <xdr:blipFill>
        <a:blip xmlns:r="http://schemas.openxmlformats.org/officeDocument/2006/relationships" r:embed="rId1"/>
        <a:stretch>
          <a:fillRect/>
        </a:stretch>
      </xdr:blipFill>
      <xdr:spPr>
        <a:xfrm>
          <a:off x="0" y="3284807"/>
          <a:ext cx="4065563" cy="125254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3101926</xdr:colOff>
          <xdr:row>19</xdr:row>
          <xdr:rowOff>56271</xdr:rowOff>
        </xdr:from>
        <xdr:to>
          <xdr:col>1</xdr:col>
          <xdr:colOff>4016326</xdr:colOff>
          <xdr:row>23</xdr:row>
          <xdr:rowOff>14068</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4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ng_chong_chee\occ\occ\occ\occ\taxcomp\1999com\company\teckwah_group\teckwah_fep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GROUP\GB&amp;F\-GERHARD\ADM\97-ADM\97OP-ADM.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ksharma19\Downloads\GE%20India\ROU%20&amp;%20Lease\ROU%2023-24\2.%20IND%20AS%20116%20ROU%20&amp;%20Lease.xlsx" TargetMode="External"/><Relationship Id="rId1" Type="http://schemas.openxmlformats.org/officeDocument/2006/relationships/externalLinkPath" Target="ROU%2023-24/2.%20IND%20AS%20116%20ROU%20&amp;%20Lease.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aksharma19\Downloads\GE%20India\ROU%20&amp;%20Lease\IND%20AS%20116%20ROU%20&amp;%20Lease%20WP%2025.xlsx" TargetMode="External"/><Relationship Id="rId1" Type="http://schemas.openxmlformats.org/officeDocument/2006/relationships/externalLinkPath" Target="IND%20AS%20116%20ROU%20&amp;%20Lease%20WP%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99"/>
      <sheetName val="IND99"/>
      <sheetName val="COM99"/>
      <sheetName val="P9"/>
      <sheetName val="P10"/>
      <sheetName val="P&amp;L99"/>
      <sheetName val="P&amp;L99 (2)"/>
      <sheetName val="SCH99"/>
      <sheetName val="SCH99 (2)"/>
      <sheetName val="FA99"/>
      <sheetName val="FA99 (2)"/>
      <sheetName val="DISP99"/>
      <sheetName val="HP99"/>
      <sheetName val="LEASE99"/>
      <sheetName val="CA99"/>
      <sheetName val="INT96"/>
      <sheetName val="TAXCOM96"/>
      <sheetName val="Output"/>
      <sheetName val="AircraftRevenue"/>
      <sheetName val="Severity"/>
      <sheetName val="Database"/>
      <sheetName val="2.2 Input"/>
      <sheetName val="2.2 Output-10"/>
      <sheetName val="Fleet"/>
      <sheetName val="Interface"/>
      <sheetName val="TY Financials"/>
      <sheetName val="Install Base"/>
      <sheetName val="P&amp;L99_(2)"/>
      <sheetName val="SCH99_(2)"/>
      <sheetName val="FA99_(2)"/>
      <sheetName val="CA98"/>
      <sheetName val="8211B-TH (I)"/>
      <sheetName val="Lead"/>
      <sheetName val="8211C"/>
      <sheetName val="8211D"/>
      <sheetName val="8211A (I)"/>
      <sheetName val="ACT-SCH 4B(GB-Tax)"/>
      <sheetName val="ADB-SCH5B(GB-Tax)"/>
      <sheetName val="ADB(S)-SCH 1B(GB-Tax)"/>
      <sheetName val="AGC-SCH 6B(GB-Tax)"/>
      <sheetName val="Acs"/>
      <sheetName val="Salary"/>
      <sheetName val="Pop Tested"/>
      <sheetName val="Plant"/>
      <sheetName val="Additions"/>
      <sheetName val="CIP Movement"/>
      <sheetName val="Transfers Out"/>
      <sheetName val="Impairment Tracking"/>
      <sheetName val="Retirements"/>
      <sheetName val="Transfers In"/>
      <sheetName val="FF-21(a)"/>
      <sheetName val="CA"/>
      <sheetName val="4"/>
      <sheetName val="P&amp;L99_(2)1"/>
      <sheetName val="SCH99_(2)1"/>
      <sheetName val="FA99_(2)1"/>
      <sheetName val="Adm97"/>
      <sheetName val="SAD"/>
      <sheetName val="FF-2"/>
      <sheetName val="Age311299TAS"/>
      <sheetName val="TASintDec00"/>
      <sheetName val="P4DDBFTAS"/>
      <sheetName val="gvl"/>
      <sheetName val="Job Families"/>
      <sheetName val="Summary"/>
      <sheetName val="P&amp;L99_(2)2"/>
      <sheetName val="SCH99_(2)2"/>
      <sheetName val="FA99_(2)2"/>
      <sheetName val="2_2_Input"/>
      <sheetName val="2_2_Output-10"/>
      <sheetName val="TY_Financials"/>
      <sheetName val="ACT-SCH_4B(GB-Tax)"/>
      <sheetName val="ADB(S)-SCH_1B(GB-Tax)"/>
      <sheetName val="AGC-SCH_6B(GB-Tax)"/>
      <sheetName val="Install_Base"/>
      <sheetName val="8211B-TH_(I)"/>
      <sheetName val="8211A_(I)"/>
      <sheetName val="Pop_Tested"/>
      <sheetName val="CIP_Movement"/>
      <sheetName val="Transfers_Out"/>
      <sheetName val="Impairment_Tracking"/>
      <sheetName val="Transfers_In"/>
      <sheetName val="Account List"/>
      <sheetName val="Excess Calc"/>
      <sheetName val="5640E"/>
    </sheetNames>
    <sheetDataSet>
      <sheetData sheetId="0" refreshError="1"/>
      <sheetData sheetId="1" refreshError="1"/>
      <sheetData sheetId="2"/>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97"/>
      <sheetName val="JE10310X"/>
      <sheetName val="Plan1"/>
      <sheetName val="Working Tabs -----------------&gt;"/>
      <sheetName val="Units"/>
      <sheetName val="CFD"/>
      <sheetName val="Engine Cost &amp; Price"/>
      <sheetName val="Engine Shop Cost"/>
      <sheetName val="Engine Shop Cost - Supply Chain"/>
      <sheetName val="RTS 3-16-09"/>
      <sheetName val="Escalation"/>
      <sheetName val="SII Summary"/>
      <sheetName val="Input_Caplan"/>
      <sheetName val="Input_Knopping"/>
      <sheetName val="Input Christopherson"/>
      <sheetName val="Input_Pace"/>
      <sheetName val="Input_Hawkes"/>
      <sheetName val="Input_Huffman"/>
      <sheetName val="Knopping Spares"/>
      <sheetName val="Spares Summary"/>
      <sheetName val="Engines, Development &amp; Other"/>
      <sheetName val="97OP-ADM"/>
      <sheetName val="DR4"/>
      <sheetName val="ACESDEZ"/>
      <sheetName val="details"/>
      <sheetName val="1 LeadSchedule"/>
      <sheetName val="BPCOR DETAILS"/>
      <sheetName val="BPMKT DETAILS"/>
      <sheetName val="E3.1"/>
      <sheetName val="E1.1"/>
      <sheetName val="E2.1"/>
      <sheetName val="5 Analysis"/>
      <sheetName val="24100 Accr Liab"/>
      <sheetName val="Setup"/>
      <sheetName val="Ma"/>
      <sheetName val="U"/>
      <sheetName val="E3_1"/>
      <sheetName val="E1_1"/>
      <sheetName val="E2_1"/>
      <sheetName val="1_LeadSchedule"/>
      <sheetName val="BPCOR_DETAILS"/>
      <sheetName val="BPMKT_DETAILS"/>
      <sheetName val="Interim --&gt; Top"/>
      <sheetName val="Input"/>
      <sheetName val="cashflowcomp"/>
      <sheetName val="S.33(2)"/>
      <sheetName val="M_Maincomp"/>
      <sheetName val="F-1 F-2"/>
      <sheetName val="CA Sheet"/>
      <sheetName val="F2-3-6 OH absorbtion rate "/>
      <sheetName val="chart 1"/>
      <sheetName val="FX"/>
      <sheetName val="Total by Function QSplit"/>
      <sheetName val="IOPlan"/>
      <sheetName val="GlobalSAndIByPole"/>
      <sheetName val="VData"/>
      <sheetName val="Core Data"/>
      <sheetName val="BPR"/>
      <sheetName val="ACT-SCH 4B(GB-Tax)"/>
      <sheetName val="ADB-SCH5B(GB-Tax)"/>
      <sheetName val="ADB(S)-SCH 1B(GB-Tax)"/>
      <sheetName val="AGC-SCH 6B(GB-Tax)"/>
      <sheetName val="Hidden"/>
      <sheetName val="LCGRAPH"/>
      <sheetName val="Vehicle"/>
      <sheetName val="Conso Detailed Input"/>
      <sheetName val="Inventory details"/>
      <sheetName val="Severity"/>
      <sheetName val="관세"/>
      <sheetName val="PSI"/>
      <sheetName val="Ref"/>
      <sheetName val="Internal Tracker"/>
      <sheetName val="prdtyform"/>
      <sheetName val="WIPROGE"/>
      <sheetName val="D"/>
      <sheetName val="D-1"/>
      <sheetName val="Lists"/>
      <sheetName val="Summary"/>
      <sheetName val="COVER"/>
      <sheetName val="OM Tracking"/>
      <sheetName val="Expense Tracker"/>
      <sheetName val="Roll-up"/>
      <sheetName val="Risks"/>
      <sheetName val="Opportunities"/>
      <sheetName val="Spares"/>
      <sheetName val="FMO"/>
      <sheetName val="Accessories"/>
      <sheetName val="Overhaul"/>
      <sheetName val="Component Repair"/>
      <sheetName val="Product Mgmt"/>
      <sheetName val="Miami"/>
      <sheetName val="Garrett"/>
      <sheetName val="Engineer"/>
      <sheetName val="HQ"/>
      <sheetName val="BizSummary"/>
      <sheetName val="GECAS Summary"/>
      <sheetName val="Trans Summary"/>
      <sheetName val="Core"/>
      <sheetName val="PK"/>
      <sheetName val="GEEL"/>
      <sheetName val="GECAT"/>
      <sheetName val="SFG"/>
      <sheetName val="ISF"/>
      <sheetName val="CRITERIA1"/>
      <sheetName val="CODE"/>
      <sheetName val="Journal 1"/>
      <sheetName val="Journal 2"/>
      <sheetName val="Journal 3"/>
      <sheetName val="Jan 08"/>
      <sheetName val="DSO"/>
      <sheetName val="Master Actuals"/>
      <sheetName val=" BC SUMMARY 2002"/>
      <sheetName val="X Aug 02 unique"/>
      <sheetName val="1403"/>
      <sheetName val="Assumptions"/>
      <sheetName val="HypRef"/>
      <sheetName val="Project Initials Entry"/>
      <sheetName val="1 PT Actual"/>
      <sheetName val="Table"/>
      <sheetName val="Total Zone (Summary)"/>
      <sheetName val="OP"/>
      <sheetName val="1077"/>
      <sheetName val="£Actual_Unit Cost "/>
      <sheetName val="Sum-IC_Data"/>
      <sheetName val="2Q98"/>
      <sheetName val="Sheet1"/>
      <sheetName val="Data"/>
      <sheetName val="Resources"/>
      <sheetName val="Worldwide"/>
      <sheetName val="Inputs"/>
      <sheetName val="Graphics"/>
      <sheetName val="Lookup"/>
      <sheetName val="Hyperion"/>
      <sheetName val="Projects &amp; Acc't_112007"/>
      <sheetName val="Projects &amp; Acc't"/>
      <sheetName val="2006 Closed Projects"/>
      <sheetName val="Obsolete  Projects"/>
      <sheetName val="2008 Cut-Off Dates"/>
      <sheetName val="GAAP"/>
      <sheetName val="DS Team"/>
      <sheetName val="DBA Team"/>
      <sheetName val="App Team"/>
      <sheetName val="SM Team"/>
      <sheetName val="Lookup lists"/>
      <sheetName val="Actual_Unit Cost "/>
      <sheetName val="Planl_Unit Cost"/>
      <sheetName val="MF"/>
      <sheetName val="Sheet2"/>
      <sheetName val="Plan"/>
      <sheetName val="FGMS"/>
      <sheetName val="MFG"/>
      <sheetName val="Hyp Dump"/>
      <sheetName val="July Posting"/>
      <sheetName val="lookups"/>
      <sheetName val="97OP-ADM.XLS"/>
      <sheetName val="\C\GROUP\GB&amp;F\-GERHARD\ADM\97-A"/>
      <sheetName val="_BC SUMMARY 2002"/>
      <sheetName val="GXA Formula Examples"/>
      <sheetName val="Income Statement"/>
      <sheetName val="Stepped Pmts"/>
      <sheetName val="Coous"/>
      <sheetName val="IM"/>
      <sheetName val="TPM00"/>
      <sheetName val="DR95CFA '01"/>
      <sheetName val="170295"/>
      <sheetName val="QMI"/>
      <sheetName val="Dropdown List"/>
      <sheetName val="SIADS002"/>
      <sheetName val="ACT_NSB_CY"/>
      <sheetName val="ACT_NSB_PYOP"/>
      <sheetName val="ACT_MIX_CY"/>
      <sheetName val="ACT_PRC_CY"/>
      <sheetName val="OP_NSB"/>
      <sheetName val="OP_PRICE"/>
      <sheetName val="2Q Close - CF"/>
      <sheetName val="Output"/>
      <sheetName val="AircraftRevenue"/>
      <sheetName val="Database"/>
      <sheetName val="2.2 Input"/>
      <sheetName val="2.2 Output-10"/>
      <sheetName val="Fleet"/>
      <sheetName val="Interface"/>
      <sheetName val="TY Financials"/>
      <sheetName val="Parts-C&amp;P"/>
      <sheetName val="RA by Customer"/>
      <sheetName val="FROM"/>
      <sheetName val="ED Hoy Structure"/>
      <sheetName val="names"/>
      <sheetName val="Dimensions"/>
      <sheetName val="LM1600"/>
      <sheetName val="LM2500"/>
      <sheetName val="LM6000"/>
      <sheetName val="LM2500+"/>
      <sheetName val="Modules"/>
      <sheetName val="Rotables"/>
      <sheetName val="Delinquency (2)"/>
      <sheetName val="ACT_NSB_PY"/>
      <sheetName val="Interim ___ Top"/>
      <sheetName val="B1"/>
      <sheetName val="7126"/>
      <sheetName val="7127"/>
      <sheetName val="8952"/>
      <sheetName val="7414"/>
      <sheetName val="name sheet"/>
      <sheetName val="VOP$ International Qtr"/>
      <sheetName val="V$ International-Qtr"/>
      <sheetName val="V$-International"/>
      <sheetName val="VOP$-International"/>
      <sheetName val="VOP$ N America - Qtr"/>
      <sheetName val="V$-N America"/>
      <sheetName val="VOP$-N America"/>
      <sheetName val="Overview"/>
      <sheetName val="References"/>
      <sheetName val="rec"/>
      <sheetName val="CUSTOMERDETAILS"/>
      <sheetName val="R&amp;D"/>
      <sheetName val="PartsFlow"/>
      <sheetName val="PartsDataTable"/>
      <sheetName val="Customer Data"/>
      <sheetName val="GE Data"/>
      <sheetName val="Accumulated Offer"/>
      <sheetName val="Offer Comp. Chart"/>
      <sheetName val="Offer Comp."/>
      <sheetName val="Self Perf. Chart"/>
      <sheetName val="Self-Perf Itemization"/>
      <sheetName val="YearByYear"/>
      <sheetName val="Parameters"/>
      <sheetName val="Expense BD Calc"/>
      <sheetName val="Chart-Orders"/>
      <sheetName val="Content"/>
      <sheetName val="Mgt Comment"/>
      <sheetName val="FEBE_Data"/>
      <sheetName val="column"/>
      <sheetName val="Relocation_Data"/>
      <sheetName val="Cash"/>
      <sheetName val="BILLD"/>
      <sheetName val="G CAT ACTUAL"/>
      <sheetName val="SMD"/>
      <sheetName val="PVD"/>
      <sheetName val="UOBDR"/>
      <sheetName val="S400"/>
      <sheetName val="LOOKUP_TABLE"/>
      <sheetName val="PLATFORM"/>
      <sheetName val="DT P&amp;L"/>
      <sheetName val="IME"/>
      <sheetName val="Progress"/>
      <sheetName val="Acct, PC, &amp; Contract References"/>
      <sheetName val="Inventory List (2)"/>
      <sheetName val="Open Jobs"/>
      <sheetName val="3BPA00132_5_3 W plan HVPNL"/>
      <sheetName val=" Assump 98-99"/>
      <sheetName val="Tax Rate"/>
      <sheetName val="ABS Collat Feed"/>
      <sheetName val="Avail FC Coll Feed"/>
      <sheetName val="Inv Data Feed"/>
      <sheetName val=""/>
      <sheetName val="Cumulative Temp Diff"/>
      <sheetName val="#REF"/>
      <sheetName val="0398exp"/>
      <sheetName val="AccDil"/>
      <sheetName val="Error Report"/>
      <sheetName val="Trial Balance"/>
      <sheetName val="PackInformation"/>
      <sheetName val="PYDataImported"/>
      <sheetName val="Q1 Liab wkngs"/>
      <sheetName val="EngineConf"/>
      <sheetName val="Fiscal calendar"/>
      <sheetName val="GEHC Total"/>
      <sheetName val="GI Jul Mth"/>
      <sheetName val="DTA Táblázatok hun"/>
      <sheetName val="Feed sheet"/>
      <sheetName val="Reference"/>
      <sheetName val="FINAL"/>
      <sheetName val="Parameter"/>
      <sheetName val="table grille"/>
      <sheetName val="2011 OP"/>
      <sheetName val="Feedsheet"/>
      <sheetName val="Tax Ra"/>
      <sheetName val="Ageing Rpt(2)"/>
      <sheetName val="ACSC"/>
      <sheetName val="CAL"/>
      <sheetName val="CELMA"/>
      <sheetName val="MALAYSIA"/>
      <sheetName val="STROTHER"/>
      <sheetName val="WALES"/>
      <sheetName val="Other"/>
      <sheetName val="To Go"/>
      <sheetName val="Q3 - GECF"/>
      <sheetName val="List"/>
      <sheetName val="walk_data"/>
      <sheetName val="FINAL PART LIST 12-15-05"/>
      <sheetName val="Pg 2"/>
      <sheetName val="Pg 3"/>
      <sheetName val="Macro 8 &amp; Macro 9"/>
      <sheetName val="SV Reason"/>
      <sheetName val="IDL Konsis"/>
      <sheetName val="New Input Macro "/>
      <sheetName val="Mont. Ward"/>
      <sheetName val="SUM"/>
      <sheetName val="START"/>
      <sheetName val="Salary"/>
      <sheetName val="Checklist"/>
      <sheetName val="Bank Bsheet"/>
      <sheetName val="_C_GROUP_GB&amp;F_-GERHARD_ADM_97-A"/>
      <sheetName val="namP者_x0000__x000f_P者_x0000_"/>
      <sheetName val="financials"/>
      <sheetName val="????&lt;?&gt;"/>
      <sheetName val="3-13 Summary"/>
      <sheetName val="Yields"/>
      <sheetName val="TGSO"/>
      <sheetName val="TOTAL"/>
      <sheetName val="LIFO FIFO"/>
      <sheetName val="Macro1"/>
      <sheetName val="Final HU TB Jun 2002"/>
      <sheetName val="Europe"/>
      <sheetName val="MIP actuals 2002"/>
      <sheetName val="3Q Orders"/>
      <sheetName val="4Q Orders"/>
      <sheetName val="JUL"/>
      <sheetName val="2. Region Summary - Est"/>
      <sheetName val="group-match  "/>
      <sheetName val="STORE"/>
      <sheetName val="CSH"/>
      <sheetName val="StdMarginRegQtr"/>
      <sheetName val="TTCH"/>
      <sheetName val="TSM"/>
      <sheetName val="QTR4"/>
      <sheetName val="General Assumptions and Summary"/>
      <sheetName val="CoFe III"/>
      <sheetName val="2001 even"/>
      <sheetName val="Walk Data."/>
      <sheetName val="Variances"/>
      <sheetName val="GL Summary"/>
      <sheetName val="MODEL SHEET"/>
      <sheetName val="Sheet3"/>
      <sheetName val="Supply Chain"/>
      <sheetName val="calendar"/>
      <sheetName val="CY Head"/>
      <sheetName val="Cash PY"/>
      <sheetName val="general"/>
      <sheetName val="GM EPS Model"/>
      <sheetName val="Modality Summary"/>
      <sheetName val="DR95-Complement"/>
      <sheetName val="Cash CY"/>
      <sheetName val="TPM Tot"/>
      <sheetName val="PE"/>
      <sheetName val="cashflow"/>
      <sheetName val="Eur_sub2 "/>
      <sheetName val="Canada"/>
      <sheetName val="Business Summary Reports"/>
      <sheetName val="MIP codes 2002"/>
      <sheetName val="uk"/>
      <sheetName val="Measures"/>
      <sheetName val="print_macro"/>
      <sheetName val="QTR1"/>
      <sheetName val="QTR3"/>
      <sheetName val="NSB_EST2"/>
      <sheetName val="Consolidation"/>
      <sheetName val="inventory snapshot 20020313"/>
      <sheetName val="JUN"/>
      <sheetName val="MENU.XLS"/>
      <sheetName val="DEC"/>
      <sheetName val="FX Rates - BS"/>
      <sheetName val="pitch"/>
      <sheetName val="3Q Ops"/>
      <sheetName val="New Microsoft Excel Worksheet"/>
      <sheetName val="NOV8-MCATS"/>
      <sheetName val="condensed p&amp;l"/>
      <sheetName val="??"/>
      <sheetName val="AUG"/>
      <sheetName val="SVSalesToCM"/>
      <sheetName val="OCT"/>
      <sheetName val="Input Page"/>
      <sheetName val="Lamer"/>
      <sheetName val="Input_Financial "/>
      <sheetName val="Mat'l Pareto"/>
      <sheetName val="Cash OP"/>
      <sheetName val="Plans"/>
      <sheetName val="SEPT"/>
      <sheetName val="CoFe I"/>
      <sheetName val="MCOE Final Slow"/>
      <sheetName val="Material Var"/>
      <sheetName val="ZT"/>
      <sheetName val="Backing 1 - fx rates"/>
      <sheetName val="APR"/>
      <sheetName val="Productivity"/>
      <sheetName val="MAR"/>
      <sheetName val="MAY"/>
      <sheetName val="Sales-CM"/>
      <sheetName val="Health Plans"/>
      <sheetName val="input KPI's"/>
      <sheetName val="94 Rev"/>
      <sheetName val="Net Var"/>
      <sheetName val="Working Capital"/>
      <sheetName val="Asiasrcing"/>
      <sheetName val="SUMbyGEMS"/>
      <sheetName val="£Summary"/>
      <sheetName val="4Q Ops"/>
      <sheetName val="unusuals"/>
      <sheetName val="Info=Dropdown Menu"/>
      <sheetName val="Budgets"/>
      <sheetName val="Scratch Pad"/>
      <sheetName val="Title Page"/>
      <sheetName val="Dropdown"/>
      <sheetName val="16BYOB94"/>
      <sheetName val="DYN PP"/>
      <sheetName val="interline"/>
      <sheetName val="Foglio1"/>
      <sheetName val="CRA-Detail"/>
      <sheetName val="UK Fan"/>
      <sheetName val="후불상세"/>
      <sheetName val="Q1 Est"/>
      <sheetName val="LOCATION Tables"/>
      <sheetName val="QUOTE"/>
      <sheetName val="APR EST"/>
      <sheetName val="Control Panel"/>
      <sheetName val="BP_mensal_Base_Geral"/>
      <sheetName val="INFOS"/>
      <sheetName val="NET"/>
      <sheetName val="Listing"/>
      <sheetName val="ACTUAL"/>
      <sheetName val="ens GSCM"/>
      <sheetName val="Intérim"/>
      <sheetName val="RT 052209"/>
      <sheetName val="SVR Data"/>
      <sheetName val="Contract Parameters"/>
      <sheetName val="Split_FDM"/>
      <sheetName val="data sheet febe- area defined"/>
      <sheetName val="eb seb_data"/>
      <sheetName val="HEADCOUNT WORKSHEET"/>
      <sheetName val="BOX0600"/>
      <sheetName val="FTE Data"/>
      <sheetName val="tblSITE"/>
      <sheetName val="Validation"/>
      <sheetName val="Glouc Dec 10 nbv"/>
      <sheetName val="Glouc Dec 13 nbv"/>
      <sheetName val="Glouc NBV Dec 13 17Jun11"/>
      <sheetName val="Glos NBV Dec 13 06 Mar 2012"/>
      <sheetName val="Glouc Dec 14 NBV"/>
      <sheetName val="Dec 2011 NBV 09 Dec 11"/>
      <sheetName val="Glouc Dec 2013 nbv 08 Dec 11"/>
      <sheetName val="Glouc Jun 10 nbv exc auc"/>
      <sheetName val="Glouc NBV as at QE Mar 2011"/>
      <sheetName val="Glouc NBV QE Jun 2011"/>
      <sheetName val="Glos Sep 11 NBV 18 Sep asset ba"/>
      <sheetName val="Glouc Sep 10 nbv"/>
      <sheetName val="hou ofa"/>
      <sheetName val="Account List"/>
      <sheetName val="April 28"/>
      <sheetName val="Mar 13"/>
      <sheetName val="Model"/>
      <sheetName val="DR95CFA_'01"/>
      <sheetName val="DTA_Táblázatok_hun"/>
      <sheetName val="GI_Jul_Mth"/>
      <sheetName val="LOCATION_Tables"/>
      <sheetName val="APR_EST"/>
      <sheetName val="chart_1"/>
      <sheetName val="Total_by_Function_QSplit"/>
      <sheetName val="Core_Data"/>
      <sheetName val="Conso_Detailed_Input"/>
      <sheetName val="Inventory_details"/>
      <sheetName val="Internal_Tracker"/>
      <sheetName val="ens_GSCM"/>
      <sheetName val="DYN_PP"/>
      <sheetName val="OM_Tracking"/>
      <sheetName val="Expense_Tracker"/>
      <sheetName val="Component_Repair"/>
      <sheetName val="Product_Mgmt"/>
      <sheetName val="GECAS_Summary"/>
      <sheetName val="Trans_Summary"/>
      <sheetName val="Journal_1"/>
      <sheetName val="Journal_2"/>
      <sheetName val="Journal_3"/>
      <sheetName val="Jan_08"/>
      <sheetName val="Working_Tabs_-----------------&gt;"/>
      <sheetName val="Engine_Cost_&amp;_Price"/>
      <sheetName val="Engine_Shop_Cost"/>
      <sheetName val="Engine_Shop_Cost_-_Supply_Chain"/>
      <sheetName val="RTS_3-16-09"/>
      <sheetName val="SII_Summary"/>
      <sheetName val="Input_Christopherson"/>
      <sheetName val="Knopping_Spares"/>
      <sheetName val="Spares_Summary"/>
      <sheetName val="Engines,_Development_&amp;_Other"/>
      <sheetName val="Master_Actuals"/>
      <sheetName val="_BC_SUMMARY_2002"/>
      <sheetName val="Project_Initials_Entry"/>
      <sheetName val="X_Aug_02_unique"/>
      <sheetName val="Hyp_Dump"/>
      <sheetName val="Stepped_Pmts"/>
      <sheetName val="1_PT_Actual"/>
      <sheetName val="Total_Zone_(Summary)"/>
      <sheetName val="£Actual_Unit_Cost_"/>
      <sheetName val="Projects_&amp;_Acc't_112007"/>
      <sheetName val="Projects_&amp;_Acc't"/>
      <sheetName val="2006_Closed_Projects"/>
      <sheetName val="Obsolete__Projects"/>
      <sheetName val="2008_Cut-Off_Dates"/>
      <sheetName val="DS_Team"/>
      <sheetName val="DBA_Team"/>
      <sheetName val="App_Team"/>
      <sheetName val="SM_Team"/>
      <sheetName val="Lookup_lists"/>
      <sheetName val="Actual_Unit_Cost_"/>
      <sheetName val="Planl_Unit_Cost"/>
      <sheetName val="July_Posting"/>
      <sheetName val="97OP-ADM_XLS"/>
      <sheetName val="_BC_SUMMARY_20021"/>
      <sheetName val="GXA_Formula_Examples"/>
      <sheetName val="Income_Statement"/>
      <sheetName val="ED_Hoy_Structure"/>
      <sheetName val="RA_by_Customer"/>
      <sheetName val="Dropdown_List"/>
      <sheetName val="name_sheet"/>
      <sheetName val="VOP$_International_Qtr"/>
      <sheetName val="V$_International-Qtr"/>
      <sheetName val="VOP$_N_America_-_Qtr"/>
      <sheetName val="V$-N_America"/>
      <sheetName val="VOP$-N_America"/>
      <sheetName val="3BPA00132_5_3_W_plan_HVPNL"/>
      <sheetName val="Expense_BD_Calc"/>
      <sheetName val="_Assump_98-99"/>
      <sheetName val="Tax_Rate"/>
      <sheetName val="ABS_Collat_Feed"/>
      <sheetName val="Avail_FC_Coll_Feed"/>
      <sheetName val="Inv_Data_Feed"/>
      <sheetName val="Error_Report"/>
      <sheetName val="Trial_Balance"/>
      <sheetName val="Customer_Data"/>
      <sheetName val="GE_Data"/>
      <sheetName val="Accumulated_Offer"/>
      <sheetName val="Offer_Comp__Chart"/>
      <sheetName val="Offer_Comp_"/>
      <sheetName val="Self_Perf__Chart"/>
      <sheetName val="Self-Perf_Itemization"/>
      <sheetName val="2Q_Close_-_CF"/>
      <sheetName val="2_2_Input"/>
      <sheetName val="2_2_Output-10"/>
      <sheetName val="TY_Financials"/>
      <sheetName val="DT_P&amp;L"/>
      <sheetName val="Acct,_PC,_&amp;_Contract_References"/>
      <sheetName val="Delinquency_(2)"/>
      <sheetName val="Inventory_List_(2)"/>
      <sheetName val="Open_Jobs"/>
      <sheetName val="Cumulative_Temp_Diff"/>
      <sheetName val="Q1_Liab_wkngs"/>
      <sheetName val="Feed_sheet"/>
      <sheetName val="Fiscal_calendar"/>
      <sheetName val="Ageing_Rpt(2)"/>
      <sheetName val="Tax_Ra"/>
      <sheetName val="table_grille"/>
      <sheetName val="To_Go"/>
      <sheetName val="Q3_-_GECF"/>
      <sheetName val="FINAL_PART_LIST_12-15-05"/>
      <sheetName val="G_CAT_ACTUAL"/>
      <sheetName val="Mgt_Comment"/>
      <sheetName val="namP者P者"/>
      <sheetName val="UK_Fan"/>
      <sheetName val="Macro_8_&amp;_Macro_9"/>
      <sheetName val="SV_Reason"/>
      <sheetName val="Q1_Est"/>
      <sheetName val="GEHC_Total"/>
      <sheetName val="2011_OP"/>
      <sheetName val="HEADCOUNT_WORKSHEET"/>
      <sheetName val="Mat'l_Pareto"/>
      <sheetName val="IDL_Konsis"/>
      <sheetName val="New_Input_Macro_"/>
      <sheetName val="Mont__Ward"/>
      <sheetName val="Pg_2"/>
      <sheetName val="Pg_3"/>
      <sheetName val="Bank_Bsheet"/>
      <sheetName val="April_28"/>
      <sheetName val="Mar_13"/>
      <sheetName val="Projects"/>
      <sheetName val="NMP Actuals and Estimate"/>
      <sheetName val="IC Table"/>
      <sheetName val="INV-512"/>
      <sheetName val="Oracle_acc-&gt;Mapping"/>
      <sheetName val="[97OP-ADM.XLS][97OP-ADM.XLS]\C\"/>
      <sheetName val="OM_Tracking1"/>
      <sheetName val="Expense_Tracker1"/>
      <sheetName val="Component_Repair1"/>
      <sheetName val="Product_Mgmt1"/>
      <sheetName val="GECAS_Summary1"/>
      <sheetName val="Trans_Summary1"/>
      <sheetName val="Journal_11"/>
      <sheetName val="Journal_21"/>
      <sheetName val="Journal_31"/>
      <sheetName val="Jan_081"/>
      <sheetName val="Working_Tabs_-----------------1"/>
      <sheetName val="Engine_Cost_&amp;_Price1"/>
      <sheetName val="Engine_Shop_Cost1"/>
      <sheetName val="Engine_Shop_Cost_-_Supply_Chai1"/>
      <sheetName val="RTS_3-16-091"/>
      <sheetName val="SII_Summary1"/>
      <sheetName val="Input_Christopherson1"/>
      <sheetName val="Knopping_Spares1"/>
      <sheetName val="Spares_Summary1"/>
      <sheetName val="Engines,_Development_&amp;_Other1"/>
      <sheetName val="Master_Actuals1"/>
      <sheetName val="X_Aug_02_unique1"/>
      <sheetName val="_BC_SUMMARY_20022"/>
      <sheetName val="chart_11"/>
      <sheetName val="Project_Initials_Entry1"/>
      <sheetName val="Inventory_details1"/>
      <sheetName val="1_PT_Actual1"/>
      <sheetName val="Total_Zone_(Summary)1"/>
      <sheetName val="£Actual_Unit_Cost_1"/>
      <sheetName val="Total_by_Function_QSplit1"/>
      <sheetName val="Projects_&amp;_Acc't_1120071"/>
      <sheetName val="Projects_&amp;_Acc't1"/>
      <sheetName val="2006_Closed_Projects1"/>
      <sheetName val="Obsolete__Projects1"/>
      <sheetName val="2008_Cut-Off_Dates1"/>
      <sheetName val="DS_Team1"/>
      <sheetName val="DBA_Team1"/>
      <sheetName val="App_Team1"/>
      <sheetName val="SM_Team1"/>
      <sheetName val="Lookup_lists1"/>
      <sheetName val="VOP$_International_Qtr1"/>
      <sheetName val="V$_International-Qtr1"/>
      <sheetName val="VOP$_N_America_-_Qtr1"/>
      <sheetName val="V$-N_America1"/>
      <sheetName val="VOP$-N_America1"/>
      <sheetName val="name_sheet1"/>
      <sheetName val="Actual_Unit_Cost_1"/>
      <sheetName val="Planl_Unit_Cost1"/>
      <sheetName val="Hyp_Dump1"/>
      <sheetName val="July_Posting1"/>
      <sheetName val="Core_Data1"/>
      <sheetName val="Conso_Detailed_Input1"/>
      <sheetName val="97OP-ADM_XLS1"/>
      <sheetName val="Internal_Tracker1"/>
      <sheetName val="_BC_SUMMARY_20023"/>
      <sheetName val="3BPA00132_5_3_W_plan_HVPNL1"/>
      <sheetName val="Error_Report1"/>
      <sheetName val="Trial_Balance1"/>
      <sheetName val="GXA_Formula_Examples1"/>
      <sheetName val="Income_Statement1"/>
      <sheetName val="Expense_BD_Calc1"/>
      <sheetName val="_Assump_98-991"/>
      <sheetName val="Tax_Rate1"/>
      <sheetName val="ABS_Collat_Feed1"/>
      <sheetName val="Avail_FC_Coll_Feed1"/>
      <sheetName val="Inv_Data_Feed1"/>
      <sheetName val="Customer_Data1"/>
      <sheetName val="GE_Data1"/>
      <sheetName val="Accumulated_Offer1"/>
      <sheetName val="Offer_Comp__Chart1"/>
      <sheetName val="Offer_Comp_1"/>
      <sheetName val="Self_Perf__Chart1"/>
      <sheetName val="Self-Perf_Itemization1"/>
      <sheetName val="RA_by_Customer1"/>
      <sheetName val="Dropdown_List1"/>
      <sheetName val="2Q_Close_-_CF1"/>
      <sheetName val="2_2_Input1"/>
      <sheetName val="2_2_Output-101"/>
      <sheetName val="TY_Financials1"/>
      <sheetName val="ED_Hoy_Structure1"/>
      <sheetName val="DT_P&amp;L1"/>
      <sheetName val="Acct,_PC,_&amp;_Contract_Reference1"/>
      <sheetName val="Delinquency_(2)1"/>
      <sheetName val="Inventory_List_(2)1"/>
      <sheetName val="Open_Jobs1"/>
      <sheetName val="Cumulative_Temp_Diff1"/>
      <sheetName val="Ageing_Rpt(2)1"/>
      <sheetName val="Stepped_Pmts1"/>
      <sheetName val="Q1_Liab_wkngs1"/>
      <sheetName val="DR95CFA_'011"/>
      <sheetName val="Feed_sheet1"/>
      <sheetName val="Fiscal_calendar1"/>
      <sheetName val="Tax_Ra1"/>
      <sheetName val="table_grille1"/>
      <sheetName val="To_Go1"/>
      <sheetName val="Q3_-_GECF1"/>
      <sheetName val="FINAL_PART_LIST_12-15-051"/>
      <sheetName val="G_CAT_ACTUAL1"/>
      <sheetName val="Mgt_Comment1"/>
      <sheetName val="Bank_Bsheet1"/>
      <sheetName val="Pg_21"/>
      <sheetName val="Pg_31"/>
      <sheetName val="Macro_8_&amp;_Macro_91"/>
      <sheetName val="SV_Reason1"/>
      <sheetName val="2011_OP1"/>
      <sheetName val="GEHC_Total1"/>
      <sheetName val="GI_Jul_Mth1"/>
      <sheetName val="DTA_Táblázatok_hun1"/>
      <sheetName val="IDL_Konsis1"/>
      <sheetName val="New_Input_Macro_1"/>
      <sheetName val="Mont__Ward1"/>
      <sheetName val="1_LeadSchedule1"/>
      <sheetName val="BPCOR_DETAILS1"/>
      <sheetName val="BPMKT_DETAILS1"/>
      <sheetName val="E3_11"/>
      <sheetName val="E1_11"/>
      <sheetName val="E2_11"/>
      <sheetName val="5_Analysis"/>
      <sheetName val="24100_Accr_Liab"/>
      <sheetName val="Interim_--&gt;_Top"/>
      <sheetName val="S_33(2)"/>
      <sheetName val="Scratch_Pad"/>
      <sheetName val="Title_Page"/>
      <sheetName val="UK_Fan1"/>
      <sheetName val="RT_052209"/>
      <sheetName val="SVR_Data"/>
      <sheetName val="Contract_Parameters"/>
      <sheetName val="Q1_Est1"/>
      <sheetName val="HEADCOUNT_WORKSHEET1"/>
      <sheetName val="Mat'l_Pareto1"/>
      <sheetName val="F-1_F-2"/>
      <sheetName val="CA_Sheet"/>
      <sheetName val="F2-3-6_OH_absorbtion_rate_"/>
      <sheetName val="ACT-SCH_4B(GB-Tax)"/>
      <sheetName val="ADB(S)-SCH_1B(GB-Tax)"/>
      <sheetName val="AGC-SCH_6B(GB-Tax)"/>
      <sheetName val="LOCATION_Tables1"/>
      <sheetName val="APR_EST1"/>
      <sheetName val="ens_GSCM1"/>
      <sheetName val="DYN_PP1"/>
      <sheetName val="data_sheet_febe-_area_defined"/>
      <sheetName val="eb_seb_data"/>
      <sheetName val="Glouc_Dec_10_nbv"/>
      <sheetName val="Glouc_Dec_13_nbv"/>
      <sheetName val="Glouc_NBV_Dec_13_17Jun11"/>
      <sheetName val="Glos_NBV_Dec_13_06_Mar_2012"/>
      <sheetName val="Glouc_Dec_14_NBV"/>
      <sheetName val="Dec_2011_NBV_09_Dec_11"/>
      <sheetName val="Glouc_Dec_2013_nbv_08_Dec_11"/>
      <sheetName val="Glouc_Jun_10_nbv_exc_auc"/>
      <sheetName val="Glouc_NBV_as_at_QE_Mar_2011"/>
      <sheetName val="Glouc_NBV_QE_Jun_2011"/>
      <sheetName val="Glos_Sep_11_NBV_18_Sep_asset_ba"/>
      <sheetName val="Glouc_Sep_10_nbv"/>
      <sheetName val="April_281"/>
      <sheetName val="Mar_131"/>
      <sheetName val="FTE_Data"/>
      <sheetName val="hou_ofa"/>
      <sheetName val="Account_List"/>
      <sheetName val="3-13_Summary"/>
      <sheetName val="LIFO_FIFO"/>
      <sheetName val="Final_HU_TB_Jun_2002"/>
      <sheetName val="MIP_actuals_2002"/>
      <sheetName val="3Q_Orders"/>
      <sheetName val="4Q_Orders"/>
      <sheetName val="2__Region_Summary_-_Est"/>
      <sheetName val="group-match__"/>
      <sheetName val="General_Assumptions_and_Summary"/>
      <sheetName val="CoFe_III"/>
      <sheetName val="2001_even"/>
      <sheetName val="Walk_Data_"/>
      <sheetName val="GL_Summary"/>
      <sheetName val="MODEL_SHEET"/>
      <sheetName val="Supply_Chain"/>
      <sheetName val="CY_Head"/>
      <sheetName val="Cash_PY"/>
      <sheetName val="GM_EPS_Model"/>
      <sheetName val="Modality_Summary"/>
      <sheetName val="Cash_CY"/>
      <sheetName val="TPM_Tot"/>
      <sheetName val="Eur_sub2_"/>
      <sheetName val="Business_Summary_Reports"/>
      <sheetName val="MIP_codes_2002"/>
      <sheetName val="inventory_snapshot_20020313"/>
      <sheetName val="MENU_XLS"/>
      <sheetName val="FX_Rates_-_BS"/>
      <sheetName val="3Q_Ops"/>
      <sheetName val="New_Microsoft_Excel_Worksheet"/>
      <sheetName val="condensed_p&amp;l"/>
      <sheetName val="Input_Page"/>
      <sheetName val="Input_Financial_"/>
      <sheetName val="Cash_OP"/>
      <sheetName val="CoFe_I"/>
      <sheetName val="MCOE_Final_Slow"/>
      <sheetName val="Material_Var"/>
      <sheetName val="Backing_1_-_fx_rates"/>
      <sheetName val="Health_Plans"/>
      <sheetName val="input_KPI's"/>
      <sheetName val="94_Rev"/>
      <sheetName val="Net_Var"/>
      <sheetName val="Working_Capital"/>
      <sheetName val="4Q_Ops"/>
      <sheetName val="Info=Dropdown_Menu"/>
      <sheetName val="Control_Panel"/>
      <sheetName val="[97OP-ADM.XLS]\C\GROUP\GB&amp;F\-GE"/>
      <sheetName val="[97OP-ADM.XLS][97OP-ADM.XLS][97"/>
      <sheetName val="Sourcing Staff"/>
      <sheetName val="LIQUIDATION &amp; AMORTIZATION GAIN"/>
      <sheetName val="var"/>
      <sheetName val="buttons"/>
      <sheetName val="update_formulas"/>
      <sheetName val="print_macros"/>
      <sheetName val="print_qtrs"/>
      <sheetName val="update_macros"/>
      <sheetName val="1999"/>
      <sheetName val="2000"/>
      <sheetName val="Budget"/>
      <sheetName val="Update"/>
      <sheetName val="GMP-1"/>
      <sheetName val="GMP-8"/>
      <sheetName val="namP者_x005f_x0000__x005f_x000f_P者_x005f_x0000_"/>
      <sheetName val="MRO vs GL"/>
      <sheetName val="6A CA"/>
      <sheetName val="3 P&amp;L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ope"/>
      <sheetName val="Notes to Account"/>
      <sheetName val="Summary"/>
      <sheetName val="Lease Schedule"/>
      <sheetName val="Sheet1"/>
      <sheetName val="Rate impact"/>
      <sheetName val="Testing"/>
      <sheetName val="63100"/>
      <sheetName val="60014"/>
      <sheetName val="62561"/>
      <sheetName val="57769"/>
      <sheetName val="38190"/>
      <sheetName val="62782"/>
      <sheetName val="59950"/>
      <sheetName val="G-Sec 1 March"/>
      <sheetName val="G-Sec 1 Aug"/>
      <sheetName val="G-Sec 29 Sept"/>
      <sheetName val="MUS Sample Addition"/>
      <sheetName val="MUS Sample Deletions"/>
      <sheetName val="MUS Sample Transfer"/>
    </sheetNames>
    <sheetDataSet>
      <sheetData sheetId="0">
        <row r="1">
          <cell r="A1" t="str">
            <v xml:space="preserve">Deloitte Haskins &amp; Sells </v>
          </cell>
        </row>
        <row r="2">
          <cell r="A2" t="str">
            <v>GE India Industrial Private Limited</v>
          </cell>
        </row>
        <row r="3">
          <cell r="A3" t="str">
            <v>Audit for the year ended March 31, 2024</v>
          </cell>
        </row>
        <row r="6">
          <cell r="A6" t="str">
            <v xml:space="preserve">Purpose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ope"/>
      <sheetName val="Notes to Account"/>
      <sheetName val="Summary"/>
      <sheetName val="Details 24-25"/>
      <sheetName val="Testing"/>
      <sheetName val="64797"/>
      <sheetName val="64806"/>
      <sheetName val="64807"/>
      <sheetName val="64418-1"/>
      <sheetName val="64418-2"/>
      <sheetName val="Security Deposit Discounting"/>
      <sheetName val="Rate impact"/>
      <sheetName val="G Sec 1 Apr"/>
      <sheetName val="G Sec 11 Nov"/>
      <sheetName val="G Sec 1 July"/>
      <sheetName val="G Sec 1 Aug"/>
      <sheetName val="MUS Sample Additions"/>
    </sheetNames>
    <sheetDataSet>
      <sheetData sheetId="0">
        <row r="1">
          <cell r="A1" t="str">
            <v xml:space="preserve">Deloitte Haskins &amp; Sells </v>
          </cell>
        </row>
        <row r="5">
          <cell r="A5" t="str">
            <v xml:space="preserve">Purpose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3405-31AF-4A02-883E-906EACE635F7}">
  <sheetPr codeName="Sheet3"/>
  <dimension ref="A1:C27"/>
  <sheetViews>
    <sheetView showGridLines="0" tabSelected="1" zoomScale="80" zoomScaleNormal="80" workbookViewId="0">
      <selection sqref="A1:XFD3"/>
    </sheetView>
  </sheetViews>
  <sheetFormatPr defaultColWidth="8.796875" defaultRowHeight="13.3"/>
  <cols>
    <col min="1" max="1" width="25.5" style="13" customWidth="1"/>
    <col min="2" max="2" width="60.5" style="13" customWidth="1"/>
    <col min="3" max="3" width="40.19921875" style="13" customWidth="1"/>
    <col min="4" max="16384" width="8.796875" style="13"/>
  </cols>
  <sheetData>
    <row r="1" spans="1:3">
      <c r="A1" s="3"/>
    </row>
    <row r="2" spans="1:3">
      <c r="A2" s="12" t="s">
        <v>21</v>
      </c>
    </row>
    <row r="3" spans="1:3">
      <c r="A3" s="3" t="s">
        <v>198</v>
      </c>
    </row>
    <row r="4" spans="1:3">
      <c r="A4" s="3"/>
    </row>
    <row r="5" spans="1:3">
      <c r="A5" s="12" t="s">
        <v>22</v>
      </c>
    </row>
    <row r="6" spans="1:3">
      <c r="A6" s="12"/>
    </row>
    <row r="7" spans="1:3" s="83" customFormat="1">
      <c r="A7" s="79" t="s">
        <v>81</v>
      </c>
      <c r="B7" s="79" t="s">
        <v>82</v>
      </c>
      <c r="C7" s="79" t="s">
        <v>83</v>
      </c>
    </row>
    <row r="8" spans="1:3" ht="26.6">
      <c r="A8" s="339" t="s">
        <v>96</v>
      </c>
      <c r="B8" s="112" t="s">
        <v>151</v>
      </c>
      <c r="C8" s="96" t="s">
        <v>121</v>
      </c>
    </row>
    <row r="9" spans="1:3" ht="26.6">
      <c r="A9" s="340"/>
      <c r="B9" s="112" t="s">
        <v>131</v>
      </c>
      <c r="C9" s="96" t="s">
        <v>121</v>
      </c>
    </row>
    <row r="10" spans="1:3">
      <c r="A10" s="341"/>
      <c r="B10" s="112" t="s">
        <v>132</v>
      </c>
      <c r="C10" s="96" t="s">
        <v>121</v>
      </c>
    </row>
    <row r="11" spans="1:3" ht="26.6">
      <c r="A11" s="339" t="s">
        <v>86</v>
      </c>
      <c r="B11" s="112" t="s">
        <v>87</v>
      </c>
      <c r="C11" s="96" t="s">
        <v>121</v>
      </c>
    </row>
    <row r="12" spans="1:3" ht="26.6">
      <c r="A12" s="340"/>
      <c r="B12" s="112" t="s">
        <v>97</v>
      </c>
      <c r="C12" s="96" t="s">
        <v>209</v>
      </c>
    </row>
    <row r="13" spans="1:3" ht="26.6">
      <c r="A13" s="341"/>
      <c r="B13" s="112" t="s">
        <v>89</v>
      </c>
      <c r="C13" s="96" t="s">
        <v>209</v>
      </c>
    </row>
    <row r="14" spans="1:3" ht="26.6">
      <c r="A14" s="176" t="s">
        <v>84</v>
      </c>
      <c r="B14" s="113" t="s">
        <v>85</v>
      </c>
      <c r="C14" s="97" t="s">
        <v>98</v>
      </c>
    </row>
    <row r="15" spans="1:3" ht="26.6">
      <c r="A15" s="339" t="s">
        <v>90</v>
      </c>
      <c r="B15" s="112" t="s">
        <v>91</v>
      </c>
      <c r="C15" s="96" t="s">
        <v>121</v>
      </c>
    </row>
    <row r="16" spans="1:3" ht="26.6">
      <c r="A16" s="340"/>
      <c r="B16" s="112" t="s">
        <v>92</v>
      </c>
      <c r="C16" s="96" t="s">
        <v>121</v>
      </c>
    </row>
    <row r="17" spans="1:3" ht="26.6">
      <c r="A17" s="341"/>
      <c r="B17" s="112" t="s">
        <v>93</v>
      </c>
      <c r="C17" s="96" t="s">
        <v>88</v>
      </c>
    </row>
    <row r="18" spans="1:3" ht="26.6">
      <c r="A18" s="339" t="s">
        <v>94</v>
      </c>
      <c r="B18" s="113" t="s">
        <v>95</v>
      </c>
      <c r="C18" s="97" t="s">
        <v>99</v>
      </c>
    </row>
    <row r="19" spans="1:3" ht="26.6">
      <c r="A19" s="341"/>
      <c r="B19" s="113" t="s">
        <v>100</v>
      </c>
      <c r="C19" s="97" t="s">
        <v>99</v>
      </c>
    </row>
    <row r="20" spans="1:3">
      <c r="A20" s="12"/>
    </row>
    <row r="21" spans="1:3">
      <c r="A21" s="12"/>
    </row>
    <row r="22" spans="1:3">
      <c r="A22" s="12" t="s">
        <v>122</v>
      </c>
    </row>
    <row r="23" spans="1:3">
      <c r="A23" s="3" t="s">
        <v>23</v>
      </c>
    </row>
    <row r="24" spans="1:3">
      <c r="A24" s="12"/>
    </row>
    <row r="25" spans="1:3">
      <c r="A25" s="12"/>
    </row>
    <row r="26" spans="1:3">
      <c r="A26" s="12" t="s">
        <v>123</v>
      </c>
    </row>
    <row r="27" spans="1:3">
      <c r="A27" s="3" t="s">
        <v>124</v>
      </c>
    </row>
  </sheetData>
  <mergeCells count="4">
    <mergeCell ref="A11:A13"/>
    <mergeCell ref="A15:A17"/>
    <mergeCell ref="A18:A19"/>
    <mergeCell ref="A8:A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1D71D-D8DC-439A-A934-F3A6332F5EA3}">
  <sheetPr codeName="Sheet1"/>
  <dimension ref="A1:Y72"/>
  <sheetViews>
    <sheetView showGridLines="0" topLeftCell="B1" zoomScale="80" zoomScaleNormal="80" zoomScaleSheetLayoutView="71" workbookViewId="0">
      <selection activeCell="I9" sqref="I9:N9"/>
    </sheetView>
  </sheetViews>
  <sheetFormatPr defaultColWidth="8.19921875" defaultRowHeight="13.3"/>
  <cols>
    <col min="1" max="1" width="37.5" style="16" customWidth="1"/>
    <col min="2" max="4" width="16.5" style="17" customWidth="1"/>
    <col min="5" max="7" width="16.5" style="16" customWidth="1"/>
    <col min="8" max="8" width="1.796875" style="16" customWidth="1"/>
    <col min="9" max="14" width="16.5" style="16" customWidth="1"/>
    <col min="15" max="19" width="8.19921875" style="16"/>
    <col min="20" max="20" width="9" style="16" customWidth="1"/>
    <col min="21" max="21" width="11" style="16" customWidth="1"/>
    <col min="22" max="22" width="11.5" style="16" customWidth="1"/>
    <col min="23" max="23" width="14.8984375" style="16" customWidth="1"/>
    <col min="24" max="24" width="8.19921875" style="16"/>
    <col min="25" max="25" width="11.796875" style="16" customWidth="1"/>
    <col min="26" max="16384" width="8.19921875" style="16"/>
  </cols>
  <sheetData>
    <row r="1" spans="1:25">
      <c r="A1" s="14" t="e">
        <f>Scope!#REF!</f>
        <v>#REF!</v>
      </c>
      <c r="B1" s="15"/>
      <c r="C1" s="15"/>
      <c r="D1" s="15"/>
    </row>
    <row r="2" spans="1:25">
      <c r="A2" s="14" t="e">
        <f>Scope!#REF!</f>
        <v>#REF!</v>
      </c>
      <c r="B2" s="15"/>
      <c r="C2" s="15"/>
      <c r="D2" s="15"/>
    </row>
    <row r="3" spans="1:25">
      <c r="A3" s="14" t="e">
        <f>Scope!#REF!</f>
        <v>#REF!</v>
      </c>
      <c r="B3" s="15"/>
      <c r="C3" s="15"/>
      <c r="D3" s="15"/>
    </row>
    <row r="4" spans="1:25">
      <c r="A4" s="45"/>
    </row>
    <row r="5" spans="1:25">
      <c r="A5" s="46" t="s">
        <v>58</v>
      </c>
    </row>
    <row r="6" spans="1:25">
      <c r="A6" s="45" t="s">
        <v>199</v>
      </c>
    </row>
    <row r="7" spans="1:25">
      <c r="A7" s="45"/>
    </row>
    <row r="8" spans="1:25">
      <c r="A8" s="18" t="s">
        <v>145</v>
      </c>
      <c r="B8" s="19"/>
      <c r="C8" s="19"/>
      <c r="D8" s="19"/>
      <c r="F8" s="342" t="s">
        <v>64</v>
      </c>
      <c r="G8" s="342"/>
    </row>
    <row r="9" spans="1:25">
      <c r="A9" s="21"/>
      <c r="B9" s="19"/>
      <c r="C9" s="47"/>
      <c r="D9" s="47"/>
      <c r="E9" s="48"/>
      <c r="F9" s="48"/>
      <c r="I9" s="351" t="s">
        <v>125</v>
      </c>
      <c r="J9" s="351"/>
      <c r="K9" s="351"/>
      <c r="L9" s="351"/>
      <c r="M9" s="351"/>
      <c r="N9" s="351"/>
      <c r="T9" s="351" t="s">
        <v>153</v>
      </c>
      <c r="U9" s="351"/>
      <c r="V9" s="351"/>
      <c r="W9" s="351"/>
      <c r="X9" s="351"/>
      <c r="Y9" s="351"/>
    </row>
    <row r="10" spans="1:25" ht="26.45" customHeight="1">
      <c r="A10" s="56" t="s">
        <v>24</v>
      </c>
      <c r="B10" s="57" t="s">
        <v>33</v>
      </c>
      <c r="C10" s="57" t="s">
        <v>34</v>
      </c>
      <c r="D10" s="57" t="s">
        <v>35</v>
      </c>
      <c r="E10" s="57" t="s">
        <v>36</v>
      </c>
      <c r="F10" s="57" t="s">
        <v>25</v>
      </c>
      <c r="G10" s="57" t="s">
        <v>30</v>
      </c>
      <c r="I10" s="57" t="s">
        <v>33</v>
      </c>
      <c r="J10" s="57" t="s">
        <v>34</v>
      </c>
      <c r="K10" s="57" t="s">
        <v>35</v>
      </c>
      <c r="L10" s="57" t="s">
        <v>36</v>
      </c>
      <c r="M10" s="57" t="s">
        <v>25</v>
      </c>
      <c r="N10" s="57" t="s">
        <v>30</v>
      </c>
      <c r="T10" s="57" t="s">
        <v>33</v>
      </c>
      <c r="U10" s="57" t="s">
        <v>34</v>
      </c>
      <c r="V10" s="57" t="s">
        <v>35</v>
      </c>
      <c r="W10" s="57" t="s">
        <v>36</v>
      </c>
      <c r="X10" s="57" t="s">
        <v>25</v>
      </c>
      <c r="Y10" s="57" t="s">
        <v>30</v>
      </c>
    </row>
    <row r="11" spans="1:25">
      <c r="A11" s="58" t="s">
        <v>154</v>
      </c>
      <c r="B11" s="62">
        <v>739.33623194702147</v>
      </c>
      <c r="C11" s="62">
        <v>1640.8463956009091</v>
      </c>
      <c r="D11" s="63">
        <v>1145.9376494542253</v>
      </c>
      <c r="E11" s="62">
        <v>3608.8914911999991</v>
      </c>
      <c r="F11" s="63">
        <v>6159.438830730578</v>
      </c>
      <c r="G11" s="62">
        <f t="shared" ref="G11:G16" si="0">SUM(B11:F11)</f>
        <v>13294.450598932734</v>
      </c>
      <c r="I11" s="62">
        <v>739.33623194702147</v>
      </c>
      <c r="J11" s="62">
        <v>1640.8463956009091</v>
      </c>
      <c r="K11" s="63">
        <v>1145.9376494542253</v>
      </c>
      <c r="L11" s="62">
        <v>3608.8914911999991</v>
      </c>
      <c r="M11" s="63">
        <v>6159.438830730578</v>
      </c>
      <c r="N11" s="62">
        <f t="shared" ref="N11:N16" si="1">SUM(I11:M11)</f>
        <v>13294.450598932734</v>
      </c>
      <c r="O11" s="48" t="s">
        <v>137</v>
      </c>
      <c r="T11" s="62">
        <f t="shared" ref="T11:T16" si="2">B11-I11</f>
        <v>0</v>
      </c>
      <c r="U11" s="62">
        <f t="shared" ref="U11:Y16" si="3">C11-J11</f>
        <v>0</v>
      </c>
      <c r="V11" s="62">
        <f t="shared" si="3"/>
        <v>0</v>
      </c>
      <c r="W11" s="62">
        <f t="shared" si="3"/>
        <v>0</v>
      </c>
      <c r="X11" s="62">
        <f t="shared" si="3"/>
        <v>0</v>
      </c>
      <c r="Y11" s="62">
        <f t="shared" si="3"/>
        <v>0</v>
      </c>
    </row>
    <row r="12" spans="1:25">
      <c r="A12" s="60" t="s">
        <v>26</v>
      </c>
      <c r="B12" s="64">
        <v>22</v>
      </c>
      <c r="C12" s="64">
        <v>863</v>
      </c>
      <c r="D12" s="65">
        <v>27</v>
      </c>
      <c r="E12" s="64">
        <v>5924</v>
      </c>
      <c r="F12" s="65">
        <v>0</v>
      </c>
      <c r="G12" s="64">
        <f t="shared" si="0"/>
        <v>6836</v>
      </c>
      <c r="I12" s="64">
        <v>22</v>
      </c>
      <c r="J12" s="64">
        <v>863</v>
      </c>
      <c r="K12" s="65">
        <v>27</v>
      </c>
      <c r="L12" s="64">
        <v>5924</v>
      </c>
      <c r="M12" s="65">
        <v>0</v>
      </c>
      <c r="N12" s="64">
        <f t="shared" si="1"/>
        <v>6836</v>
      </c>
      <c r="O12" s="48" t="s">
        <v>137</v>
      </c>
      <c r="T12" s="64">
        <f t="shared" si="2"/>
        <v>0</v>
      </c>
      <c r="U12" s="64">
        <f t="shared" si="3"/>
        <v>0</v>
      </c>
      <c r="V12" s="64">
        <f t="shared" si="3"/>
        <v>0</v>
      </c>
      <c r="W12" s="64">
        <f t="shared" si="3"/>
        <v>0</v>
      </c>
      <c r="X12" s="64">
        <f t="shared" si="3"/>
        <v>0</v>
      </c>
      <c r="Y12" s="64">
        <f t="shared" si="3"/>
        <v>0</v>
      </c>
    </row>
    <row r="13" spans="1:25">
      <c r="A13" s="60" t="s">
        <v>37</v>
      </c>
      <c r="B13" s="64">
        <v>-448</v>
      </c>
      <c r="C13" s="64">
        <v>-766</v>
      </c>
      <c r="D13" s="65">
        <v>-352</v>
      </c>
      <c r="E13" s="64">
        <v>-2943</v>
      </c>
      <c r="F13" s="65">
        <v>-74</v>
      </c>
      <c r="G13" s="64">
        <f t="shared" si="0"/>
        <v>-4583</v>
      </c>
      <c r="I13" s="64">
        <v>-448</v>
      </c>
      <c r="J13" s="64">
        <v>-766</v>
      </c>
      <c r="K13" s="65">
        <v>-352</v>
      </c>
      <c r="L13" s="64">
        <v>-2943</v>
      </c>
      <c r="M13" s="65">
        <v>-74</v>
      </c>
      <c r="N13" s="64">
        <f t="shared" si="1"/>
        <v>-4583</v>
      </c>
      <c r="O13" s="48" t="s">
        <v>137</v>
      </c>
      <c r="T13" s="64">
        <f t="shared" si="2"/>
        <v>0</v>
      </c>
      <c r="U13" s="64">
        <f t="shared" si="3"/>
        <v>0</v>
      </c>
      <c r="V13" s="64">
        <f t="shared" si="3"/>
        <v>0</v>
      </c>
      <c r="W13" s="64">
        <f t="shared" si="3"/>
        <v>0</v>
      </c>
      <c r="X13" s="64">
        <f t="shared" si="3"/>
        <v>0</v>
      </c>
      <c r="Y13" s="64">
        <f t="shared" si="3"/>
        <v>0</v>
      </c>
    </row>
    <row r="14" spans="1:25">
      <c r="A14" s="60" t="s">
        <v>139</v>
      </c>
      <c r="B14" s="64">
        <v>2</v>
      </c>
      <c r="C14" s="64">
        <v>-149</v>
      </c>
      <c r="D14" s="65">
        <v>0</v>
      </c>
      <c r="E14" s="64">
        <v>8</v>
      </c>
      <c r="F14" s="157">
        <v>0</v>
      </c>
      <c r="G14" s="64">
        <f t="shared" si="0"/>
        <v>-139</v>
      </c>
      <c r="I14" s="64">
        <v>2</v>
      </c>
      <c r="J14" s="64">
        <v>-149</v>
      </c>
      <c r="K14" s="65">
        <v>0</v>
      </c>
      <c r="L14" s="64">
        <v>8</v>
      </c>
      <c r="M14" s="157">
        <v>0</v>
      </c>
      <c r="N14" s="64">
        <f t="shared" si="1"/>
        <v>-139</v>
      </c>
      <c r="O14" s="48" t="s">
        <v>137</v>
      </c>
      <c r="T14" s="64">
        <f t="shared" si="2"/>
        <v>0</v>
      </c>
      <c r="U14" s="64">
        <f t="shared" si="3"/>
        <v>0</v>
      </c>
      <c r="V14" s="64">
        <f t="shared" si="3"/>
        <v>0</v>
      </c>
      <c r="W14" s="64">
        <f t="shared" si="3"/>
        <v>0</v>
      </c>
      <c r="X14" s="64">
        <f t="shared" si="3"/>
        <v>0</v>
      </c>
      <c r="Y14" s="64">
        <f t="shared" si="3"/>
        <v>0</v>
      </c>
    </row>
    <row r="15" spans="1:25">
      <c r="A15" s="61" t="s">
        <v>140</v>
      </c>
      <c r="B15" s="64">
        <v>-113</v>
      </c>
      <c r="C15" s="64">
        <v>-648</v>
      </c>
      <c r="D15" s="65">
        <v>0</v>
      </c>
      <c r="E15" s="64">
        <v>-163</v>
      </c>
      <c r="F15" s="157">
        <v>0</v>
      </c>
      <c r="G15" s="157">
        <f t="shared" si="0"/>
        <v>-924</v>
      </c>
      <c r="I15" s="64">
        <v>-113</v>
      </c>
      <c r="J15" s="64">
        <v>-648</v>
      </c>
      <c r="K15" s="65">
        <v>0</v>
      </c>
      <c r="L15" s="64">
        <v>-163</v>
      </c>
      <c r="M15" s="157">
        <v>0</v>
      </c>
      <c r="N15" s="157">
        <f t="shared" si="1"/>
        <v>-924</v>
      </c>
      <c r="O15" s="48" t="s">
        <v>137</v>
      </c>
      <c r="T15" s="64">
        <f t="shared" si="2"/>
        <v>0</v>
      </c>
      <c r="U15" s="64">
        <f t="shared" si="3"/>
        <v>0</v>
      </c>
      <c r="V15" s="64">
        <f t="shared" si="3"/>
        <v>0</v>
      </c>
      <c r="W15" s="64">
        <f t="shared" si="3"/>
        <v>0</v>
      </c>
      <c r="X15" s="64">
        <f t="shared" si="3"/>
        <v>0</v>
      </c>
      <c r="Y15" s="64">
        <f t="shared" si="3"/>
        <v>0</v>
      </c>
    </row>
    <row r="16" spans="1:25">
      <c r="A16" s="23" t="s">
        <v>146</v>
      </c>
      <c r="B16" s="64">
        <v>0</v>
      </c>
      <c r="C16" s="64">
        <v>-26</v>
      </c>
      <c r="D16" s="65">
        <v>0</v>
      </c>
      <c r="E16" s="64">
        <v>0</v>
      </c>
      <c r="F16" s="157">
        <v>0</v>
      </c>
      <c r="G16" s="64">
        <f t="shared" si="0"/>
        <v>-26</v>
      </c>
      <c r="I16" s="64">
        <v>0</v>
      </c>
      <c r="J16" s="64">
        <v>-26</v>
      </c>
      <c r="K16" s="65">
        <v>0</v>
      </c>
      <c r="L16" s="64">
        <v>0</v>
      </c>
      <c r="M16" s="157">
        <v>0</v>
      </c>
      <c r="N16" s="64">
        <f t="shared" si="1"/>
        <v>-26</v>
      </c>
      <c r="O16" s="48" t="s">
        <v>137</v>
      </c>
      <c r="T16" s="64">
        <f t="shared" si="2"/>
        <v>0</v>
      </c>
      <c r="U16" s="64">
        <f t="shared" si="3"/>
        <v>0</v>
      </c>
      <c r="V16" s="64">
        <f t="shared" si="3"/>
        <v>0</v>
      </c>
      <c r="W16" s="64">
        <f t="shared" si="3"/>
        <v>0</v>
      </c>
      <c r="X16" s="64">
        <f t="shared" si="3"/>
        <v>0</v>
      </c>
      <c r="Y16" s="64">
        <f t="shared" si="3"/>
        <v>0</v>
      </c>
    </row>
    <row r="17" spans="1:25" s="26" customFormat="1">
      <c r="A17" s="49" t="s">
        <v>152</v>
      </c>
      <c r="B17" s="67">
        <f t="shared" ref="B17:G17" si="4">SUM(B11:B16)</f>
        <v>202.33623194702147</v>
      </c>
      <c r="C17" s="67">
        <f t="shared" si="4"/>
        <v>914.84639560090909</v>
      </c>
      <c r="D17" s="67">
        <f t="shared" si="4"/>
        <v>820.93764945422527</v>
      </c>
      <c r="E17" s="67">
        <f t="shared" si="4"/>
        <v>6434.8914912</v>
      </c>
      <c r="F17" s="67">
        <f t="shared" si="4"/>
        <v>6085.438830730578</v>
      </c>
      <c r="G17" s="67">
        <f t="shared" si="4"/>
        <v>14458.450598932734</v>
      </c>
      <c r="I17" s="67">
        <f t="shared" ref="I17:N17" si="5">SUM(I11:I16)</f>
        <v>202.33623194702147</v>
      </c>
      <c r="J17" s="67">
        <f t="shared" si="5"/>
        <v>914.84639560090909</v>
      </c>
      <c r="K17" s="67">
        <f t="shared" si="5"/>
        <v>820.93764945422527</v>
      </c>
      <c r="L17" s="67">
        <f t="shared" si="5"/>
        <v>6434.8914912</v>
      </c>
      <c r="M17" s="67">
        <f t="shared" si="5"/>
        <v>6085.438830730578</v>
      </c>
      <c r="N17" s="67">
        <f t="shared" si="5"/>
        <v>14458.450598932734</v>
      </c>
      <c r="O17" s="48" t="s">
        <v>137</v>
      </c>
      <c r="T17" s="67">
        <f t="shared" ref="T17:Y17" si="6">SUM(T11:T16)</f>
        <v>0</v>
      </c>
      <c r="U17" s="67">
        <f t="shared" si="6"/>
        <v>0</v>
      </c>
      <c r="V17" s="67">
        <f t="shared" si="6"/>
        <v>0</v>
      </c>
      <c r="W17" s="67">
        <f t="shared" si="6"/>
        <v>0</v>
      </c>
      <c r="X17" s="67">
        <f t="shared" si="6"/>
        <v>0</v>
      </c>
      <c r="Y17" s="67">
        <f t="shared" si="6"/>
        <v>0</v>
      </c>
    </row>
    <row r="18" spans="1:25" s="26" customFormat="1">
      <c r="A18" s="60"/>
      <c r="B18" s="114"/>
      <c r="C18" s="114"/>
      <c r="D18" s="114"/>
      <c r="E18" s="114"/>
      <c r="F18" s="114"/>
      <c r="G18" s="129"/>
      <c r="I18" s="129"/>
      <c r="J18" s="65"/>
      <c r="K18" s="129"/>
      <c r="L18" s="65"/>
      <c r="M18" s="129"/>
      <c r="N18" s="64"/>
      <c r="O18" s="127"/>
      <c r="T18" s="129"/>
      <c r="U18" s="65"/>
      <c r="V18" s="129"/>
      <c r="W18" s="65"/>
      <c r="X18" s="129"/>
      <c r="Y18" s="64"/>
    </row>
    <row r="19" spans="1:25" s="26" customFormat="1">
      <c r="A19" s="58" t="s">
        <v>207</v>
      </c>
      <c r="B19" s="128">
        <f>B17</f>
        <v>202.33623194702147</v>
      </c>
      <c r="C19" s="128">
        <f>C17</f>
        <v>914.84639560090909</v>
      </c>
      <c r="D19" s="128">
        <f>D17</f>
        <v>820.93764945422527</v>
      </c>
      <c r="E19" s="128">
        <f>E17</f>
        <v>6434.8914912</v>
      </c>
      <c r="F19" s="128">
        <f>F17</f>
        <v>6085.438830730578</v>
      </c>
      <c r="G19" s="130">
        <f>SUM(B19:F19)</f>
        <v>14458.450598932734</v>
      </c>
      <c r="I19" s="130">
        <f t="shared" ref="I19:N19" si="7">I17</f>
        <v>202.33623194702147</v>
      </c>
      <c r="J19" s="132">
        <f t="shared" si="7"/>
        <v>914.84639560090909</v>
      </c>
      <c r="K19" s="130">
        <f t="shared" si="7"/>
        <v>820.93764945422527</v>
      </c>
      <c r="L19" s="132">
        <f t="shared" si="7"/>
        <v>6434.8914912</v>
      </c>
      <c r="M19" s="130">
        <f t="shared" si="7"/>
        <v>6085.438830730578</v>
      </c>
      <c r="N19" s="130">
        <f t="shared" si="7"/>
        <v>14458.450598932734</v>
      </c>
      <c r="O19" s="127" t="s">
        <v>138</v>
      </c>
      <c r="T19" s="130">
        <f>B19-I19</f>
        <v>0</v>
      </c>
      <c r="U19" s="130">
        <f t="shared" ref="U19:X23" si="8">C19-J19</f>
        <v>0</v>
      </c>
      <c r="V19" s="130">
        <f t="shared" si="8"/>
        <v>0</v>
      </c>
      <c r="W19" s="130">
        <f t="shared" si="8"/>
        <v>0</v>
      </c>
      <c r="X19" s="130">
        <f t="shared" si="8"/>
        <v>0</v>
      </c>
      <c r="Y19" s="130">
        <f>Y17</f>
        <v>0</v>
      </c>
    </row>
    <row r="20" spans="1:25" s="26" customFormat="1">
      <c r="A20" s="60" t="s">
        <v>26</v>
      </c>
      <c r="B20" s="114">
        <v>1867</v>
      </c>
      <c r="C20" s="114">
        <v>1225</v>
      </c>
      <c r="D20" s="114">
        <v>0</v>
      </c>
      <c r="E20" s="114">
        <v>5755</v>
      </c>
      <c r="F20" s="114">
        <v>0</v>
      </c>
      <c r="G20" s="64">
        <f>SUM(B20:F20)</f>
        <v>8847</v>
      </c>
      <c r="I20" s="64">
        <f>Summary!C14</f>
        <v>0</v>
      </c>
      <c r="J20" s="65">
        <f>Summary!C15</f>
        <v>3248</v>
      </c>
      <c r="K20" s="64">
        <f>Summary!C16</f>
        <v>45</v>
      </c>
      <c r="L20" s="65">
        <f>Summary!C17</f>
        <v>61</v>
      </c>
      <c r="M20" s="64">
        <v>0</v>
      </c>
      <c r="N20" s="64">
        <f>SUM(I20:M20)</f>
        <v>3354</v>
      </c>
      <c r="O20" s="127" t="s">
        <v>138</v>
      </c>
      <c r="T20" s="64">
        <f>B20-I20</f>
        <v>1867</v>
      </c>
      <c r="U20" s="64">
        <f t="shared" si="8"/>
        <v>-2023</v>
      </c>
      <c r="V20" s="64">
        <f t="shared" si="8"/>
        <v>-45</v>
      </c>
      <c r="W20" s="64">
        <f t="shared" si="8"/>
        <v>5694</v>
      </c>
      <c r="X20" s="64">
        <f t="shared" si="8"/>
        <v>0</v>
      </c>
      <c r="Y20" s="64">
        <f>SUM(T20:X20)</f>
        <v>5493</v>
      </c>
    </row>
    <row r="21" spans="1:25" s="26" customFormat="1">
      <c r="A21" s="60" t="s">
        <v>37</v>
      </c>
      <c r="B21" s="114">
        <v>-340</v>
      </c>
      <c r="C21" s="114">
        <v>-623</v>
      </c>
      <c r="D21" s="114">
        <v>-400</v>
      </c>
      <c r="E21" s="114">
        <v>-4330</v>
      </c>
      <c r="F21" s="114">
        <v>-74</v>
      </c>
      <c r="G21" s="64">
        <f>SUM(B21:F21)</f>
        <v>-5767</v>
      </c>
      <c r="I21" s="134">
        <f>-Summary!E14</f>
        <v>-394</v>
      </c>
      <c r="J21" s="135">
        <f>-Summary!E15</f>
        <v>-911</v>
      </c>
      <c r="K21" s="134">
        <f>-Summary!E16</f>
        <v>-357</v>
      </c>
      <c r="L21" s="135">
        <f>-Summary!$E$17</f>
        <v>-4280</v>
      </c>
      <c r="M21" s="133">
        <f>M13</f>
        <v>-74</v>
      </c>
      <c r="N21" s="64">
        <f>SUM(I21:M21)</f>
        <v>-6016</v>
      </c>
      <c r="O21" s="127" t="s">
        <v>138</v>
      </c>
      <c r="T21" s="64">
        <f>B21-I21</f>
        <v>54</v>
      </c>
      <c r="U21" s="64">
        <f>C21-J21</f>
        <v>288</v>
      </c>
      <c r="V21" s="64">
        <f>D21-K21</f>
        <v>-43</v>
      </c>
      <c r="W21" s="64">
        <f>E21-L21</f>
        <v>-50</v>
      </c>
      <c r="X21" s="64">
        <f t="shared" si="8"/>
        <v>0</v>
      </c>
      <c r="Y21" s="64">
        <f>SUM(T21:X21)</f>
        <v>249</v>
      </c>
    </row>
    <row r="22" spans="1:25" s="26" customFormat="1">
      <c r="A22" s="60" t="s">
        <v>139</v>
      </c>
      <c r="B22" s="114">
        <v>-202</v>
      </c>
      <c r="C22" s="114">
        <v>-137</v>
      </c>
      <c r="D22" s="114">
        <v>-21</v>
      </c>
      <c r="E22" s="114">
        <v>0</v>
      </c>
      <c r="F22" s="114">
        <v>0</v>
      </c>
      <c r="G22" s="64">
        <f>SUM(B22:F22)</f>
        <v>-360</v>
      </c>
      <c r="I22" s="64">
        <f>-Summary!D14</f>
        <v>0</v>
      </c>
      <c r="J22" s="65">
        <f>-Summary!D15</f>
        <v>25</v>
      </c>
      <c r="K22" s="64">
        <f>-Summary!D16</f>
        <v>0</v>
      </c>
      <c r="L22" s="65">
        <v>0</v>
      </c>
      <c r="M22" s="64">
        <v>0</v>
      </c>
      <c r="N22" s="64">
        <f>SUM(I22:M22)</f>
        <v>25</v>
      </c>
      <c r="O22" s="127" t="s">
        <v>138</v>
      </c>
      <c r="T22" s="64">
        <f>B22-I22</f>
        <v>-202</v>
      </c>
      <c r="U22" s="64">
        <f t="shared" si="8"/>
        <v>-162</v>
      </c>
      <c r="V22" s="64">
        <f t="shared" si="8"/>
        <v>-21</v>
      </c>
      <c r="W22" s="64">
        <f t="shared" si="8"/>
        <v>0</v>
      </c>
      <c r="X22" s="64">
        <f t="shared" si="8"/>
        <v>0</v>
      </c>
      <c r="Y22" s="64">
        <f>SUM(T22:X22)</f>
        <v>-385</v>
      </c>
    </row>
    <row r="23" spans="1:25" s="26" customFormat="1">
      <c r="A23" s="49" t="s">
        <v>208</v>
      </c>
      <c r="B23" s="116">
        <f t="shared" ref="B23:G23" si="9">SUM(B19:B22)</f>
        <v>1527.3362319470216</v>
      </c>
      <c r="C23" s="116">
        <f t="shared" si="9"/>
        <v>1379.8463956009091</v>
      </c>
      <c r="D23" s="116">
        <f t="shared" si="9"/>
        <v>399.93764945422527</v>
      </c>
      <c r="E23" s="116">
        <f t="shared" si="9"/>
        <v>7859.8914912</v>
      </c>
      <c r="F23" s="116">
        <f t="shared" si="9"/>
        <v>6011.438830730578</v>
      </c>
      <c r="G23" s="116">
        <f t="shared" si="9"/>
        <v>17178.450598932734</v>
      </c>
      <c r="I23" s="116">
        <f>SUM(I19:I22)</f>
        <v>-191.66376805297853</v>
      </c>
      <c r="J23" s="116">
        <f>SUM(J19:J22)</f>
        <v>3276.8463956009091</v>
      </c>
      <c r="K23" s="116">
        <f>Summary!F16</f>
        <v>88</v>
      </c>
      <c r="L23" s="116">
        <f>Summary!F17</f>
        <v>3573</v>
      </c>
      <c r="M23" s="116">
        <f>SUM(M19:M22)</f>
        <v>6011.438830730578</v>
      </c>
      <c r="N23" s="116">
        <f>SUM(N19:N22)</f>
        <v>11821.450598932734</v>
      </c>
      <c r="O23" s="127" t="s">
        <v>138</v>
      </c>
      <c r="T23" s="116">
        <f>B23-I23</f>
        <v>1719</v>
      </c>
      <c r="U23" s="116">
        <f t="shared" si="8"/>
        <v>-1897</v>
      </c>
      <c r="V23" s="116">
        <f t="shared" si="8"/>
        <v>311.93764945422527</v>
      </c>
      <c r="W23" s="116">
        <f t="shared" si="8"/>
        <v>4286.8914912</v>
      </c>
      <c r="X23" s="116">
        <f t="shared" si="8"/>
        <v>0</v>
      </c>
      <c r="Y23" s="116">
        <f>G23-N23</f>
        <v>5357</v>
      </c>
    </row>
    <row r="24" spans="1:25" s="26" customFormat="1">
      <c r="A24" s="21"/>
      <c r="B24" s="21"/>
      <c r="C24" s="21"/>
      <c r="D24" s="21"/>
      <c r="E24" s="21"/>
      <c r="F24" s="21"/>
      <c r="G24" s="21"/>
      <c r="K24" s="24"/>
      <c r="L24" s="24"/>
      <c r="M24" s="24"/>
      <c r="N24" s="24">
        <v>0</v>
      </c>
    </row>
    <row r="25" spans="1:25" s="26" customFormat="1">
      <c r="A25" s="21"/>
      <c r="B25" s="21"/>
      <c r="C25" s="21"/>
      <c r="D25" s="164"/>
      <c r="E25" s="164"/>
      <c r="F25" s="164"/>
      <c r="G25" s="164"/>
      <c r="I25" s="22"/>
      <c r="J25" s="22"/>
      <c r="K25" s="22"/>
      <c r="L25" s="22"/>
      <c r="M25" s="22"/>
      <c r="N25" s="22"/>
    </row>
    <row r="26" spans="1:25" s="26" customFormat="1">
      <c r="A26" s="21" t="s">
        <v>147</v>
      </c>
      <c r="B26" s="21"/>
      <c r="C26" s="21"/>
      <c r="D26" s="164"/>
      <c r="E26" s="164"/>
      <c r="F26" s="21"/>
      <c r="G26" s="164"/>
      <c r="I26" s="19"/>
      <c r="J26" s="19"/>
      <c r="K26" s="19"/>
      <c r="L26" s="19"/>
      <c r="M26" s="19"/>
      <c r="N26" s="22"/>
    </row>
    <row r="27" spans="1:25" s="26" customFormat="1">
      <c r="A27" s="21"/>
      <c r="B27" s="21"/>
      <c r="C27" s="21"/>
      <c r="D27" s="21"/>
      <c r="E27" s="21"/>
      <c r="F27" s="21"/>
      <c r="G27" s="21"/>
      <c r="I27" s="25"/>
      <c r="J27" s="25"/>
      <c r="K27" s="25"/>
      <c r="L27" s="25"/>
      <c r="M27" s="25"/>
      <c r="N27" s="19"/>
      <c r="T27" s="351" t="s">
        <v>153</v>
      </c>
      <c r="U27" s="351"/>
      <c r="V27" s="351"/>
      <c r="W27" s="351"/>
      <c r="X27" s="351"/>
      <c r="Y27" s="351"/>
    </row>
    <row r="28" spans="1:25" s="26" customFormat="1" ht="26.2" customHeight="1">
      <c r="A28" s="177" t="s">
        <v>24</v>
      </c>
      <c r="B28" s="68" t="s">
        <v>33</v>
      </c>
      <c r="C28" s="68" t="s">
        <v>34</v>
      </c>
      <c r="D28" s="68" t="s">
        <v>35</v>
      </c>
      <c r="E28" s="68" t="s">
        <v>36</v>
      </c>
      <c r="F28" s="68" t="s">
        <v>25</v>
      </c>
      <c r="G28" s="68" t="s">
        <v>30</v>
      </c>
      <c r="I28" s="159" t="s">
        <v>33</v>
      </c>
      <c r="J28" s="68" t="s">
        <v>34</v>
      </c>
      <c r="K28" s="68" t="s">
        <v>35</v>
      </c>
      <c r="L28" s="68" t="s">
        <v>36</v>
      </c>
      <c r="M28" s="68" t="s">
        <v>25</v>
      </c>
      <c r="N28" s="68" t="s">
        <v>30</v>
      </c>
      <c r="T28" s="57" t="s">
        <v>33</v>
      </c>
      <c r="U28" s="57" t="s">
        <v>34</v>
      </c>
      <c r="V28" s="57" t="s">
        <v>35</v>
      </c>
      <c r="W28" s="57" t="s">
        <v>36</v>
      </c>
      <c r="X28" s="57" t="s">
        <v>25</v>
      </c>
      <c r="Y28" s="57" t="s">
        <v>30</v>
      </c>
    </row>
    <row r="29" spans="1:25" s="26" customFormat="1">
      <c r="A29" s="59" t="s">
        <v>155</v>
      </c>
      <c r="B29" s="80">
        <v>793.35015461850048</v>
      </c>
      <c r="C29" s="81">
        <v>1604.4515349787703</v>
      </c>
      <c r="D29" s="81">
        <v>1132</v>
      </c>
      <c r="E29" s="81">
        <v>3370.5952260000004</v>
      </c>
      <c r="F29" s="81">
        <v>0</v>
      </c>
      <c r="G29" s="81">
        <f t="shared" ref="G29:G35" si="10">SUM(B29:F29)</f>
        <v>6900.3969155972709</v>
      </c>
      <c r="I29" s="158">
        <v>793.35015461850048</v>
      </c>
      <c r="J29" s="81">
        <v>1604.4515349787703</v>
      </c>
      <c r="K29" s="81">
        <v>1132</v>
      </c>
      <c r="L29" s="81">
        <v>3370.5952260000004</v>
      </c>
      <c r="M29" s="81">
        <v>0</v>
      </c>
      <c r="N29" s="81">
        <f t="shared" ref="N29:N35" si="11">SUM(I29:M29)</f>
        <v>6900.3969155972709</v>
      </c>
      <c r="O29" s="48" t="s">
        <v>137</v>
      </c>
      <c r="T29" s="158">
        <f t="shared" ref="T29:T35" si="12">B29-I29</f>
        <v>0</v>
      </c>
      <c r="U29" s="158">
        <f t="shared" ref="U29:X35" si="13">C29-J29</f>
        <v>0</v>
      </c>
      <c r="V29" s="158">
        <f t="shared" si="13"/>
        <v>0</v>
      </c>
      <c r="W29" s="158">
        <f t="shared" si="13"/>
        <v>0</v>
      </c>
      <c r="X29" s="158">
        <f t="shared" si="13"/>
        <v>0</v>
      </c>
      <c r="Y29" s="81">
        <f>SUM(T29:X29)</f>
        <v>0</v>
      </c>
    </row>
    <row r="30" spans="1:25" s="26" customFormat="1">
      <c r="A30" s="61" t="s">
        <v>26</v>
      </c>
      <c r="B30" s="65">
        <v>22</v>
      </c>
      <c r="C30" s="64">
        <v>854</v>
      </c>
      <c r="D30" s="65">
        <v>27</v>
      </c>
      <c r="E30" s="64">
        <v>5932</v>
      </c>
      <c r="F30" s="65">
        <v>0</v>
      </c>
      <c r="G30" s="117">
        <f t="shared" si="10"/>
        <v>6835</v>
      </c>
      <c r="I30" s="64">
        <v>22</v>
      </c>
      <c r="J30" s="64">
        <v>854</v>
      </c>
      <c r="K30" s="65">
        <v>27</v>
      </c>
      <c r="L30" s="64">
        <v>5932</v>
      </c>
      <c r="M30" s="65">
        <v>0</v>
      </c>
      <c r="N30" s="117">
        <f t="shared" si="11"/>
        <v>6835</v>
      </c>
      <c r="O30" s="48" t="s">
        <v>137</v>
      </c>
      <c r="R30" s="131"/>
      <c r="T30" s="64">
        <f t="shared" si="12"/>
        <v>0</v>
      </c>
      <c r="U30" s="64">
        <f t="shared" si="13"/>
        <v>0</v>
      </c>
      <c r="V30" s="64">
        <f t="shared" si="13"/>
        <v>0</v>
      </c>
      <c r="W30" s="64">
        <f t="shared" si="13"/>
        <v>0</v>
      </c>
      <c r="X30" s="64">
        <f t="shared" si="13"/>
        <v>0</v>
      </c>
      <c r="Y30" s="64">
        <f t="shared" ref="Y30:Y35" si="14">G30-N30</f>
        <v>0</v>
      </c>
    </row>
    <row r="31" spans="1:25" s="26" customFormat="1">
      <c r="A31" s="61" t="s">
        <v>27</v>
      </c>
      <c r="B31" s="65">
        <v>22</v>
      </c>
      <c r="C31" s="64">
        <v>101</v>
      </c>
      <c r="D31" s="65">
        <v>24</v>
      </c>
      <c r="E31" s="64">
        <v>493</v>
      </c>
      <c r="F31" s="65">
        <v>0</v>
      </c>
      <c r="G31" s="117">
        <f t="shared" si="10"/>
        <v>640</v>
      </c>
      <c r="I31" s="64">
        <v>22</v>
      </c>
      <c r="J31" s="64">
        <v>101</v>
      </c>
      <c r="K31" s="65">
        <v>24</v>
      </c>
      <c r="L31" s="64">
        <v>493</v>
      </c>
      <c r="M31" s="65">
        <v>0</v>
      </c>
      <c r="N31" s="117">
        <f t="shared" si="11"/>
        <v>640</v>
      </c>
      <c r="O31" s="48" t="s">
        <v>137</v>
      </c>
      <c r="T31" s="64">
        <f t="shared" si="12"/>
        <v>0</v>
      </c>
      <c r="U31" s="64">
        <f t="shared" si="13"/>
        <v>0</v>
      </c>
      <c r="V31" s="64">
        <f t="shared" si="13"/>
        <v>0</v>
      </c>
      <c r="W31" s="64">
        <f t="shared" si="13"/>
        <v>0</v>
      </c>
      <c r="X31" s="64">
        <f t="shared" si="13"/>
        <v>0</v>
      </c>
      <c r="Y31" s="64">
        <f t="shared" si="14"/>
        <v>0</v>
      </c>
    </row>
    <row r="32" spans="1:25" s="26" customFormat="1">
      <c r="A32" s="61" t="s">
        <v>28</v>
      </c>
      <c r="B32" s="65">
        <v>-509</v>
      </c>
      <c r="C32" s="64">
        <v>-818</v>
      </c>
      <c r="D32" s="65">
        <v>-462</v>
      </c>
      <c r="E32" s="64">
        <v>-3321</v>
      </c>
      <c r="F32" s="65">
        <v>0</v>
      </c>
      <c r="G32" s="117">
        <f t="shared" si="10"/>
        <v>-5110</v>
      </c>
      <c r="I32" s="64">
        <v>-509</v>
      </c>
      <c r="J32" s="64">
        <v>-818</v>
      </c>
      <c r="K32" s="65">
        <v>-462</v>
      </c>
      <c r="L32" s="64">
        <v>-3321</v>
      </c>
      <c r="M32" s="65">
        <v>0</v>
      </c>
      <c r="N32" s="117">
        <f t="shared" si="11"/>
        <v>-5110</v>
      </c>
      <c r="O32" s="48" t="s">
        <v>137</v>
      </c>
      <c r="T32" s="64">
        <f t="shared" si="12"/>
        <v>0</v>
      </c>
      <c r="U32" s="64">
        <f t="shared" si="13"/>
        <v>0</v>
      </c>
      <c r="V32" s="64">
        <f t="shared" si="13"/>
        <v>0</v>
      </c>
      <c r="W32" s="64">
        <f t="shared" si="13"/>
        <v>0</v>
      </c>
      <c r="X32" s="64">
        <f t="shared" si="13"/>
        <v>0</v>
      </c>
      <c r="Y32" s="64">
        <f t="shared" si="14"/>
        <v>0</v>
      </c>
    </row>
    <row r="33" spans="1:25" s="26" customFormat="1">
      <c r="A33" s="61" t="s">
        <v>80</v>
      </c>
      <c r="B33" s="65">
        <v>0</v>
      </c>
      <c r="C33" s="64">
        <v>-154</v>
      </c>
      <c r="D33" s="65">
        <v>0</v>
      </c>
      <c r="E33" s="64">
        <v>0</v>
      </c>
      <c r="F33" s="65">
        <v>0</v>
      </c>
      <c r="G33" s="117">
        <f t="shared" si="10"/>
        <v>-154</v>
      </c>
      <c r="I33" s="64">
        <v>0</v>
      </c>
      <c r="J33" s="64">
        <v>-154</v>
      </c>
      <c r="K33" s="65">
        <v>0</v>
      </c>
      <c r="L33" s="64">
        <v>0</v>
      </c>
      <c r="M33" s="65">
        <v>0</v>
      </c>
      <c r="N33" s="117">
        <f t="shared" si="11"/>
        <v>-154</v>
      </c>
      <c r="O33" s="48" t="s">
        <v>137</v>
      </c>
      <c r="T33" s="64">
        <f t="shared" si="12"/>
        <v>0</v>
      </c>
      <c r="U33" s="64">
        <f t="shared" si="13"/>
        <v>0</v>
      </c>
      <c r="V33" s="64">
        <f t="shared" si="13"/>
        <v>0</v>
      </c>
      <c r="W33" s="64">
        <f t="shared" si="13"/>
        <v>0</v>
      </c>
      <c r="X33" s="64">
        <f t="shared" si="13"/>
        <v>0</v>
      </c>
      <c r="Y33" s="64">
        <f t="shared" si="14"/>
        <v>0</v>
      </c>
    </row>
    <row r="34" spans="1:25" s="26" customFormat="1">
      <c r="A34" s="61" t="s">
        <v>29</v>
      </c>
      <c r="B34" s="65">
        <v>-135</v>
      </c>
      <c r="C34" s="64">
        <v>-663</v>
      </c>
      <c r="D34" s="65">
        <v>0</v>
      </c>
      <c r="E34" s="64">
        <v>-151</v>
      </c>
      <c r="F34" s="65">
        <v>0</v>
      </c>
      <c r="G34" s="117">
        <f t="shared" si="10"/>
        <v>-949</v>
      </c>
      <c r="I34" s="64">
        <v>-135</v>
      </c>
      <c r="J34" s="64">
        <v>-663</v>
      </c>
      <c r="K34" s="65">
        <v>0</v>
      </c>
      <c r="L34" s="64">
        <v>-151</v>
      </c>
      <c r="M34" s="65">
        <v>0</v>
      </c>
      <c r="N34" s="117">
        <f t="shared" si="11"/>
        <v>-949</v>
      </c>
      <c r="O34" s="48" t="s">
        <v>137</v>
      </c>
      <c r="T34" s="64">
        <f t="shared" si="12"/>
        <v>0</v>
      </c>
      <c r="U34" s="64">
        <f t="shared" si="13"/>
        <v>0</v>
      </c>
      <c r="V34" s="64">
        <f t="shared" si="13"/>
        <v>0</v>
      </c>
      <c r="W34" s="64">
        <f t="shared" si="13"/>
        <v>0</v>
      </c>
      <c r="X34" s="64">
        <f t="shared" si="13"/>
        <v>0</v>
      </c>
      <c r="Y34" s="64">
        <f t="shared" si="14"/>
        <v>0</v>
      </c>
    </row>
    <row r="35" spans="1:25" s="26" customFormat="1">
      <c r="A35" s="23" t="s">
        <v>146</v>
      </c>
      <c r="B35" s="66">
        <v>0</v>
      </c>
      <c r="C35" s="114">
        <v>-27</v>
      </c>
      <c r="D35" s="115">
        <v>0</v>
      </c>
      <c r="E35" s="66">
        <v>0</v>
      </c>
      <c r="F35" s="65">
        <v>0</v>
      </c>
      <c r="G35" s="117">
        <f t="shared" si="10"/>
        <v>-27</v>
      </c>
      <c r="I35" s="66">
        <v>0</v>
      </c>
      <c r="J35" s="114">
        <v>-27</v>
      </c>
      <c r="K35" s="115">
        <v>0</v>
      </c>
      <c r="L35" s="66">
        <v>0</v>
      </c>
      <c r="M35" s="65">
        <v>0</v>
      </c>
      <c r="N35" s="117">
        <f t="shared" si="11"/>
        <v>-27</v>
      </c>
      <c r="O35" s="48" t="s">
        <v>137</v>
      </c>
      <c r="T35" s="64">
        <f t="shared" si="12"/>
        <v>0</v>
      </c>
      <c r="U35" s="64">
        <f t="shared" si="13"/>
        <v>0</v>
      </c>
      <c r="V35" s="64">
        <f t="shared" si="13"/>
        <v>0</v>
      </c>
      <c r="W35" s="64">
        <f t="shared" si="13"/>
        <v>0</v>
      </c>
      <c r="X35" s="64">
        <f t="shared" si="13"/>
        <v>0</v>
      </c>
      <c r="Y35" s="64">
        <f t="shared" si="14"/>
        <v>0</v>
      </c>
    </row>
    <row r="36" spans="1:25" s="26" customFormat="1">
      <c r="A36" s="49" t="s">
        <v>152</v>
      </c>
      <c r="B36" s="82">
        <f t="shared" ref="B36:G36" si="15">SUM(B29:B35)</f>
        <v>193.35015461850048</v>
      </c>
      <c r="C36" s="82">
        <f t="shared" si="15"/>
        <v>897.45153497877027</v>
      </c>
      <c r="D36" s="82">
        <f t="shared" si="15"/>
        <v>721</v>
      </c>
      <c r="E36" s="82">
        <f t="shared" si="15"/>
        <v>6323.5952260000013</v>
      </c>
      <c r="F36" s="82">
        <f t="shared" si="15"/>
        <v>0</v>
      </c>
      <c r="G36" s="116">
        <f t="shared" si="15"/>
        <v>8135.39691559727</v>
      </c>
      <c r="I36" s="82">
        <f t="shared" ref="I36:N36" si="16">SUM(I29:I35)</f>
        <v>193.35015461850048</v>
      </c>
      <c r="J36" s="82">
        <f t="shared" si="16"/>
        <v>897.45153497877027</v>
      </c>
      <c r="K36" s="82">
        <f t="shared" si="16"/>
        <v>721</v>
      </c>
      <c r="L36" s="82">
        <f t="shared" si="16"/>
        <v>6323.5952260000013</v>
      </c>
      <c r="M36" s="82">
        <f t="shared" si="16"/>
        <v>0</v>
      </c>
      <c r="N36" s="116">
        <f t="shared" si="16"/>
        <v>8135.39691559727</v>
      </c>
      <c r="O36" s="48" t="s">
        <v>137</v>
      </c>
      <c r="T36" s="82">
        <f t="shared" ref="T36:Y36" si="17">SUM(T29:T35)</f>
        <v>0</v>
      </c>
      <c r="U36" s="82">
        <f t="shared" si="17"/>
        <v>0</v>
      </c>
      <c r="V36" s="82">
        <f t="shared" si="17"/>
        <v>0</v>
      </c>
      <c r="W36" s="82">
        <f t="shared" si="17"/>
        <v>0</v>
      </c>
      <c r="X36" s="82">
        <f t="shared" si="17"/>
        <v>0</v>
      </c>
      <c r="Y36" s="116">
        <f t="shared" si="17"/>
        <v>0</v>
      </c>
    </row>
    <row r="37" spans="1:25" s="26" customFormat="1">
      <c r="A37" s="50" t="s">
        <v>31</v>
      </c>
      <c r="B37" s="54">
        <v>177</v>
      </c>
      <c r="C37" s="50">
        <v>406</v>
      </c>
      <c r="D37" s="55">
        <v>433</v>
      </c>
      <c r="E37" s="118">
        <v>3099</v>
      </c>
      <c r="F37" s="119">
        <v>0</v>
      </c>
      <c r="G37" s="120">
        <f>SUM(B37:F37)</f>
        <v>4115</v>
      </c>
      <c r="I37" s="54">
        <v>177</v>
      </c>
      <c r="J37" s="50">
        <v>406</v>
      </c>
      <c r="K37" s="55">
        <v>433</v>
      </c>
      <c r="L37" s="118">
        <v>3099</v>
      </c>
      <c r="M37" s="119">
        <v>0</v>
      </c>
      <c r="N37" s="120">
        <f>SUM(I37:M37)</f>
        <v>4115</v>
      </c>
      <c r="O37" s="48" t="s">
        <v>137</v>
      </c>
      <c r="T37" s="119">
        <f>B37-I37</f>
        <v>0</v>
      </c>
      <c r="U37" s="119">
        <f t="shared" ref="U37:X38" si="18">C37-J37</f>
        <v>0</v>
      </c>
      <c r="V37" s="119">
        <f t="shared" si="18"/>
        <v>0</v>
      </c>
      <c r="W37" s="119">
        <f t="shared" si="18"/>
        <v>0</v>
      </c>
      <c r="X37" s="119">
        <f t="shared" si="18"/>
        <v>0</v>
      </c>
      <c r="Y37" s="120">
        <f>SUM(T37:X37)</f>
        <v>0</v>
      </c>
    </row>
    <row r="38" spans="1:25" s="26" customFormat="1">
      <c r="A38" s="50" t="s">
        <v>38</v>
      </c>
      <c r="B38" s="50">
        <v>16</v>
      </c>
      <c r="C38" s="50">
        <v>491</v>
      </c>
      <c r="D38" s="50">
        <v>288</v>
      </c>
      <c r="E38" s="118">
        <v>3225</v>
      </c>
      <c r="F38" s="119">
        <v>0</v>
      </c>
      <c r="G38" s="120">
        <f>SUM(B38:F38)</f>
        <v>4020</v>
      </c>
      <c r="I38" s="50">
        <v>16</v>
      </c>
      <c r="J38" s="50">
        <v>491</v>
      </c>
      <c r="K38" s="50">
        <v>288</v>
      </c>
      <c r="L38" s="118">
        <v>3225</v>
      </c>
      <c r="M38" s="119">
        <v>0</v>
      </c>
      <c r="N38" s="120">
        <f>SUM(I38:M38)</f>
        <v>4020</v>
      </c>
      <c r="O38" s="48" t="s">
        <v>137</v>
      </c>
      <c r="T38" s="119">
        <f>B38-I38</f>
        <v>0</v>
      </c>
      <c r="U38" s="119">
        <f t="shared" si="18"/>
        <v>0</v>
      </c>
      <c r="V38" s="119">
        <f t="shared" si="18"/>
        <v>0</v>
      </c>
      <c r="W38" s="119">
        <f t="shared" si="18"/>
        <v>0</v>
      </c>
      <c r="X38" s="119">
        <f t="shared" si="18"/>
        <v>0</v>
      </c>
      <c r="Y38" s="120">
        <f>SUM(T38:X38)</f>
        <v>0</v>
      </c>
    </row>
    <row r="39" spans="1:25" s="26" customFormat="1">
      <c r="A39" s="60"/>
      <c r="B39" s="114"/>
      <c r="C39" s="114"/>
      <c r="D39" s="114"/>
      <c r="E39" s="114"/>
      <c r="F39" s="114"/>
      <c r="G39" s="129"/>
      <c r="I39" s="129"/>
      <c r="J39" s="65"/>
      <c r="K39" s="129"/>
      <c r="L39" s="65"/>
      <c r="M39" s="129"/>
      <c r="N39" s="64"/>
      <c r="O39" s="127"/>
      <c r="T39" s="129"/>
      <c r="U39" s="65"/>
      <c r="V39" s="129"/>
      <c r="W39" s="65"/>
      <c r="X39" s="129"/>
      <c r="Y39" s="64"/>
    </row>
    <row r="40" spans="1:25" s="26" customFormat="1">
      <c r="A40" s="59" t="s">
        <v>419</v>
      </c>
      <c r="B40" s="80">
        <f>B36</f>
        <v>193.35015461850048</v>
      </c>
      <c r="C40" s="81">
        <f>C36</f>
        <v>897.45153497877027</v>
      </c>
      <c r="D40" s="81">
        <f>D36</f>
        <v>721</v>
      </c>
      <c r="E40" s="81">
        <f>E36</f>
        <v>6323.5952260000013</v>
      </c>
      <c r="F40" s="81">
        <v>0</v>
      </c>
      <c r="G40" s="81">
        <f>SUM(B40:F40)</f>
        <v>8135.3969155972718</v>
      </c>
      <c r="I40" s="81">
        <f>I36</f>
        <v>193.35015461850048</v>
      </c>
      <c r="J40" s="162">
        <f>J36</f>
        <v>897.45153497877027</v>
      </c>
      <c r="K40" s="81">
        <f>K36</f>
        <v>721</v>
      </c>
      <c r="L40" s="81">
        <f>L36</f>
        <v>6323.5952260000013</v>
      </c>
      <c r="M40" s="81">
        <v>0</v>
      </c>
      <c r="N40" s="81">
        <f>SUM(I40:M40)</f>
        <v>8135.3969155972718</v>
      </c>
      <c r="O40" s="127" t="s">
        <v>138</v>
      </c>
      <c r="T40" s="81">
        <f t="shared" ref="T40:T47" si="19">B40-I40</f>
        <v>0</v>
      </c>
      <c r="U40" s="81">
        <f t="shared" ref="U40:Y47" si="20">C40-J40</f>
        <v>0</v>
      </c>
      <c r="V40" s="81">
        <f t="shared" si="20"/>
        <v>0</v>
      </c>
      <c r="W40" s="81">
        <f t="shared" si="20"/>
        <v>0</v>
      </c>
      <c r="X40" s="81">
        <f t="shared" si="20"/>
        <v>0</v>
      </c>
      <c r="Y40" s="81">
        <f t="shared" si="20"/>
        <v>0</v>
      </c>
    </row>
    <row r="41" spans="1:25" s="26" customFormat="1">
      <c r="A41" s="61" t="s">
        <v>26</v>
      </c>
      <c r="B41" s="65">
        <f>B20</f>
        <v>1867</v>
      </c>
      <c r="C41" s="64">
        <f>C20</f>
        <v>1225</v>
      </c>
      <c r="D41" s="65">
        <v>0</v>
      </c>
      <c r="E41" s="64">
        <f>E20</f>
        <v>5755</v>
      </c>
      <c r="F41" s="65">
        <v>0</v>
      </c>
      <c r="G41" s="117">
        <f>SUM(B41:F41)</f>
        <v>8847</v>
      </c>
      <c r="I41" s="64">
        <f>Summary!H14</f>
        <v>0</v>
      </c>
      <c r="J41" s="64">
        <f>J20</f>
        <v>3248</v>
      </c>
      <c r="K41" s="64">
        <f>K20</f>
        <v>45</v>
      </c>
      <c r="L41" s="64">
        <f>Summary!H17</f>
        <v>61</v>
      </c>
      <c r="M41" s="64">
        <f>M20</f>
        <v>0</v>
      </c>
      <c r="N41" s="117">
        <f>SUM(I41:M41)</f>
        <v>3354</v>
      </c>
      <c r="O41" s="127" t="s">
        <v>138</v>
      </c>
      <c r="T41" s="64">
        <f t="shared" si="19"/>
        <v>1867</v>
      </c>
      <c r="U41" s="64">
        <f t="shared" si="20"/>
        <v>-2023</v>
      </c>
      <c r="V41" s="64">
        <f t="shared" si="20"/>
        <v>-45</v>
      </c>
      <c r="W41" s="64">
        <f t="shared" si="20"/>
        <v>5694</v>
      </c>
      <c r="X41" s="64">
        <f t="shared" si="20"/>
        <v>0</v>
      </c>
      <c r="Y41" s="64">
        <f>G41-N41</f>
        <v>5493</v>
      </c>
    </row>
    <row r="42" spans="1:25" s="26" customFormat="1">
      <c r="A42" s="61" t="s">
        <v>27</v>
      </c>
      <c r="B42" s="65">
        <v>123</v>
      </c>
      <c r="C42" s="64">
        <v>112</v>
      </c>
      <c r="D42" s="65">
        <v>32</v>
      </c>
      <c r="E42" s="64">
        <v>586</v>
      </c>
      <c r="F42" s="65">
        <v>0</v>
      </c>
      <c r="G42" s="117">
        <f>SUM(B42:F42)</f>
        <v>853</v>
      </c>
      <c r="I42" s="64">
        <f>Summary!I14</f>
        <v>109</v>
      </c>
      <c r="J42" s="157">
        <f>Summary!I15</f>
        <v>202</v>
      </c>
      <c r="K42" s="65">
        <f>Summary!I16</f>
        <v>28</v>
      </c>
      <c r="L42" s="64">
        <f>Summary!I17</f>
        <v>406</v>
      </c>
      <c r="M42" s="65">
        <v>0</v>
      </c>
      <c r="N42" s="117">
        <f>SUM(I42:M42)</f>
        <v>745</v>
      </c>
      <c r="O42" s="127" t="s">
        <v>138</v>
      </c>
      <c r="T42" s="64">
        <f t="shared" si="19"/>
        <v>14</v>
      </c>
      <c r="U42" s="64">
        <f t="shared" si="20"/>
        <v>-90</v>
      </c>
      <c r="V42" s="64">
        <f t="shared" si="20"/>
        <v>4</v>
      </c>
      <c r="W42" s="64">
        <f t="shared" si="20"/>
        <v>180</v>
      </c>
      <c r="X42" s="64">
        <f t="shared" si="20"/>
        <v>0</v>
      </c>
      <c r="Y42" s="64">
        <f>G42-N42</f>
        <v>108</v>
      </c>
    </row>
    <row r="43" spans="1:25" s="26" customFormat="1">
      <c r="A43" s="61" t="s">
        <v>28</v>
      </c>
      <c r="B43" s="65">
        <v>-331</v>
      </c>
      <c r="C43" s="64">
        <v>-693</v>
      </c>
      <c r="D43" s="65">
        <v>-455</v>
      </c>
      <c r="E43" s="64">
        <v>-4704</v>
      </c>
      <c r="F43" s="65">
        <v>0</v>
      </c>
      <c r="G43" s="117">
        <f>SUM(B43:F43)</f>
        <v>-6183</v>
      </c>
      <c r="I43" s="64">
        <f>-Summary!J14</f>
        <v>-458</v>
      </c>
      <c r="J43" s="157">
        <f>-Summary!J15</f>
        <v>-1040</v>
      </c>
      <c r="K43" s="65">
        <f>-Summary!J16</f>
        <v>-331</v>
      </c>
      <c r="L43" s="64">
        <f>-Summary!J17</f>
        <v>-4703</v>
      </c>
      <c r="M43" s="65">
        <v>0</v>
      </c>
      <c r="N43" s="117">
        <f>SUM(I43:M43)</f>
        <v>-6532</v>
      </c>
      <c r="O43" s="127" t="s">
        <v>138</v>
      </c>
      <c r="T43" s="64">
        <f t="shared" si="19"/>
        <v>127</v>
      </c>
      <c r="U43" s="64">
        <f t="shared" si="20"/>
        <v>347</v>
      </c>
      <c r="V43" s="64">
        <f t="shared" si="20"/>
        <v>-124</v>
      </c>
      <c r="W43" s="64">
        <f t="shared" si="20"/>
        <v>-1</v>
      </c>
      <c r="X43" s="64">
        <f t="shared" si="20"/>
        <v>0</v>
      </c>
      <c r="Y43" s="64">
        <f>G43-N43</f>
        <v>349</v>
      </c>
    </row>
    <row r="44" spans="1:25" s="26" customFormat="1">
      <c r="A44" s="61" t="s">
        <v>29</v>
      </c>
      <c r="B44" s="65">
        <v>-199</v>
      </c>
      <c r="C44" s="64">
        <v>-134</v>
      </c>
      <c r="D44" s="65">
        <v>-21</v>
      </c>
      <c r="E44" s="64">
        <f>-2</f>
        <v>-2</v>
      </c>
      <c r="F44" s="65">
        <v>0</v>
      </c>
      <c r="G44" s="117">
        <f>SUM(B44:F44)</f>
        <v>-356</v>
      </c>
      <c r="I44" s="66">
        <f>-Summary!K14</f>
        <v>0</v>
      </c>
      <c r="J44" s="157">
        <f>-Summary!K15</f>
        <v>24</v>
      </c>
      <c r="K44" s="65">
        <f>-Summary!K16</f>
        <v>0</v>
      </c>
      <c r="L44" s="64">
        <f>-Summary!K17</f>
        <v>0</v>
      </c>
      <c r="M44" s="65">
        <f>-Summary!K18</f>
        <v>0</v>
      </c>
      <c r="N44" s="117">
        <f>SUM(I44:M44)</f>
        <v>24</v>
      </c>
      <c r="O44" s="127" t="s">
        <v>138</v>
      </c>
      <c r="T44" s="64">
        <f t="shared" si="19"/>
        <v>-199</v>
      </c>
      <c r="U44" s="64">
        <f t="shared" si="20"/>
        <v>-158</v>
      </c>
      <c r="V44" s="64">
        <f t="shared" si="20"/>
        <v>-21</v>
      </c>
      <c r="W44" s="64">
        <f t="shared" si="20"/>
        <v>-2</v>
      </c>
      <c r="X44" s="64">
        <f t="shared" si="20"/>
        <v>0</v>
      </c>
      <c r="Y44" s="64">
        <f>G44-N44</f>
        <v>-380</v>
      </c>
    </row>
    <row r="45" spans="1:25" s="26" customFormat="1">
      <c r="A45" s="49" t="s">
        <v>208</v>
      </c>
      <c r="B45" s="82">
        <f t="shared" ref="B45:G45" si="21">SUM(B40:B44)</f>
        <v>1653.3501546185007</v>
      </c>
      <c r="C45" s="82">
        <f t="shared" si="21"/>
        <v>1407.4515349787703</v>
      </c>
      <c r="D45" s="82">
        <f t="shared" si="21"/>
        <v>277</v>
      </c>
      <c r="E45" s="82">
        <f t="shared" si="21"/>
        <v>7958.5952260000013</v>
      </c>
      <c r="F45" s="82">
        <f t="shared" si="21"/>
        <v>0</v>
      </c>
      <c r="G45" s="116">
        <f t="shared" si="21"/>
        <v>11296.396915597274</v>
      </c>
      <c r="I45" s="82">
        <f t="shared" ref="I45:N45" si="22">SUM(I40:I44)</f>
        <v>-155.64984538149952</v>
      </c>
      <c r="J45" s="82">
        <f t="shared" si="22"/>
        <v>3331.4515349787707</v>
      </c>
      <c r="K45" s="82">
        <f t="shared" si="22"/>
        <v>463</v>
      </c>
      <c r="L45" s="82">
        <f t="shared" si="22"/>
        <v>2087.5952260000013</v>
      </c>
      <c r="M45" s="82">
        <f t="shared" si="22"/>
        <v>0</v>
      </c>
      <c r="N45" s="163">
        <f t="shared" si="22"/>
        <v>5726.3969155972718</v>
      </c>
      <c r="O45" s="127"/>
      <c r="T45" s="82">
        <f t="shared" si="19"/>
        <v>1809.0000000000002</v>
      </c>
      <c r="U45" s="82">
        <f t="shared" si="20"/>
        <v>-1924.0000000000005</v>
      </c>
      <c r="V45" s="82">
        <f t="shared" si="20"/>
        <v>-186</v>
      </c>
      <c r="W45" s="82">
        <f t="shared" si="20"/>
        <v>5871</v>
      </c>
      <c r="X45" s="82">
        <f t="shared" si="20"/>
        <v>0</v>
      </c>
      <c r="Y45" s="163">
        <f t="shared" si="20"/>
        <v>5570.0000000000018</v>
      </c>
    </row>
    <row r="46" spans="1:25" s="26" customFormat="1">
      <c r="A46" s="50" t="s">
        <v>31</v>
      </c>
      <c r="B46" s="160">
        <v>349</v>
      </c>
      <c r="C46" s="120">
        <v>558.56223279999995</v>
      </c>
      <c r="D46" s="161">
        <v>277</v>
      </c>
      <c r="E46" s="120">
        <v>4256</v>
      </c>
      <c r="F46" s="119">
        <v>0</v>
      </c>
      <c r="G46" s="120">
        <f>SUM(B46:F46)</f>
        <v>5440.5622327999999</v>
      </c>
      <c r="I46" s="160">
        <f>Summary!M14</f>
        <v>442</v>
      </c>
      <c r="J46" s="120">
        <f>Summary!M15</f>
        <v>961</v>
      </c>
      <c r="K46" s="161">
        <f>Summary!M16</f>
        <v>20</v>
      </c>
      <c r="L46" s="120">
        <f>Summary!M17</f>
        <v>2245</v>
      </c>
      <c r="M46" s="119">
        <f>Summary!M18</f>
        <v>0</v>
      </c>
      <c r="N46" s="120">
        <f>SUM(I46:M46)</f>
        <v>3668</v>
      </c>
      <c r="O46" s="127"/>
      <c r="T46" s="160">
        <f t="shared" si="19"/>
        <v>-93</v>
      </c>
      <c r="U46" s="160">
        <f t="shared" si="20"/>
        <v>-402.43776720000005</v>
      </c>
      <c r="V46" s="160">
        <f t="shared" si="20"/>
        <v>257</v>
      </c>
      <c r="W46" s="160">
        <f t="shared" si="20"/>
        <v>2011</v>
      </c>
      <c r="X46" s="160">
        <f t="shared" si="20"/>
        <v>0</v>
      </c>
      <c r="Y46" s="120">
        <f>SUM(T46:X46)</f>
        <v>1772.5622327999999</v>
      </c>
    </row>
    <row r="47" spans="1:25" s="26" customFormat="1">
      <c r="A47" s="50" t="s">
        <v>38</v>
      </c>
      <c r="B47" s="120">
        <v>1304.3501546185007</v>
      </c>
      <c r="C47" s="120">
        <v>848.88931166700968</v>
      </c>
      <c r="D47" s="120">
        <v>0</v>
      </c>
      <c r="E47" s="120">
        <v>3703</v>
      </c>
      <c r="F47" s="119">
        <v>0</v>
      </c>
      <c r="G47" s="120">
        <f>SUM(B47:F47)</f>
        <v>5856.2394662855104</v>
      </c>
      <c r="I47" s="120">
        <f>Summary!N14</f>
        <v>863</v>
      </c>
      <c r="J47" s="120">
        <f>Summary!N15</f>
        <v>2946</v>
      </c>
      <c r="K47" s="120">
        <f>Summary!N16</f>
        <v>0</v>
      </c>
      <c r="L47" s="120">
        <f>Summary!N17</f>
        <v>1411</v>
      </c>
      <c r="M47" s="119">
        <f>Summary!N18</f>
        <v>0</v>
      </c>
      <c r="N47" s="120">
        <f>SUM(I47:M47)</f>
        <v>5220</v>
      </c>
      <c r="O47" s="127"/>
      <c r="T47" s="160">
        <f t="shared" si="19"/>
        <v>441.35015461850071</v>
      </c>
      <c r="U47" s="160">
        <f t="shared" si="20"/>
        <v>-2097.1106883329903</v>
      </c>
      <c r="V47" s="160">
        <f t="shared" si="20"/>
        <v>0</v>
      </c>
      <c r="W47" s="160">
        <f t="shared" si="20"/>
        <v>2292</v>
      </c>
      <c r="X47" s="160">
        <f t="shared" si="20"/>
        <v>0</v>
      </c>
      <c r="Y47" s="120">
        <f>SUM(T47:X47)</f>
        <v>636.23946628551039</v>
      </c>
    </row>
    <row r="48" spans="1:25" s="26" customFormat="1">
      <c r="A48" s="23"/>
      <c r="B48" s="17"/>
      <c r="C48" s="15"/>
      <c r="D48" s="15"/>
      <c r="L48" s="137"/>
    </row>
    <row r="49" spans="1:7" s="26" customFormat="1">
      <c r="A49" s="29" t="s">
        <v>39</v>
      </c>
      <c r="B49" s="17"/>
      <c r="C49" s="15"/>
      <c r="D49" s="15"/>
    </row>
    <row r="50" spans="1:7" s="26" customFormat="1" ht="29.25" customHeight="1">
      <c r="A50" s="350" t="s">
        <v>60</v>
      </c>
      <c r="B50" s="350"/>
      <c r="C50" s="350"/>
      <c r="D50" s="350"/>
      <c r="E50" s="350"/>
      <c r="F50" s="350"/>
      <c r="G50" s="350"/>
    </row>
    <row r="51" spans="1:7" s="26" customFormat="1">
      <c r="A51" s="30"/>
      <c r="B51" s="31"/>
      <c r="C51" s="31"/>
      <c r="D51" s="31"/>
    </row>
    <row r="52" spans="1:7" s="26" customFormat="1">
      <c r="A52" s="21" t="s">
        <v>61</v>
      </c>
      <c r="B52" s="17"/>
      <c r="C52" s="22"/>
      <c r="D52" s="22"/>
    </row>
    <row r="53" spans="1:7" s="26" customFormat="1">
      <c r="A53" s="21"/>
      <c r="B53" s="25"/>
      <c r="C53" s="25"/>
      <c r="D53" s="25"/>
    </row>
    <row r="54" spans="1:7" s="26" customFormat="1" ht="26.6">
      <c r="A54" s="356" t="s">
        <v>24</v>
      </c>
      <c r="B54" s="356"/>
      <c r="C54" s="356"/>
      <c r="D54" s="69" t="s">
        <v>156</v>
      </c>
      <c r="E54" s="69" t="s">
        <v>65</v>
      </c>
    </row>
    <row r="55" spans="1:7" s="26" customFormat="1">
      <c r="A55" s="361" t="s">
        <v>40</v>
      </c>
      <c r="B55" s="362"/>
      <c r="C55" s="362"/>
      <c r="D55" s="71">
        <f>-G21</f>
        <v>5767</v>
      </c>
      <c r="E55" s="71">
        <f>-N13</f>
        <v>4583</v>
      </c>
      <c r="F55" s="127" t="s">
        <v>138</v>
      </c>
    </row>
    <row r="56" spans="1:7" s="26" customFormat="1">
      <c r="A56" s="359" t="s">
        <v>41</v>
      </c>
      <c r="B56" s="360"/>
      <c r="C56" s="360"/>
      <c r="D56" s="34">
        <f>G42</f>
        <v>853</v>
      </c>
      <c r="E56" s="34">
        <f>G31</f>
        <v>640</v>
      </c>
      <c r="F56" s="127" t="s">
        <v>138</v>
      </c>
    </row>
    <row r="57" spans="1:7" s="26" customFormat="1">
      <c r="A57" s="357" t="s">
        <v>42</v>
      </c>
      <c r="B57" s="358"/>
      <c r="C57" s="358"/>
      <c r="D57" s="36">
        <v>7125</v>
      </c>
      <c r="E57" s="36">
        <v>9637</v>
      </c>
      <c r="F57" s="127" t="s">
        <v>181</v>
      </c>
    </row>
    <row r="58" spans="1:7" s="32" customFormat="1">
      <c r="A58" s="343" t="s">
        <v>30</v>
      </c>
      <c r="B58" s="344"/>
      <c r="C58" s="344"/>
      <c r="D58" s="70">
        <f>SUM(D55:D57)</f>
        <v>13745</v>
      </c>
      <c r="E58" s="70">
        <f>SUM(E55:E57)</f>
        <v>14860</v>
      </c>
    </row>
    <row r="59" spans="1:7" s="26" customFormat="1">
      <c r="A59" s="21"/>
      <c r="B59" s="17"/>
      <c r="C59" s="17"/>
      <c r="D59" s="27"/>
    </row>
    <row r="60" spans="1:7" s="26" customFormat="1">
      <c r="A60" s="32" t="s">
        <v>157</v>
      </c>
      <c r="B60" s="15"/>
      <c r="C60" s="15"/>
      <c r="D60" s="15"/>
    </row>
    <row r="61" spans="1:7" ht="26.6">
      <c r="A61" s="354" t="s">
        <v>24</v>
      </c>
      <c r="B61" s="354"/>
      <c r="C61" s="354"/>
      <c r="D61" s="69" t="s">
        <v>158</v>
      </c>
      <c r="E61" s="69" t="s">
        <v>159</v>
      </c>
    </row>
    <row r="62" spans="1:7">
      <c r="A62" s="179" t="s">
        <v>43</v>
      </c>
      <c r="B62" s="33"/>
      <c r="C62" s="33"/>
      <c r="D62" s="34">
        <f>Summary!M19</f>
        <v>3668</v>
      </c>
      <c r="E62" s="34">
        <v>5069</v>
      </c>
      <c r="F62" s="127" t="s">
        <v>138</v>
      </c>
    </row>
    <row r="63" spans="1:7" s="17" customFormat="1">
      <c r="A63" s="178" t="s">
        <v>44</v>
      </c>
      <c r="B63" s="35"/>
      <c r="C63" s="35"/>
      <c r="D63" s="36">
        <f>Summary!N19</f>
        <v>5220</v>
      </c>
      <c r="E63" s="36">
        <v>5380</v>
      </c>
      <c r="F63" s="127" t="s">
        <v>138</v>
      </c>
    </row>
    <row r="64" spans="1:7" s="17" customFormat="1" hidden="1">
      <c r="A64" s="23"/>
      <c r="D64" s="28"/>
      <c r="E64" s="28"/>
    </row>
    <row r="65" spans="1:6" s="17" customFormat="1">
      <c r="A65" s="355" t="s">
        <v>30</v>
      </c>
      <c r="B65" s="355"/>
      <c r="C65" s="355"/>
      <c r="D65" s="37">
        <f>SUM(D62:D64)</f>
        <v>8888</v>
      </c>
      <c r="E65" s="37">
        <f>SUM(E62:E64)</f>
        <v>10449</v>
      </c>
    </row>
    <row r="67" spans="1:6" s="17" customFormat="1">
      <c r="A67" s="38" t="s">
        <v>160</v>
      </c>
      <c r="B67" s="39"/>
      <c r="C67" s="39"/>
      <c r="D67" s="39"/>
    </row>
    <row r="68" spans="1:6" s="17" customFormat="1" ht="26.6">
      <c r="A68" s="345" t="s">
        <v>24</v>
      </c>
      <c r="B68" s="345"/>
      <c r="C68" s="51"/>
      <c r="D68" s="52" t="s">
        <v>65</v>
      </c>
      <c r="E68" s="69" t="s">
        <v>49</v>
      </c>
    </row>
    <row r="69" spans="1:6" s="17" customFormat="1">
      <c r="A69" s="346" t="s">
        <v>45</v>
      </c>
      <c r="B69" s="347"/>
      <c r="C69" s="33"/>
      <c r="D69" s="40">
        <f>-G43-G42</f>
        <v>5330</v>
      </c>
      <c r="E69" s="40">
        <f>-(G32+E70)</f>
        <v>4470</v>
      </c>
      <c r="F69" s="127" t="s">
        <v>138</v>
      </c>
    </row>
    <row r="70" spans="1:6" s="17" customFormat="1">
      <c r="A70" s="348" t="s">
        <v>46</v>
      </c>
      <c r="B70" s="349"/>
      <c r="C70" s="35"/>
      <c r="D70" s="41">
        <f>G42</f>
        <v>853</v>
      </c>
      <c r="E70" s="41">
        <f>G31</f>
        <v>640</v>
      </c>
      <c r="F70" s="127" t="s">
        <v>138</v>
      </c>
    </row>
    <row r="71" spans="1:6" s="17" customFormat="1">
      <c r="A71" s="352" t="s">
        <v>30</v>
      </c>
      <c r="B71" s="353"/>
      <c r="C71" s="20"/>
      <c r="D71" s="42">
        <f>SUM(D69:D70)</f>
        <v>6183</v>
      </c>
      <c r="E71" s="42">
        <v>4100</v>
      </c>
    </row>
    <row r="72" spans="1:6" s="17" customFormat="1">
      <c r="A72" s="43"/>
      <c r="B72" s="43"/>
      <c r="C72" s="44"/>
      <c r="D72" s="44"/>
    </row>
  </sheetData>
  <mergeCells count="16">
    <mergeCell ref="T9:Y9"/>
    <mergeCell ref="T27:Y27"/>
    <mergeCell ref="I9:N9"/>
    <mergeCell ref="A71:B71"/>
    <mergeCell ref="A61:C61"/>
    <mergeCell ref="A65:C65"/>
    <mergeCell ref="A54:C54"/>
    <mergeCell ref="A57:C57"/>
    <mergeCell ref="A56:C56"/>
    <mergeCell ref="A55:C55"/>
    <mergeCell ref="F8:G8"/>
    <mergeCell ref="A58:C58"/>
    <mergeCell ref="A68:B68"/>
    <mergeCell ref="A69:B69"/>
    <mergeCell ref="A70:B70"/>
    <mergeCell ref="A50:G50"/>
  </mergeCells>
  <pageMargins left="1.0986614173228351" right="0.70866141732283505" top="0.59055118110236204" bottom="0.511811023622047" header="0.31496062992126" footer="0.31496062992126"/>
  <pageSetup scale="55" fitToWidth="2" fitToHeight="2" orientation="portrait"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21DD6-B602-4F77-BBC3-94F0015B2FD6}">
  <sheetPr codeName="Sheet2"/>
  <dimension ref="A1:N25"/>
  <sheetViews>
    <sheetView showGridLines="0" zoomScale="80" zoomScaleNormal="80" workbookViewId="0">
      <pane xSplit="1" ySplit="13" topLeftCell="B14" activePane="bottomRight" state="frozen"/>
      <selection pane="topRight"/>
      <selection pane="bottomLeft"/>
      <selection pane="bottomRight" activeCell="E14" sqref="E14"/>
    </sheetView>
  </sheetViews>
  <sheetFormatPr defaultColWidth="8.796875" defaultRowHeight="13.3"/>
  <cols>
    <col min="1" max="1" width="15.796875" style="2" bestFit="1" customWidth="1"/>
    <col min="2" max="2" width="15.796875" style="2" customWidth="1"/>
    <col min="3" max="3" width="13.796875" style="2" bestFit="1" customWidth="1"/>
    <col min="4" max="4" width="13.796875" style="2" customWidth="1"/>
    <col min="5" max="5" width="16.796875" style="2" customWidth="1"/>
    <col min="6" max="6" width="15.5" style="2" customWidth="1"/>
    <col min="7" max="8" width="13.796875" style="2" bestFit="1" customWidth="1"/>
    <col min="9" max="9" width="12.796875" style="2" bestFit="1" customWidth="1"/>
    <col min="10" max="10" width="13.796875" style="2" bestFit="1" customWidth="1"/>
    <col min="11" max="11" width="19" style="2" bestFit="1" customWidth="1"/>
    <col min="12" max="14" width="13.796875" style="2" bestFit="1" customWidth="1"/>
    <col min="15" max="16384" width="8.796875" style="2"/>
  </cols>
  <sheetData>
    <row r="1" spans="1:14">
      <c r="A1" s="14" t="e">
        <f>Scope!#REF!</f>
        <v>#REF!</v>
      </c>
      <c r="B1" s="14"/>
    </row>
    <row r="2" spans="1:14">
      <c r="A2" s="14" t="e">
        <f>Scope!#REF!</f>
        <v>#REF!</v>
      </c>
      <c r="B2" s="14"/>
    </row>
    <row r="3" spans="1:14">
      <c r="A3" s="14" t="e">
        <f>Scope!#REF!</f>
        <v>#REF!</v>
      </c>
      <c r="B3" s="14"/>
    </row>
    <row r="6" spans="1:14">
      <c r="A6" s="14" t="str">
        <f>Scope!A2</f>
        <v xml:space="preserve">Purpose </v>
      </c>
      <c r="B6" s="14"/>
    </row>
    <row r="7" spans="1:14">
      <c r="A7" s="2" t="s">
        <v>77</v>
      </c>
    </row>
    <row r="10" spans="1:14">
      <c r="A10" s="14" t="s">
        <v>78</v>
      </c>
      <c r="B10" s="14"/>
    </row>
    <row r="11" spans="1:14">
      <c r="A11" s="14"/>
      <c r="B11" s="14"/>
    </row>
    <row r="12" spans="1:14" ht="14.55" customHeight="1">
      <c r="B12" s="364" t="s">
        <v>79</v>
      </c>
      <c r="C12" s="364"/>
      <c r="D12" s="364"/>
      <c r="E12" s="364"/>
      <c r="F12" s="364"/>
      <c r="G12" s="363" t="s">
        <v>15</v>
      </c>
      <c r="H12" s="363"/>
      <c r="I12" s="363"/>
      <c r="J12" s="363"/>
      <c r="K12" s="363"/>
      <c r="L12" s="363"/>
    </row>
    <row r="13" spans="1:14" s="122" customFormat="1" ht="26.6">
      <c r="A13" s="121" t="s">
        <v>24</v>
      </c>
      <c r="B13" s="98" t="s">
        <v>205</v>
      </c>
      <c r="C13" s="121" t="s">
        <v>75</v>
      </c>
      <c r="D13" s="98" t="s">
        <v>135</v>
      </c>
      <c r="E13" s="98" t="s">
        <v>203</v>
      </c>
      <c r="F13" s="98" t="s">
        <v>206</v>
      </c>
      <c r="G13" s="121" t="s">
        <v>9</v>
      </c>
      <c r="H13" s="121" t="s">
        <v>75</v>
      </c>
      <c r="I13" s="121" t="s">
        <v>10</v>
      </c>
      <c r="J13" s="121" t="s">
        <v>11</v>
      </c>
      <c r="K13" s="121" t="s">
        <v>76</v>
      </c>
      <c r="L13" s="121" t="s">
        <v>8</v>
      </c>
      <c r="M13" s="121" t="s">
        <v>74</v>
      </c>
      <c r="N13" s="121" t="s">
        <v>63</v>
      </c>
    </row>
    <row r="14" spans="1:14">
      <c r="A14" s="78" t="s">
        <v>136</v>
      </c>
      <c r="B14" s="123">
        <f>ROUND(SUMIF('Details 25-26'!$D:$D,$A14,'Details 25-26'!I:I)/10^5,0)</f>
        <v>1527</v>
      </c>
      <c r="C14" s="123">
        <f>ROUND(SUMIF('Details 25-26'!$D:$D,$A14,'Details 25-26'!J:J)/10^5,0)</f>
        <v>0</v>
      </c>
      <c r="D14" s="123">
        <f>ROUND(SUMIF('Details 25-26'!$D:$D,$A14,'Details 25-26'!K:K)/10^5,0)</f>
        <v>0</v>
      </c>
      <c r="E14" s="123">
        <f>ROUND(SUMIF('Details 25-26'!$D:$D,$A14,'Details 25-26'!L:L)/10^5,0)</f>
        <v>394</v>
      </c>
      <c r="F14" s="123">
        <f>B14+C14-D14-E14</f>
        <v>1133</v>
      </c>
      <c r="G14" s="123">
        <f>ROUND(SUMIF('Details 25-26'!$D:$D,$A14,'Details 25-26'!N:N)/10^5,0)</f>
        <v>1653</v>
      </c>
      <c r="H14" s="123">
        <f>ROUND(SUMIF('Details 25-26'!$D:$D,$A14,'Details 25-26'!O:O)/10^5,0)</f>
        <v>0</v>
      </c>
      <c r="I14" s="123">
        <f>ROUND(SUMIF('Details 25-26'!$D:$D,$A14,'Details 25-26'!P:P)/10^5,0)</f>
        <v>109</v>
      </c>
      <c r="J14" s="123">
        <f>ROUND(SUMIF('Details 25-26'!$D:$D,$A14,'Details 25-26'!Q:Q)/10^5,0)</f>
        <v>458</v>
      </c>
      <c r="K14" s="123">
        <f>ROUND(SUMIF('Details 25-26'!$D:$D,$A14,'Details 25-26'!R:R)/10^5,0)</f>
        <v>0</v>
      </c>
      <c r="L14" s="123">
        <f>G14+H14+I14-J14-K14</f>
        <v>1304</v>
      </c>
      <c r="M14" s="123">
        <f>ROUND(SUMIF('Details 25-26'!$D:$D,$A14,'Details 25-26'!T:T)/10^5,0)</f>
        <v>442</v>
      </c>
      <c r="N14" s="123">
        <f>ROUND(SUMIF('Details 25-26'!$D:$D,$A14,'Details 25-26'!U:U)/10^5,0)</f>
        <v>863</v>
      </c>
    </row>
    <row r="15" spans="1:14">
      <c r="A15" s="9" t="s">
        <v>16</v>
      </c>
      <c r="B15" s="123">
        <f>ROUND(SUMIF('Details 25-26'!$D:$D,$A15,'Details 25-26'!I:I)/10^5,0)</f>
        <v>1436</v>
      </c>
      <c r="C15" s="123">
        <f>ROUND(SUMIF('Details 25-26'!$D:$D,$A15,'Details 25-26'!J:J)/10^5,0)</f>
        <v>3248</v>
      </c>
      <c r="D15" s="123">
        <f>ROUND(SUMIF('Details 25-26'!$D:$D,$A15,'Details 25-26'!K:K)/10^5,0)</f>
        <v>-25</v>
      </c>
      <c r="E15" s="123">
        <f>ROUND(SUMIF('Details 25-26'!$D:$D,$A15,'Details 25-26'!L:L)/10^5,0)</f>
        <v>911</v>
      </c>
      <c r="F15" s="123">
        <f>B15+C15-D15-E15</f>
        <v>3798</v>
      </c>
      <c r="G15" s="123">
        <f>ROUND(SUMIF('Details 25-26'!$D:$D,$A15,'Details 25-26'!N:N)/10^5,0)</f>
        <v>1474</v>
      </c>
      <c r="H15" s="123">
        <f>ROUND(SUMIF('Details 25-26'!$D:$D,$A15,'Details 25-26'!O:O)/10^5,0)</f>
        <v>3248</v>
      </c>
      <c r="I15" s="123">
        <f>ROUND(SUMIF('Details 25-26'!$D:$D,$A15,'Details 25-26'!P:P)/10^5,0)</f>
        <v>202</v>
      </c>
      <c r="J15" s="123">
        <f>ROUND(SUMIF('Details 25-26'!$D:$D,$A15,'Details 25-26'!Q:Q)/10^5,0)</f>
        <v>1040</v>
      </c>
      <c r="K15" s="123">
        <f>ROUND(SUMIF('Details 25-26'!$D:$D,$A15,'Details 25-26'!R:R)/10^5,0)</f>
        <v>-24</v>
      </c>
      <c r="L15" s="123">
        <f>G15+H15+I15-J15-K15</f>
        <v>3908</v>
      </c>
      <c r="M15" s="123">
        <f>ROUND(SUMIF('Details 25-26'!$D:$D,$A15,'Details 25-26'!T:T)/10^5,0)</f>
        <v>961</v>
      </c>
      <c r="N15" s="123">
        <f>ROUND(SUMIF('Details 25-26'!$D:$D,$A15,'Details 25-26'!U:U)/10^5,0)</f>
        <v>2946</v>
      </c>
    </row>
    <row r="16" spans="1:14">
      <c r="A16" s="9" t="s">
        <v>19</v>
      </c>
      <c r="B16" s="123">
        <f>ROUND(SUMIF('Details 25-26'!$D:$D,$A16,'Details 25-26'!I:I)/10^5,0)</f>
        <v>400</v>
      </c>
      <c r="C16" s="123">
        <f>ROUND(SUMIF('Details 25-26'!$D:$D,$A16,'Details 25-26'!J:J)/10^5,0)</f>
        <v>45</v>
      </c>
      <c r="D16" s="123">
        <f>ROUND(SUMIF('Details 25-26'!$D:$D,$A16,'Details 25-26'!K:K)/10^5,0)</f>
        <v>0</v>
      </c>
      <c r="E16" s="123">
        <f>ROUND(SUMIF('Details 25-26'!$D:$D,$A16,'Details 25-26'!L:L)/10^5,0)</f>
        <v>357</v>
      </c>
      <c r="F16" s="123">
        <f>B16+C16-D16-E16</f>
        <v>88</v>
      </c>
      <c r="G16" s="123">
        <f>ROUND(SUMIF('Details 25-26'!$D:$D,$A16,'Details 25-26'!N:N)/10^5,0)</f>
        <v>277</v>
      </c>
      <c r="H16" s="123">
        <f>ROUND(SUMIF('Details 25-26'!$D:$D,$A16,'Details 25-26'!O:O)/10^5,0)</f>
        <v>45</v>
      </c>
      <c r="I16" s="123">
        <f>ROUND(SUMIF('Details 25-26'!$D:$D,$A16,'Details 25-26'!P:P)/10^5,0)</f>
        <v>28</v>
      </c>
      <c r="J16" s="123">
        <f>ROUND(SUMIF('Details 25-26'!$D:$D,$A16,'Details 25-26'!Q:Q)/10^5,0)</f>
        <v>331</v>
      </c>
      <c r="K16" s="123">
        <f>ROUND(SUMIF('Details 25-26'!$D:$D,$A16,'Details 25-26'!R:R)/10^5,0)</f>
        <v>0</v>
      </c>
      <c r="L16" s="123">
        <f>G16+H16+I16-J16-K16</f>
        <v>19</v>
      </c>
      <c r="M16" s="123">
        <f>ROUND(SUMIF('Details 25-26'!$D:$D,$A16,'Details 25-26'!T:T)/10^5,0)</f>
        <v>20</v>
      </c>
      <c r="N16" s="123">
        <f>ROUND(SUMIF('Details 25-26'!$D:$D,$A16,'Details 25-26'!U:U)/10^5,0)</f>
        <v>0</v>
      </c>
    </row>
    <row r="17" spans="1:14">
      <c r="A17" s="9" t="s">
        <v>13</v>
      </c>
      <c r="B17" s="123">
        <f>ROUND(SUMIF('Details 25-26'!$D:$D,$A17,'Details 25-26'!I:I)/10^5,0)</f>
        <v>7792</v>
      </c>
      <c r="C17" s="123">
        <f>ROUND(SUMIF('Details 25-26'!$D:$D,$A17,'Details 25-26'!J:J)/10^5,0)</f>
        <v>61</v>
      </c>
      <c r="D17" s="123">
        <f>ROUND(SUMIF('Details 25-26'!$D:$D,$A17,'Details 25-26'!K:K)/10^5,0)</f>
        <v>0</v>
      </c>
      <c r="E17" s="123">
        <f>ROUND(SUMIF('Details 25-26'!$D:$D,$A17,'Details 25-26'!L:L)/10^5,0)</f>
        <v>4280</v>
      </c>
      <c r="F17" s="123">
        <f>B17+C17-D17-E17</f>
        <v>3573</v>
      </c>
      <c r="G17" s="123">
        <f>ROUND(SUMIF('Details 25-26'!$D:$D,$A17,'Details 25-26'!N:N)/10^5,0)</f>
        <v>7893</v>
      </c>
      <c r="H17" s="123">
        <f>ROUND(SUMIF('Details 25-26'!$D:$D,$A17,'Details 25-26'!O:O)/10^5,0)</f>
        <v>61</v>
      </c>
      <c r="I17" s="123">
        <f>ROUND(SUMIF('Details 25-26'!$D:$D,$A17,'Details 25-26'!P:P)/10^5,0)</f>
        <v>406</v>
      </c>
      <c r="J17" s="123">
        <f>ROUND(SUMIF('Details 25-26'!$D:$D,$A17,'Details 25-26'!Q:Q)/10^5,0)</f>
        <v>4703</v>
      </c>
      <c r="K17" s="123">
        <f>ROUND(SUMIF('Details 25-26'!$D:$D,$A17,'Details 25-26'!R:R)/10^5,0)</f>
        <v>0</v>
      </c>
      <c r="L17" s="123">
        <f>G17+H17+I17-J17-K17</f>
        <v>3657</v>
      </c>
      <c r="M17" s="123">
        <f>ROUND(SUMIF('Details 25-26'!$D:$D,$A17,'Details 25-26'!T:T)/10^5,0)</f>
        <v>2245</v>
      </c>
      <c r="N17" s="123">
        <f>ROUND(SUMIF('Details 25-26'!$D:$D,$A17,'Details 25-26'!U:U)/10^5,0)</f>
        <v>1411</v>
      </c>
    </row>
    <row r="18" spans="1:14" s="214" customFormat="1" hidden="1">
      <c r="A18" s="212" t="s">
        <v>25</v>
      </c>
      <c r="B18" s="213">
        <v>6085.438830730578</v>
      </c>
      <c r="C18" s="213">
        <f>ROUND(SUMIF('Details 25-26'!$D:$D,$A18,'Details 25-26'!J:J)/10^5,0)</f>
        <v>0</v>
      </c>
      <c r="D18" s="213">
        <f>ROUND(SUMIF('Details 25-26'!$D:$D,$A18,'Details 25-26'!K:K)/10^5,0)</f>
        <v>0</v>
      </c>
      <c r="E18" s="213">
        <v>74</v>
      </c>
      <c r="F18" s="213">
        <f>B18+C18-D18-E18</f>
        <v>6011.438830730578</v>
      </c>
      <c r="G18" s="213">
        <v>0</v>
      </c>
      <c r="H18" s="213">
        <v>0</v>
      </c>
      <c r="I18" s="213">
        <v>0</v>
      </c>
      <c r="J18" s="213">
        <v>0</v>
      </c>
      <c r="K18" s="213">
        <v>0</v>
      </c>
      <c r="L18" s="213">
        <f>G18+H18+I18-J18-K18</f>
        <v>0</v>
      </c>
      <c r="M18" s="213">
        <f>ROUND(SUMIF('Details 25-26'!$D:$D,$A18,'Details 25-26'!T:T)/10^5,0)</f>
        <v>0</v>
      </c>
      <c r="N18" s="213">
        <f>ROUND(SUMIF('Details 25-26'!$D:$D,$A18,'Details 25-26'!U:U)/10^5,0)</f>
        <v>0</v>
      </c>
    </row>
    <row r="19" spans="1:14" s="126" customFormat="1" ht="13.85" thickBot="1">
      <c r="A19" s="125" t="s">
        <v>62</v>
      </c>
      <c r="B19" s="124">
        <f>SUM(B14:B17)</f>
        <v>11155</v>
      </c>
      <c r="C19" s="124">
        <f>SUM(C14:C17)</f>
        <v>3354</v>
      </c>
      <c r="D19" s="124">
        <f t="shared" ref="D19:N19" si="0">SUM(D14:D17)</f>
        <v>-25</v>
      </c>
      <c r="E19" s="124">
        <f t="shared" si="0"/>
        <v>5942</v>
      </c>
      <c r="F19" s="124">
        <f t="shared" si="0"/>
        <v>8592</v>
      </c>
      <c r="G19" s="124">
        <f t="shared" si="0"/>
        <v>11297</v>
      </c>
      <c r="H19" s="124">
        <f t="shared" si="0"/>
        <v>3354</v>
      </c>
      <c r="I19" s="124">
        <f t="shared" si="0"/>
        <v>745</v>
      </c>
      <c r="J19" s="124">
        <f t="shared" si="0"/>
        <v>6532</v>
      </c>
      <c r="K19" s="124">
        <f t="shared" si="0"/>
        <v>-24</v>
      </c>
      <c r="L19" s="124">
        <f t="shared" si="0"/>
        <v>8888</v>
      </c>
      <c r="M19" s="124">
        <f t="shared" si="0"/>
        <v>3668</v>
      </c>
      <c r="N19" s="124">
        <f t="shared" si="0"/>
        <v>5220</v>
      </c>
    </row>
    <row r="20" spans="1:14" ht="13.85" thickTop="1"/>
    <row r="22" spans="1:14">
      <c r="B22" s="11"/>
      <c r="C22" s="11"/>
      <c r="D22" s="11"/>
      <c r="E22" s="11"/>
    </row>
    <row r="25" spans="1:14">
      <c r="B25" s="11"/>
      <c r="C25" s="11"/>
      <c r="D25" s="11"/>
      <c r="E25" s="11"/>
      <c r="F25" s="11"/>
    </row>
  </sheetData>
  <mergeCells count="2">
    <mergeCell ref="G12:L12"/>
    <mergeCell ref="B12:F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CE20-4616-41A6-B61B-55722579EB6E}">
  <sheetPr codeName="Sheet7"/>
  <dimension ref="A1:M32"/>
  <sheetViews>
    <sheetView showGridLines="0" zoomScale="80" zoomScaleNormal="80" workbookViewId="0">
      <selection activeCell="A7" sqref="A7"/>
    </sheetView>
  </sheetViews>
  <sheetFormatPr defaultColWidth="8.796875" defaultRowHeight="13.3"/>
  <cols>
    <col min="1" max="2" width="11.5" style="2" customWidth="1"/>
    <col min="3" max="3" width="18.5" style="2" customWidth="1"/>
    <col min="4" max="4" width="30.5" style="2" bestFit="1" customWidth="1"/>
    <col min="5" max="5" width="15.796875" style="2" customWidth="1"/>
    <col min="6" max="6" width="25.796875" style="2" customWidth="1"/>
    <col min="7" max="7" width="8.796875" style="2"/>
    <col min="8" max="8" width="10.8984375" style="2" customWidth="1"/>
    <col min="9" max="9" width="12.5" style="2" customWidth="1"/>
    <col min="10" max="10" width="8.796875" style="2"/>
    <col min="11" max="11" width="13" style="2" customWidth="1"/>
    <col min="12" max="12" width="15.5" style="2" customWidth="1"/>
    <col min="13" max="16384" width="8.796875" style="2"/>
  </cols>
  <sheetData>
    <row r="1" spans="1:13">
      <c r="A1" s="14" t="e">
        <f>Scope!#REF!</f>
        <v>#REF!</v>
      </c>
    </row>
    <row r="2" spans="1:13">
      <c r="A2" s="14" t="e">
        <f>Scope!#REF!</f>
        <v>#REF!</v>
      </c>
    </row>
    <row r="3" spans="1:13">
      <c r="A3" s="14" t="e">
        <f>Scope!#REF!</f>
        <v>#REF!</v>
      </c>
    </row>
    <row r="6" spans="1:13">
      <c r="A6" s="14" t="str">
        <f>Scope!A2</f>
        <v xml:space="preserve">Purpose </v>
      </c>
    </row>
    <row r="7" spans="1:13">
      <c r="A7" s="2" t="s">
        <v>118</v>
      </c>
    </row>
    <row r="9" spans="1:13">
      <c r="A9" s="183"/>
    </row>
    <row r="10" spans="1:13" s="173" customFormat="1">
      <c r="A10" s="98" t="s">
        <v>102</v>
      </c>
      <c r="B10" s="98" t="s">
        <v>1</v>
      </c>
      <c r="C10" s="98" t="s">
        <v>103</v>
      </c>
      <c r="D10" s="98" t="s">
        <v>120</v>
      </c>
      <c r="E10" s="98" t="s">
        <v>166</v>
      </c>
      <c r="F10" s="98" t="s">
        <v>101</v>
      </c>
      <c r="H10" s="2"/>
      <c r="I10" s="2"/>
      <c r="J10" s="2"/>
      <c r="K10" s="2"/>
      <c r="L10" s="2"/>
      <c r="M10" s="2"/>
    </row>
    <row r="11" spans="1:13" s="173" customFormat="1" ht="26.6">
      <c r="A11" s="94">
        <v>64797</v>
      </c>
      <c r="B11" s="94" t="s">
        <v>12</v>
      </c>
      <c r="C11" s="94" t="s">
        <v>13</v>
      </c>
      <c r="D11" s="95" t="s">
        <v>119</v>
      </c>
      <c r="E11" s="174">
        <f>_xlfn.XLOOKUP(A11,'Details 25-26'!B:B,'Details 25-26'!I:I)</f>
        <v>18576234.719999999</v>
      </c>
      <c r="F11" s="301" t="str">
        <f>"&lt;&lt; Refer tab "&amp;A11&amp;" &gt;&gt;"</f>
        <v>&lt;&lt; Refer tab 64797 &gt;&gt;</v>
      </c>
      <c r="H11" s="2"/>
      <c r="I11" s="2"/>
      <c r="J11" s="2"/>
      <c r="K11" s="2"/>
      <c r="L11" s="2"/>
      <c r="M11" s="2"/>
    </row>
    <row r="12" spans="1:13" s="173" customFormat="1" ht="26.6">
      <c r="A12" s="94">
        <v>64806</v>
      </c>
      <c r="B12" s="94" t="s">
        <v>12</v>
      </c>
      <c r="C12" s="94" t="s">
        <v>13</v>
      </c>
      <c r="D12" s="95" t="s">
        <v>119</v>
      </c>
      <c r="E12" s="174">
        <f>_xlfn.XLOOKUP(A12,'Details 25-26'!B:B,'Details 25-26'!I:I)</f>
        <v>253235834.62</v>
      </c>
      <c r="F12" s="301" t="str">
        <f>"&lt;&lt; Refer tab "&amp;A12&amp;" &gt;&gt;"</f>
        <v>&lt;&lt; Refer tab 64806 &gt;&gt;</v>
      </c>
      <c r="H12" s="2"/>
      <c r="I12" s="2"/>
      <c r="J12" s="2"/>
      <c r="K12" s="2"/>
      <c r="L12" s="2"/>
      <c r="M12" s="2"/>
    </row>
    <row r="13" spans="1:13" s="173" customFormat="1" ht="26.6">
      <c r="A13" s="94">
        <v>64807</v>
      </c>
      <c r="B13" s="94" t="s">
        <v>12</v>
      </c>
      <c r="C13" s="94" t="s">
        <v>13</v>
      </c>
      <c r="D13" s="95" t="s">
        <v>119</v>
      </c>
      <c r="E13" s="174">
        <f>_xlfn.XLOOKUP(A13,'Details 25-26'!B:B,'Details 25-26'!I:I)</f>
        <v>31042988.57</v>
      </c>
      <c r="F13" s="301" t="str">
        <f>"&lt;&lt; Refer tab "&amp;A13&amp;" &gt;&gt;"</f>
        <v>&lt;&lt; Refer tab 64807 &gt;&gt;</v>
      </c>
      <c r="J13" s="2"/>
    </row>
    <row r="14" spans="1:13" s="173" customFormat="1" ht="26.6">
      <c r="A14" s="94">
        <v>64418</v>
      </c>
      <c r="B14" s="94" t="s">
        <v>18</v>
      </c>
      <c r="C14" s="94" t="s">
        <v>164</v>
      </c>
      <c r="D14" s="95" t="s">
        <v>165</v>
      </c>
      <c r="E14" s="174">
        <f>_xlfn.XLOOKUP(A14,'Details 25-26'!B:B,'Details 25-26'!I:I)</f>
        <v>41405812.809999995</v>
      </c>
      <c r="F14" s="301" t="str">
        <f>"&lt;&lt; Refer tab "&amp;A14&amp;" -1"&amp;" &gt;&gt;"</f>
        <v>&lt;&lt; Refer tab 64418 -1 &gt;&gt;</v>
      </c>
      <c r="J14" s="2"/>
    </row>
    <row r="15" spans="1:13" s="173" customFormat="1" ht="26.6">
      <c r="A15" s="94">
        <v>64418</v>
      </c>
      <c r="B15" s="94" t="s">
        <v>18</v>
      </c>
      <c r="C15" s="94" t="s">
        <v>164</v>
      </c>
      <c r="D15" s="95" t="s">
        <v>165</v>
      </c>
      <c r="E15" s="174">
        <f>_xlfn.XLOOKUP(A15,'Details 25-26'!B:B,'Details 25-26'!I:I)</f>
        <v>41405812.809999995</v>
      </c>
      <c r="F15" s="301" t="str">
        <f>"&lt;&lt; Refer tab "&amp;A15&amp;" -2"&amp;" &gt;&gt;"</f>
        <v>&lt;&lt; Refer tab 64418 -2 &gt;&gt;</v>
      </c>
      <c r="J15" s="2"/>
    </row>
    <row r="16" spans="1:13" ht="26.6">
      <c r="A16" s="94">
        <v>59308</v>
      </c>
      <c r="B16" s="94" t="s">
        <v>17</v>
      </c>
      <c r="C16" s="94" t="s">
        <v>13</v>
      </c>
      <c r="D16" s="95" t="s">
        <v>427</v>
      </c>
      <c r="E16" s="174">
        <f>_xlfn.XLOOKUP(A16,'Details 25-26'!B:B,'Details 25-26'!I:I)</f>
        <v>16941687.799999997</v>
      </c>
      <c r="F16" s="301" t="str">
        <f>"&lt;&lt; Refer tab "&amp;A16&amp;" &gt;&gt;"</f>
        <v>&lt;&lt; Refer tab 59308 &gt;&gt;</v>
      </c>
    </row>
    <row r="17" spans="1:6" ht="26.6">
      <c r="A17" s="94">
        <v>66353</v>
      </c>
      <c r="B17" s="94" t="s">
        <v>17</v>
      </c>
      <c r="C17" s="94" t="s">
        <v>16</v>
      </c>
      <c r="D17" s="95" t="s">
        <v>425</v>
      </c>
      <c r="E17" s="174">
        <f>'Details 25-26'!J27</f>
        <v>142174951.40000001</v>
      </c>
      <c r="F17" s="301" t="str">
        <f t="shared" ref="F17:F32" si="0">"&lt;&lt; Refer tab "&amp;A17&amp;" &gt;&gt;"</f>
        <v>&lt;&lt; Refer tab 66353 &gt;&gt;</v>
      </c>
    </row>
    <row r="18" spans="1:6" ht="26.6">
      <c r="A18" s="94">
        <v>66354</v>
      </c>
      <c r="B18" s="94" t="s">
        <v>17</v>
      </c>
      <c r="C18" s="94" t="s">
        <v>16</v>
      </c>
      <c r="D18" s="95" t="s">
        <v>425</v>
      </c>
      <c r="E18" s="174">
        <f>'Details 25-26'!J28</f>
        <v>18970810.91</v>
      </c>
      <c r="F18" s="301" t="str">
        <f t="shared" si="0"/>
        <v>&lt;&lt; Refer tab 66354 &gt;&gt;</v>
      </c>
    </row>
    <row r="19" spans="1:6" ht="14.4">
      <c r="A19" s="94">
        <v>53818</v>
      </c>
      <c r="B19" s="94" t="s">
        <v>12</v>
      </c>
      <c r="C19" s="94" t="s">
        <v>13</v>
      </c>
      <c r="D19" s="95" t="s">
        <v>428</v>
      </c>
      <c r="E19" s="174">
        <f>_xlfn.XLOOKUP(A19,'Details 25-26'!B:B,'Details 25-26'!I:I)</f>
        <v>42114950.340000004</v>
      </c>
      <c r="F19" s="301" t="str">
        <f t="shared" si="0"/>
        <v>&lt;&lt; Refer tab 53818 &gt;&gt;</v>
      </c>
    </row>
    <row r="20" spans="1:6" ht="26.6">
      <c r="A20" s="94">
        <v>59268</v>
      </c>
      <c r="B20" s="94" t="s">
        <v>12</v>
      </c>
      <c r="C20" s="94" t="s">
        <v>13</v>
      </c>
      <c r="D20" s="95" t="s">
        <v>119</v>
      </c>
      <c r="E20" s="174">
        <f>_xlfn.XLOOKUP(A20,'Details 25-26'!B:B,'Details 25-26'!I:I)</f>
        <v>32928959.059999999</v>
      </c>
      <c r="F20" s="301" t="str">
        <f t="shared" si="0"/>
        <v>&lt;&lt; Refer tab 59268 &gt;&gt;</v>
      </c>
    </row>
    <row r="21" spans="1:6" ht="26.6">
      <c r="A21" s="94">
        <v>60756</v>
      </c>
      <c r="B21" s="94" t="s">
        <v>12</v>
      </c>
      <c r="C21" s="94" t="s">
        <v>13</v>
      </c>
      <c r="D21" s="95" t="s">
        <v>119</v>
      </c>
      <c r="E21" s="174">
        <f>_xlfn.XLOOKUP(A21,'Details 25-26'!B:B,'Details 25-26'!I:I)</f>
        <v>26034321.699999999</v>
      </c>
      <c r="F21" s="301" t="str">
        <f t="shared" si="0"/>
        <v>&lt;&lt; Refer tab 60756 &gt;&gt;</v>
      </c>
    </row>
    <row r="22" spans="1:6" ht="26.6">
      <c r="A22" s="94">
        <v>62007</v>
      </c>
      <c r="B22" s="94" t="s">
        <v>12</v>
      </c>
      <c r="C22" s="94" t="s">
        <v>13</v>
      </c>
      <c r="D22" s="95" t="s">
        <v>119</v>
      </c>
      <c r="E22" s="174">
        <f>_xlfn.XLOOKUP(A22,'Details 25-26'!B:B,'Details 25-26'!I:I)</f>
        <v>22626429.129999999</v>
      </c>
      <c r="F22" s="301" t="str">
        <f t="shared" si="0"/>
        <v>&lt;&lt; Refer tab 62007 &gt;&gt;</v>
      </c>
    </row>
    <row r="23" spans="1:6" ht="26.6">
      <c r="A23" s="94">
        <v>64753</v>
      </c>
      <c r="B23" s="94" t="s">
        <v>12</v>
      </c>
      <c r="C23" s="94" t="s">
        <v>13</v>
      </c>
      <c r="D23" s="95" t="s">
        <v>427</v>
      </c>
      <c r="E23" s="174">
        <f>_xlfn.XLOOKUP(A23,'Details 25-26'!B:B,'Details 25-26'!I:I)</f>
        <v>19027935.260000002</v>
      </c>
      <c r="F23" s="301" t="str">
        <f t="shared" si="0"/>
        <v>&lt;&lt; Refer tab 64753 &gt;&gt;</v>
      </c>
    </row>
    <row r="24" spans="1:6" ht="26.6">
      <c r="A24" s="94">
        <v>64754</v>
      </c>
      <c r="B24" s="94" t="s">
        <v>12</v>
      </c>
      <c r="C24" s="94" t="s">
        <v>13</v>
      </c>
      <c r="D24" s="95" t="s">
        <v>427</v>
      </c>
      <c r="E24" s="174">
        <f>_xlfn.XLOOKUP(A24,'Details 25-26'!B:B,'Details 25-26'!I:I)</f>
        <v>18680627.890000001</v>
      </c>
      <c r="F24" s="301" t="str">
        <f t="shared" si="0"/>
        <v>&lt;&lt; Refer tab 64754 &gt;&gt;</v>
      </c>
    </row>
    <row r="25" spans="1:6" ht="26.6">
      <c r="A25" s="94">
        <v>64802</v>
      </c>
      <c r="B25" s="94" t="s">
        <v>12</v>
      </c>
      <c r="C25" s="94" t="s">
        <v>13</v>
      </c>
      <c r="D25" s="95" t="s">
        <v>119</v>
      </c>
      <c r="E25" s="174">
        <f>_xlfn.XLOOKUP(A25,'Details 25-26'!B:B,'Details 25-26'!I:I)</f>
        <v>28252051.309999999</v>
      </c>
      <c r="F25" s="301" t="str">
        <f t="shared" si="0"/>
        <v>&lt;&lt; Refer tab 64802 &gt;&gt;</v>
      </c>
    </row>
    <row r="26" spans="1:6" ht="26.6">
      <c r="A26" s="94">
        <v>65449</v>
      </c>
      <c r="B26" s="94" t="s">
        <v>12</v>
      </c>
      <c r="C26" s="94" t="s">
        <v>13</v>
      </c>
      <c r="D26" s="95" t="s">
        <v>427</v>
      </c>
      <c r="E26" s="174">
        <f>_xlfn.XLOOKUP(A26,'Details 25-26'!B:B,'Details 25-26'!I:I)</f>
        <v>123094478.26000001</v>
      </c>
      <c r="F26" s="301" t="str">
        <f t="shared" si="0"/>
        <v>&lt;&lt; Refer tab 65449 &gt;&gt;</v>
      </c>
    </row>
    <row r="27" spans="1:6" ht="26.6">
      <c r="A27" s="94">
        <v>56754</v>
      </c>
      <c r="B27" s="94" t="s">
        <v>12</v>
      </c>
      <c r="C27" s="94" t="s">
        <v>13</v>
      </c>
      <c r="D27" s="95" t="s">
        <v>426</v>
      </c>
      <c r="E27" s="174">
        <f>_xlfn.XLOOKUP(A27,'Details 25-26'!B:B,'Details 25-26'!I:I)</f>
        <v>987857.38</v>
      </c>
      <c r="F27" s="301" t="str">
        <f t="shared" si="0"/>
        <v>&lt;&lt; Refer tab 56754 &gt;&gt;</v>
      </c>
    </row>
    <row r="28" spans="1:6" ht="26.6">
      <c r="A28" s="94">
        <v>57772</v>
      </c>
      <c r="B28" s="94" t="s">
        <v>12</v>
      </c>
      <c r="C28" s="94" t="s">
        <v>13</v>
      </c>
      <c r="D28" s="95" t="s">
        <v>119</v>
      </c>
      <c r="E28" s="174">
        <f>_xlfn.XLOOKUP(A28,'Details 25-26'!B:B,'Details 25-26'!I:I)</f>
        <v>5036147.24</v>
      </c>
      <c r="F28" s="301" t="str">
        <f t="shared" si="0"/>
        <v>&lt;&lt; Refer tab 57772 &gt;&gt;</v>
      </c>
    </row>
    <row r="29" spans="1:6" ht="26.6">
      <c r="A29" s="94">
        <v>60014</v>
      </c>
      <c r="B29" s="94" t="s">
        <v>12</v>
      </c>
      <c r="C29" s="94" t="s">
        <v>13</v>
      </c>
      <c r="D29" s="95" t="s">
        <v>119</v>
      </c>
      <c r="E29" s="174">
        <f>_xlfn.XLOOKUP(A29,'Details 25-26'!B:B,'Details 25-26'!I:I)</f>
        <v>46481790.979999997</v>
      </c>
      <c r="F29" s="301" t="str">
        <f t="shared" si="0"/>
        <v>&lt;&lt; Refer tab 60014 &gt;&gt;</v>
      </c>
    </row>
    <row r="30" spans="1:6" ht="26.6">
      <c r="A30" s="94">
        <v>62561</v>
      </c>
      <c r="B30" s="94" t="s">
        <v>12</v>
      </c>
      <c r="C30" s="94" t="s">
        <v>13</v>
      </c>
      <c r="D30" s="95" t="s">
        <v>119</v>
      </c>
      <c r="E30" s="174">
        <f>_xlfn.XLOOKUP(A30,'Details 25-26'!B:B,'Details 25-26'!I:I)</f>
        <v>83277963.900000006</v>
      </c>
      <c r="F30" s="301" t="str">
        <f t="shared" si="0"/>
        <v>&lt;&lt; Refer tab 62561 &gt;&gt;</v>
      </c>
    </row>
    <row r="31" spans="1:6" ht="26.6">
      <c r="A31" s="94">
        <v>63100</v>
      </c>
      <c r="B31" s="94" t="s">
        <v>12</v>
      </c>
      <c r="C31" s="94" t="s">
        <v>13</v>
      </c>
      <c r="D31" s="95" t="s">
        <v>119</v>
      </c>
      <c r="E31" s="174">
        <f>_xlfn.XLOOKUP(A31,'Details 25-26'!B:B,'Details 25-26'!I:I)</f>
        <v>10884952.77</v>
      </c>
      <c r="F31" s="301" t="str">
        <f t="shared" si="0"/>
        <v>&lt;&lt; Refer tab 63100 &gt;&gt;</v>
      </c>
    </row>
    <row r="32" spans="1:6" ht="39.9">
      <c r="A32" s="95" t="s">
        <v>347</v>
      </c>
      <c r="B32" s="94" t="s">
        <v>204</v>
      </c>
      <c r="C32" s="94" t="s">
        <v>19</v>
      </c>
      <c r="D32" s="95" t="s">
        <v>347</v>
      </c>
      <c r="E32" s="174">
        <f>_xlfn.XLOOKUP(A32,'Details 25-26'!B:B,'Details 25-26'!I:I)</f>
        <v>40015641.330341697</v>
      </c>
      <c r="F32" s="302" t="str">
        <f t="shared" si="0"/>
        <v>&lt;&lt; Refer tab Rent Alpha Private Limited &gt;&gt;</v>
      </c>
    </row>
  </sheetData>
  <hyperlinks>
    <hyperlink ref="F11" location="'ITC-64797'!A1" display="'ITC-64797'!A1" xr:uid="{9EB49757-2479-42AC-A625-CD350EA1A12A}"/>
    <hyperlink ref="F12" location="'ITC-64806'!A1" display="'ITC-64806'!A1" xr:uid="{4D0F5740-FE9A-45E7-A3C4-5B8A81B3AC6E}"/>
    <hyperlink ref="F13" location="'ITC-64807'!A1" display="'ITC-64807'!A1" xr:uid="{22EEC82E-3E35-4A9D-9EAE-F3AC6FD75F6F}"/>
    <hyperlink ref="F16" location="'MMF-59308'!A1" display="'MMF-59308'!A1" xr:uid="{79850779-F920-4F3D-8C89-D3447EA4C978}"/>
    <hyperlink ref="F17" location="'MMF-66353'!A1" display="'MMF-66353'!A1" xr:uid="{8EC16F20-6A39-4212-BE72-85E2278B08CD}"/>
    <hyperlink ref="F18" location="'MMF-66354'!A1" display="'MMF-66354'!A1" xr:uid="{4C7EA3B3-17B3-4F91-8D4D-18DA0CB24D2A}"/>
    <hyperlink ref="F19" location="'ITC- 53818'!A1" display="'ITC- 53818'!A1" xr:uid="{85C486F1-4E62-4CB1-9C9E-3E9451F719C7}"/>
    <hyperlink ref="F20" location="'ITC- 59268'!A1" display="'ITC- 59268'!A1" xr:uid="{62525433-66B7-4523-827D-7B7E166BB3DD}"/>
    <hyperlink ref="F21" location="'ITC- 60756'!A1" display="'ITC- 60756'!A1" xr:uid="{EE9CDA47-4176-4181-B948-CD7B847FC44B}"/>
    <hyperlink ref="F22" location="'ITC-62007'!A1" display="'ITC-62007'!A1" xr:uid="{DFB563C1-241D-40DE-B97B-748EE4370059}"/>
    <hyperlink ref="F23" location="'ITC-64753'!A1" display="'ITC-64753'!A1" xr:uid="{EEE1957B-5171-4DE5-B6BA-AC139DA3893E}"/>
    <hyperlink ref="F24" location="'ITC-64754'!A1" display="'ITC-64754'!A1" xr:uid="{4D23BA38-67B1-4498-B562-3C64649504ED}"/>
    <hyperlink ref="F25" location="'ITC-64802'!A1" display="'ITC-64802'!A1" xr:uid="{F8479E5A-42D8-4371-A204-F000CC7E22F4}"/>
    <hyperlink ref="F26" location="'ITC- 65449'!A1" display="'ITC- 65449'!A1" xr:uid="{F3314D98-8B2E-4AA6-A572-B331CD817860}"/>
    <hyperlink ref="F27" location="'ITC-56754'!A1" display="'ITC-56754'!A1" xr:uid="{01343218-9879-4E94-874F-45BF9C8B0F28}"/>
    <hyperlink ref="F28" location="'ITC-57772'!A1" display="'ITC-57772'!A1" xr:uid="{2B52B57E-515E-4FA2-9611-94DD5C724524}"/>
    <hyperlink ref="F32" location="'Wind- Rent Alpha'!A1" display="'Wind- Rent Alpha'!A1" xr:uid="{A36DD629-EED6-41FA-AE57-EC20F57374EC}"/>
    <hyperlink ref="F15" location="'OCL 64418-2'!A1" display="'OCL 64418-2'!A1" xr:uid="{833F941A-EF94-4234-B857-36C3C379DF62}"/>
    <hyperlink ref="F29" location="'ITC-60014'!A1" display="'ITC-60014'!A1" xr:uid="{F3FC3D04-A2AC-414B-ABEF-C8227C8BE997}"/>
    <hyperlink ref="F30" location="'ITC-62561'!A1" display="'ITC-62561'!A1" xr:uid="{17648994-5D03-484B-B3EE-E9757F08E932}"/>
    <hyperlink ref="F31" location="'ITC- 63100'!A1" display="'ITC- 63100'!A1" xr:uid="{6FCB3300-9A60-440D-9259-9C8D845D1F9A}"/>
    <hyperlink ref="F14" location="'OCL 64418-1'!A1" display="'OCL 64418-1'!A1" xr:uid="{C06A89E2-B12E-4D60-9EB4-1C270A492D9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78DC3-B2E1-4292-A25B-392D6693EBD5}">
  <dimension ref="A1:B17"/>
  <sheetViews>
    <sheetView showGridLines="0" topLeftCell="A8" workbookViewId="0">
      <selection activeCell="B8" sqref="B8"/>
    </sheetView>
  </sheetViews>
  <sheetFormatPr defaultRowHeight="14.4"/>
  <cols>
    <col min="1" max="1" width="24.59765625" bestFit="1" customWidth="1"/>
    <col min="2" max="2" width="150" bestFit="1" customWidth="1"/>
  </cols>
  <sheetData>
    <row r="1" spans="1:2">
      <c r="A1" s="14" t="e">
        <f>Testing!A1</f>
        <v>#REF!</v>
      </c>
    </row>
    <row r="2" spans="1:2">
      <c r="A2" s="14" t="e">
        <f>Testing!A2</f>
        <v>#REF!</v>
      </c>
    </row>
    <row r="3" spans="1:2">
      <c r="A3" s="14" t="e">
        <f>Testing!A3</f>
        <v>#REF!</v>
      </c>
    </row>
    <row r="5" spans="1:2">
      <c r="A5" s="14" t="s">
        <v>22</v>
      </c>
    </row>
    <row r="6" spans="1:2">
      <c r="A6" s="2" t="s">
        <v>463</v>
      </c>
    </row>
    <row r="8" spans="1:2">
      <c r="A8" s="320" t="s">
        <v>444</v>
      </c>
      <c r="B8" s="320" t="s">
        <v>445</v>
      </c>
    </row>
    <row r="9" spans="1:2">
      <c r="A9" s="209" t="s">
        <v>446</v>
      </c>
      <c r="B9" s="209" t="s">
        <v>455</v>
      </c>
    </row>
    <row r="10" spans="1:2">
      <c r="A10" s="209" t="s">
        <v>447</v>
      </c>
      <c r="B10" s="209" t="s">
        <v>456</v>
      </c>
    </row>
    <row r="11" spans="1:2">
      <c r="A11" s="209" t="s">
        <v>448</v>
      </c>
      <c r="B11" s="209" t="s">
        <v>457</v>
      </c>
    </row>
    <row r="12" spans="1:2">
      <c r="A12" s="209" t="s">
        <v>449</v>
      </c>
      <c r="B12" s="209" t="s">
        <v>458</v>
      </c>
    </row>
    <row r="13" spans="1:2">
      <c r="A13" s="209" t="s">
        <v>450</v>
      </c>
      <c r="B13" s="209" t="s">
        <v>464</v>
      </c>
    </row>
    <row r="14" spans="1:2">
      <c r="A14" s="209" t="s">
        <v>451</v>
      </c>
      <c r="B14" s="209" t="s">
        <v>459</v>
      </c>
    </row>
    <row r="15" spans="1:2">
      <c r="A15" s="209" t="s">
        <v>452</v>
      </c>
      <c r="B15" s="209" t="s">
        <v>460</v>
      </c>
    </row>
    <row r="16" spans="1:2">
      <c r="A16" s="209" t="s">
        <v>453</v>
      </c>
      <c r="B16" s="209" t="s">
        <v>461</v>
      </c>
    </row>
    <row r="17" spans="1:2">
      <c r="A17" s="209" t="s">
        <v>454</v>
      </c>
      <c r="B17" s="209" t="s">
        <v>462</v>
      </c>
    </row>
  </sheetData>
  <pageMargins left="0.7" right="0.7" top="0.75" bottom="0.75" header="0.3" footer="0.3"/>
  <drawing r:id="rId1"/>
  <legacyDrawing r:id="rId2"/>
  <oleObjects>
    <mc:AlternateContent xmlns:mc="http://schemas.openxmlformats.org/markup-compatibility/2006">
      <mc:Choice Requires="x14">
        <oleObject progId="Acrobat Document" dvAspect="DVASPECT_ICON" shapeId="1025" r:id="rId3">
          <objectPr defaultSize="0" r:id="rId4">
            <anchor moveWithCells="1">
              <from>
                <xdr:col>1</xdr:col>
                <xdr:colOff>3101926</xdr:colOff>
                <xdr:row>19</xdr:row>
                <xdr:rowOff>56271</xdr:rowOff>
              </from>
              <to>
                <xdr:col>1</xdr:col>
                <xdr:colOff>4016326</xdr:colOff>
                <xdr:row>23</xdr:row>
                <xdr:rowOff>14068</xdr:rowOff>
              </to>
            </anchor>
          </objectPr>
        </oleObject>
      </mc:Choice>
      <mc:Fallback>
        <oleObject progId="Acrobat Document" dvAspect="DVASPECT_ICON" shapeId="1025" r:id="rId3"/>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B6B51-0883-4672-A1E8-27A119468BED}">
  <dimension ref="A1:V341"/>
  <sheetViews>
    <sheetView showGridLines="0" topLeftCell="A10" zoomScale="80" zoomScaleNormal="80" workbookViewId="0">
      <selection activeCell="B11" sqref="B11"/>
    </sheetView>
  </sheetViews>
  <sheetFormatPr defaultColWidth="8.796875" defaultRowHeight="14.4" outlineLevelRow="1"/>
  <cols>
    <col min="1" max="1" width="9.19921875" bestFit="1" customWidth="1"/>
    <col min="2" max="2" width="20.8984375" bestFit="1" customWidth="1"/>
    <col min="3" max="3" width="35" bestFit="1" customWidth="1"/>
    <col min="4" max="4" width="27.796875" customWidth="1"/>
    <col min="5" max="5" width="12.8984375" customWidth="1"/>
    <col min="6" max="6" width="18.19921875" customWidth="1"/>
    <col min="7" max="7" width="13.5" customWidth="1"/>
    <col min="8" max="8" width="13.09765625" customWidth="1"/>
    <col min="9" max="9" width="19.59765625" customWidth="1"/>
    <col min="10" max="10" width="18.09765625" customWidth="1"/>
    <col min="11" max="11" width="23.3984375" customWidth="1"/>
    <col min="12" max="12" width="21.3984375" customWidth="1"/>
    <col min="13" max="13" width="14.59765625" customWidth="1"/>
    <col min="14" max="14" width="15.19921875" bestFit="1" customWidth="1"/>
    <col min="15" max="15" width="17.5" bestFit="1" customWidth="1"/>
    <col min="16" max="16" width="13.59765625" bestFit="1" customWidth="1"/>
    <col min="17" max="17" width="14.8984375" bestFit="1" customWidth="1"/>
    <col min="18" max="18" width="17.3984375" bestFit="1" customWidth="1"/>
    <col min="19" max="21" width="14.59765625" bestFit="1" customWidth="1"/>
  </cols>
  <sheetData>
    <row r="1" spans="1:22" s="138" customFormat="1" ht="13.3">
      <c r="A1" s="152" t="e">
        <f>Scope!#REF!</f>
        <v>#REF!</v>
      </c>
      <c r="B1" s="139"/>
      <c r="E1" s="140"/>
      <c r="F1" s="141"/>
      <c r="G1" s="141"/>
      <c r="H1" s="142"/>
      <c r="I1" s="142"/>
      <c r="J1" s="142"/>
      <c r="K1" s="142"/>
      <c r="L1" s="142"/>
      <c r="M1" s="142"/>
      <c r="N1" s="142"/>
      <c r="O1" s="142"/>
      <c r="P1" s="142"/>
      <c r="Q1" s="142"/>
      <c r="R1" s="142"/>
      <c r="S1" s="142"/>
      <c r="T1" s="142"/>
      <c r="U1" s="142"/>
    </row>
    <row r="2" spans="1:22" s="138" customFormat="1" ht="13.3">
      <c r="A2" s="152" t="e">
        <f>Scope!#REF!</f>
        <v>#REF!</v>
      </c>
      <c r="B2" s="139"/>
      <c r="E2" s="140"/>
      <c r="F2" s="141"/>
      <c r="G2" s="141"/>
      <c r="H2" s="142"/>
      <c r="I2" s="142"/>
      <c r="J2" s="142"/>
      <c r="K2" s="142"/>
      <c r="L2" s="142"/>
      <c r="M2" s="142"/>
      <c r="N2" s="142"/>
      <c r="O2" s="142"/>
      <c r="P2" s="142"/>
      <c r="Q2" s="142"/>
      <c r="R2" s="142"/>
      <c r="S2" s="142"/>
      <c r="T2" s="142"/>
      <c r="U2" s="142"/>
    </row>
    <row r="3" spans="1:22" s="138" customFormat="1" ht="13.3">
      <c r="A3" s="152" t="e">
        <f>Scope!#REF!</f>
        <v>#REF!</v>
      </c>
      <c r="B3" s="139"/>
      <c r="E3" s="140"/>
      <c r="F3" s="141"/>
      <c r="G3" s="141"/>
      <c r="H3" s="142"/>
      <c r="I3" s="142"/>
      <c r="J3" s="142"/>
      <c r="K3" s="142"/>
      <c r="L3" s="142"/>
      <c r="M3" s="142"/>
      <c r="N3" s="142"/>
      <c r="O3" s="142"/>
      <c r="P3" s="142"/>
      <c r="Q3" s="142"/>
      <c r="R3" s="142"/>
      <c r="S3" s="142"/>
      <c r="T3" s="142"/>
      <c r="U3" s="142"/>
    </row>
    <row r="4" spans="1:22" s="138" customFormat="1" ht="13.3">
      <c r="B4" s="139"/>
      <c r="E4" s="140"/>
      <c r="F4" s="141"/>
      <c r="G4" s="141"/>
      <c r="H4" s="142"/>
      <c r="I4" s="142"/>
      <c r="J4" s="142"/>
      <c r="K4" s="142"/>
      <c r="L4" s="142"/>
      <c r="M4" s="142"/>
      <c r="N4" s="142"/>
      <c r="O4" s="142"/>
      <c r="P4" s="142"/>
      <c r="Q4" s="142"/>
      <c r="R4" s="142"/>
      <c r="S4" s="142"/>
      <c r="T4" s="142"/>
      <c r="U4" s="142"/>
    </row>
    <row r="5" spans="1:22" s="138" customFormat="1" ht="13.3">
      <c r="A5" s="1" t="s">
        <v>58</v>
      </c>
      <c r="B5" s="139"/>
      <c r="E5" s="140"/>
      <c r="F5" s="141"/>
      <c r="G5" s="141"/>
      <c r="H5" s="142"/>
      <c r="I5" s="142"/>
      <c r="J5" s="142"/>
      <c r="K5" s="142"/>
      <c r="L5" s="142"/>
      <c r="M5" s="142"/>
      <c r="N5" s="142"/>
      <c r="O5" s="142"/>
      <c r="P5" s="142"/>
      <c r="Q5" s="142"/>
      <c r="R5" s="142"/>
      <c r="S5" s="142"/>
      <c r="T5" s="142"/>
      <c r="U5" s="142"/>
    </row>
    <row r="6" spans="1:22" s="138" customFormat="1" ht="13.3">
      <c r="A6" s="182" t="s">
        <v>134</v>
      </c>
      <c r="B6" s="139"/>
      <c r="E6" s="140"/>
      <c r="F6" s="141"/>
      <c r="G6" s="141"/>
      <c r="H6" s="141"/>
      <c r="I6" s="141"/>
      <c r="J6" s="142"/>
      <c r="K6" s="142"/>
      <c r="L6" s="142"/>
      <c r="M6" s="142"/>
      <c r="N6" s="142"/>
      <c r="O6" s="142"/>
      <c r="P6" s="142"/>
      <c r="Q6" s="142"/>
      <c r="R6" s="142"/>
      <c r="S6" s="142"/>
      <c r="T6" s="142"/>
      <c r="U6" s="142"/>
    </row>
    <row r="7" spans="1:22" s="138" customFormat="1" ht="13.3">
      <c r="A7" s="182"/>
      <c r="B7" s="139"/>
      <c r="E7" s="140"/>
      <c r="F7" s="141"/>
      <c r="G7" s="141"/>
      <c r="H7" s="141"/>
      <c r="I7" s="141"/>
      <c r="J7" s="142"/>
      <c r="K7" s="142"/>
      <c r="L7" s="142"/>
      <c r="M7" s="142"/>
      <c r="N7" s="142"/>
      <c r="O7" s="142"/>
      <c r="P7" s="142"/>
      <c r="Q7" s="142"/>
      <c r="R7" s="142"/>
      <c r="S7" s="142"/>
      <c r="T7" s="142"/>
      <c r="U7" s="142"/>
    </row>
    <row r="8" spans="1:22" s="152" customFormat="1" ht="13.85" thickBot="1">
      <c r="B8" s="153"/>
      <c r="E8" s="155"/>
      <c r="F8" s="154"/>
      <c r="G8" s="154"/>
      <c r="H8" s="155">
        <f t="shared" ref="H8:U8" si="0">SUBTOTAL(9,H11:H2529)</f>
        <v>11676308.779999999</v>
      </c>
      <c r="I8" s="155">
        <f t="shared" si="0"/>
        <v>1115608555.9503417</v>
      </c>
      <c r="J8" s="155">
        <f t="shared" si="0"/>
        <v>335353204.10930413</v>
      </c>
      <c r="K8" s="155">
        <f t="shared" si="0"/>
        <v>-2542050.3700000006</v>
      </c>
      <c r="L8" s="155">
        <f t="shared" si="0"/>
        <v>594243693.51777887</v>
      </c>
      <c r="M8" s="155">
        <f t="shared" si="0"/>
        <v>859260116.91186678</v>
      </c>
      <c r="N8" s="155">
        <f t="shared" si="0"/>
        <v>1129683328.9400012</v>
      </c>
      <c r="O8" s="155">
        <f t="shared" si="0"/>
        <v>335353204.10930413</v>
      </c>
      <c r="P8" s="155">
        <f t="shared" si="0"/>
        <v>74529666.713375241</v>
      </c>
      <c r="Q8" s="155">
        <f t="shared" si="0"/>
        <v>653200593.10697031</v>
      </c>
      <c r="R8" s="155">
        <f t="shared" si="0"/>
        <v>-2381146.5900000012</v>
      </c>
      <c r="S8" s="155">
        <f t="shared" si="0"/>
        <v>888746753.24570966</v>
      </c>
      <c r="T8" s="155">
        <f t="shared" si="0"/>
        <v>366767164.80548662</v>
      </c>
      <c r="U8" s="155">
        <f t="shared" si="0"/>
        <v>521979586.69000024</v>
      </c>
      <c r="V8" s="156"/>
    </row>
    <row r="9" spans="1:22" s="138" customFormat="1" ht="14.55" customHeight="1">
      <c r="A9" s="147"/>
      <c r="B9" s="148"/>
      <c r="C9" s="147"/>
      <c r="D9" s="147"/>
      <c r="E9" s="149"/>
      <c r="F9" s="150"/>
      <c r="G9" s="150"/>
      <c r="H9" s="151"/>
      <c r="I9" s="365" t="s">
        <v>14</v>
      </c>
      <c r="J9" s="366"/>
      <c r="K9" s="366"/>
      <c r="L9" s="366"/>
      <c r="M9" s="367"/>
      <c r="N9" s="368" t="s">
        <v>15</v>
      </c>
      <c r="O9" s="369"/>
      <c r="P9" s="369"/>
      <c r="Q9" s="369"/>
      <c r="R9" s="369"/>
      <c r="S9" s="370"/>
      <c r="T9" s="151"/>
      <c r="U9" s="151"/>
    </row>
    <row r="10" spans="1:22" s="138" customFormat="1" ht="39.9">
      <c r="A10" s="5" t="s">
        <v>66</v>
      </c>
      <c r="B10" s="5" t="s">
        <v>0</v>
      </c>
      <c r="C10" s="5" t="s">
        <v>1</v>
      </c>
      <c r="D10" s="5" t="s">
        <v>2</v>
      </c>
      <c r="E10" s="6" t="s">
        <v>67</v>
      </c>
      <c r="F10" s="72" t="s">
        <v>68</v>
      </c>
      <c r="G10" s="72" t="s">
        <v>69</v>
      </c>
      <c r="H10" s="4" t="s">
        <v>6</v>
      </c>
      <c r="I10" s="4" t="s">
        <v>200</v>
      </c>
      <c r="J10" s="4" t="s">
        <v>201</v>
      </c>
      <c r="K10" s="4" t="s">
        <v>202</v>
      </c>
      <c r="L10" s="4" t="s">
        <v>203</v>
      </c>
      <c r="M10" s="4" t="s">
        <v>71</v>
      </c>
      <c r="N10" s="4" t="s">
        <v>9</v>
      </c>
      <c r="O10" s="4" t="s">
        <v>72</v>
      </c>
      <c r="P10" s="4" t="s">
        <v>10</v>
      </c>
      <c r="Q10" s="4" t="s">
        <v>11</v>
      </c>
      <c r="R10" s="4" t="s">
        <v>73</v>
      </c>
      <c r="S10" s="4" t="s">
        <v>71</v>
      </c>
      <c r="T10" s="4" t="s">
        <v>48</v>
      </c>
      <c r="U10" s="4" t="s">
        <v>47</v>
      </c>
    </row>
    <row r="11" spans="1:22" s="138" customFormat="1" ht="13.3" outlineLevel="1">
      <c r="A11" s="74">
        <v>1</v>
      </c>
      <c r="B11" s="75">
        <v>60272</v>
      </c>
      <c r="C11" s="75" t="s">
        <v>17</v>
      </c>
      <c r="D11" s="76" t="s">
        <v>16</v>
      </c>
      <c r="E11" s="143">
        <v>4.4375</v>
      </c>
      <c r="F11" s="208">
        <v>44986</v>
      </c>
      <c r="G11" s="208">
        <v>46124</v>
      </c>
      <c r="H11" s="77">
        <v>35593.85</v>
      </c>
      <c r="I11" s="77">
        <v>659457.49</v>
      </c>
      <c r="J11" s="77">
        <v>0</v>
      </c>
      <c r="K11" s="77">
        <v>-37247.4</v>
      </c>
      <c r="L11" s="77">
        <v>400867.72</v>
      </c>
      <c r="M11" s="144">
        <f>I11+J11-K11-L11</f>
        <v>295837.17000000004</v>
      </c>
      <c r="N11" s="144">
        <v>687503.51000000024</v>
      </c>
      <c r="O11" s="144">
        <v>0</v>
      </c>
      <c r="P11" s="144">
        <v>36500.420000000006</v>
      </c>
      <c r="Q11" s="144">
        <v>433959.15999999992</v>
      </c>
      <c r="R11" s="144">
        <v>-37247.4</v>
      </c>
      <c r="S11" s="144">
        <f>N11+O11+P11-Q11-R11</f>
        <v>327292.17000000039</v>
      </c>
      <c r="T11" s="77">
        <v>327291.7</v>
      </c>
      <c r="U11" s="77">
        <v>0</v>
      </c>
    </row>
    <row r="12" spans="1:22" s="138" customFormat="1" ht="13.3" outlineLevel="1">
      <c r="A12" s="74">
        <f t="shared" ref="A12:A28" si="1">A11+1</f>
        <v>2</v>
      </c>
      <c r="B12" s="75">
        <v>61193</v>
      </c>
      <c r="C12" s="75" t="s">
        <v>17</v>
      </c>
      <c r="D12" s="76" t="s">
        <v>16</v>
      </c>
      <c r="E12" s="143">
        <v>4.6980000000000004</v>
      </c>
      <c r="F12" s="208">
        <v>45047</v>
      </c>
      <c r="G12" s="208">
        <v>46498</v>
      </c>
      <c r="H12" s="77">
        <v>27611.88</v>
      </c>
      <c r="I12" s="77">
        <v>615109.10000000009</v>
      </c>
      <c r="J12" s="77">
        <v>0</v>
      </c>
      <c r="K12" s="77">
        <v>-11137.05</v>
      </c>
      <c r="L12" s="77">
        <v>296354.24</v>
      </c>
      <c r="M12" s="144">
        <f t="shared" ref="M12:M48" si="2">I12+J12-K12-L12</f>
        <v>329891.91000000015</v>
      </c>
      <c r="N12" s="144">
        <v>633798.30000000005</v>
      </c>
      <c r="O12" s="144">
        <v>0</v>
      </c>
      <c r="P12" s="144">
        <v>38432.040000000008</v>
      </c>
      <c r="Q12" s="144">
        <v>333162.8</v>
      </c>
      <c r="R12" s="144">
        <v>-11137.05</v>
      </c>
      <c r="S12" s="144">
        <f t="shared" ref="S12:S75" si="3">N12+O12+P12-Q12-R12</f>
        <v>350204.59000000008</v>
      </c>
      <c r="T12" s="77">
        <v>322137.84000000003</v>
      </c>
      <c r="U12" s="77">
        <v>28066.94</v>
      </c>
    </row>
    <row r="13" spans="1:22" s="138" customFormat="1" ht="13.3" outlineLevel="1">
      <c r="A13" s="74">
        <f t="shared" si="1"/>
        <v>3</v>
      </c>
      <c r="B13" s="75">
        <v>61200</v>
      </c>
      <c r="C13" s="75" t="s">
        <v>17</v>
      </c>
      <c r="D13" s="76" t="s">
        <v>16</v>
      </c>
      <c r="E13" s="143">
        <v>4.6980000000000004</v>
      </c>
      <c r="F13" s="208">
        <v>45047</v>
      </c>
      <c r="G13" s="208">
        <v>46498</v>
      </c>
      <c r="H13" s="77">
        <v>17701.46</v>
      </c>
      <c r="I13" s="77">
        <v>394335.25</v>
      </c>
      <c r="J13" s="77">
        <v>0</v>
      </c>
      <c r="K13" s="77">
        <v>-4031.03</v>
      </c>
      <c r="L13" s="77">
        <v>189242.56000000003</v>
      </c>
      <c r="M13" s="144">
        <f t="shared" si="2"/>
        <v>209123.72</v>
      </c>
      <c r="N13" s="144">
        <v>406316.68999999994</v>
      </c>
      <c r="O13" s="144">
        <v>0</v>
      </c>
      <c r="P13" s="144">
        <v>24564.609999999997</v>
      </c>
      <c r="Q13" s="144">
        <v>212811.96</v>
      </c>
      <c r="R13" s="144">
        <v>-4031.03</v>
      </c>
      <c r="S13" s="144">
        <f t="shared" si="3"/>
        <v>222100.36999999994</v>
      </c>
      <c r="T13" s="77">
        <v>204300.02</v>
      </c>
      <c r="U13" s="77">
        <v>17800.07</v>
      </c>
    </row>
    <row r="14" spans="1:22" s="138" customFormat="1" ht="13.3" outlineLevel="1">
      <c r="A14" s="74">
        <f t="shared" si="1"/>
        <v>4</v>
      </c>
      <c r="B14" s="75">
        <v>61205</v>
      </c>
      <c r="C14" s="75" t="s">
        <v>17</v>
      </c>
      <c r="D14" s="76" t="s">
        <v>16</v>
      </c>
      <c r="E14" s="143">
        <v>4.6980000000000004</v>
      </c>
      <c r="F14" s="208">
        <v>45047</v>
      </c>
      <c r="G14" s="208">
        <v>46507</v>
      </c>
      <c r="H14" s="77">
        <v>33574.42</v>
      </c>
      <c r="I14" s="77">
        <v>766842.83</v>
      </c>
      <c r="J14" s="77">
        <v>0</v>
      </c>
      <c r="K14" s="77">
        <v>-25.969999999997501</v>
      </c>
      <c r="L14" s="77">
        <v>361349.76000000013</v>
      </c>
      <c r="M14" s="144">
        <f t="shared" si="2"/>
        <v>405519.0399999998</v>
      </c>
      <c r="N14" s="144">
        <v>801230.71</v>
      </c>
      <c r="O14" s="144">
        <v>0</v>
      </c>
      <c r="P14" s="144">
        <v>48785.270000000004</v>
      </c>
      <c r="Q14" s="144">
        <v>409744.71999999986</v>
      </c>
      <c r="R14" s="144">
        <v>-25.969999999997501</v>
      </c>
      <c r="S14" s="144">
        <f t="shared" si="3"/>
        <v>440297.2300000001</v>
      </c>
      <c r="T14" s="145">
        <v>405009.89</v>
      </c>
      <c r="U14" s="146">
        <v>35287.339999999997</v>
      </c>
    </row>
    <row r="15" spans="1:22" s="138" customFormat="1" ht="13.3" outlineLevel="1">
      <c r="A15" s="74">
        <f t="shared" si="1"/>
        <v>5</v>
      </c>
      <c r="B15" s="75">
        <v>61209</v>
      </c>
      <c r="C15" s="75" t="s">
        <v>17</v>
      </c>
      <c r="D15" s="76" t="s">
        <v>16</v>
      </c>
      <c r="E15" s="143">
        <v>4.6980000000000004</v>
      </c>
      <c r="F15" s="208">
        <v>45047</v>
      </c>
      <c r="G15" s="208">
        <v>46507</v>
      </c>
      <c r="H15" s="77">
        <v>25441.09</v>
      </c>
      <c r="I15" s="77">
        <v>581076.73</v>
      </c>
      <c r="J15" s="77">
        <v>0</v>
      </c>
      <c r="K15" s="77">
        <v>18603.13</v>
      </c>
      <c r="L15" s="77">
        <v>269431.71999999997</v>
      </c>
      <c r="M15" s="144">
        <f t="shared" si="2"/>
        <v>293041.88</v>
      </c>
      <c r="N15" s="144">
        <v>607134.71999999997</v>
      </c>
      <c r="O15" s="144">
        <v>0</v>
      </c>
      <c r="P15" s="144">
        <v>36527.14</v>
      </c>
      <c r="Q15" s="144">
        <v>305857.36</v>
      </c>
      <c r="R15" s="144">
        <v>18603.13</v>
      </c>
      <c r="S15" s="144">
        <f t="shared" si="3"/>
        <v>319201.37</v>
      </c>
      <c r="T15" s="145">
        <v>293618.83999999997</v>
      </c>
      <c r="U15" s="146">
        <v>25582.16</v>
      </c>
    </row>
    <row r="16" spans="1:22" s="138" customFormat="1" ht="13.3" outlineLevel="1">
      <c r="A16" s="74">
        <f t="shared" si="1"/>
        <v>6</v>
      </c>
      <c r="B16" s="75">
        <v>62974</v>
      </c>
      <c r="C16" s="75" t="s">
        <v>17</v>
      </c>
      <c r="D16" s="76" t="s">
        <v>16</v>
      </c>
      <c r="E16" s="143">
        <v>4.8266</v>
      </c>
      <c r="F16" s="208">
        <v>45170</v>
      </c>
      <c r="G16" s="208">
        <v>46668</v>
      </c>
      <c r="H16" s="77">
        <v>21973.84</v>
      </c>
      <c r="I16" s="77">
        <v>564437.74</v>
      </c>
      <c r="J16" s="77">
        <v>0</v>
      </c>
      <c r="K16" s="77">
        <v>-3900.01</v>
      </c>
      <c r="L16" s="77">
        <v>235793.36000000007</v>
      </c>
      <c r="M16" s="144">
        <f t="shared" si="2"/>
        <v>332544.3899999999</v>
      </c>
      <c r="N16" s="144">
        <v>583119.97</v>
      </c>
      <c r="O16" s="144">
        <v>0</v>
      </c>
      <c r="P16" s="144">
        <v>34499.159999999996</v>
      </c>
      <c r="Q16" s="144">
        <v>264241.76</v>
      </c>
      <c r="R16" s="144">
        <v>-3900.01</v>
      </c>
      <c r="S16" s="144">
        <f t="shared" si="3"/>
        <v>357277.38</v>
      </c>
      <c r="T16" s="145">
        <v>248119.12</v>
      </c>
      <c r="U16" s="146">
        <v>109157.99</v>
      </c>
    </row>
    <row r="17" spans="1:21" s="138" customFormat="1" ht="13.3" outlineLevel="1">
      <c r="A17" s="74">
        <f t="shared" si="1"/>
        <v>7</v>
      </c>
      <c r="B17" s="75">
        <v>62980</v>
      </c>
      <c r="C17" s="75" t="s">
        <v>17</v>
      </c>
      <c r="D17" s="76" t="s">
        <v>16</v>
      </c>
      <c r="E17" s="143">
        <v>4.8266</v>
      </c>
      <c r="F17" s="208">
        <v>45169</v>
      </c>
      <c r="G17" s="208">
        <v>46629</v>
      </c>
      <c r="H17" s="77">
        <v>24788.47</v>
      </c>
      <c r="I17" s="77">
        <v>642481.87999999989</v>
      </c>
      <c r="J17" s="77">
        <v>0</v>
      </c>
      <c r="K17" s="77">
        <v>-29982.71</v>
      </c>
      <c r="L17" s="77">
        <v>267290.72000000003</v>
      </c>
      <c r="M17" s="144">
        <f t="shared" si="2"/>
        <v>405173.86999999982</v>
      </c>
      <c r="N17" s="144">
        <v>657812.29999999993</v>
      </c>
      <c r="O17" s="144">
        <v>0</v>
      </c>
      <c r="P17" s="144">
        <v>39499.4</v>
      </c>
      <c r="Q17" s="144">
        <v>303280.60000000003</v>
      </c>
      <c r="R17" s="144">
        <v>-29982.71</v>
      </c>
      <c r="S17" s="144">
        <f t="shared" si="3"/>
        <v>424013.80999999994</v>
      </c>
      <c r="T17" s="145">
        <v>294465.38</v>
      </c>
      <c r="U17" s="146">
        <v>129547.65</v>
      </c>
    </row>
    <row r="18" spans="1:21" s="138" customFormat="1" ht="13.3" outlineLevel="1">
      <c r="A18" s="74">
        <f t="shared" si="1"/>
        <v>8</v>
      </c>
      <c r="B18" s="256">
        <v>59308</v>
      </c>
      <c r="C18" s="75" t="s">
        <v>17</v>
      </c>
      <c r="D18" s="76" t="s">
        <v>13</v>
      </c>
      <c r="E18" s="143">
        <v>5.1215000000000002</v>
      </c>
      <c r="F18" s="208">
        <v>44926</v>
      </c>
      <c r="G18" s="208">
        <v>46691</v>
      </c>
      <c r="H18" s="77">
        <v>606609.11</v>
      </c>
      <c r="I18" s="77">
        <v>16941687.799999997</v>
      </c>
      <c r="J18" s="77">
        <v>0</v>
      </c>
      <c r="K18" s="77">
        <v>0</v>
      </c>
      <c r="L18" s="77">
        <v>6558072.7200000025</v>
      </c>
      <c r="M18" s="144">
        <f t="shared" si="2"/>
        <v>10383615.079999994</v>
      </c>
      <c r="N18" s="144">
        <v>17653947.75</v>
      </c>
      <c r="O18" s="144">
        <v>0</v>
      </c>
      <c r="P18" s="144">
        <v>720542.53</v>
      </c>
      <c r="Q18" s="144">
        <v>7279309.3200000012</v>
      </c>
      <c r="R18" s="144">
        <v>0</v>
      </c>
      <c r="S18" s="144">
        <f t="shared" si="3"/>
        <v>11095180.960000001</v>
      </c>
      <c r="T18" s="145">
        <v>6902672.25</v>
      </c>
      <c r="U18" s="146">
        <v>4192508.51</v>
      </c>
    </row>
    <row r="19" spans="1:21" s="138" customFormat="1" ht="13.3" outlineLevel="1">
      <c r="A19" s="74">
        <f t="shared" si="1"/>
        <v>9</v>
      </c>
      <c r="B19" s="75">
        <v>64733</v>
      </c>
      <c r="C19" s="75" t="s">
        <v>17</v>
      </c>
      <c r="D19" s="76" t="s">
        <v>16</v>
      </c>
      <c r="E19" s="143">
        <v>7.4688999999999997</v>
      </c>
      <c r="F19" s="208">
        <v>45422</v>
      </c>
      <c r="G19" s="208">
        <v>47247</v>
      </c>
      <c r="H19" s="77">
        <v>48438.239999999998</v>
      </c>
      <c r="I19" s="77">
        <v>1999679.81</v>
      </c>
      <c r="J19" s="77">
        <v>0</v>
      </c>
      <c r="K19" s="77">
        <v>146835.18</v>
      </c>
      <c r="L19" s="77">
        <v>501057.79999999993</v>
      </c>
      <c r="M19" s="144">
        <f t="shared" si="2"/>
        <v>1351786.83</v>
      </c>
      <c r="N19" s="144">
        <v>2052967.98</v>
      </c>
      <c r="O19" s="144">
        <v>0</v>
      </c>
      <c r="P19" s="144">
        <v>138138.14000000001</v>
      </c>
      <c r="Q19" s="144">
        <v>593044.52</v>
      </c>
      <c r="R19" s="144">
        <v>0</v>
      </c>
      <c r="S19" s="144">
        <f t="shared" si="3"/>
        <v>1598061.6</v>
      </c>
      <c r="T19" s="145">
        <v>580776</v>
      </c>
      <c r="U19" s="146">
        <v>1017285.6000000001</v>
      </c>
    </row>
    <row r="20" spans="1:21" s="138" customFormat="1" ht="13.3" outlineLevel="1">
      <c r="A20" s="74">
        <f t="shared" si="1"/>
        <v>10</v>
      </c>
      <c r="B20" s="75">
        <v>64752</v>
      </c>
      <c r="C20" s="75" t="s">
        <v>17</v>
      </c>
      <c r="D20" s="76" t="s">
        <v>16</v>
      </c>
      <c r="E20" s="143">
        <v>7.4688999999999997</v>
      </c>
      <c r="F20" s="208">
        <v>45422</v>
      </c>
      <c r="G20" s="208">
        <v>46516</v>
      </c>
      <c r="H20" s="77">
        <v>26324.799999999999</v>
      </c>
      <c r="I20" s="77">
        <v>598499.66</v>
      </c>
      <c r="J20" s="77">
        <v>0</v>
      </c>
      <c r="K20" s="77">
        <v>480173.86</v>
      </c>
      <c r="L20" s="77">
        <v>118325.8</v>
      </c>
      <c r="M20" s="144">
        <f t="shared" si="2"/>
        <v>0</v>
      </c>
      <c r="N20" s="144">
        <v>611508.89</v>
      </c>
      <c r="O20" s="144">
        <v>0</v>
      </c>
      <c r="P20" s="144">
        <v>16790.59</v>
      </c>
      <c r="Q20" s="144">
        <v>131624</v>
      </c>
      <c r="R20" s="144">
        <v>496675.48</v>
      </c>
      <c r="S20" s="144">
        <f t="shared" si="3"/>
        <v>0</v>
      </c>
      <c r="T20" s="145">
        <v>0</v>
      </c>
      <c r="U20" s="146">
        <v>0</v>
      </c>
    </row>
    <row r="21" spans="1:21" s="138" customFormat="1" ht="13.3" outlineLevel="1">
      <c r="A21" s="74">
        <f t="shared" si="1"/>
        <v>11</v>
      </c>
      <c r="B21" s="75">
        <v>65270</v>
      </c>
      <c r="C21" s="75" t="s">
        <v>17</v>
      </c>
      <c r="D21" s="76" t="s">
        <v>16</v>
      </c>
      <c r="E21" s="143">
        <v>7.3028000000000004</v>
      </c>
      <c r="F21" s="208">
        <v>45536</v>
      </c>
      <c r="G21" s="208">
        <v>45897</v>
      </c>
      <c r="H21" s="77">
        <v>38401.24</v>
      </c>
      <c r="I21" s="77">
        <v>183631</v>
      </c>
      <c r="J21" s="77">
        <v>0</v>
      </c>
      <c r="K21" s="77">
        <v>0</v>
      </c>
      <c r="L21" s="77">
        <v>183631.27000000002</v>
      </c>
      <c r="M21" s="144">
        <f t="shared" si="2"/>
        <v>-0.27000000001862645</v>
      </c>
      <c r="N21" s="144">
        <v>189697</v>
      </c>
      <c r="O21" s="144">
        <v>0</v>
      </c>
      <c r="P21" s="144">
        <v>2308.8300000000004</v>
      </c>
      <c r="Q21" s="144">
        <v>192006.19999999998</v>
      </c>
      <c r="R21" s="144">
        <v>0</v>
      </c>
      <c r="S21" s="144">
        <f t="shared" si="3"/>
        <v>-0.36999999999534339</v>
      </c>
      <c r="T21" s="145">
        <v>0</v>
      </c>
      <c r="U21" s="146">
        <v>0</v>
      </c>
    </row>
    <row r="22" spans="1:21" s="138" customFormat="1" ht="13.3" outlineLevel="1">
      <c r="A22" s="74">
        <f t="shared" si="1"/>
        <v>12</v>
      </c>
      <c r="B22" s="75">
        <v>65366</v>
      </c>
      <c r="C22" s="75" t="s">
        <v>17</v>
      </c>
      <c r="D22" s="76" t="s">
        <v>16</v>
      </c>
      <c r="E22" s="143">
        <v>7.8173000000000004</v>
      </c>
      <c r="F22" s="208">
        <v>45549</v>
      </c>
      <c r="G22" s="208">
        <v>47374</v>
      </c>
      <c r="H22" s="77">
        <v>25782.09</v>
      </c>
      <c r="I22" s="77">
        <v>1144676.2</v>
      </c>
      <c r="J22" s="77">
        <v>0</v>
      </c>
      <c r="K22" s="77">
        <v>-75042.02</v>
      </c>
      <c r="L22" s="77">
        <v>263677.04000000004</v>
      </c>
      <c r="M22" s="144">
        <f t="shared" si="2"/>
        <v>956041.17999999993</v>
      </c>
      <c r="N22" s="144">
        <v>1159883.2</v>
      </c>
      <c r="O22" s="144">
        <v>0</v>
      </c>
      <c r="P22" s="144">
        <v>82456.160000000003</v>
      </c>
      <c r="Q22" s="144">
        <v>314979</v>
      </c>
      <c r="R22" s="144">
        <v>-75042.02</v>
      </c>
      <c r="S22" s="144">
        <f t="shared" si="3"/>
        <v>1002402.3799999999</v>
      </c>
      <c r="T22" s="145">
        <v>259083.00000000003</v>
      </c>
      <c r="U22" s="146">
        <v>743319.44</v>
      </c>
    </row>
    <row r="23" spans="1:21" s="138" customFormat="1" ht="13.3" outlineLevel="1">
      <c r="A23" s="74">
        <f t="shared" si="1"/>
        <v>13</v>
      </c>
      <c r="B23" s="75">
        <v>65884</v>
      </c>
      <c r="C23" s="75" t="s">
        <v>17</v>
      </c>
      <c r="D23" s="76" t="s">
        <v>16</v>
      </c>
      <c r="E23" s="143">
        <v>7.3468999999999998</v>
      </c>
      <c r="F23" s="208">
        <v>45795</v>
      </c>
      <c r="G23" s="208">
        <v>47620</v>
      </c>
      <c r="H23" s="77">
        <v>37122.22</v>
      </c>
      <c r="I23" s="77">
        <v>0</v>
      </c>
      <c r="J23" s="77">
        <v>1870722.89</v>
      </c>
      <c r="K23" s="77">
        <v>-57608.42</v>
      </c>
      <c r="L23" s="77">
        <v>330171.12999999995</v>
      </c>
      <c r="M23" s="144">
        <f t="shared" si="2"/>
        <v>1598160.18</v>
      </c>
      <c r="N23" s="144">
        <v>0</v>
      </c>
      <c r="O23" s="144">
        <v>1870722.89</v>
      </c>
      <c r="P23" s="144">
        <v>115987.3</v>
      </c>
      <c r="Q23" s="144">
        <v>411009.69999999995</v>
      </c>
      <c r="R23" s="144">
        <v>-57608.42</v>
      </c>
      <c r="S23" s="144">
        <f t="shared" si="3"/>
        <v>1633308.91</v>
      </c>
      <c r="T23" s="145">
        <v>347797.82999999996</v>
      </c>
      <c r="U23" s="146">
        <v>1285511.08</v>
      </c>
    </row>
    <row r="24" spans="1:21" s="138" customFormat="1" ht="13.3" outlineLevel="1">
      <c r="A24" s="74">
        <f t="shared" si="1"/>
        <v>14</v>
      </c>
      <c r="B24" s="75">
        <v>65978</v>
      </c>
      <c r="C24" s="75" t="s">
        <v>17</v>
      </c>
      <c r="D24" s="76" t="s">
        <v>16</v>
      </c>
      <c r="E24" s="143">
        <v>7.3468999999999998</v>
      </c>
      <c r="F24" s="208">
        <v>45814</v>
      </c>
      <c r="G24" s="208">
        <v>47609</v>
      </c>
      <c r="H24" s="77">
        <v>85483.55</v>
      </c>
      <c r="I24" s="77">
        <v>0</v>
      </c>
      <c r="J24" s="77">
        <v>4307825.17</v>
      </c>
      <c r="K24" s="77">
        <v>-357749.75</v>
      </c>
      <c r="L24" s="77">
        <v>732423.15999999992</v>
      </c>
      <c r="M24" s="144">
        <f t="shared" si="2"/>
        <v>3933151.76</v>
      </c>
      <c r="N24" s="144">
        <v>0</v>
      </c>
      <c r="O24" s="144">
        <v>4307825.17</v>
      </c>
      <c r="P24" s="144">
        <v>250261.43999999997</v>
      </c>
      <c r="Q24" s="144">
        <v>880123.77999999991</v>
      </c>
      <c r="R24" s="144">
        <v>-357749.75</v>
      </c>
      <c r="S24" s="144">
        <f t="shared" si="3"/>
        <v>4035712.5800000005</v>
      </c>
      <c r="T24" s="145">
        <v>839818.03999999992</v>
      </c>
      <c r="U24" s="146">
        <v>3195894.54</v>
      </c>
    </row>
    <row r="25" spans="1:21" s="138" customFormat="1" ht="13.3" outlineLevel="1">
      <c r="A25" s="74">
        <f t="shared" si="1"/>
        <v>15</v>
      </c>
      <c r="B25" s="75">
        <v>66168</v>
      </c>
      <c r="C25" s="75" t="s">
        <v>17</v>
      </c>
      <c r="D25" s="76" t="s">
        <v>16</v>
      </c>
      <c r="E25" s="143">
        <v>7.0260999999999996</v>
      </c>
      <c r="F25" s="208">
        <v>45961</v>
      </c>
      <c r="G25" s="208">
        <v>47421</v>
      </c>
      <c r="H25" s="77">
        <v>37079.65</v>
      </c>
      <c r="I25" s="77">
        <v>0</v>
      </c>
      <c r="J25" s="77">
        <v>1556732.65</v>
      </c>
      <c r="K25" s="77">
        <v>0</v>
      </c>
      <c r="L25" s="77">
        <v>163205.84</v>
      </c>
      <c r="M25" s="144">
        <f t="shared" si="2"/>
        <v>1393526.8099999998</v>
      </c>
      <c r="N25" s="144">
        <v>0</v>
      </c>
      <c r="O25" s="144">
        <v>1556732.65</v>
      </c>
      <c r="P25" s="144">
        <v>50891.64</v>
      </c>
      <c r="Q25" s="144">
        <v>222477.9</v>
      </c>
      <c r="R25" s="144">
        <v>0</v>
      </c>
      <c r="S25" s="144">
        <f t="shared" si="3"/>
        <v>1385146.39</v>
      </c>
      <c r="T25" s="145">
        <v>361741.07</v>
      </c>
      <c r="U25" s="146">
        <v>1023405.3200000001</v>
      </c>
    </row>
    <row r="26" spans="1:21" s="138" customFormat="1" ht="13.3" outlineLevel="1">
      <c r="A26" s="74">
        <f t="shared" si="1"/>
        <v>16</v>
      </c>
      <c r="B26" s="75">
        <v>66236</v>
      </c>
      <c r="C26" s="75" t="s">
        <v>17</v>
      </c>
      <c r="D26" s="76" t="s">
        <v>16</v>
      </c>
      <c r="E26" s="143">
        <v>7.1996000000000002</v>
      </c>
      <c r="F26" s="208">
        <v>45974</v>
      </c>
      <c r="G26" s="208">
        <v>47799</v>
      </c>
      <c r="H26" s="77">
        <v>33997.72</v>
      </c>
      <c r="I26" s="77">
        <v>0</v>
      </c>
      <c r="J26" s="77">
        <v>1719066.39</v>
      </c>
      <c r="K26" s="77">
        <v>0</v>
      </c>
      <c r="L26" s="77">
        <v>131795.10999999999</v>
      </c>
      <c r="M26" s="144">
        <f t="shared" si="2"/>
        <v>1587271.2799999998</v>
      </c>
      <c r="N26" s="144">
        <v>0</v>
      </c>
      <c r="O26" s="144">
        <v>1719066.39</v>
      </c>
      <c r="P26" s="144">
        <v>49107.43</v>
      </c>
      <c r="Q26" s="144">
        <v>169988.6</v>
      </c>
      <c r="R26" s="144">
        <v>0</v>
      </c>
      <c r="S26" s="144">
        <f t="shared" si="3"/>
        <v>1598185.2199999997</v>
      </c>
      <c r="T26" s="145">
        <v>305301.23</v>
      </c>
      <c r="U26" s="146">
        <v>1292883.99</v>
      </c>
    </row>
    <row r="27" spans="1:21" s="138" customFormat="1" ht="13.3" outlineLevel="1">
      <c r="A27" s="74">
        <f t="shared" si="1"/>
        <v>17</v>
      </c>
      <c r="B27" s="256">
        <v>66353</v>
      </c>
      <c r="C27" s="75" t="s">
        <v>17</v>
      </c>
      <c r="D27" s="76" t="s">
        <v>16</v>
      </c>
      <c r="E27" s="143">
        <v>7.6675000000000004</v>
      </c>
      <c r="F27" s="208">
        <v>45992</v>
      </c>
      <c r="G27" s="208">
        <v>48182</v>
      </c>
      <c r="H27" s="77">
        <v>1965080</v>
      </c>
      <c r="I27" s="77">
        <v>0</v>
      </c>
      <c r="J27" s="248">
        <v>142174951.40000001</v>
      </c>
      <c r="K27" s="77">
        <v>0</v>
      </c>
      <c r="L27" s="77">
        <v>7898608.4000000004</v>
      </c>
      <c r="M27" s="144">
        <f t="shared" si="2"/>
        <v>134276343</v>
      </c>
      <c r="N27" s="144">
        <v>0</v>
      </c>
      <c r="O27" s="144">
        <v>142174951.40000001</v>
      </c>
      <c r="P27" s="144">
        <v>3542368.18</v>
      </c>
      <c r="Q27" s="144">
        <v>7860320</v>
      </c>
      <c r="R27" s="144">
        <v>0</v>
      </c>
      <c r="S27" s="144">
        <f t="shared" si="3"/>
        <v>137856999.58000001</v>
      </c>
      <c r="T27" s="145">
        <v>13633962.189999999</v>
      </c>
      <c r="U27" s="146">
        <v>124223037.39</v>
      </c>
    </row>
    <row r="28" spans="1:21" s="138" customFormat="1" ht="13.3" outlineLevel="1">
      <c r="A28" s="74">
        <f t="shared" si="1"/>
        <v>18</v>
      </c>
      <c r="B28" s="256">
        <v>66354</v>
      </c>
      <c r="C28" s="75" t="s">
        <v>17</v>
      </c>
      <c r="D28" s="76" t="s">
        <v>16</v>
      </c>
      <c r="E28" s="143">
        <v>7.6675000000000004</v>
      </c>
      <c r="F28" s="208">
        <v>45992</v>
      </c>
      <c r="G28" s="208">
        <v>48182</v>
      </c>
      <c r="H28" s="77">
        <v>285165</v>
      </c>
      <c r="I28" s="77">
        <v>0</v>
      </c>
      <c r="J28" s="248">
        <v>18970810.91</v>
      </c>
      <c r="K28" s="77">
        <v>0</v>
      </c>
      <c r="L28" s="77">
        <v>1053933.92</v>
      </c>
      <c r="M28" s="144">
        <f t="shared" si="2"/>
        <v>17916876.990000002</v>
      </c>
      <c r="N28" s="144">
        <v>0</v>
      </c>
      <c r="O28" s="144">
        <v>18970810.91</v>
      </c>
      <c r="P28" s="144">
        <v>471191.95</v>
      </c>
      <c r="Q28" s="144">
        <v>1140660</v>
      </c>
      <c r="R28" s="144">
        <v>0</v>
      </c>
      <c r="S28" s="144">
        <f t="shared" si="3"/>
        <v>18301342.859999999</v>
      </c>
      <c r="T28" s="145">
        <v>2113849.88</v>
      </c>
      <c r="U28" s="146">
        <v>16187492.98</v>
      </c>
    </row>
    <row r="29" spans="1:21" outlineLevel="1">
      <c r="A29" s="74">
        <f>A28+1</f>
        <v>19</v>
      </c>
      <c r="B29" s="75">
        <v>52815</v>
      </c>
      <c r="C29" s="209" t="s">
        <v>18</v>
      </c>
      <c r="D29" s="209" t="s">
        <v>16</v>
      </c>
      <c r="E29" s="143">
        <v>1.3148</v>
      </c>
      <c r="F29" s="208">
        <v>44470</v>
      </c>
      <c r="G29" s="208">
        <v>45899</v>
      </c>
      <c r="H29" s="77">
        <v>28583.98</v>
      </c>
      <c r="I29" s="210">
        <v>123356.36999999988</v>
      </c>
      <c r="J29" s="210">
        <f>0</f>
        <v>0</v>
      </c>
      <c r="K29" s="210">
        <f>0</f>
        <v>0</v>
      </c>
      <c r="L29" s="210">
        <v>123356.36999999988</v>
      </c>
      <c r="M29" s="144">
        <f t="shared" si="2"/>
        <v>0</v>
      </c>
      <c r="N29" s="210">
        <v>113295.63999999972</v>
      </c>
      <c r="O29" s="210">
        <f>0</f>
        <v>0</v>
      </c>
      <c r="P29" s="210">
        <v>29624.260000000271</v>
      </c>
      <c r="Q29" s="210">
        <v>142919.9</v>
      </c>
      <c r="R29" s="210">
        <f>0</f>
        <v>0</v>
      </c>
      <c r="S29" s="144">
        <f t="shared" si="3"/>
        <v>0</v>
      </c>
      <c r="T29" s="145">
        <v>0</v>
      </c>
      <c r="U29" s="145">
        <v>0</v>
      </c>
    </row>
    <row r="30" spans="1:21" outlineLevel="1">
      <c r="A30" s="74">
        <f t="shared" ref="A30:A48" si="4">A29+1</f>
        <v>20</v>
      </c>
      <c r="B30" s="75">
        <v>57761</v>
      </c>
      <c r="C30" s="209" t="s">
        <v>18</v>
      </c>
      <c r="D30" s="209" t="s">
        <v>16</v>
      </c>
      <c r="E30" s="143">
        <v>7.3531000000000004</v>
      </c>
      <c r="F30" s="208">
        <v>44707</v>
      </c>
      <c r="G30" s="208">
        <v>46167</v>
      </c>
      <c r="H30" s="77">
        <v>23776.33</v>
      </c>
      <c r="I30" s="210">
        <v>282820.90999999992</v>
      </c>
      <c r="J30" s="210">
        <f>0</f>
        <v>0</v>
      </c>
      <c r="K30" s="210">
        <v>-23641.500000000116</v>
      </c>
      <c r="L30" s="210">
        <v>262102.68</v>
      </c>
      <c r="M30" s="144">
        <f t="shared" si="2"/>
        <v>44359.73000000004</v>
      </c>
      <c r="N30" s="210">
        <v>298045.98000000004</v>
      </c>
      <c r="O30" s="210">
        <f>0</f>
        <v>0</v>
      </c>
      <c r="P30" s="210">
        <v>11625.07</v>
      </c>
      <c r="Q30" s="210">
        <v>285708.83999999997</v>
      </c>
      <c r="R30" s="210">
        <v>-23641.500000000116</v>
      </c>
      <c r="S30" s="144">
        <f t="shared" si="3"/>
        <v>47603.710000000196</v>
      </c>
      <c r="T30" s="145">
        <v>0</v>
      </c>
      <c r="U30" s="145">
        <v>47603.710000000196</v>
      </c>
    </row>
    <row r="31" spans="1:21" outlineLevel="1">
      <c r="A31" s="74">
        <f t="shared" si="4"/>
        <v>21</v>
      </c>
      <c r="B31" s="75">
        <v>57765</v>
      </c>
      <c r="C31" s="209" t="s">
        <v>18</v>
      </c>
      <c r="D31" s="209" t="s">
        <v>16</v>
      </c>
      <c r="E31" s="143">
        <v>7.3531000000000004</v>
      </c>
      <c r="F31" s="208">
        <v>44774</v>
      </c>
      <c r="G31" s="208">
        <v>46187</v>
      </c>
      <c r="H31" s="77">
        <v>35265.050000000003</v>
      </c>
      <c r="I31" s="210">
        <v>441634.40999999992</v>
      </c>
      <c r="J31" s="210">
        <f>0</f>
        <v>0</v>
      </c>
      <c r="K31" s="210">
        <v>-42182.700000000186</v>
      </c>
      <c r="L31" s="210">
        <v>392014.95999999996</v>
      </c>
      <c r="M31" s="144">
        <f t="shared" si="2"/>
        <v>91802.15000000014</v>
      </c>
      <c r="N31" s="210">
        <v>474634.58999999979</v>
      </c>
      <c r="O31" s="210">
        <f>0</f>
        <v>0</v>
      </c>
      <c r="P31" s="210">
        <v>19820.939999999999</v>
      </c>
      <c r="Q31" s="210">
        <v>427559.16000000003</v>
      </c>
      <c r="R31" s="210">
        <v>-42182.700000000186</v>
      </c>
      <c r="S31" s="144">
        <f t="shared" si="3"/>
        <v>109079.06999999995</v>
      </c>
      <c r="T31" s="145">
        <v>0</v>
      </c>
      <c r="U31" s="145">
        <v>109079.06999999995</v>
      </c>
    </row>
    <row r="32" spans="1:21" outlineLevel="1">
      <c r="A32" s="74">
        <f t="shared" si="4"/>
        <v>22</v>
      </c>
      <c r="B32" s="75">
        <v>57774</v>
      </c>
      <c r="C32" s="209" t="s">
        <v>18</v>
      </c>
      <c r="D32" s="209" t="s">
        <v>16</v>
      </c>
      <c r="E32" s="143">
        <v>7.3531000000000004</v>
      </c>
      <c r="F32" s="208">
        <v>44774</v>
      </c>
      <c r="G32" s="208">
        <v>46203</v>
      </c>
      <c r="H32" s="77">
        <v>19340.580000000002</v>
      </c>
      <c r="I32" s="210">
        <v>256260.26000000013</v>
      </c>
      <c r="J32" s="210">
        <f>0</f>
        <v>0</v>
      </c>
      <c r="K32" s="210">
        <v>-19273.25</v>
      </c>
      <c r="L32" s="210">
        <v>211690.4</v>
      </c>
      <c r="M32" s="144">
        <f t="shared" si="2"/>
        <v>63843.110000000132</v>
      </c>
      <c r="N32" s="210">
        <v>278060.64</v>
      </c>
      <c r="O32" s="210">
        <f>0</f>
        <v>0</v>
      </c>
      <c r="P32" s="210">
        <v>12165.609999999999</v>
      </c>
      <c r="Q32" s="210">
        <v>232466.08000000002</v>
      </c>
      <c r="R32" s="210">
        <v>-19273.25</v>
      </c>
      <c r="S32" s="144">
        <f t="shared" si="3"/>
        <v>77033.419999999984</v>
      </c>
      <c r="T32" s="145">
        <v>0</v>
      </c>
      <c r="U32" s="145">
        <v>77033.419999999984</v>
      </c>
    </row>
    <row r="33" spans="1:21" outlineLevel="1">
      <c r="A33" s="74">
        <f t="shared" si="4"/>
        <v>23</v>
      </c>
      <c r="B33" s="75">
        <v>58553</v>
      </c>
      <c r="C33" s="209" t="s">
        <v>18</v>
      </c>
      <c r="D33" s="209" t="s">
        <v>16</v>
      </c>
      <c r="E33" s="143">
        <v>7.1162999999999998</v>
      </c>
      <c r="F33" s="208">
        <v>44805</v>
      </c>
      <c r="G33" s="208">
        <v>45900</v>
      </c>
      <c r="H33" s="77">
        <v>23422.29</v>
      </c>
      <c r="I33" s="210">
        <v>114477.31000000006</v>
      </c>
      <c r="J33" s="210">
        <f>0</f>
        <v>0</v>
      </c>
      <c r="K33" s="210">
        <f>0</f>
        <v>0</v>
      </c>
      <c r="L33" s="210">
        <v>114477.31000000006</v>
      </c>
      <c r="M33" s="144">
        <f t="shared" si="2"/>
        <v>0</v>
      </c>
      <c r="N33" s="210">
        <v>115738.74999999994</v>
      </c>
      <c r="O33" s="210">
        <f>0</f>
        <v>0</v>
      </c>
      <c r="P33" s="210">
        <v>1372.7000000000698</v>
      </c>
      <c r="Q33" s="210">
        <v>117111.45000000001</v>
      </c>
      <c r="R33" s="210">
        <f>0</f>
        <v>0</v>
      </c>
      <c r="S33" s="144">
        <f t="shared" si="3"/>
        <v>0</v>
      </c>
      <c r="T33" s="145">
        <v>0</v>
      </c>
      <c r="U33" s="145">
        <v>0</v>
      </c>
    </row>
    <row r="34" spans="1:21" outlineLevel="1">
      <c r="A34" s="74">
        <f t="shared" si="4"/>
        <v>24</v>
      </c>
      <c r="B34" s="75">
        <v>64306</v>
      </c>
      <c r="C34" s="209" t="s">
        <v>18</v>
      </c>
      <c r="D34" s="209" t="s">
        <v>16</v>
      </c>
      <c r="E34" s="143">
        <v>7.62</v>
      </c>
      <c r="F34" s="208">
        <v>45289</v>
      </c>
      <c r="G34" s="208">
        <v>46749</v>
      </c>
      <c r="H34" s="77">
        <v>114408.86</v>
      </c>
      <c r="I34" s="210">
        <v>4210036.6700000009</v>
      </c>
      <c r="J34" s="210">
        <f>0</f>
        <v>0</v>
      </c>
      <c r="K34" s="210">
        <v>-401941.95</v>
      </c>
      <c r="L34" s="210">
        <v>1547732.52</v>
      </c>
      <c r="M34" s="144">
        <f t="shared" si="2"/>
        <v>3064246.100000001</v>
      </c>
      <c r="N34" s="210">
        <v>4288565.9100000011</v>
      </c>
      <c r="O34" s="210">
        <f>0</f>
        <v>0</v>
      </c>
      <c r="P34" s="210">
        <v>262955.68</v>
      </c>
      <c r="Q34" s="210">
        <v>1735287.8</v>
      </c>
      <c r="R34" s="210">
        <v>-401941.95</v>
      </c>
      <c r="S34" s="144">
        <f t="shared" si="3"/>
        <v>3218175.7400000012</v>
      </c>
      <c r="T34" s="145">
        <v>1797207.67</v>
      </c>
      <c r="U34" s="145">
        <v>1420968.0700000012</v>
      </c>
    </row>
    <row r="35" spans="1:21" outlineLevel="1">
      <c r="A35" s="74">
        <f t="shared" si="4"/>
        <v>25</v>
      </c>
      <c r="B35" s="75">
        <v>64418</v>
      </c>
      <c r="C35" s="209" t="s">
        <v>18</v>
      </c>
      <c r="D35" s="9" t="s">
        <v>136</v>
      </c>
      <c r="E35" s="143">
        <v>7.57</v>
      </c>
      <c r="F35" s="208">
        <v>45606</v>
      </c>
      <c r="G35" s="208">
        <v>47163</v>
      </c>
      <c r="H35" s="77">
        <v>960825</v>
      </c>
      <c r="I35" s="210">
        <v>41405812.809999995</v>
      </c>
      <c r="J35" s="210">
        <f>0</f>
        <v>0</v>
      </c>
      <c r="K35" s="210">
        <f>0</f>
        <v>0</v>
      </c>
      <c r="L35" s="210">
        <v>10685371.08</v>
      </c>
      <c r="M35" s="144">
        <f t="shared" si="2"/>
        <v>30720441.729999997</v>
      </c>
      <c r="N35" s="210">
        <v>41816460.779999994</v>
      </c>
      <c r="O35" s="210">
        <f>0</f>
        <v>0</v>
      </c>
      <c r="P35" s="210">
        <v>2793767.6799999997</v>
      </c>
      <c r="Q35" s="210">
        <v>11610540.67</v>
      </c>
      <c r="R35" s="210">
        <f>0</f>
        <v>0</v>
      </c>
      <c r="S35" s="144">
        <f t="shared" si="3"/>
        <v>32999687.789999992</v>
      </c>
      <c r="T35" s="145">
        <v>11170343.210000001</v>
      </c>
      <c r="U35" s="145">
        <v>21829344.579999991</v>
      </c>
    </row>
    <row r="36" spans="1:21" outlineLevel="1">
      <c r="A36" s="74">
        <f t="shared" si="4"/>
        <v>26</v>
      </c>
      <c r="B36" s="75">
        <v>64418</v>
      </c>
      <c r="C36" s="209" t="s">
        <v>18</v>
      </c>
      <c r="D36" s="9" t="s">
        <v>136</v>
      </c>
      <c r="E36" s="143">
        <v>7.4850000000000003</v>
      </c>
      <c r="F36" s="208">
        <v>45336</v>
      </c>
      <c r="G36" s="208">
        <v>47162</v>
      </c>
      <c r="H36" s="77">
        <v>2700000</v>
      </c>
      <c r="I36" s="210">
        <v>111327110.14000002</v>
      </c>
      <c r="J36" s="210">
        <f>0</f>
        <v>0</v>
      </c>
      <c r="K36" s="210">
        <f>0</f>
        <v>0</v>
      </c>
      <c r="L36" s="210">
        <v>28751659.560000002</v>
      </c>
      <c r="M36" s="144">
        <f t="shared" si="2"/>
        <v>82575450.580000013</v>
      </c>
      <c r="N36" s="210">
        <v>123504363.28</v>
      </c>
      <c r="O36" s="210">
        <f>0</f>
        <v>0</v>
      </c>
      <c r="P36" s="210">
        <v>8154950.2400000002</v>
      </c>
      <c r="Q36" s="210">
        <v>34237687.5</v>
      </c>
      <c r="R36" s="210">
        <f>0</f>
        <v>0</v>
      </c>
      <c r="S36" s="144">
        <f t="shared" si="3"/>
        <v>97421626.019999996</v>
      </c>
      <c r="T36" s="145">
        <v>32988175.640000001</v>
      </c>
      <c r="U36" s="145">
        <v>64433450.379999995</v>
      </c>
    </row>
    <row r="37" spans="1:21" outlineLevel="1">
      <c r="A37" s="74">
        <f t="shared" si="4"/>
        <v>27</v>
      </c>
      <c r="B37" s="75">
        <v>64719</v>
      </c>
      <c r="C37" s="209" t="s">
        <v>18</v>
      </c>
      <c r="D37" s="209" t="s">
        <v>16</v>
      </c>
      <c r="E37" s="143">
        <v>7.64</v>
      </c>
      <c r="F37" s="208">
        <v>45403</v>
      </c>
      <c r="G37" s="208">
        <v>46863</v>
      </c>
      <c r="H37" s="77">
        <v>26474.880000000001</v>
      </c>
      <c r="I37" s="210">
        <v>839425.40999999992</v>
      </c>
      <c r="J37" s="210">
        <f>0</f>
        <v>0</v>
      </c>
      <c r="K37" s="210">
        <v>-67549.42</v>
      </c>
      <c r="L37" s="210">
        <v>284146.56</v>
      </c>
      <c r="M37" s="144">
        <f t="shared" si="2"/>
        <v>622828.27</v>
      </c>
      <c r="N37" s="210">
        <v>854720.10000000009</v>
      </c>
      <c r="O37" s="210">
        <f>0</f>
        <v>0</v>
      </c>
      <c r="P37" s="210">
        <v>55831.75</v>
      </c>
      <c r="Q37" s="210">
        <v>324531.12</v>
      </c>
      <c r="R37" s="210">
        <v>-67549.42</v>
      </c>
      <c r="S37" s="144">
        <f t="shared" si="3"/>
        <v>653570.15000000014</v>
      </c>
      <c r="T37" s="145">
        <v>318475.82</v>
      </c>
      <c r="U37" s="145">
        <v>335094.33000000013</v>
      </c>
    </row>
    <row r="38" spans="1:21" outlineLevel="1">
      <c r="A38" s="74">
        <f t="shared" si="4"/>
        <v>28</v>
      </c>
      <c r="B38" s="75">
        <v>64729</v>
      </c>
      <c r="C38" s="209" t="s">
        <v>18</v>
      </c>
      <c r="D38" s="209" t="s">
        <v>16</v>
      </c>
      <c r="E38" s="143">
        <v>7.81</v>
      </c>
      <c r="F38" s="208">
        <v>45431</v>
      </c>
      <c r="G38" s="208">
        <v>47256</v>
      </c>
      <c r="H38" s="77">
        <v>29270.460000000003</v>
      </c>
      <c r="I38" s="210">
        <v>1205959.1500000001</v>
      </c>
      <c r="J38" s="210">
        <f>0</f>
        <v>0</v>
      </c>
      <c r="K38" s="210">
        <v>1132989.58</v>
      </c>
      <c r="L38" s="210">
        <v>72969.570000000007</v>
      </c>
      <c r="M38" s="144">
        <f t="shared" si="2"/>
        <v>0</v>
      </c>
      <c r="N38" s="210">
        <v>1232556.6400000001</v>
      </c>
      <c r="O38" s="210">
        <f>0</f>
        <v>0</v>
      </c>
      <c r="P38" s="210">
        <v>23084.82</v>
      </c>
      <c r="Q38" s="210">
        <v>87811.38</v>
      </c>
      <c r="R38" s="210">
        <v>1167830.08</v>
      </c>
      <c r="S38" s="144">
        <f t="shared" si="3"/>
        <v>0</v>
      </c>
      <c r="T38" s="145">
        <v>0</v>
      </c>
      <c r="U38" s="145">
        <v>0</v>
      </c>
    </row>
    <row r="39" spans="1:21" outlineLevel="1">
      <c r="A39" s="74">
        <f t="shared" si="4"/>
        <v>29</v>
      </c>
      <c r="B39" s="75">
        <v>64761</v>
      </c>
      <c r="C39" s="209" t="s">
        <v>18</v>
      </c>
      <c r="D39" s="209" t="s">
        <v>16</v>
      </c>
      <c r="E39" s="143">
        <v>7.64</v>
      </c>
      <c r="F39" s="208">
        <v>45464</v>
      </c>
      <c r="G39" s="208">
        <v>46924</v>
      </c>
      <c r="H39" s="77">
        <v>40099.870000000003</v>
      </c>
      <c r="I39" s="210">
        <v>1340776.5</v>
      </c>
      <c r="J39" s="210">
        <f>0</f>
        <v>0</v>
      </c>
      <c r="K39" s="210">
        <v>1340776.5</v>
      </c>
      <c r="L39" s="210">
        <v>0</v>
      </c>
      <c r="M39" s="144">
        <f t="shared" si="2"/>
        <v>0</v>
      </c>
      <c r="N39" s="210">
        <v>1358201.86</v>
      </c>
      <c r="O39" s="210">
        <f>0</f>
        <v>0</v>
      </c>
      <c r="P39" s="210">
        <f>0</f>
        <v>0</v>
      </c>
      <c r="Q39" s="210">
        <f>0</f>
        <v>0</v>
      </c>
      <c r="R39" s="210">
        <v>1358201.86</v>
      </c>
      <c r="S39" s="144">
        <f t="shared" si="3"/>
        <v>0</v>
      </c>
      <c r="T39" s="145">
        <v>0</v>
      </c>
      <c r="U39" s="145">
        <v>0</v>
      </c>
    </row>
    <row r="40" spans="1:21" outlineLevel="1">
      <c r="A40" s="74">
        <f t="shared" si="4"/>
        <v>30</v>
      </c>
      <c r="B40" s="75">
        <v>65689</v>
      </c>
      <c r="C40" s="209" t="s">
        <v>18</v>
      </c>
      <c r="D40" s="209" t="s">
        <v>16</v>
      </c>
      <c r="E40" s="143">
        <v>7.24</v>
      </c>
      <c r="F40" s="208">
        <v>45700</v>
      </c>
      <c r="G40" s="208">
        <v>46794</v>
      </c>
      <c r="H40" s="77">
        <v>45726.35</v>
      </c>
      <c r="I40" s="210">
        <v>1418224.72</v>
      </c>
      <c r="J40" s="210">
        <f>0</f>
        <v>0</v>
      </c>
      <c r="K40" s="210">
        <v>-124717.34</v>
      </c>
      <c r="L40" s="210">
        <v>513938.64</v>
      </c>
      <c r="M40" s="144">
        <f t="shared" si="2"/>
        <v>1029003.42</v>
      </c>
      <c r="N40" s="210">
        <v>1410213.45</v>
      </c>
      <c r="O40" s="210">
        <f>0</f>
        <v>0</v>
      </c>
      <c r="P40" s="210">
        <v>86410.67</v>
      </c>
      <c r="Q40" s="210">
        <v>562416.56000000006</v>
      </c>
      <c r="R40" s="210">
        <v>-124717.34</v>
      </c>
      <c r="S40" s="144">
        <f t="shared" si="3"/>
        <v>1058924.8999999999</v>
      </c>
      <c r="T40" s="145">
        <v>563913.44999999995</v>
      </c>
      <c r="U40" s="145">
        <v>495011.44999999995</v>
      </c>
    </row>
    <row r="41" spans="1:21" outlineLevel="1">
      <c r="A41" s="74">
        <f t="shared" si="4"/>
        <v>31</v>
      </c>
      <c r="B41" s="75">
        <v>65816</v>
      </c>
      <c r="C41" s="209" t="s">
        <v>18</v>
      </c>
      <c r="D41" s="209" t="s">
        <v>16</v>
      </c>
      <c r="E41" s="143">
        <v>7.1400000000000006</v>
      </c>
      <c r="F41" s="208">
        <v>45778</v>
      </c>
      <c r="G41" s="208">
        <v>47165</v>
      </c>
      <c r="H41" s="77">
        <v>48893.45</v>
      </c>
      <c r="I41" s="210">
        <v>0</v>
      </c>
      <c r="J41" s="210">
        <v>1955486.86</v>
      </c>
      <c r="K41" s="210">
        <f>0</f>
        <v>0</v>
      </c>
      <c r="L41" s="210">
        <v>455639.81999999995</v>
      </c>
      <c r="M41" s="144">
        <f t="shared" si="2"/>
        <v>1499847.04</v>
      </c>
      <c r="N41" s="210">
        <v>0</v>
      </c>
      <c r="O41" s="210">
        <v>1955486.86</v>
      </c>
      <c r="P41" s="210">
        <v>108320.04</v>
      </c>
      <c r="Q41" s="210">
        <v>513985.94999999995</v>
      </c>
      <c r="R41" s="210">
        <f>0</f>
        <v>0</v>
      </c>
      <c r="S41" s="144">
        <f t="shared" si="3"/>
        <v>1549820.9500000002</v>
      </c>
      <c r="T41" s="145">
        <v>522711.82</v>
      </c>
      <c r="U41" s="145">
        <v>1027109.1300000001</v>
      </c>
    </row>
    <row r="42" spans="1:21" outlineLevel="1">
      <c r="A42" s="74">
        <f t="shared" si="4"/>
        <v>32</v>
      </c>
      <c r="B42" s="75">
        <v>66078</v>
      </c>
      <c r="C42" s="209" t="s">
        <v>18</v>
      </c>
      <c r="D42" s="209" t="s">
        <v>16</v>
      </c>
      <c r="E42" s="143">
        <v>7.02</v>
      </c>
      <c r="F42" s="208">
        <v>45898</v>
      </c>
      <c r="G42" s="208">
        <v>47358</v>
      </c>
      <c r="H42" s="77">
        <v>50494.14</v>
      </c>
      <c r="I42" s="210">
        <v>0</v>
      </c>
      <c r="J42" s="210">
        <v>2147091.17</v>
      </c>
      <c r="K42" s="210">
        <f>0</f>
        <v>0</v>
      </c>
      <c r="L42" s="210">
        <v>306113.34999999998</v>
      </c>
      <c r="M42" s="144">
        <f t="shared" si="2"/>
        <v>1840977.8199999998</v>
      </c>
      <c r="N42" s="210">
        <v>0</v>
      </c>
      <c r="O42" s="210">
        <v>2147091.17</v>
      </c>
      <c r="P42" s="210">
        <v>87740.26999999999</v>
      </c>
      <c r="Q42" s="210">
        <v>388149.08</v>
      </c>
      <c r="R42" s="210">
        <f>0</f>
        <v>0</v>
      </c>
      <c r="S42" s="144">
        <f t="shared" si="3"/>
        <v>1846682.3599999999</v>
      </c>
      <c r="T42" s="145">
        <v>522288.42</v>
      </c>
      <c r="U42" s="145">
        <v>1324393.94</v>
      </c>
    </row>
    <row r="43" spans="1:21" outlineLevel="1">
      <c r="A43" s="74">
        <f t="shared" si="4"/>
        <v>33</v>
      </c>
      <c r="B43" s="75">
        <v>65910</v>
      </c>
      <c r="C43" s="209" t="s">
        <v>18</v>
      </c>
      <c r="D43" s="209" t="s">
        <v>16</v>
      </c>
      <c r="E43" s="143">
        <v>7.35</v>
      </c>
      <c r="F43" s="208">
        <v>45800</v>
      </c>
      <c r="G43" s="208">
        <v>47625</v>
      </c>
      <c r="H43" s="77">
        <v>19680.52</v>
      </c>
      <c r="I43" s="210">
        <v>0</v>
      </c>
      <c r="J43" s="210">
        <v>999816.3</v>
      </c>
      <c r="K43" s="210">
        <f>0</f>
        <v>0</v>
      </c>
      <c r="L43" s="210">
        <v>164600.72999999998</v>
      </c>
      <c r="M43" s="144">
        <f t="shared" si="2"/>
        <v>835215.57000000007</v>
      </c>
      <c r="N43" s="210">
        <v>0</v>
      </c>
      <c r="O43" s="210">
        <v>999816.3</v>
      </c>
      <c r="P43" s="210">
        <v>58585.36</v>
      </c>
      <c r="Q43" s="210">
        <v>207763.65</v>
      </c>
      <c r="R43" s="210">
        <f>0</f>
        <v>0</v>
      </c>
      <c r="S43" s="144">
        <f t="shared" si="3"/>
        <v>850638.01000000013</v>
      </c>
      <c r="T43" s="145">
        <v>191364.23</v>
      </c>
      <c r="U43" s="145">
        <v>659273.78000000014</v>
      </c>
    </row>
    <row r="44" spans="1:21" outlineLevel="1">
      <c r="A44" s="74">
        <f t="shared" si="4"/>
        <v>34</v>
      </c>
      <c r="B44" s="75">
        <v>65969</v>
      </c>
      <c r="C44" s="209" t="s">
        <v>18</v>
      </c>
      <c r="D44" s="209" t="s">
        <v>16</v>
      </c>
      <c r="E44" s="143">
        <v>6.8900000000000006</v>
      </c>
      <c r="F44" s="208">
        <v>45817</v>
      </c>
      <c r="G44" s="208">
        <v>46912</v>
      </c>
      <c r="H44" s="77">
        <v>47586.61</v>
      </c>
      <c r="I44" s="210">
        <v>0</v>
      </c>
      <c r="J44" s="210">
        <v>1574931.11</v>
      </c>
      <c r="K44" s="210">
        <f>0</f>
        <v>0</v>
      </c>
      <c r="L44" s="210">
        <v>406651.64</v>
      </c>
      <c r="M44" s="144">
        <f t="shared" si="2"/>
        <v>1168279.4700000002</v>
      </c>
      <c r="N44" s="210">
        <v>0</v>
      </c>
      <c r="O44" s="210">
        <v>1574931.11</v>
      </c>
      <c r="P44" s="210">
        <v>73454.080000000002</v>
      </c>
      <c r="Q44" s="210">
        <v>454472.86</v>
      </c>
      <c r="R44" s="210">
        <f>0</f>
        <v>0</v>
      </c>
      <c r="S44" s="144">
        <f t="shared" si="3"/>
        <v>1193912.33</v>
      </c>
      <c r="T44" s="145">
        <v>534775.05000000005</v>
      </c>
      <c r="U44" s="145">
        <v>659137.28000000003</v>
      </c>
    </row>
    <row r="45" spans="1:21" outlineLevel="1">
      <c r="A45" s="74">
        <f t="shared" si="4"/>
        <v>35</v>
      </c>
      <c r="B45" s="75">
        <v>66253</v>
      </c>
      <c r="C45" s="209" t="s">
        <v>18</v>
      </c>
      <c r="D45" s="209" t="s">
        <v>16</v>
      </c>
      <c r="E45" s="143">
        <v>6.78</v>
      </c>
      <c r="F45" s="208">
        <v>45998</v>
      </c>
      <c r="G45" s="208">
        <v>47093</v>
      </c>
      <c r="H45" s="77">
        <v>21397.47</v>
      </c>
      <c r="I45" s="210">
        <v>0</v>
      </c>
      <c r="J45" s="210">
        <v>699202.72</v>
      </c>
      <c r="K45" s="210">
        <f>0</f>
        <v>0</v>
      </c>
      <c r="L45" s="210">
        <v>73930.05</v>
      </c>
      <c r="M45" s="144">
        <f t="shared" si="2"/>
        <v>625272.66999999993</v>
      </c>
      <c r="N45" s="210">
        <v>0</v>
      </c>
      <c r="O45" s="210">
        <v>699202.72</v>
      </c>
      <c r="P45" s="210">
        <v>14715.34</v>
      </c>
      <c r="Q45" s="210">
        <v>85589.88</v>
      </c>
      <c r="R45" s="210">
        <f>0</f>
        <v>0</v>
      </c>
      <c r="S45" s="144">
        <f t="shared" si="3"/>
        <v>628328.17999999993</v>
      </c>
      <c r="T45" s="145">
        <v>234027.46</v>
      </c>
      <c r="U45" s="145">
        <v>394300.72</v>
      </c>
    </row>
    <row r="46" spans="1:21" outlineLevel="1">
      <c r="A46" s="74">
        <f t="shared" si="4"/>
        <v>36</v>
      </c>
      <c r="B46" s="75">
        <v>65789</v>
      </c>
      <c r="C46" s="209" t="s">
        <v>18</v>
      </c>
      <c r="D46" s="209" t="s">
        <v>16</v>
      </c>
      <c r="E46" s="143">
        <v>7.35</v>
      </c>
      <c r="F46" s="208">
        <v>45778</v>
      </c>
      <c r="G46" s="208">
        <v>47603</v>
      </c>
      <c r="H46" s="77">
        <v>35457.730000000003</v>
      </c>
      <c r="I46" s="210">
        <v>0</v>
      </c>
      <c r="J46" s="210">
        <v>1775760.46</v>
      </c>
      <c r="K46" s="210">
        <f>0</f>
        <v>0</v>
      </c>
      <c r="L46" s="210">
        <v>314639.77</v>
      </c>
      <c r="M46" s="144">
        <f t="shared" si="2"/>
        <v>1461120.69</v>
      </c>
      <c r="N46" s="210">
        <v>0</v>
      </c>
      <c r="O46" s="210">
        <v>1775760.46</v>
      </c>
      <c r="P46" s="210">
        <v>104950.87</v>
      </c>
      <c r="Q46" s="210">
        <v>374437.28</v>
      </c>
      <c r="R46" s="210">
        <f>0</f>
        <v>0</v>
      </c>
      <c r="S46" s="144">
        <f t="shared" si="3"/>
        <v>1506274.05</v>
      </c>
      <c r="T46" s="145">
        <v>346885.33</v>
      </c>
      <c r="U46" s="145">
        <v>1159388.72</v>
      </c>
    </row>
    <row r="47" spans="1:21" outlineLevel="1">
      <c r="A47" s="74">
        <f t="shared" si="4"/>
        <v>37</v>
      </c>
      <c r="B47" s="75">
        <v>65966</v>
      </c>
      <c r="C47" s="209" t="s">
        <v>18</v>
      </c>
      <c r="D47" s="209" t="s">
        <v>16</v>
      </c>
      <c r="E47" s="143">
        <v>7.02</v>
      </c>
      <c r="F47" s="208">
        <v>45839</v>
      </c>
      <c r="G47" s="208">
        <v>47256</v>
      </c>
      <c r="H47" s="77">
        <v>93899.58</v>
      </c>
      <c r="I47" s="210">
        <v>0</v>
      </c>
      <c r="J47" s="210">
        <v>1333812.72</v>
      </c>
      <c r="K47" s="210">
        <f>0</f>
        <v>0</v>
      </c>
      <c r="L47" s="210">
        <v>248201.85</v>
      </c>
      <c r="M47" s="144">
        <f t="shared" si="2"/>
        <v>1085610.8699999999</v>
      </c>
      <c r="N47" s="210">
        <v>0</v>
      </c>
      <c r="O47" s="210">
        <v>1333812.72</v>
      </c>
      <c r="P47" s="210">
        <v>58888.93</v>
      </c>
      <c r="Q47" s="210">
        <v>271551.66000000003</v>
      </c>
      <c r="R47" s="210">
        <f>0</f>
        <v>0</v>
      </c>
      <c r="S47" s="144">
        <f t="shared" si="3"/>
        <v>1121149.9899999998</v>
      </c>
      <c r="T47" s="145">
        <v>329467.48</v>
      </c>
      <c r="U47" s="145">
        <v>791682.50999999978</v>
      </c>
    </row>
    <row r="48" spans="1:21" outlineLevel="1">
      <c r="A48" s="74">
        <f t="shared" si="4"/>
        <v>38</v>
      </c>
      <c r="B48" s="75">
        <v>66393</v>
      </c>
      <c r="C48" s="209" t="s">
        <v>18</v>
      </c>
      <c r="D48" s="209" t="s">
        <v>16</v>
      </c>
      <c r="E48" s="143">
        <v>7.3800000000000008</v>
      </c>
      <c r="F48" s="208">
        <v>46068</v>
      </c>
      <c r="G48" s="208">
        <v>47893</v>
      </c>
      <c r="H48" s="77">
        <v>141501</v>
      </c>
      <c r="I48" s="210">
        <f>0</f>
        <v>0</v>
      </c>
      <c r="J48" s="210">
        <v>2375178.63</v>
      </c>
      <c r="K48" s="210">
        <f>0</f>
        <v>0</v>
      </c>
      <c r="L48" s="210">
        <v>59379.47</v>
      </c>
      <c r="M48" s="144">
        <f t="shared" si="2"/>
        <v>2315799.1599999997</v>
      </c>
      <c r="N48" s="210">
        <f>0</f>
        <v>0</v>
      </c>
      <c r="O48" s="210">
        <v>2375178.63</v>
      </c>
      <c r="P48" s="210">
        <v>28427.88</v>
      </c>
      <c r="Q48" s="210">
        <v>94334</v>
      </c>
      <c r="R48" s="210">
        <f>0</f>
        <v>0</v>
      </c>
      <c r="S48" s="144">
        <f t="shared" si="3"/>
        <v>2309272.5099999998</v>
      </c>
      <c r="T48" s="145">
        <v>436283.71</v>
      </c>
      <c r="U48" s="145">
        <v>1872988.7999999998</v>
      </c>
    </row>
    <row r="49" spans="1:21">
      <c r="A49" s="74">
        <f>A48+1</f>
        <v>39</v>
      </c>
      <c r="B49" s="256">
        <v>53818</v>
      </c>
      <c r="C49" s="209" t="s">
        <v>12</v>
      </c>
      <c r="D49" s="209" t="s">
        <v>13</v>
      </c>
      <c r="E49" s="211">
        <v>7.9066890000000001</v>
      </c>
      <c r="F49" s="208">
        <v>44562</v>
      </c>
      <c r="G49" s="208">
        <v>46387</v>
      </c>
      <c r="H49" s="77"/>
      <c r="I49" s="210">
        <v>42114950.340000004</v>
      </c>
      <c r="J49" s="210">
        <v>0</v>
      </c>
      <c r="K49" s="210">
        <v>0</v>
      </c>
      <c r="L49" s="210">
        <v>24065685.959999993</v>
      </c>
      <c r="M49" s="144">
        <f>I49+J49-K49-L49</f>
        <v>18049264.38000001</v>
      </c>
      <c r="N49" s="210">
        <v>46322666.840000004</v>
      </c>
      <c r="O49" s="210">
        <v>0</v>
      </c>
      <c r="P49" s="210">
        <v>2374434.6399999997</v>
      </c>
      <c r="Q49" s="210">
        <v>28060000</v>
      </c>
      <c r="R49" s="210">
        <v>0</v>
      </c>
      <c r="S49" s="144">
        <f t="shared" si="3"/>
        <v>20637101.480000004</v>
      </c>
      <c r="T49" s="145">
        <v>20637101.48</v>
      </c>
      <c r="U49" s="145">
        <v>0</v>
      </c>
    </row>
    <row r="50" spans="1:21">
      <c r="A50" s="74">
        <f t="shared" ref="A50:A113" si="5">A49+1</f>
        <v>40</v>
      </c>
      <c r="B50" s="75">
        <v>54238</v>
      </c>
      <c r="C50" s="209" t="s">
        <v>12</v>
      </c>
      <c r="D50" s="209" t="s">
        <v>16</v>
      </c>
      <c r="E50" s="211">
        <v>0</v>
      </c>
      <c r="F50" s="208">
        <v>44593</v>
      </c>
      <c r="G50" s="208">
        <v>45902</v>
      </c>
      <c r="H50" s="77"/>
      <c r="I50" s="210">
        <v>130548.61</v>
      </c>
      <c r="J50" s="210">
        <v>0</v>
      </c>
      <c r="K50" s="210">
        <v>0</v>
      </c>
      <c r="L50" s="210">
        <v>130548.61</v>
      </c>
      <c r="M50" s="144">
        <f t="shared" ref="M50:M113" si="6">I50+J50-K50-L50</f>
        <v>0</v>
      </c>
      <c r="N50" s="210">
        <v>141722.14000000001</v>
      </c>
      <c r="O50" s="210">
        <v>0</v>
      </c>
      <c r="P50" s="210">
        <v>1804.2099999999998</v>
      </c>
      <c r="Q50" s="210">
        <v>143526.35</v>
      </c>
      <c r="R50" s="210">
        <v>0</v>
      </c>
      <c r="S50" s="144">
        <f t="shared" si="3"/>
        <v>0</v>
      </c>
      <c r="T50" s="145">
        <v>0</v>
      </c>
      <c r="U50" s="145">
        <v>0</v>
      </c>
    </row>
    <row r="51" spans="1:21">
      <c r="A51" s="74">
        <f t="shared" si="5"/>
        <v>41</v>
      </c>
      <c r="B51" s="75">
        <v>54245</v>
      </c>
      <c r="C51" s="209" t="s">
        <v>12</v>
      </c>
      <c r="D51" s="209" t="s">
        <v>16</v>
      </c>
      <c r="E51" s="211">
        <v>0</v>
      </c>
      <c r="F51" s="208">
        <v>44593</v>
      </c>
      <c r="G51" s="208">
        <v>45926</v>
      </c>
      <c r="H51" s="77"/>
      <c r="I51" s="210">
        <v>137060.45000000001</v>
      </c>
      <c r="J51" s="210">
        <v>0</v>
      </c>
      <c r="K51" s="210">
        <v>0</v>
      </c>
      <c r="L51" s="210">
        <v>137060.45000000001</v>
      </c>
      <c r="M51" s="144">
        <f t="shared" si="6"/>
        <v>0</v>
      </c>
      <c r="N51" s="210">
        <v>130828.67</v>
      </c>
      <c r="O51" s="210">
        <v>0</v>
      </c>
      <c r="P51" s="210">
        <v>1665.53</v>
      </c>
      <c r="Q51" s="210">
        <v>132494.20000000001</v>
      </c>
      <c r="R51" s="210">
        <v>0</v>
      </c>
      <c r="S51" s="144">
        <f t="shared" si="3"/>
        <v>0</v>
      </c>
      <c r="T51" s="145">
        <v>0</v>
      </c>
      <c r="U51" s="145">
        <v>0</v>
      </c>
    </row>
    <row r="52" spans="1:21">
      <c r="A52" s="74">
        <f t="shared" si="5"/>
        <v>42</v>
      </c>
      <c r="B52" s="75">
        <v>54263</v>
      </c>
      <c r="C52" s="209" t="s">
        <v>12</v>
      </c>
      <c r="D52" s="209" t="s">
        <v>16</v>
      </c>
      <c r="E52" s="211">
        <v>7.6385459999999998</v>
      </c>
      <c r="F52" s="208">
        <v>44593</v>
      </c>
      <c r="G52" s="208">
        <v>46006</v>
      </c>
      <c r="H52" s="77"/>
      <c r="I52" s="210">
        <v>212405.93</v>
      </c>
      <c r="J52" s="210">
        <v>0</v>
      </c>
      <c r="K52" s="210">
        <v>0</v>
      </c>
      <c r="L52" s="210">
        <v>212405.92999999996</v>
      </c>
      <c r="M52" s="144">
        <f t="shared" si="6"/>
        <v>0</v>
      </c>
      <c r="N52" s="210">
        <v>222208.94</v>
      </c>
      <c r="O52" s="210">
        <v>0</v>
      </c>
      <c r="P52" s="210">
        <v>4966.1000000000004</v>
      </c>
      <c r="Q52" s="210">
        <v>227175.04000000001</v>
      </c>
      <c r="R52" s="210">
        <v>0</v>
      </c>
      <c r="S52" s="144">
        <f t="shared" si="3"/>
        <v>0</v>
      </c>
      <c r="T52" s="145">
        <v>0</v>
      </c>
      <c r="U52" s="145">
        <v>0</v>
      </c>
    </row>
    <row r="53" spans="1:21">
      <c r="A53" s="74">
        <f t="shared" si="5"/>
        <v>43</v>
      </c>
      <c r="B53" s="75">
        <v>55765</v>
      </c>
      <c r="C53" s="209" t="s">
        <v>12</v>
      </c>
      <c r="D53" s="209" t="s">
        <v>16</v>
      </c>
      <c r="E53" s="211">
        <v>7.6384999999999996</v>
      </c>
      <c r="F53" s="208">
        <v>44682</v>
      </c>
      <c r="G53" s="208">
        <v>46139</v>
      </c>
      <c r="H53" s="77"/>
      <c r="I53" s="210">
        <v>465981.14</v>
      </c>
      <c r="J53" s="210">
        <v>0</v>
      </c>
      <c r="K53" s="210">
        <v>-45396.02</v>
      </c>
      <c r="L53" s="210">
        <v>470528.80000000005</v>
      </c>
      <c r="M53" s="144">
        <f t="shared" si="6"/>
        <v>40848.359999999986</v>
      </c>
      <c r="N53" s="210">
        <v>486283.82</v>
      </c>
      <c r="O53" s="210">
        <v>0</v>
      </c>
      <c r="P53" s="210">
        <v>18258.28</v>
      </c>
      <c r="Q53" s="210">
        <v>507074.96000000008</v>
      </c>
      <c r="R53" s="210">
        <v>-45396.02</v>
      </c>
      <c r="S53" s="144">
        <f t="shared" si="3"/>
        <v>42863.159999999894</v>
      </c>
      <c r="T53" s="145">
        <v>42863.16</v>
      </c>
      <c r="U53" s="145">
        <v>0</v>
      </c>
    </row>
    <row r="54" spans="1:21">
      <c r="A54" s="74">
        <f t="shared" si="5"/>
        <v>44</v>
      </c>
      <c r="B54" s="75">
        <v>55768</v>
      </c>
      <c r="C54" s="209" t="s">
        <v>12</v>
      </c>
      <c r="D54" s="209" t="s">
        <v>16</v>
      </c>
      <c r="E54" s="211">
        <v>7.6384999999999996</v>
      </c>
      <c r="F54" s="208">
        <v>44682</v>
      </c>
      <c r="G54" s="208">
        <v>46138</v>
      </c>
      <c r="H54" s="77"/>
      <c r="I54" s="210">
        <v>382780.61</v>
      </c>
      <c r="J54" s="210">
        <v>0</v>
      </c>
      <c r="K54" s="210">
        <v>-37357.25</v>
      </c>
      <c r="L54" s="210">
        <v>387702.04000000004</v>
      </c>
      <c r="M54" s="144">
        <f t="shared" si="6"/>
        <v>32435.819999999949</v>
      </c>
      <c r="N54" s="210">
        <v>400217.88</v>
      </c>
      <c r="O54" s="210">
        <v>0</v>
      </c>
      <c r="P54" s="210">
        <v>15026.729999999998</v>
      </c>
      <c r="Q54" s="210">
        <v>417325.80000000005</v>
      </c>
      <c r="R54" s="210">
        <v>-37357.25</v>
      </c>
      <c r="S54" s="144">
        <f t="shared" si="3"/>
        <v>35276.059999999939</v>
      </c>
      <c r="T54" s="145">
        <v>35276.06</v>
      </c>
      <c r="U54" s="145">
        <v>0</v>
      </c>
    </row>
    <row r="55" spans="1:21">
      <c r="A55" s="74">
        <f t="shared" si="5"/>
        <v>45</v>
      </c>
      <c r="B55" s="75">
        <v>55771</v>
      </c>
      <c r="C55" s="209" t="s">
        <v>12</v>
      </c>
      <c r="D55" s="209" t="s">
        <v>16</v>
      </c>
      <c r="E55" s="211">
        <v>7.6385459999999998</v>
      </c>
      <c r="F55" s="208">
        <v>44682</v>
      </c>
      <c r="G55" s="208">
        <v>46137</v>
      </c>
      <c r="H55" s="77"/>
      <c r="I55" s="210">
        <v>461956.17</v>
      </c>
      <c r="J55" s="210">
        <v>0</v>
      </c>
      <c r="K55" s="210">
        <v>0</v>
      </c>
      <c r="L55" s="210">
        <v>431959.07999999984</v>
      </c>
      <c r="M55" s="144">
        <f t="shared" si="6"/>
        <v>29997.090000000142</v>
      </c>
      <c r="N55" s="210">
        <v>483921.89</v>
      </c>
      <c r="O55" s="210">
        <v>0</v>
      </c>
      <c r="P55" s="210">
        <v>17066.349999999999</v>
      </c>
      <c r="Q55" s="210">
        <v>500988.24000000005</v>
      </c>
      <c r="R55" s="210">
        <v>0</v>
      </c>
      <c r="S55" s="144">
        <f t="shared" si="3"/>
        <v>-5.8207660913467407E-11</v>
      </c>
      <c r="T55" s="145">
        <v>0</v>
      </c>
      <c r="U55" s="145">
        <v>0</v>
      </c>
    </row>
    <row r="56" spans="1:21">
      <c r="A56" s="74">
        <f t="shared" si="5"/>
        <v>46</v>
      </c>
      <c r="B56" s="75">
        <v>55775</v>
      </c>
      <c r="C56" s="209" t="s">
        <v>12</v>
      </c>
      <c r="D56" s="209" t="s">
        <v>16</v>
      </c>
      <c r="E56" s="211">
        <v>7.6384999999999996</v>
      </c>
      <c r="F56" s="208">
        <v>44682</v>
      </c>
      <c r="G56" s="208">
        <v>46137</v>
      </c>
      <c r="H56" s="77"/>
      <c r="I56" s="210">
        <v>221785.84</v>
      </c>
      <c r="J56" s="210">
        <v>0</v>
      </c>
      <c r="K56" s="210">
        <v>-21943.82</v>
      </c>
      <c r="L56" s="210">
        <v>225544.56000000003</v>
      </c>
      <c r="M56" s="144">
        <f t="shared" si="6"/>
        <v>18185.099999999977</v>
      </c>
      <c r="N56" s="210">
        <v>232331.65</v>
      </c>
      <c r="O56" s="210">
        <v>0</v>
      </c>
      <c r="P56" s="210">
        <v>8726.4800000000014</v>
      </c>
      <c r="Q56" s="210">
        <v>242471.59999999998</v>
      </c>
      <c r="R56" s="210">
        <v>-21943.82</v>
      </c>
      <c r="S56" s="144">
        <f t="shared" si="3"/>
        <v>20530.350000000028</v>
      </c>
      <c r="T56" s="145">
        <v>20530.349999999999</v>
      </c>
      <c r="U56" s="145">
        <v>0</v>
      </c>
    </row>
    <row r="57" spans="1:21">
      <c r="A57" s="74">
        <f t="shared" si="5"/>
        <v>47</v>
      </c>
      <c r="B57" s="75">
        <v>55778</v>
      </c>
      <c r="C57" s="209" t="s">
        <v>12</v>
      </c>
      <c r="D57" s="209" t="s">
        <v>16</v>
      </c>
      <c r="E57" s="211">
        <v>7.6384999999999996</v>
      </c>
      <c r="F57" s="208">
        <v>44682</v>
      </c>
      <c r="G57" s="208">
        <v>46140</v>
      </c>
      <c r="H57" s="77"/>
      <c r="I57" s="210">
        <v>329883.61</v>
      </c>
      <c r="J57" s="210">
        <v>0</v>
      </c>
      <c r="K57" s="210">
        <v>-32069.55</v>
      </c>
      <c r="L57" s="210">
        <v>332079.92000000004</v>
      </c>
      <c r="M57" s="144">
        <f t="shared" si="6"/>
        <v>29873.239999999932</v>
      </c>
      <c r="N57" s="210">
        <v>343605.42</v>
      </c>
      <c r="O57" s="210">
        <v>0</v>
      </c>
      <c r="P57" s="210">
        <v>12901.109999999999</v>
      </c>
      <c r="Q57" s="210">
        <v>358290.63999999996</v>
      </c>
      <c r="R57" s="210">
        <v>-32069.55</v>
      </c>
      <c r="S57" s="144">
        <f t="shared" si="3"/>
        <v>30285.440000000013</v>
      </c>
      <c r="T57" s="145">
        <v>30285.439999999999</v>
      </c>
      <c r="U57" s="145">
        <v>0</v>
      </c>
    </row>
    <row r="58" spans="1:21">
      <c r="A58" s="74">
        <f t="shared" si="5"/>
        <v>48</v>
      </c>
      <c r="B58" s="75">
        <v>56135</v>
      </c>
      <c r="C58" s="209" t="s">
        <v>12</v>
      </c>
      <c r="D58" s="209" t="s">
        <v>16</v>
      </c>
      <c r="E58" s="211">
        <v>7.6385459999999998</v>
      </c>
      <c r="F58" s="208">
        <v>44713</v>
      </c>
      <c r="G58" s="208">
        <v>46159</v>
      </c>
      <c r="H58" s="77"/>
      <c r="I58" s="210">
        <v>641834.32999999996</v>
      </c>
      <c r="J58" s="210">
        <v>0</v>
      </c>
      <c r="K58" s="210">
        <v>0</v>
      </c>
      <c r="L58" s="210">
        <v>568481.75999999989</v>
      </c>
      <c r="M58" s="144">
        <f t="shared" si="6"/>
        <v>73352.570000000065</v>
      </c>
      <c r="N58" s="210">
        <v>685507.77</v>
      </c>
      <c r="O58" s="210">
        <v>0</v>
      </c>
      <c r="P58" s="210">
        <v>26400.949999999997</v>
      </c>
      <c r="Q58" s="210">
        <v>657146.52</v>
      </c>
      <c r="R58" s="210">
        <v>0</v>
      </c>
      <c r="S58" s="144">
        <f t="shared" si="3"/>
        <v>54762.199999999953</v>
      </c>
      <c r="T58" s="145">
        <v>54762.2</v>
      </c>
      <c r="U58" s="145">
        <v>0</v>
      </c>
    </row>
    <row r="59" spans="1:21">
      <c r="A59" s="74">
        <f t="shared" si="5"/>
        <v>49</v>
      </c>
      <c r="B59" s="75">
        <v>56143</v>
      </c>
      <c r="C59" s="209" t="s">
        <v>12</v>
      </c>
      <c r="D59" s="209" t="s">
        <v>16</v>
      </c>
      <c r="E59" s="211">
        <v>7.6384999999999996</v>
      </c>
      <c r="F59" s="208">
        <v>44713</v>
      </c>
      <c r="G59" s="208">
        <v>46154</v>
      </c>
      <c r="H59" s="77"/>
      <c r="I59" s="210">
        <v>374359.83</v>
      </c>
      <c r="J59" s="210">
        <v>0</v>
      </c>
      <c r="K59" s="210">
        <v>-35321.760000000002</v>
      </c>
      <c r="L59" s="210">
        <v>361797.64</v>
      </c>
      <c r="M59" s="144">
        <f t="shared" si="6"/>
        <v>47883.950000000012</v>
      </c>
      <c r="N59" s="210">
        <v>403291.12</v>
      </c>
      <c r="O59" s="210">
        <v>0</v>
      </c>
      <c r="P59" s="210">
        <v>16395.310000000001</v>
      </c>
      <c r="Q59" s="210">
        <v>389390</v>
      </c>
      <c r="R59" s="210">
        <v>-35321.760000000002</v>
      </c>
      <c r="S59" s="144">
        <f t="shared" si="3"/>
        <v>65618.19</v>
      </c>
      <c r="T59" s="145">
        <v>65618.19</v>
      </c>
      <c r="U59" s="145">
        <v>0</v>
      </c>
    </row>
    <row r="60" spans="1:21">
      <c r="A60" s="74">
        <f t="shared" si="5"/>
        <v>50</v>
      </c>
      <c r="B60" s="75">
        <v>56148</v>
      </c>
      <c r="C60" s="209" t="s">
        <v>12</v>
      </c>
      <c r="D60" s="209" t="s">
        <v>16</v>
      </c>
      <c r="E60" s="211">
        <v>7.6384999999999996</v>
      </c>
      <c r="F60" s="208">
        <v>44713</v>
      </c>
      <c r="G60" s="208">
        <v>46146</v>
      </c>
      <c r="H60" s="77"/>
      <c r="I60" s="210">
        <v>425701.4</v>
      </c>
      <c r="J60" s="210">
        <v>0</v>
      </c>
      <c r="K60" s="210">
        <v>-40752.519999999997</v>
      </c>
      <c r="L60" s="210">
        <v>420875.04</v>
      </c>
      <c r="M60" s="144">
        <f t="shared" si="6"/>
        <v>45578.880000000063</v>
      </c>
      <c r="N60" s="210">
        <v>465093.53</v>
      </c>
      <c r="O60" s="210">
        <v>0</v>
      </c>
      <c r="P60" s="210">
        <v>18908.09</v>
      </c>
      <c r="Q60" s="210">
        <v>449074.24</v>
      </c>
      <c r="R60" s="210">
        <v>-40752.519999999997</v>
      </c>
      <c r="S60" s="144">
        <f t="shared" si="3"/>
        <v>75679.900000000052</v>
      </c>
      <c r="T60" s="145">
        <v>75679.899999999994</v>
      </c>
      <c r="U60" s="145">
        <v>0</v>
      </c>
    </row>
    <row r="61" spans="1:21">
      <c r="A61" s="74">
        <f t="shared" si="5"/>
        <v>51</v>
      </c>
      <c r="B61" s="75">
        <v>56151</v>
      </c>
      <c r="C61" s="209" t="s">
        <v>12</v>
      </c>
      <c r="D61" s="209" t="s">
        <v>16</v>
      </c>
      <c r="E61" s="211">
        <v>7.6384999999999996</v>
      </c>
      <c r="F61" s="208">
        <v>44713</v>
      </c>
      <c r="G61" s="208">
        <v>46166</v>
      </c>
      <c r="H61" s="77"/>
      <c r="I61" s="210">
        <v>295305.06</v>
      </c>
      <c r="J61" s="210">
        <v>0</v>
      </c>
      <c r="K61" s="210">
        <v>-25716.01</v>
      </c>
      <c r="L61" s="210">
        <v>275082.52</v>
      </c>
      <c r="M61" s="144">
        <f t="shared" si="6"/>
        <v>45938.549999999988</v>
      </c>
      <c r="N61" s="210">
        <v>311687.28999999998</v>
      </c>
      <c r="O61" s="210">
        <v>0</v>
      </c>
      <c r="P61" s="210">
        <v>12647.749999999998</v>
      </c>
      <c r="Q61" s="210">
        <v>299871.72000000003</v>
      </c>
      <c r="R61" s="210">
        <v>-25716.01</v>
      </c>
      <c r="S61" s="144">
        <f t="shared" si="3"/>
        <v>50179.329999999944</v>
      </c>
      <c r="T61" s="145">
        <v>50179.33</v>
      </c>
      <c r="U61" s="145">
        <v>0</v>
      </c>
    </row>
    <row r="62" spans="1:21">
      <c r="A62" s="74">
        <f t="shared" si="5"/>
        <v>52</v>
      </c>
      <c r="B62" s="75">
        <v>56156</v>
      </c>
      <c r="C62" s="209" t="s">
        <v>12</v>
      </c>
      <c r="D62" s="209" t="s">
        <v>16</v>
      </c>
      <c r="E62" s="211">
        <v>7.6385459999999998</v>
      </c>
      <c r="F62" s="208">
        <v>44713</v>
      </c>
      <c r="G62" s="208">
        <v>46160</v>
      </c>
      <c r="H62" s="77"/>
      <c r="I62" s="210">
        <v>405681.88</v>
      </c>
      <c r="J62" s="210">
        <v>0</v>
      </c>
      <c r="K62" s="210">
        <v>0</v>
      </c>
      <c r="L62" s="210">
        <v>358464.72000000003</v>
      </c>
      <c r="M62" s="144">
        <f t="shared" si="6"/>
        <v>47217.159999999974</v>
      </c>
      <c r="N62" s="210">
        <v>432547.59</v>
      </c>
      <c r="O62" s="210">
        <v>0</v>
      </c>
      <c r="P62" s="210">
        <v>16658.689999999999</v>
      </c>
      <c r="Q62" s="210">
        <v>414651.96000000014</v>
      </c>
      <c r="R62" s="210">
        <v>0</v>
      </c>
      <c r="S62" s="144">
        <f t="shared" si="3"/>
        <v>34554.319999999891</v>
      </c>
      <c r="T62" s="145">
        <v>34554.32</v>
      </c>
      <c r="U62" s="145">
        <v>0</v>
      </c>
    </row>
    <row r="63" spans="1:21">
      <c r="A63" s="74">
        <f t="shared" si="5"/>
        <v>53</v>
      </c>
      <c r="B63" s="75">
        <v>56165</v>
      </c>
      <c r="C63" s="209" t="s">
        <v>12</v>
      </c>
      <c r="D63" s="209" t="s">
        <v>16</v>
      </c>
      <c r="E63" s="211">
        <v>7.6384999999999996</v>
      </c>
      <c r="F63" s="208">
        <v>44713</v>
      </c>
      <c r="G63" s="208">
        <v>46144</v>
      </c>
      <c r="H63" s="77"/>
      <c r="I63" s="210">
        <v>160989.16</v>
      </c>
      <c r="J63" s="210">
        <v>0</v>
      </c>
      <c r="K63" s="210">
        <v>-13945.9</v>
      </c>
      <c r="L63" s="210">
        <v>158886.12000000002</v>
      </c>
      <c r="M63" s="144">
        <f t="shared" si="6"/>
        <v>16048.939999999973</v>
      </c>
      <c r="N63" s="210">
        <v>176515.11</v>
      </c>
      <c r="O63" s="210">
        <v>0</v>
      </c>
      <c r="P63" s="210">
        <v>7153.5200000000013</v>
      </c>
      <c r="Q63" s="210">
        <v>169405.40000000002</v>
      </c>
      <c r="R63" s="210">
        <v>-13945.9</v>
      </c>
      <c r="S63" s="144">
        <f t="shared" si="3"/>
        <v>28209.129999999954</v>
      </c>
      <c r="T63" s="145">
        <v>28209.13</v>
      </c>
      <c r="U63" s="145">
        <v>0</v>
      </c>
    </row>
    <row r="64" spans="1:21">
      <c r="A64" s="74">
        <f t="shared" si="5"/>
        <v>54</v>
      </c>
      <c r="B64" s="75">
        <v>56174</v>
      </c>
      <c r="C64" s="209" t="s">
        <v>12</v>
      </c>
      <c r="D64" s="209" t="s">
        <v>16</v>
      </c>
      <c r="E64" s="211">
        <v>7.6384999999999996</v>
      </c>
      <c r="F64" s="208">
        <v>44713</v>
      </c>
      <c r="G64" s="208">
        <v>46148</v>
      </c>
      <c r="H64" s="77"/>
      <c r="I64" s="210">
        <v>291986.26</v>
      </c>
      <c r="J64" s="210">
        <v>0</v>
      </c>
      <c r="K64" s="210">
        <v>-25073.57</v>
      </c>
      <c r="L64" s="210">
        <v>284883.16000000009</v>
      </c>
      <c r="M64" s="144">
        <f t="shared" si="6"/>
        <v>32176.669999999925</v>
      </c>
      <c r="N64" s="210">
        <v>317875.24</v>
      </c>
      <c r="O64" s="210">
        <v>0</v>
      </c>
      <c r="P64" s="210">
        <v>12881.72</v>
      </c>
      <c r="Q64" s="210">
        <v>305044.2</v>
      </c>
      <c r="R64" s="210">
        <v>-25073.57</v>
      </c>
      <c r="S64" s="144">
        <f t="shared" si="3"/>
        <v>50786.329999999951</v>
      </c>
      <c r="T64" s="145">
        <v>50786.33</v>
      </c>
      <c r="U64" s="145">
        <v>0</v>
      </c>
    </row>
    <row r="65" spans="1:21">
      <c r="A65" s="74">
        <f t="shared" si="5"/>
        <v>55</v>
      </c>
      <c r="B65" s="75">
        <v>56176</v>
      </c>
      <c r="C65" s="209" t="s">
        <v>12</v>
      </c>
      <c r="D65" s="209" t="s">
        <v>16</v>
      </c>
      <c r="E65" s="211">
        <v>7.6385459999999998</v>
      </c>
      <c r="F65" s="208">
        <v>44713</v>
      </c>
      <c r="G65" s="208">
        <v>46149</v>
      </c>
      <c r="H65" s="77"/>
      <c r="I65" s="210">
        <v>450756.53</v>
      </c>
      <c r="J65" s="210">
        <v>0</v>
      </c>
      <c r="K65" s="210">
        <v>0</v>
      </c>
      <c r="L65" s="210">
        <v>408979.1999999999</v>
      </c>
      <c r="M65" s="144">
        <f t="shared" si="6"/>
        <v>41777.330000000133</v>
      </c>
      <c r="N65" s="210">
        <v>489857.56</v>
      </c>
      <c r="O65" s="210">
        <v>0</v>
      </c>
      <c r="P65" s="210">
        <v>18865.88</v>
      </c>
      <c r="Q65" s="210">
        <v>469590.84</v>
      </c>
      <c r="R65" s="210">
        <v>0</v>
      </c>
      <c r="S65" s="144">
        <f t="shared" si="3"/>
        <v>39132.599999999977</v>
      </c>
      <c r="T65" s="145">
        <v>39132.6</v>
      </c>
      <c r="U65" s="145">
        <v>0</v>
      </c>
    </row>
    <row r="66" spans="1:21">
      <c r="A66" s="74">
        <f t="shared" si="5"/>
        <v>56</v>
      </c>
      <c r="B66" s="75">
        <v>56189</v>
      </c>
      <c r="C66" s="209" t="s">
        <v>12</v>
      </c>
      <c r="D66" s="209" t="s">
        <v>16</v>
      </c>
      <c r="E66" s="211">
        <v>7.6384999999999996</v>
      </c>
      <c r="F66" s="208">
        <v>44713</v>
      </c>
      <c r="G66" s="208">
        <v>46154</v>
      </c>
      <c r="H66" s="77"/>
      <c r="I66" s="210">
        <v>451155.81</v>
      </c>
      <c r="J66" s="210">
        <v>0</v>
      </c>
      <c r="K66" s="210">
        <v>-42955.01</v>
      </c>
      <c r="L66" s="210">
        <v>436304.32000000007</v>
      </c>
      <c r="M66" s="144">
        <f t="shared" si="6"/>
        <v>57806.499999999942</v>
      </c>
      <c r="N66" s="210">
        <v>486022.28</v>
      </c>
      <c r="O66" s="210">
        <v>0</v>
      </c>
      <c r="P66" s="210">
        <v>19764.409999999996</v>
      </c>
      <c r="Q66" s="210">
        <v>469531.84000000008</v>
      </c>
      <c r="R66" s="210">
        <v>-42955.01</v>
      </c>
      <c r="S66" s="144">
        <f t="shared" si="3"/>
        <v>79209.859999999928</v>
      </c>
      <c r="T66" s="145">
        <v>79209.86</v>
      </c>
      <c r="U66" s="145">
        <v>0</v>
      </c>
    </row>
    <row r="67" spans="1:21">
      <c r="A67" s="74">
        <f t="shared" si="5"/>
        <v>57</v>
      </c>
      <c r="B67" s="75">
        <v>56200</v>
      </c>
      <c r="C67" s="209" t="s">
        <v>12</v>
      </c>
      <c r="D67" s="209" t="s">
        <v>16</v>
      </c>
      <c r="E67" s="211">
        <v>7.6384999999999996</v>
      </c>
      <c r="F67" s="208">
        <v>44713</v>
      </c>
      <c r="G67" s="208">
        <v>46169</v>
      </c>
      <c r="H67" s="77"/>
      <c r="I67" s="210">
        <v>497315.69</v>
      </c>
      <c r="J67" s="210">
        <v>0</v>
      </c>
      <c r="K67" s="210">
        <v>-47503.99</v>
      </c>
      <c r="L67" s="210">
        <v>462601.24000000005</v>
      </c>
      <c r="M67" s="144">
        <f t="shared" si="6"/>
        <v>82218.44</v>
      </c>
      <c r="N67" s="210">
        <v>522288.16</v>
      </c>
      <c r="O67" s="210">
        <v>0</v>
      </c>
      <c r="P67" s="210">
        <v>21259.160000000003</v>
      </c>
      <c r="Q67" s="210">
        <v>505477.35999999987</v>
      </c>
      <c r="R67" s="210">
        <v>-47503.99</v>
      </c>
      <c r="S67" s="144">
        <f t="shared" si="3"/>
        <v>85573.95000000007</v>
      </c>
      <c r="T67" s="145">
        <v>85573.95</v>
      </c>
      <c r="U67" s="145">
        <v>0</v>
      </c>
    </row>
    <row r="68" spans="1:21">
      <c r="A68" s="74">
        <f t="shared" si="5"/>
        <v>58</v>
      </c>
      <c r="B68" s="75">
        <v>57251</v>
      </c>
      <c r="C68" s="209" t="s">
        <v>12</v>
      </c>
      <c r="D68" s="209" t="s">
        <v>16</v>
      </c>
      <c r="E68" s="211">
        <v>7.6384999999999996</v>
      </c>
      <c r="F68" s="208">
        <v>44743</v>
      </c>
      <c r="G68" s="208">
        <v>46104</v>
      </c>
      <c r="H68" s="77"/>
      <c r="I68" s="210">
        <v>733614.98</v>
      </c>
      <c r="J68" s="210">
        <v>0</v>
      </c>
      <c r="K68" s="210">
        <v>0</v>
      </c>
      <c r="L68" s="210">
        <v>733614.98</v>
      </c>
      <c r="M68" s="144">
        <f t="shared" si="6"/>
        <v>0</v>
      </c>
      <c r="N68" s="210">
        <v>767752.89</v>
      </c>
      <c r="O68" s="210">
        <v>0</v>
      </c>
      <c r="P68" s="210">
        <v>24588.880000000001</v>
      </c>
      <c r="Q68" s="210">
        <v>792341.77000000025</v>
      </c>
      <c r="R68" s="210">
        <v>0</v>
      </c>
      <c r="S68" s="144">
        <f t="shared" si="3"/>
        <v>-2.3283064365386963E-10</v>
      </c>
      <c r="T68" s="145">
        <v>0</v>
      </c>
      <c r="U68" s="145">
        <v>0</v>
      </c>
    </row>
    <row r="69" spans="1:21">
      <c r="A69" s="74">
        <f t="shared" si="5"/>
        <v>59</v>
      </c>
      <c r="B69" s="75">
        <v>57253</v>
      </c>
      <c r="C69" s="209" t="s">
        <v>12</v>
      </c>
      <c r="D69" s="209" t="s">
        <v>16</v>
      </c>
      <c r="E69" s="211">
        <v>7.6384999999999996</v>
      </c>
      <c r="F69" s="208">
        <v>44743</v>
      </c>
      <c r="G69" s="208">
        <v>46194</v>
      </c>
      <c r="H69" s="77"/>
      <c r="I69" s="210">
        <v>298813.43</v>
      </c>
      <c r="J69" s="210">
        <v>0</v>
      </c>
      <c r="K69" s="210">
        <v>-28267.01</v>
      </c>
      <c r="L69" s="210">
        <v>260805.16</v>
      </c>
      <c r="M69" s="144">
        <f t="shared" si="6"/>
        <v>66275.28</v>
      </c>
      <c r="N69" s="210">
        <v>317568.89</v>
      </c>
      <c r="O69" s="210">
        <v>0</v>
      </c>
      <c r="P69" s="210">
        <v>13789.2</v>
      </c>
      <c r="Q69" s="210">
        <v>286784.64000000001</v>
      </c>
      <c r="R69" s="210">
        <v>-28267.01</v>
      </c>
      <c r="S69" s="144">
        <f t="shared" si="3"/>
        <v>72840.460000000006</v>
      </c>
      <c r="T69" s="145">
        <v>72840.460000000006</v>
      </c>
      <c r="U69" s="145">
        <v>0</v>
      </c>
    </row>
    <row r="70" spans="1:21">
      <c r="A70" s="74">
        <f t="shared" si="5"/>
        <v>60</v>
      </c>
      <c r="B70" s="75">
        <v>57262</v>
      </c>
      <c r="C70" s="209" t="s">
        <v>12</v>
      </c>
      <c r="D70" s="209" t="s">
        <v>16</v>
      </c>
      <c r="E70" s="211">
        <v>7.6384999999999996</v>
      </c>
      <c r="F70" s="208">
        <v>44743</v>
      </c>
      <c r="G70" s="208">
        <v>46185</v>
      </c>
      <c r="H70" s="77"/>
      <c r="I70" s="210">
        <v>295191.81</v>
      </c>
      <c r="J70" s="210">
        <v>0</v>
      </c>
      <c r="K70" s="210">
        <v>-27424.29</v>
      </c>
      <c r="L70" s="210">
        <v>263133.31999999995</v>
      </c>
      <c r="M70" s="144">
        <f t="shared" si="6"/>
        <v>59482.780000000028</v>
      </c>
      <c r="N70" s="210">
        <v>318255.90999999997</v>
      </c>
      <c r="O70" s="210">
        <v>0</v>
      </c>
      <c r="P70" s="210">
        <v>13804.24</v>
      </c>
      <c r="Q70" s="210">
        <v>286878.68000000005</v>
      </c>
      <c r="R70" s="210">
        <v>-27424.29</v>
      </c>
      <c r="S70" s="144">
        <f t="shared" si="3"/>
        <v>72605.759999999922</v>
      </c>
      <c r="T70" s="145">
        <v>72605.759999999995</v>
      </c>
      <c r="U70" s="145">
        <v>0</v>
      </c>
    </row>
    <row r="71" spans="1:21">
      <c r="A71" s="74">
        <f t="shared" si="5"/>
        <v>61</v>
      </c>
      <c r="B71" s="75">
        <v>57266</v>
      </c>
      <c r="C71" s="209" t="s">
        <v>12</v>
      </c>
      <c r="D71" s="209" t="s">
        <v>16</v>
      </c>
      <c r="E71" s="211">
        <v>7.6384999999999996</v>
      </c>
      <c r="F71" s="208">
        <v>44743</v>
      </c>
      <c r="G71" s="208">
        <v>46176</v>
      </c>
      <c r="H71" s="77"/>
      <c r="I71" s="210">
        <v>274835.52</v>
      </c>
      <c r="J71" s="210">
        <v>0</v>
      </c>
      <c r="K71" s="210">
        <v>-25927.32</v>
      </c>
      <c r="L71" s="210">
        <v>250904.08</v>
      </c>
      <c r="M71" s="144">
        <f t="shared" si="6"/>
        <v>49858.760000000038</v>
      </c>
      <c r="N71" s="210">
        <v>300712.07</v>
      </c>
      <c r="O71" s="210">
        <v>0</v>
      </c>
      <c r="P71" s="210">
        <v>13043.529999999997</v>
      </c>
      <c r="Q71" s="210">
        <v>271073.12000000005</v>
      </c>
      <c r="R71" s="210">
        <v>-25927.32</v>
      </c>
      <c r="S71" s="144">
        <f t="shared" si="3"/>
        <v>68609.79999999993</v>
      </c>
      <c r="T71" s="145">
        <v>68609.8</v>
      </c>
      <c r="U71" s="145">
        <v>0</v>
      </c>
    </row>
    <row r="72" spans="1:21">
      <c r="A72" s="74">
        <f t="shared" si="5"/>
        <v>62</v>
      </c>
      <c r="B72" s="75">
        <v>57283</v>
      </c>
      <c r="C72" s="209" t="s">
        <v>12</v>
      </c>
      <c r="D72" s="209" t="s">
        <v>16</v>
      </c>
      <c r="E72" s="211">
        <v>7.6384999999999996</v>
      </c>
      <c r="F72" s="208">
        <v>44743</v>
      </c>
      <c r="G72" s="208">
        <v>46186</v>
      </c>
      <c r="H72" s="77"/>
      <c r="I72" s="210">
        <v>457357.17</v>
      </c>
      <c r="J72" s="210">
        <v>0</v>
      </c>
      <c r="K72" s="210">
        <v>-42491.97</v>
      </c>
      <c r="L72" s="210">
        <v>406670.68000000005</v>
      </c>
      <c r="M72" s="144">
        <f t="shared" si="6"/>
        <v>93178.459999999963</v>
      </c>
      <c r="N72" s="210">
        <v>492296.63</v>
      </c>
      <c r="O72" s="210">
        <v>0</v>
      </c>
      <c r="P72" s="210">
        <v>21354.36</v>
      </c>
      <c r="Q72" s="210">
        <v>443801.56</v>
      </c>
      <c r="R72" s="210">
        <v>-42491.97</v>
      </c>
      <c r="S72" s="144">
        <f t="shared" si="3"/>
        <v>112341.4</v>
      </c>
      <c r="T72" s="145">
        <v>112341.4</v>
      </c>
      <c r="U72" s="145">
        <v>0</v>
      </c>
    </row>
    <row r="73" spans="1:21">
      <c r="A73" s="74">
        <f t="shared" si="5"/>
        <v>63</v>
      </c>
      <c r="B73" s="75">
        <v>57740</v>
      </c>
      <c r="C73" s="209" t="s">
        <v>12</v>
      </c>
      <c r="D73" s="209" t="s">
        <v>16</v>
      </c>
      <c r="E73" s="211">
        <v>7.6384999999999996</v>
      </c>
      <c r="F73" s="208">
        <v>44774</v>
      </c>
      <c r="G73" s="208">
        <v>46234</v>
      </c>
      <c r="H73" s="77"/>
      <c r="I73" s="210">
        <v>362556.67</v>
      </c>
      <c r="J73" s="210">
        <v>0</v>
      </c>
      <c r="K73" s="210">
        <v>-2720.11</v>
      </c>
      <c r="L73" s="210">
        <v>273277.56000000006</v>
      </c>
      <c r="M73" s="144">
        <f t="shared" si="6"/>
        <v>91999.219999999914</v>
      </c>
      <c r="N73" s="210">
        <v>397701.22</v>
      </c>
      <c r="O73" s="210">
        <v>0</v>
      </c>
      <c r="P73" s="210">
        <v>18268.580000000002</v>
      </c>
      <c r="Q73" s="210">
        <v>314070.59999999998</v>
      </c>
      <c r="R73" s="210">
        <v>-2720.11</v>
      </c>
      <c r="S73" s="144">
        <f t="shared" si="3"/>
        <v>104619.31000000001</v>
      </c>
      <c r="T73" s="145">
        <v>104619.31</v>
      </c>
      <c r="U73" s="145">
        <v>0</v>
      </c>
    </row>
    <row r="74" spans="1:21">
      <c r="A74" s="74">
        <f t="shared" si="5"/>
        <v>64</v>
      </c>
      <c r="B74" s="75">
        <v>57760</v>
      </c>
      <c r="C74" s="209" t="s">
        <v>12</v>
      </c>
      <c r="D74" s="209" t="s">
        <v>16</v>
      </c>
      <c r="E74" s="211">
        <v>7.6384999999999996</v>
      </c>
      <c r="F74" s="208">
        <v>44774</v>
      </c>
      <c r="G74" s="208">
        <v>46205</v>
      </c>
      <c r="H74" s="77"/>
      <c r="I74" s="210">
        <v>227005.07</v>
      </c>
      <c r="J74" s="210">
        <v>0</v>
      </c>
      <c r="K74" s="210">
        <v>-17149.150000000001</v>
      </c>
      <c r="L74" s="210">
        <v>190536.36000000002</v>
      </c>
      <c r="M74" s="144">
        <f t="shared" si="6"/>
        <v>53617.859999999986</v>
      </c>
      <c r="N74" s="210">
        <v>248302.81</v>
      </c>
      <c r="O74" s="210">
        <v>0</v>
      </c>
      <c r="P74" s="210">
        <v>11288.269999999999</v>
      </c>
      <c r="Q74" s="210">
        <v>207893.84000000005</v>
      </c>
      <c r="R74" s="210">
        <v>-17149.150000000001</v>
      </c>
      <c r="S74" s="144">
        <f t="shared" si="3"/>
        <v>68846.389999999927</v>
      </c>
      <c r="T74" s="145">
        <v>68846.39</v>
      </c>
      <c r="U74" s="145">
        <v>0</v>
      </c>
    </row>
    <row r="75" spans="1:21">
      <c r="A75" s="74">
        <f t="shared" si="5"/>
        <v>65</v>
      </c>
      <c r="B75" s="75">
        <v>57763</v>
      </c>
      <c r="C75" s="209" t="s">
        <v>12</v>
      </c>
      <c r="D75" s="209" t="s">
        <v>16</v>
      </c>
      <c r="E75" s="211">
        <v>7.6384999999999996</v>
      </c>
      <c r="F75" s="208">
        <v>44774</v>
      </c>
      <c r="G75" s="208">
        <v>46217</v>
      </c>
      <c r="H75" s="77"/>
      <c r="I75" s="210">
        <v>291173.03999999998</v>
      </c>
      <c r="J75" s="210">
        <v>0</v>
      </c>
      <c r="K75" s="210">
        <v>-21625.72</v>
      </c>
      <c r="L75" s="210">
        <v>237738.79999999996</v>
      </c>
      <c r="M75" s="144">
        <f t="shared" si="6"/>
        <v>75059.96000000005</v>
      </c>
      <c r="N75" s="210">
        <v>313049.57</v>
      </c>
      <c r="O75" s="210">
        <v>0</v>
      </c>
      <c r="P75" s="210">
        <v>14231.840000000002</v>
      </c>
      <c r="Q75" s="210">
        <v>262106.12000000002</v>
      </c>
      <c r="R75" s="210">
        <v>-21625.72</v>
      </c>
      <c r="S75" s="144">
        <f t="shared" si="3"/>
        <v>86801.010000000009</v>
      </c>
      <c r="T75" s="145">
        <v>86801.01</v>
      </c>
      <c r="U75" s="145">
        <v>0</v>
      </c>
    </row>
    <row r="76" spans="1:21">
      <c r="A76" s="74">
        <f t="shared" si="5"/>
        <v>66</v>
      </c>
      <c r="B76" s="75">
        <v>58005</v>
      </c>
      <c r="C76" s="209" t="s">
        <v>12</v>
      </c>
      <c r="D76" s="209" t="s">
        <v>16</v>
      </c>
      <c r="E76" s="211">
        <v>7.6384999999999996</v>
      </c>
      <c r="F76" s="208">
        <v>44805</v>
      </c>
      <c r="G76" s="208">
        <v>46243</v>
      </c>
      <c r="H76" s="77"/>
      <c r="I76" s="210">
        <v>344943.68</v>
      </c>
      <c r="J76" s="210">
        <v>0</v>
      </c>
      <c r="K76" s="210">
        <v>-31427.63</v>
      </c>
      <c r="L76" s="210">
        <v>269260.59999999998</v>
      </c>
      <c r="M76" s="144">
        <f t="shared" si="6"/>
        <v>107110.71000000002</v>
      </c>
      <c r="N76" s="210">
        <v>373042.62</v>
      </c>
      <c r="O76" s="210">
        <v>0</v>
      </c>
      <c r="P76" s="210">
        <v>17839.21</v>
      </c>
      <c r="Q76" s="210">
        <v>297029</v>
      </c>
      <c r="R76" s="210">
        <v>-31427.63</v>
      </c>
      <c r="S76" s="144">
        <f t="shared" ref="S76:S139" si="7">N76+O76+P76-Q76-R76</f>
        <v>125280.46000000002</v>
      </c>
      <c r="T76" s="145">
        <v>125280.46</v>
      </c>
      <c r="U76" s="145">
        <v>0</v>
      </c>
    </row>
    <row r="77" spans="1:21">
      <c r="A77" s="74">
        <f t="shared" si="5"/>
        <v>67</v>
      </c>
      <c r="B77" s="75">
        <v>58548</v>
      </c>
      <c r="C77" s="209" t="s">
        <v>12</v>
      </c>
      <c r="D77" s="209" t="s">
        <v>16</v>
      </c>
      <c r="E77" s="211">
        <v>7.6384999999999996</v>
      </c>
      <c r="F77" s="208">
        <v>44835</v>
      </c>
      <c r="G77" s="208">
        <v>46290</v>
      </c>
      <c r="H77" s="77"/>
      <c r="I77" s="210">
        <v>533420.93000000005</v>
      </c>
      <c r="J77" s="210">
        <v>0</v>
      </c>
      <c r="K77" s="210">
        <v>-48366.02</v>
      </c>
      <c r="L77" s="210">
        <v>378611.75999999995</v>
      </c>
      <c r="M77" s="144">
        <f t="shared" si="6"/>
        <v>203175.19000000012</v>
      </c>
      <c r="N77" s="210">
        <v>565689.71</v>
      </c>
      <c r="O77" s="210">
        <v>0</v>
      </c>
      <c r="P77" s="210">
        <v>28112.529999999995</v>
      </c>
      <c r="Q77" s="210">
        <v>426203.67999999993</v>
      </c>
      <c r="R77" s="210">
        <v>-48366.02</v>
      </c>
      <c r="S77" s="144">
        <f t="shared" si="7"/>
        <v>215964.58000000005</v>
      </c>
      <c r="T77" s="145">
        <v>215964.58</v>
      </c>
      <c r="U77" s="145">
        <v>0</v>
      </c>
    </row>
    <row r="78" spans="1:21">
      <c r="A78" s="74">
        <f t="shared" si="5"/>
        <v>68</v>
      </c>
      <c r="B78" s="256">
        <v>59268</v>
      </c>
      <c r="C78" s="209" t="s">
        <v>12</v>
      </c>
      <c r="D78" s="209" t="s">
        <v>13</v>
      </c>
      <c r="E78" s="211">
        <v>0</v>
      </c>
      <c r="F78" s="208">
        <v>44896</v>
      </c>
      <c r="G78" s="208">
        <v>45991</v>
      </c>
      <c r="H78" s="77"/>
      <c r="I78" s="210">
        <v>32928959.059999999</v>
      </c>
      <c r="J78" s="210">
        <v>0</v>
      </c>
      <c r="K78" s="210">
        <v>0</v>
      </c>
      <c r="L78" s="210">
        <v>32928959.060000002</v>
      </c>
      <c r="M78" s="144">
        <f t="shared" si="6"/>
        <v>0</v>
      </c>
      <c r="N78" s="210">
        <v>26666436.100000001</v>
      </c>
      <c r="O78" s="210">
        <v>0</v>
      </c>
      <c r="P78" s="210">
        <v>575157.89999999991</v>
      </c>
      <c r="Q78" s="210">
        <v>27241594</v>
      </c>
      <c r="R78" s="210">
        <v>0</v>
      </c>
      <c r="S78" s="144">
        <f t="shared" si="7"/>
        <v>0</v>
      </c>
      <c r="T78" s="145">
        <v>0</v>
      </c>
      <c r="U78" s="145">
        <v>0</v>
      </c>
    </row>
    <row r="79" spans="1:21">
      <c r="A79" s="74">
        <f t="shared" si="5"/>
        <v>69</v>
      </c>
      <c r="B79" s="75">
        <v>59275</v>
      </c>
      <c r="C79" s="209" t="s">
        <v>12</v>
      </c>
      <c r="D79" s="209" t="s">
        <v>16</v>
      </c>
      <c r="E79" s="211">
        <v>0</v>
      </c>
      <c r="F79" s="208">
        <v>44896</v>
      </c>
      <c r="G79" s="208">
        <v>45962</v>
      </c>
      <c r="H79" s="77"/>
      <c r="I79" s="210">
        <v>196031.01</v>
      </c>
      <c r="J79" s="210">
        <v>0</v>
      </c>
      <c r="K79" s="210">
        <v>0</v>
      </c>
      <c r="L79" s="210">
        <v>196031.01</v>
      </c>
      <c r="M79" s="144">
        <f t="shared" si="6"/>
        <v>0</v>
      </c>
      <c r="N79" s="210">
        <v>212170.96</v>
      </c>
      <c r="O79" s="210">
        <v>0</v>
      </c>
      <c r="P79" s="210">
        <v>3908.1200000000003</v>
      </c>
      <c r="Q79" s="210">
        <v>216079.08</v>
      </c>
      <c r="R79" s="210">
        <v>0</v>
      </c>
      <c r="S79" s="144">
        <f t="shared" si="7"/>
        <v>0</v>
      </c>
      <c r="T79" s="145">
        <v>0</v>
      </c>
      <c r="U79" s="145">
        <v>0</v>
      </c>
    </row>
    <row r="80" spans="1:21">
      <c r="A80" s="74">
        <f t="shared" si="5"/>
        <v>70</v>
      </c>
      <c r="B80" s="75">
        <v>59277</v>
      </c>
      <c r="C80" s="209" t="s">
        <v>12</v>
      </c>
      <c r="D80" s="209" t="s">
        <v>16</v>
      </c>
      <c r="E80" s="211">
        <v>7.6384999999999996</v>
      </c>
      <c r="F80" s="208">
        <v>44896</v>
      </c>
      <c r="G80" s="208">
        <v>46346</v>
      </c>
      <c r="H80" s="77"/>
      <c r="I80" s="210">
        <v>395372.35</v>
      </c>
      <c r="J80" s="210">
        <v>0</v>
      </c>
      <c r="K80" s="210">
        <v>-23357.51</v>
      </c>
      <c r="L80" s="210">
        <v>249252.40000000002</v>
      </c>
      <c r="M80" s="144">
        <f t="shared" si="6"/>
        <v>169477.45999999996</v>
      </c>
      <c r="N80" s="210">
        <v>421695.01</v>
      </c>
      <c r="O80" s="210">
        <v>0</v>
      </c>
      <c r="P80" s="210">
        <v>22018.92</v>
      </c>
      <c r="Q80" s="210">
        <v>282318.27999999997</v>
      </c>
      <c r="R80" s="210">
        <v>-23357.51</v>
      </c>
      <c r="S80" s="144">
        <f t="shared" si="7"/>
        <v>184753.16000000003</v>
      </c>
      <c r="T80" s="145">
        <v>184753.16</v>
      </c>
      <c r="U80" s="145">
        <v>0</v>
      </c>
    </row>
    <row r="81" spans="1:21">
      <c r="A81" s="74">
        <f t="shared" si="5"/>
        <v>71</v>
      </c>
      <c r="B81" s="75">
        <v>59608</v>
      </c>
      <c r="C81" s="209" t="s">
        <v>12</v>
      </c>
      <c r="D81" s="209" t="s">
        <v>16</v>
      </c>
      <c r="E81" s="211">
        <v>7.3531620000000002</v>
      </c>
      <c r="F81" s="208">
        <v>44927</v>
      </c>
      <c r="G81" s="208">
        <v>46005</v>
      </c>
      <c r="H81" s="77"/>
      <c r="I81" s="210">
        <v>177472.18</v>
      </c>
      <c r="J81" s="210">
        <v>0</v>
      </c>
      <c r="K81" s="210">
        <v>0</v>
      </c>
      <c r="L81" s="210">
        <v>177472.18000000002</v>
      </c>
      <c r="M81" s="144">
        <f t="shared" si="6"/>
        <v>0</v>
      </c>
      <c r="N81" s="210">
        <v>184451.06</v>
      </c>
      <c r="O81" s="210">
        <v>0</v>
      </c>
      <c r="P81" s="210">
        <v>3967.8199999999997</v>
      </c>
      <c r="Q81" s="210">
        <v>188418.88</v>
      </c>
      <c r="R81" s="210">
        <v>0</v>
      </c>
      <c r="S81" s="144">
        <f t="shared" si="7"/>
        <v>0</v>
      </c>
      <c r="T81" s="145">
        <v>0</v>
      </c>
      <c r="U81" s="145">
        <v>0</v>
      </c>
    </row>
    <row r="82" spans="1:21">
      <c r="A82" s="74">
        <f t="shared" si="5"/>
        <v>72</v>
      </c>
      <c r="B82" s="75">
        <v>59616</v>
      </c>
      <c r="C82" s="209" t="s">
        <v>12</v>
      </c>
      <c r="D82" s="209" t="s">
        <v>16</v>
      </c>
      <c r="E82" s="211">
        <v>7.6384999999999996</v>
      </c>
      <c r="F82" s="208">
        <v>44927</v>
      </c>
      <c r="G82" s="208">
        <v>46374</v>
      </c>
      <c r="H82" s="77"/>
      <c r="I82" s="210">
        <v>362571.91</v>
      </c>
      <c r="J82" s="210">
        <v>0</v>
      </c>
      <c r="K82" s="210">
        <v>-20416.68</v>
      </c>
      <c r="L82" s="210">
        <v>217897.04</v>
      </c>
      <c r="M82" s="144">
        <f t="shared" si="6"/>
        <v>165091.54999999996</v>
      </c>
      <c r="N82" s="210">
        <v>387420.86</v>
      </c>
      <c r="O82" s="210">
        <v>0</v>
      </c>
      <c r="P82" s="210">
        <v>20718.819999999996</v>
      </c>
      <c r="Q82" s="210">
        <v>247166.16</v>
      </c>
      <c r="R82" s="210">
        <v>-20416.68</v>
      </c>
      <c r="S82" s="144">
        <f t="shared" si="7"/>
        <v>181390.19999999998</v>
      </c>
      <c r="T82" s="145">
        <v>181390.2</v>
      </c>
      <c r="U82" s="145">
        <v>0</v>
      </c>
    </row>
    <row r="83" spans="1:21">
      <c r="A83" s="74">
        <f t="shared" si="5"/>
        <v>73</v>
      </c>
      <c r="B83" s="75">
        <v>59620</v>
      </c>
      <c r="C83" s="209" t="s">
        <v>12</v>
      </c>
      <c r="D83" s="209" t="s">
        <v>16</v>
      </c>
      <c r="E83" s="211">
        <v>7.6384999999999996</v>
      </c>
      <c r="F83" s="208">
        <v>44927</v>
      </c>
      <c r="G83" s="208">
        <v>46376</v>
      </c>
      <c r="H83" s="77"/>
      <c r="I83" s="210">
        <v>511937.87</v>
      </c>
      <c r="J83" s="210">
        <v>0</v>
      </c>
      <c r="K83" s="210">
        <v>-44886.01</v>
      </c>
      <c r="L83" s="210">
        <v>311762.48</v>
      </c>
      <c r="M83" s="144">
        <f t="shared" si="6"/>
        <v>245061.40000000002</v>
      </c>
      <c r="N83" s="210">
        <v>546053.49</v>
      </c>
      <c r="O83" s="210">
        <v>0</v>
      </c>
      <c r="P83" s="210">
        <v>29533.969999999998</v>
      </c>
      <c r="Q83" s="210">
        <v>353518.04</v>
      </c>
      <c r="R83" s="210">
        <v>-44886.01</v>
      </c>
      <c r="S83" s="144">
        <f t="shared" si="7"/>
        <v>266955.43</v>
      </c>
      <c r="T83" s="145">
        <v>266955.43</v>
      </c>
      <c r="U83" s="145">
        <v>0</v>
      </c>
    </row>
    <row r="84" spans="1:21">
      <c r="A84" s="74">
        <f t="shared" si="5"/>
        <v>74</v>
      </c>
      <c r="B84" s="75">
        <v>60014</v>
      </c>
      <c r="C84" s="209" t="s">
        <v>12</v>
      </c>
      <c r="D84" s="209" t="s">
        <v>13</v>
      </c>
      <c r="E84" s="211">
        <v>8.0900420000000004</v>
      </c>
      <c r="F84" s="208">
        <v>45017</v>
      </c>
      <c r="G84" s="208">
        <v>46112</v>
      </c>
      <c r="H84" s="77"/>
      <c r="I84" s="210">
        <v>46481790.979999997</v>
      </c>
      <c r="J84" s="210">
        <v>0</v>
      </c>
      <c r="K84" s="210">
        <v>0</v>
      </c>
      <c r="L84" s="210">
        <v>46481790.979999989</v>
      </c>
      <c r="M84" s="144">
        <f t="shared" si="6"/>
        <v>0</v>
      </c>
      <c r="N84" s="210">
        <v>50275794.799999997</v>
      </c>
      <c r="O84" s="210">
        <v>0</v>
      </c>
      <c r="P84" s="210">
        <v>1530189.2000000002</v>
      </c>
      <c r="Q84" s="210">
        <v>51805984</v>
      </c>
      <c r="R84" s="210">
        <v>0</v>
      </c>
      <c r="S84" s="144">
        <f t="shared" si="7"/>
        <v>0</v>
      </c>
      <c r="T84" s="145">
        <v>0</v>
      </c>
      <c r="U84" s="145">
        <v>0</v>
      </c>
    </row>
    <row r="85" spans="1:21">
      <c r="A85" s="74">
        <f t="shared" si="5"/>
        <v>75</v>
      </c>
      <c r="B85" s="75">
        <v>60702</v>
      </c>
      <c r="C85" s="209" t="s">
        <v>12</v>
      </c>
      <c r="D85" s="209" t="s">
        <v>16</v>
      </c>
      <c r="E85" s="211">
        <v>7.6920999999999999</v>
      </c>
      <c r="F85" s="208">
        <v>45017</v>
      </c>
      <c r="G85" s="208">
        <v>46435</v>
      </c>
      <c r="H85" s="77"/>
      <c r="I85" s="210">
        <v>452159.03</v>
      </c>
      <c r="J85" s="210">
        <v>0</v>
      </c>
      <c r="K85" s="210">
        <v>-37380.720000000001</v>
      </c>
      <c r="L85" s="210">
        <v>250244.88</v>
      </c>
      <c r="M85" s="144">
        <f t="shared" si="6"/>
        <v>239294.87</v>
      </c>
      <c r="N85" s="210">
        <v>468633.59999999998</v>
      </c>
      <c r="O85" s="210">
        <v>0</v>
      </c>
      <c r="P85" s="210">
        <v>26587.359999999997</v>
      </c>
      <c r="Q85" s="210">
        <v>277750.2</v>
      </c>
      <c r="R85" s="210">
        <v>-37380.720000000001</v>
      </c>
      <c r="S85" s="144">
        <f t="shared" si="7"/>
        <v>254851.47999999995</v>
      </c>
      <c r="T85" s="145">
        <v>254851.48</v>
      </c>
      <c r="U85" s="145">
        <v>0</v>
      </c>
    </row>
    <row r="86" spans="1:21">
      <c r="A86" s="74">
        <f t="shared" si="5"/>
        <v>76</v>
      </c>
      <c r="B86" s="256">
        <v>60756</v>
      </c>
      <c r="C86" s="209" t="s">
        <v>12</v>
      </c>
      <c r="D86" s="209" t="s">
        <v>13</v>
      </c>
      <c r="E86" s="211">
        <v>7.6386409999999998</v>
      </c>
      <c r="F86" s="208">
        <v>45047</v>
      </c>
      <c r="G86" s="208">
        <v>46142</v>
      </c>
      <c r="H86" s="77"/>
      <c r="I86" s="210">
        <v>26034321.699999999</v>
      </c>
      <c r="J86" s="210">
        <v>0</v>
      </c>
      <c r="K86" s="210">
        <v>0</v>
      </c>
      <c r="L86" s="210">
        <v>24031681.559999991</v>
      </c>
      <c r="M86" s="144">
        <f t="shared" si="6"/>
        <v>2002640.140000008</v>
      </c>
      <c r="N86" s="210">
        <v>25719263.48</v>
      </c>
      <c r="O86" s="210">
        <v>0</v>
      </c>
      <c r="P86" s="210">
        <v>907404.52</v>
      </c>
      <c r="Q86" s="210">
        <v>26626668</v>
      </c>
      <c r="R86" s="210">
        <v>0</v>
      </c>
      <c r="S86" s="144">
        <f t="shared" si="7"/>
        <v>0</v>
      </c>
      <c r="T86" s="145">
        <v>0</v>
      </c>
      <c r="U86" s="145">
        <v>0</v>
      </c>
    </row>
    <row r="87" spans="1:21">
      <c r="A87" s="74">
        <f t="shared" si="5"/>
        <v>77</v>
      </c>
      <c r="B87" s="75">
        <v>61197</v>
      </c>
      <c r="C87" s="209" t="s">
        <v>12</v>
      </c>
      <c r="D87" s="209" t="s">
        <v>16</v>
      </c>
      <c r="E87" s="211">
        <v>8.2998999999999992</v>
      </c>
      <c r="F87" s="208">
        <v>45047</v>
      </c>
      <c r="G87" s="208">
        <v>46504</v>
      </c>
      <c r="H87" s="77"/>
      <c r="I87" s="210">
        <v>924329.99</v>
      </c>
      <c r="J87" s="210">
        <v>0</v>
      </c>
      <c r="K87" s="210">
        <v>-70823.73</v>
      </c>
      <c r="L87" s="210">
        <v>462223.28</v>
      </c>
      <c r="M87" s="144">
        <f t="shared" si="6"/>
        <v>532930.43999999994</v>
      </c>
      <c r="N87" s="210">
        <v>950957.12</v>
      </c>
      <c r="O87" s="210">
        <v>0</v>
      </c>
      <c r="P87" s="210">
        <v>60130.69999999999</v>
      </c>
      <c r="Q87" s="210">
        <v>522181.47999999992</v>
      </c>
      <c r="R87" s="210">
        <v>-70823.73</v>
      </c>
      <c r="S87" s="144">
        <f t="shared" si="7"/>
        <v>559730.07000000007</v>
      </c>
      <c r="T87" s="145">
        <v>514870.81</v>
      </c>
      <c r="U87" s="145">
        <v>44859.26</v>
      </c>
    </row>
    <row r="88" spans="1:21">
      <c r="A88" s="74">
        <f t="shared" si="5"/>
        <v>78</v>
      </c>
      <c r="B88" s="75">
        <v>61211</v>
      </c>
      <c r="C88" s="209" t="s">
        <v>12</v>
      </c>
      <c r="D88" s="209" t="s">
        <v>16</v>
      </c>
      <c r="E88" s="211">
        <v>8.2998999999999992</v>
      </c>
      <c r="F88" s="208">
        <v>45047</v>
      </c>
      <c r="G88" s="208">
        <v>46505</v>
      </c>
      <c r="H88" s="77"/>
      <c r="I88" s="210">
        <v>758094</v>
      </c>
      <c r="J88" s="210">
        <v>0</v>
      </c>
      <c r="K88" s="210">
        <v>-61263.49</v>
      </c>
      <c r="L88" s="210">
        <v>379329.76</v>
      </c>
      <c r="M88" s="144">
        <f t="shared" si="6"/>
        <v>440027.73</v>
      </c>
      <c r="N88" s="210">
        <v>779414.89</v>
      </c>
      <c r="O88" s="210">
        <v>0</v>
      </c>
      <c r="P88" s="210">
        <v>49359.770000000004</v>
      </c>
      <c r="Q88" s="210">
        <v>428784.72000000003</v>
      </c>
      <c r="R88" s="210">
        <v>-61263.49</v>
      </c>
      <c r="S88" s="144">
        <f t="shared" si="7"/>
        <v>461253.43</v>
      </c>
      <c r="T88" s="145">
        <v>424286.56</v>
      </c>
      <c r="U88" s="145">
        <v>36966.870000000003</v>
      </c>
    </row>
    <row r="89" spans="1:21">
      <c r="A89" s="74">
        <f t="shared" si="5"/>
        <v>79</v>
      </c>
      <c r="B89" s="75">
        <v>61892</v>
      </c>
      <c r="C89" s="209" t="s">
        <v>12</v>
      </c>
      <c r="D89" s="209" t="s">
        <v>16</v>
      </c>
      <c r="E89" s="211">
        <v>7.7370999999999999</v>
      </c>
      <c r="F89" s="208">
        <v>45078</v>
      </c>
      <c r="G89" s="208">
        <v>46530</v>
      </c>
      <c r="H89" s="77"/>
      <c r="I89" s="210">
        <v>295013.7</v>
      </c>
      <c r="J89" s="210">
        <v>0</v>
      </c>
      <c r="K89" s="210">
        <v>-13421.95</v>
      </c>
      <c r="L89" s="210">
        <v>140551.28</v>
      </c>
      <c r="M89" s="144">
        <f t="shared" si="6"/>
        <v>167884.37000000002</v>
      </c>
      <c r="N89" s="210">
        <v>311503.71999999997</v>
      </c>
      <c r="O89" s="210">
        <v>0</v>
      </c>
      <c r="P89" s="210">
        <v>18395.000000000004</v>
      </c>
      <c r="Q89" s="210">
        <v>161657.35999999999</v>
      </c>
      <c r="R89" s="210">
        <v>-13421.95</v>
      </c>
      <c r="S89" s="144">
        <f t="shared" si="7"/>
        <v>181663.31</v>
      </c>
      <c r="T89" s="145">
        <v>154700.04</v>
      </c>
      <c r="U89" s="145">
        <v>26963.27</v>
      </c>
    </row>
    <row r="90" spans="1:21">
      <c r="A90" s="74">
        <f t="shared" si="5"/>
        <v>80</v>
      </c>
      <c r="B90" s="75">
        <v>61895</v>
      </c>
      <c r="C90" s="209" t="s">
        <v>12</v>
      </c>
      <c r="D90" s="209" t="s">
        <v>16</v>
      </c>
      <c r="E90" s="211">
        <v>7.7370999999999999</v>
      </c>
      <c r="F90" s="208">
        <v>45078</v>
      </c>
      <c r="G90" s="208">
        <v>46520</v>
      </c>
      <c r="H90" s="77"/>
      <c r="I90" s="210">
        <v>760116.45</v>
      </c>
      <c r="J90" s="210">
        <v>0</v>
      </c>
      <c r="K90" s="210">
        <v>-62564.99</v>
      </c>
      <c r="L90" s="210">
        <v>373203.48</v>
      </c>
      <c r="M90" s="144">
        <f t="shared" si="6"/>
        <v>449477.95999999996</v>
      </c>
      <c r="N90" s="210">
        <v>807296.99</v>
      </c>
      <c r="O90" s="210">
        <v>0</v>
      </c>
      <c r="P90" s="210">
        <v>48290.43</v>
      </c>
      <c r="Q90" s="210">
        <v>425469.72000000003</v>
      </c>
      <c r="R90" s="210">
        <v>-62564.99</v>
      </c>
      <c r="S90" s="144">
        <f t="shared" si="7"/>
        <v>492682.69</v>
      </c>
      <c r="T90" s="145">
        <v>419556.54</v>
      </c>
      <c r="U90" s="145">
        <v>73126.149999999994</v>
      </c>
    </row>
    <row r="91" spans="1:21">
      <c r="A91" s="74">
        <f t="shared" si="5"/>
        <v>81</v>
      </c>
      <c r="B91" s="75">
        <v>61896</v>
      </c>
      <c r="C91" s="209" t="s">
        <v>12</v>
      </c>
      <c r="D91" s="209" t="s">
        <v>16</v>
      </c>
      <c r="E91" s="211">
        <v>7.7370999999999999</v>
      </c>
      <c r="F91" s="208">
        <v>45078</v>
      </c>
      <c r="G91" s="208">
        <v>46520</v>
      </c>
      <c r="H91" s="77"/>
      <c r="I91" s="210">
        <v>934630.19</v>
      </c>
      <c r="J91" s="210">
        <v>0</v>
      </c>
      <c r="K91" s="210">
        <v>-72789.399999999994</v>
      </c>
      <c r="L91" s="210">
        <v>457935.99999999994</v>
      </c>
      <c r="M91" s="144">
        <f t="shared" si="6"/>
        <v>549483.59000000008</v>
      </c>
      <c r="N91" s="210">
        <v>992642.85</v>
      </c>
      <c r="O91" s="210">
        <v>0</v>
      </c>
      <c r="P91" s="210">
        <v>59285.29</v>
      </c>
      <c r="Q91" s="210">
        <v>522181.47999999992</v>
      </c>
      <c r="R91" s="210">
        <v>-72789.399999999994</v>
      </c>
      <c r="S91" s="144">
        <f t="shared" si="7"/>
        <v>602536.05999999994</v>
      </c>
      <c r="T91" s="145">
        <v>513104.99</v>
      </c>
      <c r="U91" s="145">
        <v>89431.07</v>
      </c>
    </row>
    <row r="92" spans="1:21">
      <c r="A92" s="74">
        <f t="shared" si="5"/>
        <v>82</v>
      </c>
      <c r="B92" s="75">
        <v>61898</v>
      </c>
      <c r="C92" s="209" t="s">
        <v>12</v>
      </c>
      <c r="D92" s="209" t="s">
        <v>16</v>
      </c>
      <c r="E92" s="211">
        <v>7.7370999999999999</v>
      </c>
      <c r="F92" s="208">
        <v>45078</v>
      </c>
      <c r="G92" s="208">
        <v>46508</v>
      </c>
      <c r="H92" s="77"/>
      <c r="I92" s="210">
        <v>594573.87</v>
      </c>
      <c r="J92" s="210">
        <v>0</v>
      </c>
      <c r="K92" s="210">
        <v>-32467.89</v>
      </c>
      <c r="L92" s="210">
        <v>292652.68</v>
      </c>
      <c r="M92" s="144">
        <f t="shared" si="6"/>
        <v>334389.08</v>
      </c>
      <c r="N92" s="210">
        <v>636009.54</v>
      </c>
      <c r="O92" s="210">
        <v>0</v>
      </c>
      <c r="P92" s="210">
        <v>37670.409999999996</v>
      </c>
      <c r="Q92" s="210">
        <v>331250.08000000007</v>
      </c>
      <c r="R92" s="210">
        <v>-32467.89</v>
      </c>
      <c r="S92" s="144">
        <f t="shared" si="7"/>
        <v>374897.76</v>
      </c>
      <c r="T92" s="145">
        <v>319253.76000000001</v>
      </c>
      <c r="U92" s="145">
        <v>55644</v>
      </c>
    </row>
    <row r="93" spans="1:21">
      <c r="A93" s="74">
        <f t="shared" si="5"/>
        <v>83</v>
      </c>
      <c r="B93" s="75">
        <v>61902</v>
      </c>
      <c r="C93" s="209" t="s">
        <v>12</v>
      </c>
      <c r="D93" s="209" t="s">
        <v>16</v>
      </c>
      <c r="E93" s="211">
        <v>7.7370999999999999</v>
      </c>
      <c r="F93" s="208">
        <v>45078</v>
      </c>
      <c r="G93" s="208">
        <v>46529</v>
      </c>
      <c r="H93" s="77"/>
      <c r="I93" s="210">
        <v>876056.33</v>
      </c>
      <c r="J93" s="210">
        <v>0</v>
      </c>
      <c r="K93" s="210">
        <v>-72343.490000000005</v>
      </c>
      <c r="L93" s="210">
        <v>425239.48</v>
      </c>
      <c r="M93" s="144">
        <f t="shared" si="6"/>
        <v>523160.33999999997</v>
      </c>
      <c r="N93" s="210">
        <v>925558.76</v>
      </c>
      <c r="O93" s="210">
        <v>0</v>
      </c>
      <c r="P93" s="210">
        <v>55378.19</v>
      </c>
      <c r="Q93" s="210">
        <v>487941.08000000007</v>
      </c>
      <c r="R93" s="210">
        <v>-72343.490000000005</v>
      </c>
      <c r="S93" s="144">
        <f t="shared" si="7"/>
        <v>565339.35999999987</v>
      </c>
      <c r="T93" s="145">
        <v>481429.18</v>
      </c>
      <c r="U93" s="145">
        <v>83910.18</v>
      </c>
    </row>
    <row r="94" spans="1:21">
      <c r="A94" s="74">
        <f t="shared" si="5"/>
        <v>84</v>
      </c>
      <c r="B94" s="75">
        <v>61903</v>
      </c>
      <c r="C94" s="209" t="s">
        <v>12</v>
      </c>
      <c r="D94" s="209" t="s">
        <v>16</v>
      </c>
      <c r="E94" s="211">
        <v>7.7370999999999999</v>
      </c>
      <c r="F94" s="208">
        <v>45078</v>
      </c>
      <c r="G94" s="208">
        <v>46511</v>
      </c>
      <c r="H94" s="77"/>
      <c r="I94" s="210">
        <v>902373.44</v>
      </c>
      <c r="J94" s="210">
        <v>0</v>
      </c>
      <c r="K94" s="210">
        <v>-74712.929999999993</v>
      </c>
      <c r="L94" s="210">
        <v>448362.27999999997</v>
      </c>
      <c r="M94" s="144">
        <f t="shared" si="6"/>
        <v>528724.08999999985</v>
      </c>
      <c r="N94" s="210">
        <v>963520.91</v>
      </c>
      <c r="O94" s="210">
        <v>0</v>
      </c>
      <c r="P94" s="210">
        <v>57636.260000000009</v>
      </c>
      <c r="Q94" s="210">
        <v>507813.96</v>
      </c>
      <c r="R94" s="210">
        <v>-74712.929999999993</v>
      </c>
      <c r="S94" s="144">
        <f t="shared" si="7"/>
        <v>588056.14</v>
      </c>
      <c r="T94" s="145">
        <v>500774.26</v>
      </c>
      <c r="U94" s="145">
        <v>87281.88</v>
      </c>
    </row>
    <row r="95" spans="1:21">
      <c r="A95" s="74">
        <f t="shared" si="5"/>
        <v>85</v>
      </c>
      <c r="B95" s="75">
        <v>61904</v>
      </c>
      <c r="C95" s="209" t="s">
        <v>12</v>
      </c>
      <c r="D95" s="209" t="s">
        <v>16</v>
      </c>
      <c r="E95" s="211">
        <v>0</v>
      </c>
      <c r="F95" s="208">
        <v>45078</v>
      </c>
      <c r="G95" s="208">
        <v>45992</v>
      </c>
      <c r="H95" s="77"/>
      <c r="I95" s="210">
        <v>907368.33</v>
      </c>
      <c r="J95" s="210">
        <v>0</v>
      </c>
      <c r="K95" s="210">
        <v>620709.29</v>
      </c>
      <c r="L95" s="210">
        <v>286659.03999999998</v>
      </c>
      <c r="M95" s="144">
        <f t="shared" si="6"/>
        <v>0</v>
      </c>
      <c r="N95" s="210">
        <v>965339.99</v>
      </c>
      <c r="O95" s="210">
        <v>0</v>
      </c>
      <c r="P95" s="210">
        <v>41075.349999999991</v>
      </c>
      <c r="Q95" s="210">
        <v>333294.48</v>
      </c>
      <c r="R95" s="210">
        <v>673120.86</v>
      </c>
      <c r="S95" s="144">
        <f t="shared" si="7"/>
        <v>0</v>
      </c>
      <c r="T95" s="145">
        <v>0</v>
      </c>
      <c r="U95" s="145">
        <v>0</v>
      </c>
    </row>
    <row r="96" spans="1:21">
      <c r="A96" s="74">
        <f t="shared" si="5"/>
        <v>86</v>
      </c>
      <c r="B96" s="75">
        <v>61907</v>
      </c>
      <c r="C96" s="209" t="s">
        <v>12</v>
      </c>
      <c r="D96" s="209" t="s">
        <v>16</v>
      </c>
      <c r="E96" s="211">
        <v>7.7370999999999999</v>
      </c>
      <c r="F96" s="208">
        <v>45078</v>
      </c>
      <c r="G96" s="208">
        <v>46511</v>
      </c>
      <c r="H96" s="77"/>
      <c r="I96" s="210">
        <v>908253.8</v>
      </c>
      <c r="J96" s="210">
        <v>0</v>
      </c>
      <c r="K96" s="210">
        <v>-71063.63</v>
      </c>
      <c r="L96" s="210">
        <v>450318.2</v>
      </c>
      <c r="M96" s="144">
        <f t="shared" si="6"/>
        <v>528999.23</v>
      </c>
      <c r="N96" s="210">
        <v>969799.81</v>
      </c>
      <c r="O96" s="210">
        <v>0</v>
      </c>
      <c r="P96" s="210">
        <v>57919.869999999995</v>
      </c>
      <c r="Q96" s="210">
        <v>510152.96000000002</v>
      </c>
      <c r="R96" s="210">
        <v>-71063.63</v>
      </c>
      <c r="S96" s="144">
        <f t="shared" si="7"/>
        <v>588630.35000000009</v>
      </c>
      <c r="T96" s="145">
        <v>501263.21</v>
      </c>
      <c r="U96" s="145">
        <v>87367.14</v>
      </c>
    </row>
    <row r="97" spans="1:21">
      <c r="A97" s="74">
        <f t="shared" si="5"/>
        <v>87</v>
      </c>
      <c r="B97" s="75">
        <v>61909</v>
      </c>
      <c r="C97" s="209" t="s">
        <v>12</v>
      </c>
      <c r="D97" s="209" t="s">
        <v>16</v>
      </c>
      <c r="E97" s="211">
        <v>7.7370999999999999</v>
      </c>
      <c r="F97" s="208">
        <v>45078</v>
      </c>
      <c r="G97" s="208">
        <v>46512</v>
      </c>
      <c r="H97" s="77"/>
      <c r="I97" s="210">
        <v>861105.24</v>
      </c>
      <c r="J97" s="210">
        <v>0</v>
      </c>
      <c r="K97" s="210">
        <v>-71243.81</v>
      </c>
      <c r="L97" s="210">
        <v>427286.6399999999</v>
      </c>
      <c r="M97" s="144">
        <f t="shared" si="6"/>
        <v>505062.41000000015</v>
      </c>
      <c r="N97" s="210">
        <v>918905.97</v>
      </c>
      <c r="O97" s="210">
        <v>0</v>
      </c>
      <c r="P97" s="210">
        <v>54967.24</v>
      </c>
      <c r="Q97" s="210">
        <v>484297.84</v>
      </c>
      <c r="R97" s="210">
        <v>-71243.81</v>
      </c>
      <c r="S97" s="144">
        <f t="shared" si="7"/>
        <v>560819.17999999993</v>
      </c>
      <c r="T97" s="145">
        <v>477579.92</v>
      </c>
      <c r="U97" s="145">
        <v>83239.259999999995</v>
      </c>
    </row>
    <row r="98" spans="1:21">
      <c r="A98" s="74">
        <f t="shared" si="5"/>
        <v>88</v>
      </c>
      <c r="B98" s="75">
        <v>61911</v>
      </c>
      <c r="C98" s="209" t="s">
        <v>12</v>
      </c>
      <c r="D98" s="209" t="s">
        <v>16</v>
      </c>
      <c r="E98" s="211">
        <v>7.7370999999999999</v>
      </c>
      <c r="F98" s="208">
        <v>45078</v>
      </c>
      <c r="G98" s="208">
        <v>46517</v>
      </c>
      <c r="H98" s="77"/>
      <c r="I98" s="210">
        <v>623781.55000000005</v>
      </c>
      <c r="J98" s="210">
        <v>0</v>
      </c>
      <c r="K98" s="210">
        <v>-28446.29</v>
      </c>
      <c r="L98" s="210">
        <v>302169.52</v>
      </c>
      <c r="M98" s="144">
        <f t="shared" si="6"/>
        <v>350058.32000000007</v>
      </c>
      <c r="N98" s="210">
        <v>663674.36</v>
      </c>
      <c r="O98" s="210">
        <v>0</v>
      </c>
      <c r="P98" s="210">
        <v>39188.14</v>
      </c>
      <c r="Q98" s="210">
        <v>344384</v>
      </c>
      <c r="R98" s="210">
        <v>-28446.29</v>
      </c>
      <c r="S98" s="144">
        <f t="shared" si="7"/>
        <v>386924.79</v>
      </c>
      <c r="T98" s="145">
        <v>329495.69</v>
      </c>
      <c r="U98" s="145">
        <v>57429.1</v>
      </c>
    </row>
    <row r="99" spans="1:21">
      <c r="A99" s="74">
        <f t="shared" si="5"/>
        <v>89</v>
      </c>
      <c r="B99" s="75">
        <v>61912</v>
      </c>
      <c r="C99" s="209" t="s">
        <v>12</v>
      </c>
      <c r="D99" s="209" t="s">
        <v>16</v>
      </c>
      <c r="E99" s="211">
        <v>7.5198999999999998</v>
      </c>
      <c r="F99" s="208">
        <v>45078</v>
      </c>
      <c r="G99" s="208">
        <v>46146</v>
      </c>
      <c r="H99" s="77"/>
      <c r="I99" s="210">
        <v>409922</v>
      </c>
      <c r="J99" s="210">
        <v>0</v>
      </c>
      <c r="K99" s="210">
        <v>-46532.71</v>
      </c>
      <c r="L99" s="210">
        <v>410960.35999999993</v>
      </c>
      <c r="M99" s="144">
        <f t="shared" si="6"/>
        <v>45494.350000000093</v>
      </c>
      <c r="N99" s="210">
        <v>435620.13</v>
      </c>
      <c r="O99" s="210">
        <v>0</v>
      </c>
      <c r="P99" s="210">
        <v>17554.82</v>
      </c>
      <c r="Q99" s="210">
        <v>426037.36000000004</v>
      </c>
      <c r="R99" s="210">
        <v>-46532.71</v>
      </c>
      <c r="S99" s="144">
        <f t="shared" si="7"/>
        <v>73670.299999999959</v>
      </c>
      <c r="T99" s="145">
        <v>73670.3</v>
      </c>
      <c r="U99" s="145">
        <v>0</v>
      </c>
    </row>
    <row r="100" spans="1:21">
      <c r="A100" s="74">
        <f t="shared" si="5"/>
        <v>90</v>
      </c>
      <c r="B100" s="75">
        <v>61917</v>
      </c>
      <c r="C100" s="209" t="s">
        <v>12</v>
      </c>
      <c r="D100" s="209" t="s">
        <v>16</v>
      </c>
      <c r="E100" s="211">
        <v>7.7370999999999999</v>
      </c>
      <c r="F100" s="208">
        <v>45078</v>
      </c>
      <c r="G100" s="208">
        <v>46510</v>
      </c>
      <c r="H100" s="77"/>
      <c r="I100" s="210">
        <v>399942.03</v>
      </c>
      <c r="J100" s="210">
        <v>0</v>
      </c>
      <c r="K100" s="210">
        <v>-18395.98</v>
      </c>
      <c r="L100" s="210">
        <v>195535.92000000004</v>
      </c>
      <c r="M100" s="144">
        <f t="shared" si="6"/>
        <v>222802.08999999997</v>
      </c>
      <c r="N100" s="210">
        <v>427299.59</v>
      </c>
      <c r="O100" s="210">
        <v>0</v>
      </c>
      <c r="P100" s="210">
        <v>25232.66</v>
      </c>
      <c r="Q100" s="210">
        <v>221746.96</v>
      </c>
      <c r="R100" s="210">
        <v>-18395.98</v>
      </c>
      <c r="S100" s="144">
        <f t="shared" si="7"/>
        <v>249181.27000000002</v>
      </c>
      <c r="T100" s="145">
        <v>212196.71</v>
      </c>
      <c r="U100" s="145">
        <v>36984.559999999998</v>
      </c>
    </row>
    <row r="101" spans="1:21">
      <c r="A101" s="74">
        <f t="shared" si="5"/>
        <v>91</v>
      </c>
      <c r="B101" s="75">
        <v>61918</v>
      </c>
      <c r="C101" s="209" t="s">
        <v>12</v>
      </c>
      <c r="D101" s="209" t="s">
        <v>16</v>
      </c>
      <c r="E101" s="211">
        <v>7.7370999999999999</v>
      </c>
      <c r="F101" s="208">
        <v>45078</v>
      </c>
      <c r="G101" s="208">
        <v>46515</v>
      </c>
      <c r="H101" s="77"/>
      <c r="I101" s="210">
        <v>778830.1</v>
      </c>
      <c r="J101" s="210">
        <v>0</v>
      </c>
      <c r="K101" s="210">
        <v>-63900.87</v>
      </c>
      <c r="L101" s="210">
        <v>384829.52</v>
      </c>
      <c r="M101" s="144">
        <f t="shared" si="6"/>
        <v>457901.44999999995</v>
      </c>
      <c r="N101" s="210">
        <v>829622.67</v>
      </c>
      <c r="O101" s="210">
        <v>0</v>
      </c>
      <c r="P101" s="210">
        <v>49617.13</v>
      </c>
      <c r="Q101" s="210">
        <v>437143.5199999999</v>
      </c>
      <c r="R101" s="210">
        <v>-63900.87</v>
      </c>
      <c r="S101" s="144">
        <f t="shared" si="7"/>
        <v>505997.15000000014</v>
      </c>
      <c r="T101" s="145">
        <v>430894.79</v>
      </c>
      <c r="U101" s="145">
        <v>75102.36</v>
      </c>
    </row>
    <row r="102" spans="1:21">
      <c r="A102" s="74">
        <f t="shared" si="5"/>
        <v>92</v>
      </c>
      <c r="B102" s="75">
        <v>61919</v>
      </c>
      <c r="C102" s="209" t="s">
        <v>12</v>
      </c>
      <c r="D102" s="209" t="s">
        <v>16</v>
      </c>
      <c r="E102" s="211">
        <v>7.7370999999999999</v>
      </c>
      <c r="F102" s="208">
        <v>45078</v>
      </c>
      <c r="G102" s="208">
        <v>46530</v>
      </c>
      <c r="H102" s="77"/>
      <c r="I102" s="210">
        <v>629829.87</v>
      </c>
      <c r="J102" s="210">
        <v>0</v>
      </c>
      <c r="K102" s="210">
        <v>-34113.760000000002</v>
      </c>
      <c r="L102" s="210">
        <v>301295.96000000002</v>
      </c>
      <c r="M102" s="144">
        <f t="shared" si="6"/>
        <v>362647.67</v>
      </c>
      <c r="N102" s="210">
        <v>665034.42000000004</v>
      </c>
      <c r="O102" s="210">
        <v>0</v>
      </c>
      <c r="P102" s="210">
        <v>39393.179999999993</v>
      </c>
      <c r="Q102" s="210">
        <v>346405.48</v>
      </c>
      <c r="R102" s="210">
        <v>-34113.760000000002</v>
      </c>
      <c r="S102" s="144">
        <f t="shared" si="7"/>
        <v>392135.88000000012</v>
      </c>
      <c r="T102" s="145">
        <v>333933.34000000003</v>
      </c>
      <c r="U102" s="145">
        <v>58202.54</v>
      </c>
    </row>
    <row r="103" spans="1:21">
      <c r="A103" s="74">
        <f t="shared" si="5"/>
        <v>93</v>
      </c>
      <c r="B103" s="75">
        <v>61922</v>
      </c>
      <c r="C103" s="209" t="s">
        <v>12</v>
      </c>
      <c r="D103" s="209" t="s">
        <v>16</v>
      </c>
      <c r="E103" s="211">
        <v>7.7370999999999999</v>
      </c>
      <c r="F103" s="208">
        <v>45078</v>
      </c>
      <c r="G103" s="208">
        <v>46508</v>
      </c>
      <c r="H103" s="77"/>
      <c r="I103" s="210">
        <v>597922.69999999995</v>
      </c>
      <c r="J103" s="210">
        <v>0</v>
      </c>
      <c r="K103" s="210">
        <v>-27412.97</v>
      </c>
      <c r="L103" s="210">
        <v>293070.88</v>
      </c>
      <c r="M103" s="144">
        <f t="shared" si="6"/>
        <v>332264.78999999992</v>
      </c>
      <c r="N103" s="210">
        <v>639591.76</v>
      </c>
      <c r="O103" s="210">
        <v>0</v>
      </c>
      <c r="P103" s="210">
        <v>37766.100000000006</v>
      </c>
      <c r="Q103" s="210">
        <v>331887.15999999997</v>
      </c>
      <c r="R103" s="210">
        <v>-27412.97</v>
      </c>
      <c r="S103" s="144">
        <f t="shared" si="7"/>
        <v>372883.67000000004</v>
      </c>
      <c r="T103" s="145">
        <v>317538.63</v>
      </c>
      <c r="U103" s="145">
        <v>55345.04</v>
      </c>
    </row>
    <row r="104" spans="1:21">
      <c r="A104" s="74">
        <f t="shared" si="5"/>
        <v>94</v>
      </c>
      <c r="B104" s="256">
        <v>62007</v>
      </c>
      <c r="C104" s="209" t="s">
        <v>12</v>
      </c>
      <c r="D104" s="209" t="s">
        <v>13</v>
      </c>
      <c r="E104" s="211">
        <v>7.7372379999999996</v>
      </c>
      <c r="F104" s="208">
        <v>45108</v>
      </c>
      <c r="G104" s="208">
        <v>46203</v>
      </c>
      <c r="H104" s="77"/>
      <c r="I104" s="210">
        <v>22626429.129999999</v>
      </c>
      <c r="J104" s="210">
        <v>0</v>
      </c>
      <c r="K104" s="210">
        <v>0</v>
      </c>
      <c r="L104" s="210">
        <v>18101143.440000005</v>
      </c>
      <c r="M104" s="144">
        <f t="shared" si="6"/>
        <v>4525285.6899999939</v>
      </c>
      <c r="N104" s="210">
        <v>24161484.98</v>
      </c>
      <c r="O104" s="210">
        <v>0</v>
      </c>
      <c r="P104" s="210">
        <v>940580.0399999998</v>
      </c>
      <c r="Q104" s="210">
        <v>20081652</v>
      </c>
      <c r="R104" s="210">
        <v>0</v>
      </c>
      <c r="S104" s="144">
        <f t="shared" si="7"/>
        <v>5020413.0199999996</v>
      </c>
      <c r="T104" s="145">
        <v>5020413.0199999996</v>
      </c>
      <c r="U104" s="145">
        <v>0</v>
      </c>
    </row>
    <row r="105" spans="1:21">
      <c r="A105" s="74">
        <f t="shared" si="5"/>
        <v>95</v>
      </c>
      <c r="B105" s="75">
        <v>62561</v>
      </c>
      <c r="C105" s="209" t="s">
        <v>12</v>
      </c>
      <c r="D105" s="209" t="s">
        <v>13</v>
      </c>
      <c r="E105" s="211">
        <v>7.5628880000000001</v>
      </c>
      <c r="F105" s="208">
        <v>45139</v>
      </c>
      <c r="G105" s="208">
        <v>46234</v>
      </c>
      <c r="H105" s="77"/>
      <c r="I105" s="210">
        <v>83277963.900000006</v>
      </c>
      <c r="J105" s="210">
        <v>0</v>
      </c>
      <c r="K105" s="210">
        <v>0</v>
      </c>
      <c r="L105" s="210">
        <v>62458473</v>
      </c>
      <c r="M105" s="144">
        <f t="shared" si="6"/>
        <v>20819490.900000006</v>
      </c>
      <c r="N105" s="210">
        <v>82728974.980000004</v>
      </c>
      <c r="O105" s="210">
        <v>0</v>
      </c>
      <c r="P105" s="210">
        <v>3580529.27</v>
      </c>
      <c r="Q105" s="210">
        <v>69134200</v>
      </c>
      <c r="R105" s="210">
        <v>0</v>
      </c>
      <c r="S105" s="144">
        <f t="shared" si="7"/>
        <v>17175304.25</v>
      </c>
      <c r="T105" s="145">
        <v>17175304.25</v>
      </c>
      <c r="U105" s="145">
        <v>0</v>
      </c>
    </row>
    <row r="106" spans="1:21">
      <c r="A106" s="74">
        <f t="shared" si="5"/>
        <v>96</v>
      </c>
      <c r="B106" s="75">
        <v>62772</v>
      </c>
      <c r="C106" s="209" t="s">
        <v>12</v>
      </c>
      <c r="D106" s="209" t="s">
        <v>16</v>
      </c>
      <c r="E106" s="211">
        <v>7.5629</v>
      </c>
      <c r="F106" s="208">
        <v>45139</v>
      </c>
      <c r="G106" s="208">
        <v>46191</v>
      </c>
      <c r="H106" s="77"/>
      <c r="I106" s="210">
        <v>236509.98</v>
      </c>
      <c r="J106" s="210">
        <v>0</v>
      </c>
      <c r="K106" s="210">
        <v>-18510.71</v>
      </c>
      <c r="L106" s="210">
        <v>205610.36000000002</v>
      </c>
      <c r="M106" s="144">
        <f t="shared" si="6"/>
        <v>49410.329999999987</v>
      </c>
      <c r="N106" s="210">
        <v>245370.03</v>
      </c>
      <c r="O106" s="210">
        <v>0</v>
      </c>
      <c r="P106" s="210">
        <v>10493.789999999999</v>
      </c>
      <c r="Q106" s="210">
        <v>219557.72</v>
      </c>
      <c r="R106" s="210">
        <v>-18510.71</v>
      </c>
      <c r="S106" s="144">
        <f t="shared" si="7"/>
        <v>54816.810000000005</v>
      </c>
      <c r="T106" s="145">
        <v>54816.81</v>
      </c>
      <c r="U106" s="145">
        <v>0</v>
      </c>
    </row>
    <row r="107" spans="1:21">
      <c r="A107" s="74">
        <f t="shared" si="5"/>
        <v>97</v>
      </c>
      <c r="B107" s="75">
        <v>62773</v>
      </c>
      <c r="C107" s="209" t="s">
        <v>12</v>
      </c>
      <c r="D107" s="209" t="s">
        <v>16</v>
      </c>
      <c r="E107" s="211">
        <v>7.5629</v>
      </c>
      <c r="F107" s="208">
        <v>45139</v>
      </c>
      <c r="G107" s="208">
        <v>46215</v>
      </c>
      <c r="H107" s="77"/>
      <c r="I107" s="210">
        <v>368213.36</v>
      </c>
      <c r="J107" s="210">
        <v>0</v>
      </c>
      <c r="K107" s="210">
        <v>-27300.7</v>
      </c>
      <c r="L107" s="210">
        <v>301943.03999999992</v>
      </c>
      <c r="M107" s="144">
        <f t="shared" si="6"/>
        <v>93571.020000000077</v>
      </c>
      <c r="N107" s="210">
        <v>385817.85</v>
      </c>
      <c r="O107" s="210">
        <v>0</v>
      </c>
      <c r="P107" s="210">
        <v>17375.960000000003</v>
      </c>
      <c r="Q107" s="210">
        <v>323224.59999999992</v>
      </c>
      <c r="R107" s="210">
        <v>-27300.7</v>
      </c>
      <c r="S107" s="144">
        <f t="shared" si="7"/>
        <v>107269.91000000008</v>
      </c>
      <c r="T107" s="145">
        <v>107269.91</v>
      </c>
      <c r="U107" s="145">
        <v>0</v>
      </c>
    </row>
    <row r="108" spans="1:21">
      <c r="A108" s="74">
        <f t="shared" si="5"/>
        <v>98</v>
      </c>
      <c r="B108" s="75">
        <v>62775</v>
      </c>
      <c r="C108" s="209" t="s">
        <v>12</v>
      </c>
      <c r="D108" s="209" t="s">
        <v>16</v>
      </c>
      <c r="E108" s="211">
        <v>7.7275</v>
      </c>
      <c r="F108" s="208">
        <v>45139</v>
      </c>
      <c r="G108" s="208">
        <v>46573</v>
      </c>
      <c r="H108" s="77"/>
      <c r="I108" s="210">
        <v>705018.11</v>
      </c>
      <c r="J108" s="210">
        <v>0</v>
      </c>
      <c r="K108" s="210">
        <v>-57821.88</v>
      </c>
      <c r="L108" s="210">
        <v>323551.27999999997</v>
      </c>
      <c r="M108" s="144">
        <f t="shared" si="6"/>
        <v>439288.71</v>
      </c>
      <c r="N108" s="210">
        <v>747956.07</v>
      </c>
      <c r="O108" s="210">
        <v>0</v>
      </c>
      <c r="P108" s="210">
        <v>45817.3</v>
      </c>
      <c r="Q108" s="210">
        <v>367531.15999999992</v>
      </c>
      <c r="R108" s="210">
        <v>-57821.88</v>
      </c>
      <c r="S108" s="144">
        <f t="shared" si="7"/>
        <v>484064.09000000008</v>
      </c>
      <c r="T108" s="145">
        <v>358348.18</v>
      </c>
      <c r="U108" s="145">
        <v>125715.91</v>
      </c>
    </row>
    <row r="109" spans="1:21">
      <c r="A109" s="74">
        <f t="shared" si="5"/>
        <v>99</v>
      </c>
      <c r="B109" s="75">
        <v>62777</v>
      </c>
      <c r="C109" s="209" t="s">
        <v>12</v>
      </c>
      <c r="D109" s="209" t="s">
        <v>16</v>
      </c>
      <c r="E109" s="211">
        <v>7.5629</v>
      </c>
      <c r="F109" s="208">
        <v>45139</v>
      </c>
      <c r="G109" s="208">
        <v>46225</v>
      </c>
      <c r="H109" s="77"/>
      <c r="I109" s="210">
        <v>538680.92000000004</v>
      </c>
      <c r="J109" s="210">
        <v>0</v>
      </c>
      <c r="K109" s="210">
        <v>-57533.59</v>
      </c>
      <c r="L109" s="210">
        <v>441327.04000000004</v>
      </c>
      <c r="M109" s="144">
        <f t="shared" si="6"/>
        <v>154887.46999999997</v>
      </c>
      <c r="N109" s="210">
        <v>557884.87</v>
      </c>
      <c r="O109" s="210">
        <v>0</v>
      </c>
      <c r="P109" s="210">
        <v>25438.48</v>
      </c>
      <c r="Q109" s="210">
        <v>476604.71999999986</v>
      </c>
      <c r="R109" s="210">
        <v>-57533.59</v>
      </c>
      <c r="S109" s="144">
        <f t="shared" si="7"/>
        <v>164252.22000000012</v>
      </c>
      <c r="T109" s="145">
        <v>164252.22</v>
      </c>
      <c r="U109" s="145">
        <v>0</v>
      </c>
    </row>
    <row r="110" spans="1:21">
      <c r="A110" s="74">
        <f t="shared" si="5"/>
        <v>100</v>
      </c>
      <c r="B110" s="75">
        <v>62778</v>
      </c>
      <c r="C110" s="209" t="s">
        <v>12</v>
      </c>
      <c r="D110" s="209" t="s">
        <v>16</v>
      </c>
      <c r="E110" s="211">
        <v>7.7275</v>
      </c>
      <c r="F110" s="208">
        <v>45139</v>
      </c>
      <c r="G110" s="208">
        <v>46561</v>
      </c>
      <c r="H110" s="77"/>
      <c r="I110" s="210">
        <v>632798.1</v>
      </c>
      <c r="J110" s="210">
        <v>0</v>
      </c>
      <c r="K110" s="210">
        <v>-33297.599999999999</v>
      </c>
      <c r="L110" s="210">
        <v>290792.44</v>
      </c>
      <c r="M110" s="144">
        <f t="shared" si="6"/>
        <v>375303.25999999995</v>
      </c>
      <c r="N110" s="210">
        <v>664702.16</v>
      </c>
      <c r="O110" s="210">
        <v>0</v>
      </c>
      <c r="P110" s="210">
        <v>39826.880000000005</v>
      </c>
      <c r="Q110" s="210">
        <v>333958.15999999997</v>
      </c>
      <c r="R110" s="210">
        <v>-33297.599999999999</v>
      </c>
      <c r="S110" s="144">
        <f t="shared" si="7"/>
        <v>403868.48000000004</v>
      </c>
      <c r="T110" s="145">
        <v>319954.34999999998</v>
      </c>
      <c r="U110" s="145">
        <v>83914.13</v>
      </c>
    </row>
    <row r="111" spans="1:21">
      <c r="A111" s="74">
        <f t="shared" si="5"/>
        <v>101</v>
      </c>
      <c r="B111" s="75">
        <v>62780</v>
      </c>
      <c r="C111" s="209" t="s">
        <v>12</v>
      </c>
      <c r="D111" s="209" t="s">
        <v>16</v>
      </c>
      <c r="E111" s="211">
        <v>7.5629</v>
      </c>
      <c r="F111" s="208">
        <v>45139</v>
      </c>
      <c r="G111" s="208">
        <v>46204</v>
      </c>
      <c r="H111" s="77"/>
      <c r="I111" s="210">
        <v>414028.96</v>
      </c>
      <c r="J111" s="210">
        <v>0</v>
      </c>
      <c r="K111" s="210">
        <v>-31018.54</v>
      </c>
      <c r="L111" s="210">
        <v>348155.96000000008</v>
      </c>
      <c r="M111" s="144">
        <f t="shared" si="6"/>
        <v>96891.539999999921</v>
      </c>
      <c r="N111" s="210">
        <v>439611.49</v>
      </c>
      <c r="O111" s="210">
        <v>0</v>
      </c>
      <c r="P111" s="210">
        <v>19797.099999999999</v>
      </c>
      <c r="Q111" s="210">
        <v>368245.72000000003</v>
      </c>
      <c r="R111" s="210">
        <v>-31018.54</v>
      </c>
      <c r="S111" s="144">
        <f t="shared" si="7"/>
        <v>122181.40999999995</v>
      </c>
      <c r="T111" s="145">
        <v>122181.41</v>
      </c>
      <c r="U111" s="145">
        <v>0</v>
      </c>
    </row>
    <row r="112" spans="1:21">
      <c r="A112" s="74">
        <f t="shared" si="5"/>
        <v>102</v>
      </c>
      <c r="B112" s="75">
        <v>62781</v>
      </c>
      <c r="C112" s="209" t="s">
        <v>12</v>
      </c>
      <c r="D112" s="209" t="s">
        <v>16</v>
      </c>
      <c r="E112" s="211">
        <v>7.5629</v>
      </c>
      <c r="F112" s="208">
        <v>45139</v>
      </c>
      <c r="G112" s="208">
        <v>46226</v>
      </c>
      <c r="H112" s="77"/>
      <c r="I112" s="210">
        <v>372827.64</v>
      </c>
      <c r="J112" s="210">
        <v>0</v>
      </c>
      <c r="K112" s="210">
        <v>-27296.81</v>
      </c>
      <c r="L112" s="210">
        <v>298308</v>
      </c>
      <c r="M112" s="144">
        <f t="shared" si="6"/>
        <v>101816.45000000001</v>
      </c>
      <c r="N112" s="210">
        <v>385675.82</v>
      </c>
      <c r="O112" s="210">
        <v>0</v>
      </c>
      <c r="P112" s="210">
        <v>17369.669999999998</v>
      </c>
      <c r="Q112" s="210">
        <v>323108.76</v>
      </c>
      <c r="R112" s="210">
        <v>-27296.81</v>
      </c>
      <c r="S112" s="144">
        <f t="shared" si="7"/>
        <v>107233.53999999998</v>
      </c>
      <c r="T112" s="145">
        <v>107233.54</v>
      </c>
      <c r="U112" s="145">
        <v>0</v>
      </c>
    </row>
    <row r="113" spans="1:21">
      <c r="A113" s="74">
        <f t="shared" si="5"/>
        <v>103</v>
      </c>
      <c r="B113" s="75">
        <v>62783</v>
      </c>
      <c r="C113" s="209" t="s">
        <v>12</v>
      </c>
      <c r="D113" s="209" t="s">
        <v>16</v>
      </c>
      <c r="E113" s="211">
        <v>7.7275</v>
      </c>
      <c r="F113" s="208">
        <v>45139</v>
      </c>
      <c r="G113" s="208">
        <v>46574</v>
      </c>
      <c r="H113" s="77"/>
      <c r="I113" s="210">
        <v>716117.75</v>
      </c>
      <c r="J113" s="210">
        <v>0</v>
      </c>
      <c r="K113" s="210">
        <v>-30389.4</v>
      </c>
      <c r="L113" s="210">
        <v>322342.55999999988</v>
      </c>
      <c r="M113" s="144">
        <f t="shared" si="6"/>
        <v>424164.59000000014</v>
      </c>
      <c r="N113" s="210">
        <v>759349.48</v>
      </c>
      <c r="O113" s="210">
        <v>0</v>
      </c>
      <c r="P113" s="210">
        <v>45876.28</v>
      </c>
      <c r="Q113" s="210">
        <v>367115.08</v>
      </c>
      <c r="R113" s="210">
        <v>-30389.4</v>
      </c>
      <c r="S113" s="144">
        <f t="shared" si="7"/>
        <v>468500.08</v>
      </c>
      <c r="T113" s="145">
        <v>346826.29</v>
      </c>
      <c r="U113" s="145">
        <v>121673.79</v>
      </c>
    </row>
    <row r="114" spans="1:21">
      <c r="A114" s="74">
        <f t="shared" ref="A114:A177" si="8">A113+1</f>
        <v>104</v>
      </c>
      <c r="B114" s="75">
        <v>62785</v>
      </c>
      <c r="C114" s="209" t="s">
        <v>12</v>
      </c>
      <c r="D114" s="209" t="s">
        <v>16</v>
      </c>
      <c r="E114" s="211">
        <v>7.7275</v>
      </c>
      <c r="F114" s="208">
        <v>45139</v>
      </c>
      <c r="G114" s="208">
        <v>46540</v>
      </c>
      <c r="H114" s="77"/>
      <c r="I114" s="210">
        <v>629366.03</v>
      </c>
      <c r="J114" s="210">
        <v>0</v>
      </c>
      <c r="K114" s="210">
        <v>-27679.84</v>
      </c>
      <c r="L114" s="210">
        <v>295862.04000000004</v>
      </c>
      <c r="M114" s="144">
        <f t="shared" ref="M114:M177" si="9">I114+J114-K114-L114</f>
        <v>361183.82999999996</v>
      </c>
      <c r="N114" s="210">
        <v>668689.30000000005</v>
      </c>
      <c r="O114" s="210">
        <v>0</v>
      </c>
      <c r="P114" s="210">
        <v>39935.509999999995</v>
      </c>
      <c r="Q114" s="210">
        <v>334664.59999999992</v>
      </c>
      <c r="R114" s="210">
        <v>-27679.84</v>
      </c>
      <c r="S114" s="144">
        <f t="shared" si="7"/>
        <v>401640.05000000016</v>
      </c>
      <c r="T114" s="145">
        <v>318188.93</v>
      </c>
      <c r="U114" s="145">
        <v>83451.12</v>
      </c>
    </row>
    <row r="115" spans="1:21">
      <c r="A115" s="74">
        <f t="shared" si="8"/>
        <v>105</v>
      </c>
      <c r="B115" s="75">
        <v>62786</v>
      </c>
      <c r="C115" s="209" t="s">
        <v>12</v>
      </c>
      <c r="D115" s="209" t="s">
        <v>16</v>
      </c>
      <c r="E115" s="211">
        <v>7.7275</v>
      </c>
      <c r="F115" s="208">
        <v>45139</v>
      </c>
      <c r="G115" s="208">
        <v>46586</v>
      </c>
      <c r="H115" s="77"/>
      <c r="I115" s="210">
        <v>666586.15</v>
      </c>
      <c r="J115" s="210">
        <v>0</v>
      </c>
      <c r="K115" s="210">
        <v>-54788.44</v>
      </c>
      <c r="L115" s="210">
        <v>301215.8</v>
      </c>
      <c r="M115" s="144">
        <f t="shared" si="9"/>
        <v>420158.7900000001</v>
      </c>
      <c r="N115" s="210">
        <v>702623.51</v>
      </c>
      <c r="O115" s="210">
        <v>0</v>
      </c>
      <c r="P115" s="210">
        <v>43050.979999999996</v>
      </c>
      <c r="Q115" s="210">
        <v>345355.67999999993</v>
      </c>
      <c r="R115" s="210">
        <v>-54788.44</v>
      </c>
      <c r="S115" s="144">
        <f t="shared" si="7"/>
        <v>455107.25000000006</v>
      </c>
      <c r="T115" s="145">
        <v>336911.72</v>
      </c>
      <c r="U115" s="145">
        <v>118195.53</v>
      </c>
    </row>
    <row r="116" spans="1:21">
      <c r="A116" s="74">
        <f t="shared" si="8"/>
        <v>106</v>
      </c>
      <c r="B116" s="75">
        <v>62787</v>
      </c>
      <c r="C116" s="209" t="s">
        <v>12</v>
      </c>
      <c r="D116" s="209" t="s">
        <v>16</v>
      </c>
      <c r="E116" s="211">
        <v>7.5629</v>
      </c>
      <c r="F116" s="208">
        <v>45139</v>
      </c>
      <c r="G116" s="208">
        <v>46215</v>
      </c>
      <c r="H116" s="77"/>
      <c r="I116" s="210">
        <v>526213.34</v>
      </c>
      <c r="J116" s="210">
        <v>0</v>
      </c>
      <c r="K116" s="210">
        <v>-56380.160000000003</v>
      </c>
      <c r="L116" s="210">
        <v>440909.15999999992</v>
      </c>
      <c r="M116" s="144">
        <f t="shared" si="9"/>
        <v>141684.34000000008</v>
      </c>
      <c r="N116" s="210">
        <v>551371.66</v>
      </c>
      <c r="O116" s="210">
        <v>0</v>
      </c>
      <c r="P116" s="210">
        <v>25133.149999999998</v>
      </c>
      <c r="Q116" s="210">
        <v>470794.23999999993</v>
      </c>
      <c r="R116" s="210">
        <v>-56380.160000000003</v>
      </c>
      <c r="S116" s="144">
        <f t="shared" si="7"/>
        <v>162090.73000000013</v>
      </c>
      <c r="T116" s="145">
        <v>162090.73000000001</v>
      </c>
      <c r="U116" s="145">
        <v>0</v>
      </c>
    </row>
    <row r="117" spans="1:21">
      <c r="A117" s="74">
        <f t="shared" si="8"/>
        <v>107</v>
      </c>
      <c r="B117" s="75">
        <v>62788</v>
      </c>
      <c r="C117" s="209" t="s">
        <v>12</v>
      </c>
      <c r="D117" s="209" t="s">
        <v>16</v>
      </c>
      <c r="E117" s="211">
        <v>7.5629</v>
      </c>
      <c r="F117" s="208">
        <v>45139</v>
      </c>
      <c r="G117" s="208">
        <v>46192</v>
      </c>
      <c r="H117" s="77"/>
      <c r="I117" s="210">
        <v>256629.78</v>
      </c>
      <c r="J117" s="210">
        <v>0</v>
      </c>
      <c r="K117" s="210">
        <v>-20069.59</v>
      </c>
      <c r="L117" s="210">
        <v>222550.36000000002</v>
      </c>
      <c r="M117" s="144">
        <f t="shared" si="9"/>
        <v>54149.00999999998</v>
      </c>
      <c r="N117" s="210">
        <v>265893</v>
      </c>
      <c r="O117" s="210">
        <v>0</v>
      </c>
      <c r="P117" s="210">
        <v>11371.69</v>
      </c>
      <c r="Q117" s="210">
        <v>237927.92</v>
      </c>
      <c r="R117" s="210">
        <v>-20069.59</v>
      </c>
      <c r="S117" s="144">
        <f t="shared" si="7"/>
        <v>59406.359999999986</v>
      </c>
      <c r="T117" s="145">
        <v>59406.36</v>
      </c>
      <c r="U117" s="145">
        <v>0</v>
      </c>
    </row>
    <row r="118" spans="1:21">
      <c r="A118" s="74">
        <f t="shared" si="8"/>
        <v>108</v>
      </c>
      <c r="B118" s="75">
        <v>63100</v>
      </c>
      <c r="C118" s="209" t="s">
        <v>12</v>
      </c>
      <c r="D118" s="209" t="s">
        <v>13</v>
      </c>
      <c r="E118" s="211">
        <v>8.0051649999999999</v>
      </c>
      <c r="F118" s="208">
        <v>45200</v>
      </c>
      <c r="G118" s="208">
        <v>46295</v>
      </c>
      <c r="H118" s="77"/>
      <c r="I118" s="210">
        <v>10884952.77</v>
      </c>
      <c r="J118" s="210">
        <v>0</v>
      </c>
      <c r="K118" s="210">
        <v>0</v>
      </c>
      <c r="L118" s="210">
        <v>7256635.0799999991</v>
      </c>
      <c r="M118" s="144">
        <f t="shared" si="9"/>
        <v>3628317.6900000004</v>
      </c>
      <c r="N118" s="210">
        <v>11535525.039999999</v>
      </c>
      <c r="O118" s="210">
        <v>0</v>
      </c>
      <c r="P118" s="210">
        <v>542896.30999999994</v>
      </c>
      <c r="Q118" s="210">
        <v>8078872.2800000003</v>
      </c>
      <c r="R118" s="210">
        <v>0</v>
      </c>
      <c r="S118" s="144">
        <f t="shared" si="7"/>
        <v>3999549.0699999994</v>
      </c>
      <c r="T118" s="145">
        <v>3999549.07</v>
      </c>
      <c r="U118" s="145">
        <v>0</v>
      </c>
    </row>
    <row r="119" spans="1:21">
      <c r="A119" s="74">
        <f t="shared" si="8"/>
        <v>109</v>
      </c>
      <c r="B119" s="75">
        <v>64058</v>
      </c>
      <c r="C119" s="209" t="s">
        <v>12</v>
      </c>
      <c r="D119" s="209" t="s">
        <v>16</v>
      </c>
      <c r="E119" s="211">
        <v>8.1196000000000002</v>
      </c>
      <c r="F119" s="208">
        <v>45232</v>
      </c>
      <c r="G119" s="208">
        <v>46692</v>
      </c>
      <c r="H119" s="77"/>
      <c r="I119" s="210">
        <v>457405.69</v>
      </c>
      <c r="J119" s="210">
        <v>0</v>
      </c>
      <c r="K119" s="210">
        <v>-17023.5</v>
      </c>
      <c r="L119" s="210">
        <v>179826.40000000002</v>
      </c>
      <c r="M119" s="144">
        <f t="shared" si="9"/>
        <v>294602.78999999998</v>
      </c>
      <c r="N119" s="210">
        <v>478166.14</v>
      </c>
      <c r="O119" s="210">
        <v>0</v>
      </c>
      <c r="P119" s="210">
        <v>31543.300000000007</v>
      </c>
      <c r="Q119" s="210">
        <v>204865.47999999998</v>
      </c>
      <c r="R119" s="210">
        <v>-17023.5</v>
      </c>
      <c r="S119" s="144">
        <f t="shared" si="7"/>
        <v>321867.46000000002</v>
      </c>
      <c r="T119" s="145">
        <v>187889.7</v>
      </c>
      <c r="U119" s="145">
        <v>133977.76</v>
      </c>
    </row>
    <row r="120" spans="1:21">
      <c r="A120" s="74">
        <f t="shared" si="8"/>
        <v>110</v>
      </c>
      <c r="B120" s="75">
        <v>64059</v>
      </c>
      <c r="C120" s="209" t="s">
        <v>12</v>
      </c>
      <c r="D120" s="209" t="s">
        <v>16</v>
      </c>
      <c r="E120" s="211">
        <v>8.1196000000000002</v>
      </c>
      <c r="F120" s="208">
        <v>45232</v>
      </c>
      <c r="G120" s="208">
        <v>46692</v>
      </c>
      <c r="H120" s="77"/>
      <c r="I120" s="210">
        <v>983547.86</v>
      </c>
      <c r="J120" s="210">
        <v>0</v>
      </c>
      <c r="K120" s="210">
        <v>-79153.759999999995</v>
      </c>
      <c r="L120" s="210">
        <v>394065.2</v>
      </c>
      <c r="M120" s="144">
        <f t="shared" si="9"/>
        <v>668636.41999999993</v>
      </c>
      <c r="N120" s="210">
        <v>1026234.1</v>
      </c>
      <c r="O120" s="210">
        <v>0</v>
      </c>
      <c r="P120" s="210">
        <v>68732.450000000012</v>
      </c>
      <c r="Q120" s="210">
        <v>447347.11999999994</v>
      </c>
      <c r="R120" s="210">
        <v>-79153.759999999995</v>
      </c>
      <c r="S120" s="144">
        <f t="shared" si="7"/>
        <v>726773.19000000018</v>
      </c>
      <c r="T120" s="145">
        <v>424252.86</v>
      </c>
      <c r="U120" s="145">
        <v>302520.33</v>
      </c>
    </row>
    <row r="121" spans="1:21">
      <c r="A121" s="74">
        <f t="shared" si="8"/>
        <v>111</v>
      </c>
      <c r="B121" s="75">
        <v>64303</v>
      </c>
      <c r="C121" s="209" t="s">
        <v>12</v>
      </c>
      <c r="D121" s="209" t="s">
        <v>16</v>
      </c>
      <c r="E121" s="211">
        <v>7.2420999999999998</v>
      </c>
      <c r="F121" s="208">
        <v>45270</v>
      </c>
      <c r="G121" s="208">
        <v>46730</v>
      </c>
      <c r="H121" s="77"/>
      <c r="I121" s="210">
        <v>848872.31</v>
      </c>
      <c r="J121" s="210">
        <v>0</v>
      </c>
      <c r="K121" s="210">
        <v>-30300.37</v>
      </c>
      <c r="L121" s="210">
        <v>320454.71999999997</v>
      </c>
      <c r="M121" s="144">
        <f t="shared" si="9"/>
        <v>558717.96000000008</v>
      </c>
      <c r="N121" s="210">
        <v>876108.24</v>
      </c>
      <c r="O121" s="210">
        <v>0</v>
      </c>
      <c r="P121" s="210">
        <v>51881.100000000006</v>
      </c>
      <c r="Q121" s="210">
        <v>360842.95999999996</v>
      </c>
      <c r="R121" s="210">
        <v>-30300.37</v>
      </c>
      <c r="S121" s="144">
        <f t="shared" si="7"/>
        <v>597446.75</v>
      </c>
      <c r="T121" s="145">
        <v>332129.58</v>
      </c>
      <c r="U121" s="145">
        <v>265317.17</v>
      </c>
    </row>
    <row r="122" spans="1:21">
      <c r="A122" s="74">
        <f t="shared" si="8"/>
        <v>112</v>
      </c>
      <c r="B122" s="75">
        <v>64304</v>
      </c>
      <c r="C122" s="209" t="s">
        <v>12</v>
      </c>
      <c r="D122" s="209" t="s">
        <v>16</v>
      </c>
      <c r="E122" s="211">
        <v>7.2422000000000004</v>
      </c>
      <c r="F122" s="208">
        <v>45261</v>
      </c>
      <c r="G122" s="208">
        <v>46721</v>
      </c>
      <c r="H122" s="77"/>
      <c r="I122" s="210">
        <v>950151.55</v>
      </c>
      <c r="J122" s="210">
        <v>0</v>
      </c>
      <c r="K122" s="210">
        <v>-44711.199999999997</v>
      </c>
      <c r="L122" s="210">
        <v>363758.72000000003</v>
      </c>
      <c r="M122" s="144">
        <f t="shared" si="9"/>
        <v>631104.03</v>
      </c>
      <c r="N122" s="210">
        <v>986640.73</v>
      </c>
      <c r="O122" s="210">
        <v>0</v>
      </c>
      <c r="P122" s="210">
        <v>58576.909999999989</v>
      </c>
      <c r="Q122" s="210">
        <v>413510.0799999999</v>
      </c>
      <c r="R122" s="210">
        <v>-44711.199999999997</v>
      </c>
      <c r="S122" s="144">
        <f t="shared" si="7"/>
        <v>676418.76</v>
      </c>
      <c r="T122" s="145">
        <v>396046.83</v>
      </c>
      <c r="U122" s="145">
        <v>280371.93</v>
      </c>
    </row>
    <row r="123" spans="1:21">
      <c r="A123" s="74">
        <f t="shared" si="8"/>
        <v>113</v>
      </c>
      <c r="B123" s="75">
        <v>64638</v>
      </c>
      <c r="C123" s="209" t="s">
        <v>12</v>
      </c>
      <c r="D123" s="209" t="s">
        <v>16</v>
      </c>
      <c r="E123" s="211">
        <v>7.6436000000000002</v>
      </c>
      <c r="F123" s="208">
        <v>45304</v>
      </c>
      <c r="G123" s="208">
        <v>46764</v>
      </c>
      <c r="H123" s="77"/>
      <c r="I123" s="210">
        <v>982984.26</v>
      </c>
      <c r="J123" s="210">
        <v>0</v>
      </c>
      <c r="K123" s="210">
        <v>-34215.47</v>
      </c>
      <c r="L123" s="210">
        <v>358695.48</v>
      </c>
      <c r="M123" s="144">
        <f t="shared" si="9"/>
        <v>658504.25</v>
      </c>
      <c r="N123" s="210">
        <v>1016899.41</v>
      </c>
      <c r="O123" s="210">
        <v>0</v>
      </c>
      <c r="P123" s="210">
        <v>64058.139999999992</v>
      </c>
      <c r="Q123" s="210">
        <v>409434.91999999993</v>
      </c>
      <c r="R123" s="210">
        <v>-34215.47</v>
      </c>
      <c r="S123" s="144">
        <f t="shared" si="7"/>
        <v>705738.10000000009</v>
      </c>
      <c r="T123" s="145">
        <v>372706.04</v>
      </c>
      <c r="U123" s="145">
        <v>333032.06</v>
      </c>
    </row>
    <row r="124" spans="1:21">
      <c r="A124" s="74">
        <f t="shared" si="8"/>
        <v>114</v>
      </c>
      <c r="B124" s="75">
        <v>64651</v>
      </c>
      <c r="C124" s="209" t="s">
        <v>12</v>
      </c>
      <c r="D124" s="209" t="s">
        <v>16</v>
      </c>
      <c r="E124" s="211">
        <v>7.4688999999999997</v>
      </c>
      <c r="F124" s="208">
        <v>45367</v>
      </c>
      <c r="G124" s="208">
        <v>46461</v>
      </c>
      <c r="H124" s="77"/>
      <c r="I124" s="210">
        <v>921061.79</v>
      </c>
      <c r="J124" s="210">
        <v>0</v>
      </c>
      <c r="K124" s="210">
        <v>-54596.69</v>
      </c>
      <c r="L124" s="210">
        <v>484756.60000000003</v>
      </c>
      <c r="M124" s="144">
        <f t="shared" si="9"/>
        <v>490901.87999999995</v>
      </c>
      <c r="N124" s="210">
        <v>938055.4</v>
      </c>
      <c r="O124" s="210">
        <v>0</v>
      </c>
      <c r="P124" s="210">
        <v>52150.52</v>
      </c>
      <c r="Q124" s="210">
        <v>527433.76</v>
      </c>
      <c r="R124" s="210">
        <v>-54596.69</v>
      </c>
      <c r="S124" s="144">
        <f t="shared" si="7"/>
        <v>517368.85000000003</v>
      </c>
      <c r="T124" s="145">
        <v>517368.85</v>
      </c>
      <c r="U124" s="145">
        <v>0</v>
      </c>
    </row>
    <row r="125" spans="1:21">
      <c r="A125" s="74">
        <f t="shared" si="8"/>
        <v>115</v>
      </c>
      <c r="B125" s="75">
        <v>64715</v>
      </c>
      <c r="C125" s="209" t="s">
        <v>12</v>
      </c>
      <c r="D125" s="209" t="s">
        <v>16</v>
      </c>
      <c r="E125" s="211">
        <v>7.6436000000000002</v>
      </c>
      <c r="F125" s="208">
        <v>45385</v>
      </c>
      <c r="G125" s="208">
        <v>46845</v>
      </c>
      <c r="H125" s="77"/>
      <c r="I125" s="210">
        <v>922306.81</v>
      </c>
      <c r="J125" s="210">
        <v>0</v>
      </c>
      <c r="K125" s="210">
        <v>-73308.94</v>
      </c>
      <c r="L125" s="210">
        <v>317315.15999999997</v>
      </c>
      <c r="M125" s="144">
        <f t="shared" si="9"/>
        <v>678300.59000000008</v>
      </c>
      <c r="N125" s="210">
        <v>954734.61</v>
      </c>
      <c r="O125" s="210">
        <v>0</v>
      </c>
      <c r="P125" s="210">
        <v>62314.889999999992</v>
      </c>
      <c r="Q125" s="210">
        <v>362183.04000000004</v>
      </c>
      <c r="R125" s="210">
        <v>-73308.94</v>
      </c>
      <c r="S125" s="144">
        <f t="shared" si="7"/>
        <v>728175.39999999991</v>
      </c>
      <c r="T125" s="145">
        <v>335121.58</v>
      </c>
      <c r="U125" s="145">
        <v>393053.82</v>
      </c>
    </row>
    <row r="126" spans="1:21">
      <c r="A126" s="74">
        <f t="shared" si="8"/>
        <v>116</v>
      </c>
      <c r="B126" s="75">
        <v>64717</v>
      </c>
      <c r="C126" s="209" t="s">
        <v>12</v>
      </c>
      <c r="D126" s="209" t="s">
        <v>16</v>
      </c>
      <c r="E126" s="211">
        <v>7.6436000000000002</v>
      </c>
      <c r="F126" s="208">
        <v>45385</v>
      </c>
      <c r="G126" s="208">
        <v>46845</v>
      </c>
      <c r="H126" s="77"/>
      <c r="I126" s="210">
        <v>953291.17</v>
      </c>
      <c r="J126" s="210">
        <v>0</v>
      </c>
      <c r="K126" s="210">
        <v>-75261.62</v>
      </c>
      <c r="L126" s="210">
        <v>327902.44</v>
      </c>
      <c r="M126" s="144">
        <f t="shared" si="9"/>
        <v>700650.35000000009</v>
      </c>
      <c r="N126" s="210">
        <v>986808.31999999995</v>
      </c>
      <c r="O126" s="210">
        <v>0</v>
      </c>
      <c r="P126" s="210">
        <v>64396.42</v>
      </c>
      <c r="Q126" s="210">
        <v>374273.55999999988</v>
      </c>
      <c r="R126" s="210">
        <v>-75261.62</v>
      </c>
      <c r="S126" s="144">
        <f t="shared" si="7"/>
        <v>752192.80000000016</v>
      </c>
      <c r="T126" s="145">
        <v>346174.91</v>
      </c>
      <c r="U126" s="145">
        <v>406017.89</v>
      </c>
    </row>
    <row r="127" spans="1:21">
      <c r="A127" s="74">
        <f t="shared" si="8"/>
        <v>117</v>
      </c>
      <c r="B127" s="75">
        <v>64718</v>
      </c>
      <c r="C127" s="209" t="s">
        <v>12</v>
      </c>
      <c r="D127" s="209" t="s">
        <v>16</v>
      </c>
      <c r="E127" s="211">
        <v>7.6436000000000002</v>
      </c>
      <c r="F127" s="208">
        <v>45385</v>
      </c>
      <c r="G127" s="208">
        <v>46845</v>
      </c>
      <c r="H127" s="77"/>
      <c r="I127" s="210">
        <v>856075.78</v>
      </c>
      <c r="J127" s="210">
        <v>0</v>
      </c>
      <c r="K127" s="210">
        <v>-68057.320000000007</v>
      </c>
      <c r="L127" s="210">
        <v>294530.51999999996</v>
      </c>
      <c r="M127" s="144">
        <f t="shared" si="9"/>
        <v>629602.58000000007</v>
      </c>
      <c r="N127" s="210">
        <v>886174.93</v>
      </c>
      <c r="O127" s="210">
        <v>0</v>
      </c>
      <c r="P127" s="210">
        <v>57840.34</v>
      </c>
      <c r="Q127" s="210">
        <v>336176.52</v>
      </c>
      <c r="R127" s="210">
        <v>-68057.320000000007</v>
      </c>
      <c r="S127" s="144">
        <f t="shared" si="7"/>
        <v>675896.07000000007</v>
      </c>
      <c r="T127" s="145">
        <v>311061.57</v>
      </c>
      <c r="U127" s="145">
        <v>364834.5</v>
      </c>
    </row>
    <row r="128" spans="1:21">
      <c r="A128" s="74">
        <f t="shared" si="8"/>
        <v>118</v>
      </c>
      <c r="B128" s="75">
        <v>64727</v>
      </c>
      <c r="C128" s="209" t="s">
        <v>12</v>
      </c>
      <c r="D128" s="209" t="s">
        <v>16</v>
      </c>
      <c r="E128" s="211">
        <v>7.6436000000000002</v>
      </c>
      <c r="F128" s="208">
        <v>45427</v>
      </c>
      <c r="G128" s="208">
        <v>46887</v>
      </c>
      <c r="H128" s="77"/>
      <c r="I128" s="210">
        <v>1119928.08</v>
      </c>
      <c r="J128" s="210">
        <v>0</v>
      </c>
      <c r="K128" s="210">
        <v>-83025.94</v>
      </c>
      <c r="L128" s="210">
        <v>370116.28</v>
      </c>
      <c r="M128" s="144">
        <f t="shared" si="9"/>
        <v>832837.74</v>
      </c>
      <c r="N128" s="210">
        <v>1143948.6499999999</v>
      </c>
      <c r="O128" s="210">
        <v>0</v>
      </c>
      <c r="P128" s="210">
        <v>74987.890000000014</v>
      </c>
      <c r="Q128" s="210">
        <v>422897.59999999992</v>
      </c>
      <c r="R128" s="210">
        <v>-83025.94</v>
      </c>
      <c r="S128" s="144">
        <f t="shared" si="7"/>
        <v>879064.88000000012</v>
      </c>
      <c r="T128" s="145">
        <v>387737.71</v>
      </c>
      <c r="U128" s="145">
        <v>491327.17</v>
      </c>
    </row>
    <row r="129" spans="1:21">
      <c r="A129" s="74">
        <f t="shared" si="8"/>
        <v>119</v>
      </c>
      <c r="B129" s="75">
        <v>64728</v>
      </c>
      <c r="C129" s="209" t="s">
        <v>12</v>
      </c>
      <c r="D129" s="209" t="s">
        <v>16</v>
      </c>
      <c r="E129" s="211">
        <v>7.6436000000000002</v>
      </c>
      <c r="F129" s="208">
        <v>45443</v>
      </c>
      <c r="G129" s="208">
        <v>46902</v>
      </c>
      <c r="H129" s="77"/>
      <c r="I129" s="210">
        <v>1480445.29</v>
      </c>
      <c r="J129" s="210">
        <v>0</v>
      </c>
      <c r="K129" s="210">
        <v>-109736.72</v>
      </c>
      <c r="L129" s="210">
        <v>482967.19999999995</v>
      </c>
      <c r="M129" s="144">
        <f t="shared" si="9"/>
        <v>1107214.81</v>
      </c>
      <c r="N129" s="210">
        <v>1491906.72</v>
      </c>
      <c r="O129" s="210">
        <v>0</v>
      </c>
      <c r="P129" s="210">
        <v>97831.23000000001</v>
      </c>
      <c r="Q129" s="210">
        <v>551744.15999999992</v>
      </c>
      <c r="R129" s="210">
        <v>-109736.72</v>
      </c>
      <c r="S129" s="144">
        <f t="shared" si="7"/>
        <v>1147730.51</v>
      </c>
      <c r="T129" s="145">
        <v>506240.68</v>
      </c>
      <c r="U129" s="145">
        <v>641489.82999999996</v>
      </c>
    </row>
    <row r="130" spans="1:21">
      <c r="A130" s="74">
        <f t="shared" si="8"/>
        <v>120</v>
      </c>
      <c r="B130" s="75">
        <v>64730</v>
      </c>
      <c r="C130" s="209" t="s">
        <v>12</v>
      </c>
      <c r="D130" s="209" t="s">
        <v>16</v>
      </c>
      <c r="E130" s="211">
        <v>7.4688999999999997</v>
      </c>
      <c r="F130" s="208">
        <v>45429</v>
      </c>
      <c r="G130" s="208">
        <v>46523</v>
      </c>
      <c r="H130" s="77"/>
      <c r="I130" s="210">
        <v>613062</v>
      </c>
      <c r="J130" s="210">
        <v>0</v>
      </c>
      <c r="K130" s="210">
        <v>-27351.57</v>
      </c>
      <c r="L130" s="210">
        <v>294563.44000000006</v>
      </c>
      <c r="M130" s="144">
        <f t="shared" si="9"/>
        <v>345850.12999999989</v>
      </c>
      <c r="N130" s="210">
        <v>620845.23</v>
      </c>
      <c r="O130" s="210">
        <v>0</v>
      </c>
      <c r="P130" s="210">
        <v>35390.29</v>
      </c>
      <c r="Q130" s="210">
        <v>321493.03999999998</v>
      </c>
      <c r="R130" s="210">
        <v>-27351.57</v>
      </c>
      <c r="S130" s="144">
        <f t="shared" si="7"/>
        <v>362094.05000000005</v>
      </c>
      <c r="T130" s="145">
        <v>308420.8</v>
      </c>
      <c r="U130" s="145">
        <v>53673.25</v>
      </c>
    </row>
    <row r="131" spans="1:21">
      <c r="A131" s="74">
        <f t="shared" si="8"/>
        <v>121</v>
      </c>
      <c r="B131" s="75">
        <v>64732</v>
      </c>
      <c r="C131" s="209" t="s">
        <v>12</v>
      </c>
      <c r="D131" s="209" t="s">
        <v>16</v>
      </c>
      <c r="E131" s="211">
        <v>7.6436000000000002</v>
      </c>
      <c r="F131" s="208">
        <v>45436</v>
      </c>
      <c r="G131" s="208">
        <v>46896</v>
      </c>
      <c r="H131" s="77"/>
      <c r="I131" s="210">
        <v>1072892.45</v>
      </c>
      <c r="J131" s="210">
        <v>0</v>
      </c>
      <c r="K131" s="210">
        <v>-32851.550000000003</v>
      </c>
      <c r="L131" s="210">
        <v>345542.96</v>
      </c>
      <c r="M131" s="144">
        <f t="shared" si="9"/>
        <v>760201.04</v>
      </c>
      <c r="N131" s="210">
        <v>1087474.08</v>
      </c>
      <c r="O131" s="210">
        <v>0</v>
      </c>
      <c r="P131" s="210">
        <v>70208.469999999987</v>
      </c>
      <c r="Q131" s="210">
        <v>395294.24000000005</v>
      </c>
      <c r="R131" s="210">
        <v>-32851.550000000003</v>
      </c>
      <c r="S131" s="144">
        <f t="shared" si="7"/>
        <v>795239.8600000001</v>
      </c>
      <c r="T131" s="145">
        <v>350764.19</v>
      </c>
      <c r="U131" s="145">
        <v>444475.67</v>
      </c>
    </row>
    <row r="132" spans="1:21">
      <c r="A132" s="74">
        <f t="shared" si="8"/>
        <v>122</v>
      </c>
      <c r="B132" s="75">
        <v>64734</v>
      </c>
      <c r="C132" s="209" t="s">
        <v>12</v>
      </c>
      <c r="D132" s="209" t="s">
        <v>16</v>
      </c>
      <c r="E132" s="211">
        <v>7.6436000000000002</v>
      </c>
      <c r="F132" s="208">
        <v>45435</v>
      </c>
      <c r="G132" s="208">
        <v>46895</v>
      </c>
      <c r="H132" s="77"/>
      <c r="I132" s="210">
        <v>1452343.56</v>
      </c>
      <c r="J132" s="210">
        <v>0</v>
      </c>
      <c r="K132" s="210">
        <v>-109629.4</v>
      </c>
      <c r="L132" s="210">
        <v>476925.91999999993</v>
      </c>
      <c r="M132" s="144">
        <f t="shared" si="9"/>
        <v>1085047.04</v>
      </c>
      <c r="N132" s="210">
        <v>1473341.65</v>
      </c>
      <c r="O132" s="210">
        <v>0</v>
      </c>
      <c r="P132" s="210">
        <v>96643.26</v>
      </c>
      <c r="Q132" s="210">
        <v>545062</v>
      </c>
      <c r="R132" s="210">
        <v>-109629.4</v>
      </c>
      <c r="S132" s="144">
        <f t="shared" si="7"/>
        <v>1134552.3099999998</v>
      </c>
      <c r="T132" s="145">
        <v>500428.05</v>
      </c>
      <c r="U132" s="145">
        <v>634124.26</v>
      </c>
    </row>
    <row r="133" spans="1:21">
      <c r="A133" s="74">
        <f t="shared" si="8"/>
        <v>123</v>
      </c>
      <c r="B133" s="75">
        <v>64736</v>
      </c>
      <c r="C133" s="209" t="s">
        <v>12</v>
      </c>
      <c r="D133" s="209" t="s">
        <v>16</v>
      </c>
      <c r="E133" s="211">
        <v>7.6436000000000002</v>
      </c>
      <c r="F133" s="208">
        <v>45435</v>
      </c>
      <c r="G133" s="208">
        <v>46895</v>
      </c>
      <c r="H133" s="77"/>
      <c r="I133" s="210">
        <v>1116995.19</v>
      </c>
      <c r="J133" s="210">
        <v>0</v>
      </c>
      <c r="K133" s="210">
        <v>-82970.740000000005</v>
      </c>
      <c r="L133" s="210">
        <v>366621.87999999995</v>
      </c>
      <c r="M133" s="144">
        <f t="shared" si="9"/>
        <v>833344.05</v>
      </c>
      <c r="N133" s="210">
        <v>1133144.78</v>
      </c>
      <c r="O133" s="210">
        <v>0</v>
      </c>
      <c r="P133" s="210">
        <v>74296.72</v>
      </c>
      <c r="Q133" s="210">
        <v>419010</v>
      </c>
      <c r="R133" s="210">
        <v>-82970.740000000005</v>
      </c>
      <c r="S133" s="144">
        <f t="shared" si="7"/>
        <v>871402.24</v>
      </c>
      <c r="T133" s="145">
        <v>384357.88</v>
      </c>
      <c r="U133" s="145">
        <v>487044.36</v>
      </c>
    </row>
    <row r="134" spans="1:21">
      <c r="A134" s="74">
        <f t="shared" si="8"/>
        <v>124</v>
      </c>
      <c r="B134" s="75">
        <v>64737</v>
      </c>
      <c r="C134" s="209" t="s">
        <v>12</v>
      </c>
      <c r="D134" s="209" t="s">
        <v>16</v>
      </c>
      <c r="E134" s="211">
        <v>7.6436000000000002</v>
      </c>
      <c r="F134" s="208">
        <v>45427</v>
      </c>
      <c r="G134" s="208">
        <v>46887</v>
      </c>
      <c r="H134" s="77"/>
      <c r="I134" s="210">
        <v>1448203.49</v>
      </c>
      <c r="J134" s="210">
        <v>0</v>
      </c>
      <c r="K134" s="210">
        <v>-107873.33</v>
      </c>
      <c r="L134" s="210">
        <v>478674.76000000007</v>
      </c>
      <c r="M134" s="144">
        <f t="shared" si="9"/>
        <v>1077402.06</v>
      </c>
      <c r="N134" s="210">
        <v>1479264.91</v>
      </c>
      <c r="O134" s="210">
        <v>0</v>
      </c>
      <c r="P134" s="210">
        <v>96980.409999999989</v>
      </c>
      <c r="Q134" s="210">
        <v>546932.64000000013</v>
      </c>
      <c r="R134" s="210">
        <v>-107873.33</v>
      </c>
      <c r="S134" s="144">
        <f t="shared" si="7"/>
        <v>1137186.0099999998</v>
      </c>
      <c r="T134" s="145">
        <v>501589.74</v>
      </c>
      <c r="U134" s="145">
        <v>635596.27</v>
      </c>
    </row>
    <row r="135" spans="1:21">
      <c r="A135" s="74">
        <f t="shared" si="8"/>
        <v>125</v>
      </c>
      <c r="B135" s="75">
        <v>64738</v>
      </c>
      <c r="C135" s="209" t="s">
        <v>12</v>
      </c>
      <c r="D135" s="209" t="s">
        <v>16</v>
      </c>
      <c r="E135" s="211">
        <v>7.8133999999999997</v>
      </c>
      <c r="F135" s="208">
        <v>45429</v>
      </c>
      <c r="G135" s="208">
        <v>47254</v>
      </c>
      <c r="H135" s="77"/>
      <c r="I135" s="210">
        <v>677631.99</v>
      </c>
      <c r="J135" s="210">
        <v>0</v>
      </c>
      <c r="K135" s="210">
        <v>-16145.8</v>
      </c>
      <c r="L135" s="210">
        <v>165776.56000000003</v>
      </c>
      <c r="M135" s="144">
        <f t="shared" si="9"/>
        <v>528001.23</v>
      </c>
      <c r="N135" s="210">
        <v>693479.51</v>
      </c>
      <c r="O135" s="210">
        <v>0</v>
      </c>
      <c r="P135" s="210">
        <v>48018.96</v>
      </c>
      <c r="Q135" s="210">
        <v>198005.24</v>
      </c>
      <c r="R135" s="210">
        <v>-16145.8</v>
      </c>
      <c r="S135" s="144">
        <f t="shared" si="7"/>
        <v>559639.03</v>
      </c>
      <c r="T135" s="145">
        <v>162059.15</v>
      </c>
      <c r="U135" s="145">
        <v>397579.88</v>
      </c>
    </row>
    <row r="136" spans="1:21">
      <c r="A136" s="74">
        <f t="shared" si="8"/>
        <v>126</v>
      </c>
      <c r="B136" s="75">
        <v>64740</v>
      </c>
      <c r="C136" s="209" t="s">
        <v>12</v>
      </c>
      <c r="D136" s="209" t="s">
        <v>16</v>
      </c>
      <c r="E136" s="211">
        <v>7.6436000000000002</v>
      </c>
      <c r="F136" s="208">
        <v>45442</v>
      </c>
      <c r="G136" s="208">
        <v>46902</v>
      </c>
      <c r="H136" s="77"/>
      <c r="I136" s="210">
        <v>1052090.46</v>
      </c>
      <c r="J136" s="210">
        <v>0</v>
      </c>
      <c r="K136" s="210">
        <v>-78790.429999999993</v>
      </c>
      <c r="L136" s="210">
        <v>343332.16</v>
      </c>
      <c r="M136" s="144">
        <f t="shared" si="9"/>
        <v>787548.73</v>
      </c>
      <c r="N136" s="210">
        <v>1060948.68</v>
      </c>
      <c r="O136" s="210">
        <v>0</v>
      </c>
      <c r="P136" s="210">
        <v>69588.91</v>
      </c>
      <c r="Q136" s="210">
        <v>392475.04</v>
      </c>
      <c r="R136" s="210">
        <v>-78790.429999999993</v>
      </c>
      <c r="S136" s="144">
        <f t="shared" si="7"/>
        <v>816852.97999999975</v>
      </c>
      <c r="T136" s="145">
        <v>360297.32</v>
      </c>
      <c r="U136" s="145">
        <v>456555.66</v>
      </c>
    </row>
    <row r="137" spans="1:21">
      <c r="A137" s="74">
        <f t="shared" si="8"/>
        <v>127</v>
      </c>
      <c r="B137" s="75">
        <v>64741</v>
      </c>
      <c r="C137" s="209" t="s">
        <v>12</v>
      </c>
      <c r="D137" s="209" t="s">
        <v>16</v>
      </c>
      <c r="E137" s="211">
        <v>7.4688999999999997</v>
      </c>
      <c r="F137" s="208">
        <v>45422</v>
      </c>
      <c r="G137" s="208">
        <v>46516</v>
      </c>
      <c r="H137" s="77"/>
      <c r="I137" s="210">
        <v>590666.68000000005</v>
      </c>
      <c r="J137" s="210">
        <v>0</v>
      </c>
      <c r="K137" s="210">
        <v>-26573.81</v>
      </c>
      <c r="L137" s="210">
        <v>286412.95999999996</v>
      </c>
      <c r="M137" s="144">
        <f t="shared" si="9"/>
        <v>330827.53000000014</v>
      </c>
      <c r="N137" s="210">
        <v>603506.30000000005</v>
      </c>
      <c r="O137" s="210">
        <v>0</v>
      </c>
      <c r="P137" s="210">
        <v>34401.619999999995</v>
      </c>
      <c r="Q137" s="210">
        <v>312511.15999999997</v>
      </c>
      <c r="R137" s="210">
        <v>-26573.81</v>
      </c>
      <c r="S137" s="144">
        <f t="shared" si="7"/>
        <v>351970.57000000007</v>
      </c>
      <c r="T137" s="145">
        <v>299797.93</v>
      </c>
      <c r="U137" s="145">
        <v>52172.639999999999</v>
      </c>
    </row>
    <row r="138" spans="1:21">
      <c r="A138" s="74">
        <f t="shared" si="8"/>
        <v>128</v>
      </c>
      <c r="B138" s="75">
        <v>64744</v>
      </c>
      <c r="C138" s="209" t="s">
        <v>12</v>
      </c>
      <c r="D138" s="209" t="s">
        <v>16</v>
      </c>
      <c r="E138" s="211">
        <v>7.8133999999999997</v>
      </c>
      <c r="F138" s="208">
        <v>45436</v>
      </c>
      <c r="G138" s="208">
        <v>47261</v>
      </c>
      <c r="H138" s="77"/>
      <c r="I138" s="210">
        <v>1744288.76</v>
      </c>
      <c r="J138" s="210">
        <v>0</v>
      </c>
      <c r="K138" s="210">
        <v>-136336.59</v>
      </c>
      <c r="L138" s="210">
        <v>433865.92</v>
      </c>
      <c r="M138" s="144">
        <f t="shared" si="9"/>
        <v>1446759.4300000002</v>
      </c>
      <c r="N138" s="210">
        <v>1776978.27</v>
      </c>
      <c r="O138" s="210">
        <v>0</v>
      </c>
      <c r="P138" s="210">
        <v>125373.1</v>
      </c>
      <c r="Q138" s="210">
        <v>517669.79999999993</v>
      </c>
      <c r="R138" s="210">
        <v>-136336.59</v>
      </c>
      <c r="S138" s="144">
        <f t="shared" si="7"/>
        <v>1521018.1600000004</v>
      </c>
      <c r="T138" s="145">
        <v>440453.41</v>
      </c>
      <c r="U138" s="145">
        <v>1080564.75</v>
      </c>
    </row>
    <row r="139" spans="1:21">
      <c r="A139" s="74">
        <f t="shared" si="8"/>
        <v>129</v>
      </c>
      <c r="B139" s="75">
        <v>64746</v>
      </c>
      <c r="C139" s="209" t="s">
        <v>12</v>
      </c>
      <c r="D139" s="209" t="s">
        <v>16</v>
      </c>
      <c r="E139" s="211">
        <v>7.6436000000000002</v>
      </c>
      <c r="F139" s="208">
        <v>45432</v>
      </c>
      <c r="G139" s="208">
        <v>46892</v>
      </c>
      <c r="H139" s="77"/>
      <c r="I139" s="210">
        <v>726988.28</v>
      </c>
      <c r="J139" s="210">
        <v>0</v>
      </c>
      <c r="K139" s="210">
        <v>-22492.21</v>
      </c>
      <c r="L139" s="210">
        <v>234976.08000000005</v>
      </c>
      <c r="M139" s="144">
        <f t="shared" si="9"/>
        <v>514504.40999999992</v>
      </c>
      <c r="N139" s="210">
        <v>739396.61</v>
      </c>
      <c r="O139" s="210">
        <v>0</v>
      </c>
      <c r="P139" s="210">
        <v>47739.850000000006</v>
      </c>
      <c r="Q139" s="210">
        <v>268791.63999999996</v>
      </c>
      <c r="R139" s="210">
        <v>-22492.21</v>
      </c>
      <c r="S139" s="144">
        <f t="shared" si="7"/>
        <v>540837.03</v>
      </c>
      <c r="T139" s="145">
        <v>238552.26</v>
      </c>
      <c r="U139" s="145">
        <v>302284.77</v>
      </c>
    </row>
    <row r="140" spans="1:21">
      <c r="A140" s="74">
        <f t="shared" si="8"/>
        <v>130</v>
      </c>
      <c r="B140" s="75">
        <v>64747</v>
      </c>
      <c r="C140" s="209" t="s">
        <v>12</v>
      </c>
      <c r="D140" s="209" t="s">
        <v>16</v>
      </c>
      <c r="E140" s="211">
        <v>7.8133999999999997</v>
      </c>
      <c r="F140" s="208">
        <v>45436</v>
      </c>
      <c r="G140" s="208">
        <v>47261</v>
      </c>
      <c r="H140" s="77"/>
      <c r="I140" s="210">
        <v>1744288.76</v>
      </c>
      <c r="J140" s="210">
        <v>0</v>
      </c>
      <c r="K140" s="210">
        <v>-136336.59</v>
      </c>
      <c r="L140" s="210">
        <v>433865.92</v>
      </c>
      <c r="M140" s="144">
        <f t="shared" si="9"/>
        <v>1446759.4300000002</v>
      </c>
      <c r="N140" s="210">
        <v>1776978.27</v>
      </c>
      <c r="O140" s="210">
        <v>0</v>
      </c>
      <c r="P140" s="210">
        <v>125373.1</v>
      </c>
      <c r="Q140" s="210">
        <v>517669.79999999993</v>
      </c>
      <c r="R140" s="210">
        <v>-136336.59</v>
      </c>
      <c r="S140" s="144">
        <f t="shared" ref="S140:S203" si="10">N140+O140+P140-Q140-R140</f>
        <v>1521018.1600000004</v>
      </c>
      <c r="T140" s="145">
        <v>440453.41</v>
      </c>
      <c r="U140" s="145">
        <v>1080564.75</v>
      </c>
    </row>
    <row r="141" spans="1:21">
      <c r="A141" s="74">
        <f t="shared" si="8"/>
        <v>131</v>
      </c>
      <c r="B141" s="75">
        <v>64749</v>
      </c>
      <c r="C141" s="209" t="s">
        <v>12</v>
      </c>
      <c r="D141" s="209" t="s">
        <v>16</v>
      </c>
      <c r="E141" s="211">
        <v>7.4688999999999997</v>
      </c>
      <c r="F141" s="208">
        <v>45432</v>
      </c>
      <c r="G141" s="208">
        <v>46526</v>
      </c>
      <c r="H141" s="77"/>
      <c r="I141" s="210">
        <v>598102.17000000004</v>
      </c>
      <c r="J141" s="210">
        <v>0</v>
      </c>
      <c r="K141" s="210">
        <v>-26588.06</v>
      </c>
      <c r="L141" s="210">
        <v>286257.44</v>
      </c>
      <c r="M141" s="144">
        <f t="shared" si="9"/>
        <v>338432.7900000001</v>
      </c>
      <c r="N141" s="210">
        <v>603406.87</v>
      </c>
      <c r="O141" s="210">
        <v>0</v>
      </c>
      <c r="P141" s="210">
        <v>34396.379999999997</v>
      </c>
      <c r="Q141" s="210">
        <v>312464.04000000004</v>
      </c>
      <c r="R141" s="210">
        <v>-26588.06</v>
      </c>
      <c r="S141" s="144">
        <f t="shared" si="10"/>
        <v>351927.26999999996</v>
      </c>
      <c r="T141" s="145">
        <v>299761.05</v>
      </c>
      <c r="U141" s="145">
        <v>52166.22</v>
      </c>
    </row>
    <row r="142" spans="1:21">
      <c r="A142" s="74">
        <f t="shared" si="8"/>
        <v>132</v>
      </c>
      <c r="B142" s="256">
        <v>64753</v>
      </c>
      <c r="C142" s="209" t="s">
        <v>12</v>
      </c>
      <c r="D142" s="209" t="s">
        <v>13</v>
      </c>
      <c r="E142" s="211">
        <v>7.8173000000000004</v>
      </c>
      <c r="F142" s="208">
        <v>45434</v>
      </c>
      <c r="G142" s="208">
        <v>47259</v>
      </c>
      <c r="H142" s="77"/>
      <c r="I142" s="210">
        <v>19027935.260000002</v>
      </c>
      <c r="J142" s="210">
        <v>0</v>
      </c>
      <c r="K142" s="210">
        <v>0</v>
      </c>
      <c r="L142" s="210">
        <v>4596358.3199999994</v>
      </c>
      <c r="M142" s="144">
        <f t="shared" si="9"/>
        <v>14431576.940000001</v>
      </c>
      <c r="N142" s="210">
        <v>19410013.969999999</v>
      </c>
      <c r="O142" s="210">
        <v>0</v>
      </c>
      <c r="P142" s="210">
        <v>1332980.83</v>
      </c>
      <c r="Q142" s="210">
        <v>5531736</v>
      </c>
      <c r="R142" s="210">
        <v>0</v>
      </c>
      <c r="S142" s="144">
        <f t="shared" si="10"/>
        <v>15211258.799999997</v>
      </c>
      <c r="T142" s="145">
        <v>4539003.8099999996</v>
      </c>
      <c r="U142" s="145">
        <v>10672254.99</v>
      </c>
    </row>
    <row r="143" spans="1:21">
      <c r="A143" s="74">
        <f t="shared" si="8"/>
        <v>133</v>
      </c>
      <c r="B143" s="256">
        <v>64754</v>
      </c>
      <c r="C143" s="209" t="s">
        <v>12</v>
      </c>
      <c r="D143" s="209" t="s">
        <v>13</v>
      </c>
      <c r="E143" s="211">
        <v>7.8173000000000004</v>
      </c>
      <c r="F143" s="208">
        <v>45434</v>
      </c>
      <c r="G143" s="208">
        <v>47259</v>
      </c>
      <c r="H143" s="77"/>
      <c r="I143" s="210">
        <v>18680627.890000001</v>
      </c>
      <c r="J143" s="210">
        <v>0</v>
      </c>
      <c r="K143" s="210">
        <v>0</v>
      </c>
      <c r="L143" s="210">
        <v>4512463.3199999994</v>
      </c>
      <c r="M143" s="144">
        <f t="shared" si="9"/>
        <v>14168164.57</v>
      </c>
      <c r="N143" s="210">
        <v>19055732.75</v>
      </c>
      <c r="O143" s="210">
        <v>0</v>
      </c>
      <c r="P143" s="210">
        <v>1308650.5999999999</v>
      </c>
      <c r="Q143" s="210">
        <v>5430768</v>
      </c>
      <c r="R143" s="210">
        <v>0</v>
      </c>
      <c r="S143" s="144">
        <f t="shared" si="10"/>
        <v>14933615.350000001</v>
      </c>
      <c r="T143" s="145">
        <v>4456155.67</v>
      </c>
      <c r="U143" s="145">
        <v>10477459.68</v>
      </c>
    </row>
    <row r="144" spans="1:21">
      <c r="A144" s="74">
        <f t="shared" si="8"/>
        <v>134</v>
      </c>
      <c r="B144" s="75">
        <v>64764</v>
      </c>
      <c r="C144" s="209" t="s">
        <v>12</v>
      </c>
      <c r="D144" s="209" t="s">
        <v>16</v>
      </c>
      <c r="E144" s="211">
        <v>7.8133999999999997</v>
      </c>
      <c r="F144" s="208">
        <v>45470</v>
      </c>
      <c r="G144" s="208">
        <v>47295</v>
      </c>
      <c r="H144" s="77"/>
      <c r="I144" s="210">
        <v>1210532.8799999999</v>
      </c>
      <c r="J144" s="210">
        <v>0</v>
      </c>
      <c r="K144" s="210">
        <v>-27928.02</v>
      </c>
      <c r="L144" s="210">
        <v>288183.92</v>
      </c>
      <c r="M144" s="144">
        <f t="shared" si="9"/>
        <v>950276.98</v>
      </c>
      <c r="N144" s="210">
        <v>1226788.47</v>
      </c>
      <c r="O144" s="210">
        <v>0</v>
      </c>
      <c r="P144" s="210">
        <v>85188.310000000012</v>
      </c>
      <c r="Q144" s="210">
        <v>344314.12000000005</v>
      </c>
      <c r="R144" s="210">
        <v>-27928.02</v>
      </c>
      <c r="S144" s="144">
        <f t="shared" si="10"/>
        <v>995590.67999999993</v>
      </c>
      <c r="T144" s="145">
        <v>279960.95</v>
      </c>
      <c r="U144" s="145">
        <v>715629.73</v>
      </c>
    </row>
    <row r="145" spans="1:21">
      <c r="A145" s="74">
        <f t="shared" si="8"/>
        <v>135</v>
      </c>
      <c r="B145" s="75">
        <v>64766</v>
      </c>
      <c r="C145" s="209" t="s">
        <v>12</v>
      </c>
      <c r="D145" s="209" t="s">
        <v>16</v>
      </c>
      <c r="E145" s="211">
        <v>7.8133999999999997</v>
      </c>
      <c r="F145" s="208">
        <v>45471</v>
      </c>
      <c r="G145" s="208">
        <v>47296</v>
      </c>
      <c r="H145" s="77"/>
      <c r="I145" s="210">
        <v>3272165.91</v>
      </c>
      <c r="J145" s="210">
        <v>0</v>
      </c>
      <c r="K145" s="210">
        <v>-222885.77</v>
      </c>
      <c r="L145" s="210">
        <v>792215.91999999993</v>
      </c>
      <c r="M145" s="144">
        <f t="shared" si="9"/>
        <v>2702835.7600000002</v>
      </c>
      <c r="N145" s="210">
        <v>3313934.31</v>
      </c>
      <c r="O145" s="210">
        <v>0</v>
      </c>
      <c r="P145" s="210">
        <v>233741.02000000002</v>
      </c>
      <c r="Q145" s="210">
        <v>945766.24000000011</v>
      </c>
      <c r="R145" s="210">
        <v>-222885.77</v>
      </c>
      <c r="S145" s="144">
        <f t="shared" si="10"/>
        <v>2824794.86</v>
      </c>
      <c r="T145" s="145">
        <v>794334.74</v>
      </c>
      <c r="U145" s="145">
        <v>2030460.12</v>
      </c>
    </row>
    <row r="146" spans="1:21">
      <c r="A146" s="74">
        <f t="shared" si="8"/>
        <v>136</v>
      </c>
      <c r="B146" s="75">
        <v>64767</v>
      </c>
      <c r="C146" s="209" t="s">
        <v>12</v>
      </c>
      <c r="D146" s="209" t="s">
        <v>16</v>
      </c>
      <c r="E146" s="211">
        <v>7.8133999999999997</v>
      </c>
      <c r="F146" s="208">
        <v>45465</v>
      </c>
      <c r="G146" s="208">
        <v>47290</v>
      </c>
      <c r="H146" s="77"/>
      <c r="I146" s="210">
        <v>1034058.87</v>
      </c>
      <c r="J146" s="210">
        <v>0</v>
      </c>
      <c r="K146" s="210">
        <v>-68669.13</v>
      </c>
      <c r="L146" s="210">
        <v>251180.36</v>
      </c>
      <c r="M146" s="144">
        <f t="shared" si="9"/>
        <v>851547.64</v>
      </c>
      <c r="N146" s="210">
        <v>1051389.57</v>
      </c>
      <c r="O146" s="210">
        <v>0</v>
      </c>
      <c r="P146" s="210">
        <v>74107.240000000005</v>
      </c>
      <c r="Q146" s="210">
        <v>299839.63999999996</v>
      </c>
      <c r="R146" s="210">
        <v>-68669.13</v>
      </c>
      <c r="S146" s="144">
        <f t="shared" si="10"/>
        <v>894326.30000000016</v>
      </c>
      <c r="T146" s="145">
        <v>251485.32</v>
      </c>
      <c r="U146" s="145">
        <v>642840.98</v>
      </c>
    </row>
    <row r="147" spans="1:21">
      <c r="A147" s="74">
        <f t="shared" si="8"/>
        <v>137</v>
      </c>
      <c r="B147" s="75">
        <v>64769</v>
      </c>
      <c r="C147" s="209" t="s">
        <v>12</v>
      </c>
      <c r="D147" s="209" t="s">
        <v>16</v>
      </c>
      <c r="E147" s="211">
        <v>7.6436000000000002</v>
      </c>
      <c r="F147" s="208">
        <v>45463</v>
      </c>
      <c r="G147" s="208">
        <v>46923</v>
      </c>
      <c r="H147" s="77"/>
      <c r="I147" s="210">
        <v>1128383.1599999999</v>
      </c>
      <c r="J147" s="210">
        <v>0</v>
      </c>
      <c r="K147" s="210">
        <v>-84542.04</v>
      </c>
      <c r="L147" s="210">
        <v>361529.24</v>
      </c>
      <c r="M147" s="144">
        <f t="shared" si="9"/>
        <v>851395.96</v>
      </c>
      <c r="N147" s="210">
        <v>1144034.3999999999</v>
      </c>
      <c r="O147" s="210">
        <v>0</v>
      </c>
      <c r="P147" s="210">
        <v>75441.299999999988</v>
      </c>
      <c r="Q147" s="210">
        <v>413344.27999999991</v>
      </c>
      <c r="R147" s="210">
        <v>-84542.04</v>
      </c>
      <c r="S147" s="144">
        <f t="shared" si="10"/>
        <v>890673.46000000008</v>
      </c>
      <c r="T147" s="145">
        <v>377075.07</v>
      </c>
      <c r="U147" s="145">
        <v>513598.39</v>
      </c>
    </row>
    <row r="148" spans="1:21">
      <c r="A148" s="74">
        <f t="shared" si="8"/>
        <v>138</v>
      </c>
      <c r="B148" s="75">
        <v>64770</v>
      </c>
      <c r="C148" s="209" t="s">
        <v>12</v>
      </c>
      <c r="D148" s="209" t="s">
        <v>16</v>
      </c>
      <c r="E148" s="211">
        <v>7.4688999999999997</v>
      </c>
      <c r="F148" s="208">
        <v>45453</v>
      </c>
      <c r="G148" s="208">
        <v>46547</v>
      </c>
      <c r="H148" s="77"/>
      <c r="I148" s="210">
        <v>1115602.45</v>
      </c>
      <c r="J148" s="210">
        <v>0</v>
      </c>
      <c r="K148" s="210">
        <v>-99654.37</v>
      </c>
      <c r="L148" s="210">
        <v>530802.56000000006</v>
      </c>
      <c r="M148" s="144">
        <f t="shared" si="9"/>
        <v>684454.25999999978</v>
      </c>
      <c r="N148" s="210">
        <v>1136498.72</v>
      </c>
      <c r="O148" s="210">
        <v>0</v>
      </c>
      <c r="P148" s="210">
        <v>66716.420000000013</v>
      </c>
      <c r="Q148" s="210">
        <v>579010.08000000007</v>
      </c>
      <c r="R148" s="210">
        <v>-99654.37</v>
      </c>
      <c r="S148" s="144">
        <f t="shared" si="10"/>
        <v>723859.42999999982</v>
      </c>
      <c r="T148" s="145">
        <v>573648.35</v>
      </c>
      <c r="U148" s="145">
        <v>150211.07999999999</v>
      </c>
    </row>
    <row r="149" spans="1:21">
      <c r="A149" s="74">
        <f t="shared" si="8"/>
        <v>139</v>
      </c>
      <c r="B149" s="75">
        <v>64774</v>
      </c>
      <c r="C149" s="209" t="s">
        <v>12</v>
      </c>
      <c r="D149" s="209" t="s">
        <v>16</v>
      </c>
      <c r="E149" s="211">
        <v>7.8133999999999997</v>
      </c>
      <c r="F149" s="208">
        <v>45459</v>
      </c>
      <c r="G149" s="208">
        <v>47284</v>
      </c>
      <c r="H149" s="77"/>
      <c r="I149" s="210">
        <v>2121068.59</v>
      </c>
      <c r="J149" s="210">
        <v>0</v>
      </c>
      <c r="K149" s="210">
        <v>-156097.43</v>
      </c>
      <c r="L149" s="210">
        <v>518707.83999999991</v>
      </c>
      <c r="M149" s="144">
        <f t="shared" si="9"/>
        <v>1758458.1800000002</v>
      </c>
      <c r="N149" s="210">
        <v>2147302.92</v>
      </c>
      <c r="O149" s="210">
        <v>0</v>
      </c>
      <c r="P149" s="210">
        <v>151742.03000000003</v>
      </c>
      <c r="Q149" s="210">
        <v>614061.11999999988</v>
      </c>
      <c r="R149" s="210">
        <v>-156097.43</v>
      </c>
      <c r="S149" s="144">
        <f t="shared" si="10"/>
        <v>1841081.2600000002</v>
      </c>
      <c r="T149" s="145">
        <v>517713.62</v>
      </c>
      <c r="U149" s="145">
        <v>1323367.6399999999</v>
      </c>
    </row>
    <row r="150" spans="1:21">
      <c r="A150" s="74">
        <f t="shared" si="8"/>
        <v>140</v>
      </c>
      <c r="B150" s="75">
        <v>64775</v>
      </c>
      <c r="C150" s="209" t="s">
        <v>12</v>
      </c>
      <c r="D150" s="209" t="s">
        <v>16</v>
      </c>
      <c r="E150" s="211">
        <v>7.4688999999999997</v>
      </c>
      <c r="F150" s="208">
        <v>45467</v>
      </c>
      <c r="G150" s="208">
        <v>46561</v>
      </c>
      <c r="H150" s="77"/>
      <c r="I150" s="210">
        <v>665455.66</v>
      </c>
      <c r="J150" s="210">
        <v>0</v>
      </c>
      <c r="K150" s="210">
        <v>-28417.279999999999</v>
      </c>
      <c r="L150" s="210">
        <v>304393.27999999997</v>
      </c>
      <c r="M150" s="144">
        <f t="shared" si="9"/>
        <v>389479.66000000009</v>
      </c>
      <c r="N150" s="210">
        <v>666100.96</v>
      </c>
      <c r="O150" s="210">
        <v>0</v>
      </c>
      <c r="P150" s="210">
        <v>38453.26</v>
      </c>
      <c r="Q150" s="210">
        <v>332684.87999999995</v>
      </c>
      <c r="R150" s="210">
        <v>-28417.279999999999</v>
      </c>
      <c r="S150" s="144">
        <f t="shared" si="10"/>
        <v>400286.62</v>
      </c>
      <c r="T150" s="145">
        <v>317221.46999999997</v>
      </c>
      <c r="U150" s="145">
        <v>83065.149999999994</v>
      </c>
    </row>
    <row r="151" spans="1:21">
      <c r="A151" s="74">
        <f t="shared" si="8"/>
        <v>141</v>
      </c>
      <c r="B151" s="75">
        <v>64776</v>
      </c>
      <c r="C151" s="209" t="s">
        <v>12</v>
      </c>
      <c r="D151" s="209" t="s">
        <v>16</v>
      </c>
      <c r="E151" s="211">
        <v>7.8133999999999997</v>
      </c>
      <c r="F151" s="208">
        <v>45455</v>
      </c>
      <c r="G151" s="208">
        <v>47280</v>
      </c>
      <c r="H151" s="77"/>
      <c r="I151" s="210">
        <v>1679421.57</v>
      </c>
      <c r="J151" s="210">
        <v>0</v>
      </c>
      <c r="K151" s="210">
        <v>-123795.82</v>
      </c>
      <c r="L151" s="210">
        <v>411814.95999999996</v>
      </c>
      <c r="M151" s="144">
        <f t="shared" si="9"/>
        <v>1391402.4300000002</v>
      </c>
      <c r="N151" s="210">
        <v>1718869.39</v>
      </c>
      <c r="O151" s="210">
        <v>0</v>
      </c>
      <c r="P151" s="210">
        <v>121437.79000000001</v>
      </c>
      <c r="Q151" s="210">
        <v>491419.68</v>
      </c>
      <c r="R151" s="210">
        <v>-123795.82</v>
      </c>
      <c r="S151" s="144">
        <f t="shared" si="10"/>
        <v>1472683.32</v>
      </c>
      <c r="T151" s="145">
        <v>414119.8</v>
      </c>
      <c r="U151" s="145">
        <v>1058563.52</v>
      </c>
    </row>
    <row r="152" spans="1:21">
      <c r="A152" s="74">
        <f t="shared" si="8"/>
        <v>142</v>
      </c>
      <c r="B152" s="75">
        <v>64778</v>
      </c>
      <c r="C152" s="209" t="s">
        <v>12</v>
      </c>
      <c r="D152" s="209" t="s">
        <v>16</v>
      </c>
      <c r="E152" s="211">
        <v>7.6436000000000002</v>
      </c>
      <c r="F152" s="208">
        <v>45467</v>
      </c>
      <c r="G152" s="208">
        <v>46927</v>
      </c>
      <c r="H152" s="77"/>
      <c r="I152" s="210">
        <v>1525029.26</v>
      </c>
      <c r="J152" s="210">
        <v>0</v>
      </c>
      <c r="K152" s="210">
        <v>-126013.61</v>
      </c>
      <c r="L152" s="210">
        <v>488447.28000000009</v>
      </c>
      <c r="M152" s="144">
        <f t="shared" si="9"/>
        <v>1162595.5900000001</v>
      </c>
      <c r="N152" s="210">
        <v>1540864.32</v>
      </c>
      <c r="O152" s="210">
        <v>0</v>
      </c>
      <c r="P152" s="210">
        <v>101894.40000000001</v>
      </c>
      <c r="Q152" s="210">
        <v>558441.67999999993</v>
      </c>
      <c r="R152" s="210">
        <v>-126013.61</v>
      </c>
      <c r="S152" s="144">
        <f t="shared" si="10"/>
        <v>1210330.6500000001</v>
      </c>
      <c r="T152" s="145">
        <v>512404.95</v>
      </c>
      <c r="U152" s="145">
        <v>697925.7</v>
      </c>
    </row>
    <row r="153" spans="1:21">
      <c r="A153" s="74">
        <f t="shared" si="8"/>
        <v>143</v>
      </c>
      <c r="B153" s="75">
        <v>64779</v>
      </c>
      <c r="C153" s="209" t="s">
        <v>12</v>
      </c>
      <c r="D153" s="209" t="s">
        <v>16</v>
      </c>
      <c r="E153" s="211">
        <v>7.6436000000000002</v>
      </c>
      <c r="F153" s="208">
        <v>45459</v>
      </c>
      <c r="G153" s="208">
        <v>46919</v>
      </c>
      <c r="H153" s="77"/>
      <c r="I153" s="210">
        <v>1535797.1</v>
      </c>
      <c r="J153" s="210">
        <v>0</v>
      </c>
      <c r="K153" s="210">
        <v>-115323.37</v>
      </c>
      <c r="L153" s="210">
        <v>493814.43999999994</v>
      </c>
      <c r="M153" s="144">
        <f t="shared" si="9"/>
        <v>1157306.0300000003</v>
      </c>
      <c r="N153" s="210">
        <v>1562492</v>
      </c>
      <c r="O153" s="210">
        <v>0</v>
      </c>
      <c r="P153" s="210">
        <v>103032.41000000003</v>
      </c>
      <c r="Q153" s="210">
        <v>564514.6</v>
      </c>
      <c r="R153" s="210">
        <v>-115323.37</v>
      </c>
      <c r="S153" s="144">
        <f t="shared" si="10"/>
        <v>1216333.1800000002</v>
      </c>
      <c r="T153" s="145">
        <v>514946.17</v>
      </c>
      <c r="U153" s="145">
        <v>701387.01</v>
      </c>
    </row>
    <row r="154" spans="1:21">
      <c r="A154" s="74">
        <f t="shared" si="8"/>
        <v>144</v>
      </c>
      <c r="B154" s="75">
        <v>64780</v>
      </c>
      <c r="C154" s="209" t="s">
        <v>12</v>
      </c>
      <c r="D154" s="209" t="s">
        <v>16</v>
      </c>
      <c r="E154" s="211">
        <v>7.6436000000000002</v>
      </c>
      <c r="F154" s="208">
        <v>45459</v>
      </c>
      <c r="G154" s="208">
        <v>46919</v>
      </c>
      <c r="H154" s="77"/>
      <c r="I154" s="210">
        <v>1638302.44</v>
      </c>
      <c r="J154" s="210">
        <v>0</v>
      </c>
      <c r="K154" s="210">
        <v>-135261.20000000001</v>
      </c>
      <c r="L154" s="210">
        <v>528378.87999999989</v>
      </c>
      <c r="M154" s="144">
        <f t="shared" si="9"/>
        <v>1245184.76</v>
      </c>
      <c r="N154" s="210">
        <v>1653290.62</v>
      </c>
      <c r="O154" s="210">
        <v>0</v>
      </c>
      <c r="P154" s="210">
        <v>109330.20000000001</v>
      </c>
      <c r="Q154" s="210">
        <v>599194.88000000012</v>
      </c>
      <c r="R154" s="210">
        <v>-135261.20000000001</v>
      </c>
      <c r="S154" s="144">
        <f t="shared" si="10"/>
        <v>1298687.1399999999</v>
      </c>
      <c r="T154" s="145">
        <v>549811.5</v>
      </c>
      <c r="U154" s="145">
        <v>748875.64</v>
      </c>
    </row>
    <row r="155" spans="1:21">
      <c r="A155" s="74">
        <f t="shared" si="8"/>
        <v>145</v>
      </c>
      <c r="B155" s="75">
        <v>64781</v>
      </c>
      <c r="C155" s="209" t="s">
        <v>12</v>
      </c>
      <c r="D155" s="209" t="s">
        <v>16</v>
      </c>
      <c r="E155" s="211">
        <v>7.6436000000000002</v>
      </c>
      <c r="F155" s="208">
        <v>45469</v>
      </c>
      <c r="G155" s="208">
        <v>46929</v>
      </c>
      <c r="H155" s="77"/>
      <c r="I155" s="210">
        <v>1406620.98</v>
      </c>
      <c r="J155" s="210">
        <v>0</v>
      </c>
      <c r="K155" s="210">
        <v>0</v>
      </c>
      <c r="L155" s="210">
        <v>434664</v>
      </c>
      <c r="M155" s="144">
        <f t="shared" si="9"/>
        <v>971956.98</v>
      </c>
      <c r="N155" s="210">
        <v>1418786.65</v>
      </c>
      <c r="O155" s="210">
        <v>0</v>
      </c>
      <c r="P155" s="210">
        <v>91021.87</v>
      </c>
      <c r="Q155" s="210">
        <v>502663.07999999984</v>
      </c>
      <c r="R155" s="210">
        <v>0</v>
      </c>
      <c r="S155" s="144">
        <f t="shared" si="10"/>
        <v>1007145.4400000002</v>
      </c>
      <c r="T155" s="145">
        <v>444231.48</v>
      </c>
      <c r="U155" s="145">
        <v>562913.96</v>
      </c>
    </row>
    <row r="156" spans="1:21">
      <c r="A156" s="74">
        <f t="shared" si="8"/>
        <v>146</v>
      </c>
      <c r="B156" s="75">
        <v>64783</v>
      </c>
      <c r="C156" s="209" t="s">
        <v>12</v>
      </c>
      <c r="D156" s="209" t="s">
        <v>16</v>
      </c>
      <c r="E156" s="211">
        <v>0</v>
      </c>
      <c r="F156" s="208">
        <v>45455</v>
      </c>
      <c r="G156" s="208">
        <v>45901</v>
      </c>
      <c r="H156" s="77"/>
      <c r="I156" s="210">
        <v>505689.78</v>
      </c>
      <c r="J156" s="210">
        <v>0</v>
      </c>
      <c r="K156" s="210">
        <v>409794.13</v>
      </c>
      <c r="L156" s="210">
        <v>95895.650000000009</v>
      </c>
      <c r="M156" s="144">
        <f t="shared" si="9"/>
        <v>0</v>
      </c>
      <c r="N156" s="210">
        <v>513859.23</v>
      </c>
      <c r="O156" s="210">
        <v>0</v>
      </c>
      <c r="P156" s="210">
        <v>14183.39</v>
      </c>
      <c r="Q156" s="210">
        <v>106673</v>
      </c>
      <c r="R156" s="210">
        <v>421369.62</v>
      </c>
      <c r="S156" s="144">
        <f t="shared" si="10"/>
        <v>0</v>
      </c>
      <c r="T156" s="145">
        <v>0</v>
      </c>
      <c r="U156" s="145">
        <v>0</v>
      </c>
    </row>
    <row r="157" spans="1:21">
      <c r="A157" s="74">
        <f t="shared" si="8"/>
        <v>147</v>
      </c>
      <c r="B157" s="75">
        <v>64785</v>
      </c>
      <c r="C157" s="209" t="s">
        <v>12</v>
      </c>
      <c r="D157" s="209" t="s">
        <v>16</v>
      </c>
      <c r="E157" s="211">
        <v>7.8133999999999997</v>
      </c>
      <c r="F157" s="208">
        <v>45456</v>
      </c>
      <c r="G157" s="208">
        <v>47281</v>
      </c>
      <c r="H157" s="77"/>
      <c r="I157" s="210">
        <v>1244011.1599999999</v>
      </c>
      <c r="J157" s="210">
        <v>0</v>
      </c>
      <c r="K157" s="210">
        <v>-82629.95</v>
      </c>
      <c r="L157" s="210">
        <v>303988.40000000008</v>
      </c>
      <c r="M157" s="144">
        <f t="shared" si="9"/>
        <v>1022652.7099999997</v>
      </c>
      <c r="N157" s="210">
        <v>1272389.56</v>
      </c>
      <c r="O157" s="210">
        <v>0</v>
      </c>
      <c r="P157" s="210">
        <v>89672.81</v>
      </c>
      <c r="Q157" s="210">
        <v>362815.04</v>
      </c>
      <c r="R157" s="210">
        <v>-82629.95</v>
      </c>
      <c r="S157" s="144">
        <f t="shared" si="10"/>
        <v>1081877.28</v>
      </c>
      <c r="T157" s="145">
        <v>304224.81</v>
      </c>
      <c r="U157" s="145">
        <v>777652.47</v>
      </c>
    </row>
    <row r="158" spans="1:21">
      <c r="A158" s="74">
        <f t="shared" si="8"/>
        <v>148</v>
      </c>
      <c r="B158" s="75">
        <v>64786</v>
      </c>
      <c r="C158" s="209" t="s">
        <v>12</v>
      </c>
      <c r="D158" s="209" t="s">
        <v>16</v>
      </c>
      <c r="E158" s="211">
        <v>7.6436000000000002</v>
      </c>
      <c r="F158" s="208">
        <v>45464</v>
      </c>
      <c r="G158" s="208">
        <v>46924</v>
      </c>
      <c r="H158" s="77"/>
      <c r="I158" s="210">
        <v>1141126.54</v>
      </c>
      <c r="J158" s="210">
        <v>0</v>
      </c>
      <c r="K158" s="210">
        <v>-34267.69</v>
      </c>
      <c r="L158" s="210">
        <v>358612.40000000008</v>
      </c>
      <c r="M158" s="144">
        <f t="shared" si="9"/>
        <v>816781.82999999984</v>
      </c>
      <c r="N158" s="210">
        <v>1155957.17</v>
      </c>
      <c r="O158" s="210">
        <v>0</v>
      </c>
      <c r="P158" s="210">
        <v>75027.810000000012</v>
      </c>
      <c r="Q158" s="210">
        <v>410403.43999999994</v>
      </c>
      <c r="R158" s="210">
        <v>-34267.69</v>
      </c>
      <c r="S158" s="144">
        <f t="shared" si="10"/>
        <v>854849.23</v>
      </c>
      <c r="T158" s="145">
        <v>361908.53</v>
      </c>
      <c r="U158" s="145">
        <v>492940.7</v>
      </c>
    </row>
    <row r="159" spans="1:21">
      <c r="A159" s="74">
        <f t="shared" si="8"/>
        <v>149</v>
      </c>
      <c r="B159" s="75">
        <v>64789</v>
      </c>
      <c r="C159" s="209" t="s">
        <v>12</v>
      </c>
      <c r="D159" s="209" t="s">
        <v>16</v>
      </c>
      <c r="E159" s="211">
        <v>7.8133999999999997</v>
      </c>
      <c r="F159" s="208">
        <v>45464</v>
      </c>
      <c r="G159" s="208">
        <v>47289</v>
      </c>
      <c r="H159" s="77"/>
      <c r="I159" s="210">
        <v>1241935.1299999999</v>
      </c>
      <c r="J159" s="210">
        <v>0</v>
      </c>
      <c r="K159" s="210">
        <v>-82226.850000000006</v>
      </c>
      <c r="L159" s="210">
        <v>301851.32</v>
      </c>
      <c r="M159" s="144">
        <f t="shared" si="9"/>
        <v>1022310.6599999999</v>
      </c>
      <c r="N159" s="210">
        <v>1263580.57</v>
      </c>
      <c r="O159" s="210">
        <v>0</v>
      </c>
      <c r="P159" s="210">
        <v>89056.12</v>
      </c>
      <c r="Q159" s="210">
        <v>360321.16</v>
      </c>
      <c r="R159" s="210">
        <v>-82226.850000000006</v>
      </c>
      <c r="S159" s="144">
        <f t="shared" si="10"/>
        <v>1074542.3800000001</v>
      </c>
      <c r="T159" s="145">
        <v>302162.23</v>
      </c>
      <c r="U159" s="145">
        <v>772380.15</v>
      </c>
    </row>
    <row r="160" spans="1:21">
      <c r="A160" s="74">
        <f t="shared" si="8"/>
        <v>150</v>
      </c>
      <c r="B160" s="75">
        <v>64790</v>
      </c>
      <c r="C160" s="209" t="s">
        <v>12</v>
      </c>
      <c r="D160" s="209" t="s">
        <v>16</v>
      </c>
      <c r="E160" s="211">
        <v>7.6436000000000002</v>
      </c>
      <c r="F160" s="208">
        <v>45452</v>
      </c>
      <c r="G160" s="208">
        <v>46912</v>
      </c>
      <c r="H160" s="77"/>
      <c r="I160" s="210">
        <v>674682.09</v>
      </c>
      <c r="J160" s="210">
        <v>0</v>
      </c>
      <c r="K160" s="210">
        <v>-20565.349999999999</v>
      </c>
      <c r="L160" s="210">
        <v>214290.72000000006</v>
      </c>
      <c r="M160" s="144">
        <f t="shared" si="9"/>
        <v>480956.71999999986</v>
      </c>
      <c r="N160" s="210">
        <v>690594.71</v>
      </c>
      <c r="O160" s="210">
        <v>0</v>
      </c>
      <c r="P160" s="210">
        <v>44825.509999999995</v>
      </c>
      <c r="Q160" s="210">
        <v>245197.40000000002</v>
      </c>
      <c r="R160" s="210">
        <v>-20565.349999999999</v>
      </c>
      <c r="S160" s="144">
        <f t="shared" si="10"/>
        <v>510788.16999999993</v>
      </c>
      <c r="T160" s="145">
        <v>216247.01</v>
      </c>
      <c r="U160" s="145">
        <v>294541.15999999997</v>
      </c>
    </row>
    <row r="161" spans="1:21">
      <c r="A161" s="74">
        <f t="shared" si="8"/>
        <v>151</v>
      </c>
      <c r="B161" s="75">
        <v>64794</v>
      </c>
      <c r="C161" s="209" t="s">
        <v>12</v>
      </c>
      <c r="D161" s="209" t="s">
        <v>16</v>
      </c>
      <c r="E161" s="211">
        <v>7.8133999999999997</v>
      </c>
      <c r="F161" s="208">
        <v>45468</v>
      </c>
      <c r="G161" s="208">
        <v>47293</v>
      </c>
      <c r="H161" s="77"/>
      <c r="I161" s="210">
        <v>1222143.17</v>
      </c>
      <c r="J161" s="210">
        <v>0</v>
      </c>
      <c r="K161" s="210">
        <v>-79513.899999999994</v>
      </c>
      <c r="L161" s="210">
        <v>296126.48</v>
      </c>
      <c r="M161" s="144">
        <f t="shared" si="9"/>
        <v>1005530.5899999999</v>
      </c>
      <c r="N161" s="210">
        <v>1229590.8400000001</v>
      </c>
      <c r="O161" s="210">
        <v>0</v>
      </c>
      <c r="P161" s="210">
        <v>86648.250000000015</v>
      </c>
      <c r="Q161" s="210">
        <v>350575.44</v>
      </c>
      <c r="R161" s="210">
        <v>-79513.899999999994</v>
      </c>
      <c r="S161" s="144">
        <f t="shared" si="10"/>
        <v>1045177.5500000002</v>
      </c>
      <c r="T161" s="145">
        <v>293904.82</v>
      </c>
      <c r="U161" s="145">
        <v>751272.73</v>
      </c>
    </row>
    <row r="162" spans="1:21">
      <c r="A162" s="74">
        <f t="shared" si="8"/>
        <v>152</v>
      </c>
      <c r="B162" s="75">
        <v>64795</v>
      </c>
      <c r="C162" s="209" t="s">
        <v>12</v>
      </c>
      <c r="D162" s="209" t="s">
        <v>16</v>
      </c>
      <c r="E162" s="211">
        <v>7.4688999999999997</v>
      </c>
      <c r="F162" s="208">
        <v>45462</v>
      </c>
      <c r="G162" s="208">
        <v>46556</v>
      </c>
      <c r="H162" s="77"/>
      <c r="I162" s="210">
        <v>631733.93000000005</v>
      </c>
      <c r="J162" s="210">
        <v>0</v>
      </c>
      <c r="K162" s="210">
        <v>-27177.26</v>
      </c>
      <c r="L162" s="210">
        <v>290837.36</v>
      </c>
      <c r="M162" s="144">
        <f t="shared" si="9"/>
        <v>368073.83000000007</v>
      </c>
      <c r="N162" s="210">
        <v>636308.64</v>
      </c>
      <c r="O162" s="210">
        <v>0</v>
      </c>
      <c r="P162" s="210">
        <v>36734.069999999992</v>
      </c>
      <c r="Q162" s="210">
        <v>317811.95999999996</v>
      </c>
      <c r="R162" s="210">
        <v>-27177.26</v>
      </c>
      <c r="S162" s="144">
        <f t="shared" si="10"/>
        <v>382408.01</v>
      </c>
      <c r="T162" s="145">
        <v>303052.90999999997</v>
      </c>
      <c r="U162" s="145">
        <v>79355.100000000006</v>
      </c>
    </row>
    <row r="163" spans="1:21">
      <c r="A163" s="74">
        <f t="shared" si="8"/>
        <v>153</v>
      </c>
      <c r="B163" s="75">
        <v>64796</v>
      </c>
      <c r="C163" s="209" t="s">
        <v>12</v>
      </c>
      <c r="D163" s="209" t="s">
        <v>16</v>
      </c>
      <c r="E163" s="211">
        <v>7.4688999999999997</v>
      </c>
      <c r="F163" s="208">
        <v>45465</v>
      </c>
      <c r="G163" s="208">
        <v>46559</v>
      </c>
      <c r="H163" s="77"/>
      <c r="I163" s="210">
        <v>767218.13</v>
      </c>
      <c r="J163" s="210">
        <v>0</v>
      </c>
      <c r="K163" s="210">
        <v>-32690.29</v>
      </c>
      <c r="L163" s="210">
        <v>293214.8</v>
      </c>
      <c r="M163" s="144">
        <f t="shared" si="9"/>
        <v>506693.62000000005</v>
      </c>
      <c r="N163" s="210">
        <v>769879.58</v>
      </c>
      <c r="O163" s="210">
        <v>0</v>
      </c>
      <c r="P163" s="210">
        <v>44440.960000000006</v>
      </c>
      <c r="Q163" s="210">
        <v>384482.87999999995</v>
      </c>
      <c r="R163" s="210">
        <v>-32690.29</v>
      </c>
      <c r="S163" s="144">
        <f t="shared" si="10"/>
        <v>462527.94999999995</v>
      </c>
      <c r="T163" s="145">
        <v>366546.83</v>
      </c>
      <c r="U163" s="145">
        <v>95981.119999999995</v>
      </c>
    </row>
    <row r="164" spans="1:21">
      <c r="A164" s="74">
        <f t="shared" si="8"/>
        <v>154</v>
      </c>
      <c r="B164" s="75">
        <v>64797</v>
      </c>
      <c r="C164" s="209" t="s">
        <v>12</v>
      </c>
      <c r="D164" s="209" t="s">
        <v>13</v>
      </c>
      <c r="E164" s="211">
        <v>7.5030999999999999</v>
      </c>
      <c r="F164" s="208">
        <v>45474</v>
      </c>
      <c r="G164" s="208">
        <v>46568</v>
      </c>
      <c r="H164" s="77"/>
      <c r="I164" s="210">
        <v>18576234.719999999</v>
      </c>
      <c r="J164" s="210">
        <v>0</v>
      </c>
      <c r="K164" s="210">
        <v>0</v>
      </c>
      <c r="L164" s="210">
        <v>8256104.4000000013</v>
      </c>
      <c r="M164" s="144">
        <f t="shared" si="9"/>
        <v>10320130.319999997</v>
      </c>
      <c r="N164" s="210">
        <v>19087140.170000002</v>
      </c>
      <c r="O164" s="210">
        <v>0</v>
      </c>
      <c r="P164" s="210">
        <v>1043314.38</v>
      </c>
      <c r="Q164" s="210">
        <v>9131379.0800000001</v>
      </c>
      <c r="R164" s="210">
        <v>0</v>
      </c>
      <c r="S164" s="144">
        <f t="shared" si="10"/>
        <v>10999075.470000001</v>
      </c>
      <c r="T164" s="145">
        <v>8716230.6999999993</v>
      </c>
      <c r="U164" s="145">
        <v>2282844.77</v>
      </c>
    </row>
    <row r="165" spans="1:21">
      <c r="A165" s="74">
        <f t="shared" si="8"/>
        <v>155</v>
      </c>
      <c r="B165" s="256">
        <v>64802</v>
      </c>
      <c r="C165" s="209" t="s">
        <v>12</v>
      </c>
      <c r="D165" s="209" t="s">
        <v>13</v>
      </c>
      <c r="E165" s="211">
        <v>7.64</v>
      </c>
      <c r="F165" s="208">
        <v>45292</v>
      </c>
      <c r="G165" s="208">
        <v>46053</v>
      </c>
      <c r="H165" s="77"/>
      <c r="I165" s="210">
        <v>28252051.309999999</v>
      </c>
      <c r="J165" s="210">
        <v>0</v>
      </c>
      <c r="K165" s="210">
        <v>0</v>
      </c>
      <c r="L165" s="210">
        <v>28252051.310000002</v>
      </c>
      <c r="M165" s="144">
        <f t="shared" si="9"/>
        <v>0</v>
      </c>
      <c r="N165" s="210">
        <v>29603240.84</v>
      </c>
      <c r="O165" s="210">
        <v>0</v>
      </c>
      <c r="P165" s="210">
        <v>852572.3600000001</v>
      </c>
      <c r="Q165" s="210">
        <v>30455813.199999999</v>
      </c>
      <c r="R165" s="210">
        <v>0</v>
      </c>
      <c r="S165" s="144">
        <f t="shared" si="10"/>
        <v>0</v>
      </c>
      <c r="T165" s="145">
        <v>0</v>
      </c>
      <c r="U165" s="145">
        <v>0</v>
      </c>
    </row>
    <row r="166" spans="1:21">
      <c r="A166" s="74">
        <f t="shared" si="8"/>
        <v>156</v>
      </c>
      <c r="B166" s="75">
        <v>64806</v>
      </c>
      <c r="C166" s="209" t="s">
        <v>12</v>
      </c>
      <c r="D166" s="209" t="s">
        <v>13</v>
      </c>
      <c r="E166" s="211">
        <v>7.5030999999999999</v>
      </c>
      <c r="F166" s="208">
        <v>45505</v>
      </c>
      <c r="G166" s="208">
        <v>46599</v>
      </c>
      <c r="H166" s="77"/>
      <c r="I166" s="210">
        <v>253235834.62</v>
      </c>
      <c r="J166" s="210">
        <v>0</v>
      </c>
      <c r="K166" s="210">
        <v>0</v>
      </c>
      <c r="L166" s="210">
        <v>108529643.40000002</v>
      </c>
      <c r="M166" s="144">
        <f t="shared" si="9"/>
        <v>144706191.21999997</v>
      </c>
      <c r="N166" s="210">
        <v>249348670.78</v>
      </c>
      <c r="O166" s="210">
        <v>0</v>
      </c>
      <c r="P166" s="210">
        <v>14375414.15</v>
      </c>
      <c r="Q166" s="210">
        <v>120035464</v>
      </c>
      <c r="R166" s="210">
        <v>0</v>
      </c>
      <c r="S166" s="144">
        <f t="shared" si="10"/>
        <v>143688620.93000001</v>
      </c>
      <c r="T166" s="145">
        <v>113866221.95999999</v>
      </c>
      <c r="U166" s="145">
        <v>29822398.969999999</v>
      </c>
    </row>
    <row r="167" spans="1:21">
      <c r="A167" s="74">
        <f t="shared" si="8"/>
        <v>157</v>
      </c>
      <c r="B167" s="75">
        <v>64807</v>
      </c>
      <c r="C167" s="209" t="s">
        <v>12</v>
      </c>
      <c r="D167" s="209" t="s">
        <v>13</v>
      </c>
      <c r="E167" s="211">
        <v>7.5030999999999999</v>
      </c>
      <c r="F167" s="208">
        <v>45505</v>
      </c>
      <c r="G167" s="208">
        <v>46599</v>
      </c>
      <c r="H167" s="77"/>
      <c r="I167" s="210">
        <v>31042988.57</v>
      </c>
      <c r="J167" s="210">
        <v>0</v>
      </c>
      <c r="K167" s="210">
        <v>0</v>
      </c>
      <c r="L167" s="210">
        <v>13304137.92</v>
      </c>
      <c r="M167" s="144">
        <f t="shared" si="9"/>
        <v>17738850.649999999</v>
      </c>
      <c r="N167" s="210">
        <v>30566479.440000001</v>
      </c>
      <c r="O167" s="210">
        <v>0</v>
      </c>
      <c r="P167" s="210">
        <v>1762214.31</v>
      </c>
      <c r="Q167" s="210">
        <v>14714582.32</v>
      </c>
      <c r="R167" s="210">
        <v>0</v>
      </c>
      <c r="S167" s="144">
        <f t="shared" si="10"/>
        <v>17614111.43</v>
      </c>
      <c r="T167" s="145">
        <v>13958324.01</v>
      </c>
      <c r="U167" s="145">
        <v>3655787.42</v>
      </c>
    </row>
    <row r="168" spans="1:21">
      <c r="A168" s="74">
        <f t="shared" si="8"/>
        <v>158</v>
      </c>
      <c r="B168" s="75">
        <v>64811</v>
      </c>
      <c r="C168" s="209" t="s">
        <v>12</v>
      </c>
      <c r="D168" s="209" t="s">
        <v>16</v>
      </c>
      <c r="E168" s="211">
        <v>7.4688999999999997</v>
      </c>
      <c r="F168" s="208">
        <v>45422</v>
      </c>
      <c r="G168" s="208">
        <v>46516</v>
      </c>
      <c r="H168" s="77"/>
      <c r="I168" s="210">
        <v>524309.46</v>
      </c>
      <c r="J168" s="210">
        <v>0</v>
      </c>
      <c r="K168" s="210">
        <v>-23670.17</v>
      </c>
      <c r="L168" s="210">
        <v>254255.39999999997</v>
      </c>
      <c r="M168" s="144">
        <f t="shared" si="9"/>
        <v>293724.23000000004</v>
      </c>
      <c r="N168" s="210">
        <v>535706.63</v>
      </c>
      <c r="O168" s="210">
        <v>0</v>
      </c>
      <c r="P168" s="210">
        <v>30538.61</v>
      </c>
      <c r="Q168" s="210">
        <v>277421.88000000006</v>
      </c>
      <c r="R168" s="210">
        <v>-23670.17</v>
      </c>
      <c r="S168" s="144">
        <f t="shared" si="10"/>
        <v>312493.52999999991</v>
      </c>
      <c r="T168" s="145">
        <v>266172.58</v>
      </c>
      <c r="U168" s="145">
        <v>46320.95</v>
      </c>
    </row>
    <row r="169" spans="1:21">
      <c r="A169" s="74">
        <f t="shared" si="8"/>
        <v>159</v>
      </c>
      <c r="B169" s="75">
        <v>64816</v>
      </c>
      <c r="C169" s="209" t="s">
        <v>12</v>
      </c>
      <c r="D169" s="209" t="s">
        <v>16</v>
      </c>
      <c r="E169" s="211">
        <v>7.5030999999999999</v>
      </c>
      <c r="F169" s="208">
        <v>45477</v>
      </c>
      <c r="G169" s="208">
        <v>46571</v>
      </c>
      <c r="H169" s="77"/>
      <c r="I169" s="210">
        <v>1066460.31</v>
      </c>
      <c r="J169" s="210">
        <v>0</v>
      </c>
      <c r="K169" s="210">
        <v>-93963.8</v>
      </c>
      <c r="L169" s="210">
        <v>491971.16</v>
      </c>
      <c r="M169" s="144">
        <f t="shared" si="9"/>
        <v>668452.95000000019</v>
      </c>
      <c r="N169" s="210">
        <v>1091877.79</v>
      </c>
      <c r="O169" s="210">
        <v>0</v>
      </c>
      <c r="P169" s="210">
        <v>65130.55</v>
      </c>
      <c r="Q169" s="210">
        <v>537293.84</v>
      </c>
      <c r="R169" s="210">
        <v>-93963.8</v>
      </c>
      <c r="S169" s="144">
        <f t="shared" si="10"/>
        <v>713678.30000000016</v>
      </c>
      <c r="T169" s="145">
        <v>528531.66</v>
      </c>
      <c r="U169" s="145">
        <v>185146.64</v>
      </c>
    </row>
    <row r="170" spans="1:21">
      <c r="A170" s="74">
        <f t="shared" si="8"/>
        <v>160</v>
      </c>
      <c r="B170" s="75">
        <v>64826</v>
      </c>
      <c r="C170" s="209" t="s">
        <v>12</v>
      </c>
      <c r="D170" s="209" t="s">
        <v>16</v>
      </c>
      <c r="E170" s="211">
        <v>7.8173000000000004</v>
      </c>
      <c r="F170" s="208">
        <v>45480</v>
      </c>
      <c r="G170" s="208">
        <v>47305</v>
      </c>
      <c r="H170" s="77"/>
      <c r="I170" s="210">
        <v>3290744.18</v>
      </c>
      <c r="J170" s="210">
        <v>0</v>
      </c>
      <c r="K170" s="210">
        <v>-225780.97</v>
      </c>
      <c r="L170" s="210">
        <v>792274.16</v>
      </c>
      <c r="M170" s="144">
        <f t="shared" si="9"/>
        <v>2724250.99</v>
      </c>
      <c r="N170" s="210">
        <v>3369601.34</v>
      </c>
      <c r="O170" s="210">
        <v>0</v>
      </c>
      <c r="P170" s="210">
        <v>238449.26</v>
      </c>
      <c r="Q170" s="210">
        <v>945766.24000000011</v>
      </c>
      <c r="R170" s="210">
        <v>-225780.97</v>
      </c>
      <c r="S170" s="144">
        <f t="shared" si="10"/>
        <v>2888065.3299999996</v>
      </c>
      <c r="T170" s="145">
        <v>789110.96</v>
      </c>
      <c r="U170" s="145">
        <v>2098954.37</v>
      </c>
    </row>
    <row r="171" spans="1:21">
      <c r="A171" s="74">
        <f t="shared" si="8"/>
        <v>161</v>
      </c>
      <c r="B171" s="75">
        <v>64828</v>
      </c>
      <c r="C171" s="209" t="s">
        <v>12</v>
      </c>
      <c r="D171" s="209" t="s">
        <v>16</v>
      </c>
      <c r="E171" s="211">
        <v>7.8133999999999997</v>
      </c>
      <c r="F171" s="208">
        <v>45472</v>
      </c>
      <c r="G171" s="208">
        <v>47297</v>
      </c>
      <c r="H171" s="77"/>
      <c r="I171" s="210">
        <v>1289431.72</v>
      </c>
      <c r="J171" s="210">
        <v>0</v>
      </c>
      <c r="K171" s="210">
        <v>-84949.39</v>
      </c>
      <c r="L171" s="210">
        <v>311707.36000000004</v>
      </c>
      <c r="M171" s="144">
        <f t="shared" si="9"/>
        <v>1062673.7499999998</v>
      </c>
      <c r="N171" s="210">
        <v>1305036.3500000001</v>
      </c>
      <c r="O171" s="210">
        <v>0</v>
      </c>
      <c r="P171" s="210">
        <v>91978.49</v>
      </c>
      <c r="Q171" s="210">
        <v>372145.28</v>
      </c>
      <c r="R171" s="210">
        <v>-84949.39</v>
      </c>
      <c r="S171" s="144">
        <f t="shared" si="10"/>
        <v>1109818.95</v>
      </c>
      <c r="T171" s="145">
        <v>312082.03999999998</v>
      </c>
      <c r="U171" s="145">
        <v>797736.91</v>
      </c>
    </row>
    <row r="172" spans="1:21">
      <c r="A172" s="74">
        <f t="shared" si="8"/>
        <v>162</v>
      </c>
      <c r="B172" s="75">
        <v>64840</v>
      </c>
      <c r="C172" s="209" t="s">
        <v>12</v>
      </c>
      <c r="D172" s="209" t="s">
        <v>16</v>
      </c>
      <c r="E172" s="211">
        <v>7.6886999999999999</v>
      </c>
      <c r="F172" s="208">
        <v>45474</v>
      </c>
      <c r="G172" s="208">
        <v>46934</v>
      </c>
      <c r="H172" s="77"/>
      <c r="I172" s="210">
        <v>1544168.65</v>
      </c>
      <c r="J172" s="210">
        <v>0</v>
      </c>
      <c r="K172" s="210">
        <v>-67433.279999999999</v>
      </c>
      <c r="L172" s="210">
        <v>483829.88000000006</v>
      </c>
      <c r="M172" s="144">
        <f t="shared" si="9"/>
        <v>1127772.0499999998</v>
      </c>
      <c r="N172" s="210">
        <v>1587082.22</v>
      </c>
      <c r="O172" s="210">
        <v>0</v>
      </c>
      <c r="P172" s="210">
        <v>104560.97</v>
      </c>
      <c r="Q172" s="210">
        <v>559475.88</v>
      </c>
      <c r="R172" s="210">
        <v>-67433.279999999999</v>
      </c>
      <c r="S172" s="144">
        <f t="shared" si="10"/>
        <v>1199600.5900000001</v>
      </c>
      <c r="T172" s="145">
        <v>507714.17</v>
      </c>
      <c r="U172" s="145">
        <v>691886.42</v>
      </c>
    </row>
    <row r="173" spans="1:21">
      <c r="A173" s="74">
        <f t="shared" si="8"/>
        <v>163</v>
      </c>
      <c r="B173" s="75">
        <v>64841</v>
      </c>
      <c r="C173" s="209" t="s">
        <v>12</v>
      </c>
      <c r="D173" s="209" t="s">
        <v>16</v>
      </c>
      <c r="E173" s="211">
        <v>7.6886999999999999</v>
      </c>
      <c r="F173" s="208">
        <v>45485</v>
      </c>
      <c r="G173" s="208">
        <v>46945</v>
      </c>
      <c r="H173" s="77"/>
      <c r="I173" s="210">
        <v>1325419.31</v>
      </c>
      <c r="J173" s="210">
        <v>0</v>
      </c>
      <c r="K173" s="210">
        <v>-99860.96</v>
      </c>
      <c r="L173" s="210">
        <v>416883.72</v>
      </c>
      <c r="M173" s="144">
        <f t="shared" si="9"/>
        <v>1008396.55</v>
      </c>
      <c r="N173" s="210">
        <v>1349971.06</v>
      </c>
      <c r="O173" s="210">
        <v>0</v>
      </c>
      <c r="P173" s="210">
        <v>90019.639999999985</v>
      </c>
      <c r="Q173" s="210">
        <v>477109.91999999993</v>
      </c>
      <c r="R173" s="210">
        <v>-99860.96</v>
      </c>
      <c r="S173" s="144">
        <f t="shared" si="10"/>
        <v>1062741.74</v>
      </c>
      <c r="T173" s="145">
        <v>432303.38</v>
      </c>
      <c r="U173" s="145">
        <v>630438.36</v>
      </c>
    </row>
    <row r="174" spans="1:21">
      <c r="A174" s="74">
        <f t="shared" si="8"/>
        <v>164</v>
      </c>
      <c r="B174" s="75">
        <v>64845</v>
      </c>
      <c r="C174" s="209" t="s">
        <v>12</v>
      </c>
      <c r="D174" s="209" t="s">
        <v>16</v>
      </c>
      <c r="E174" s="211">
        <v>7.6436000000000002</v>
      </c>
      <c r="F174" s="208">
        <v>45471</v>
      </c>
      <c r="G174" s="208">
        <v>46931</v>
      </c>
      <c r="H174" s="77"/>
      <c r="I174" s="210">
        <v>1470967.86</v>
      </c>
      <c r="J174" s="210">
        <v>0</v>
      </c>
      <c r="K174" s="210">
        <v>0</v>
      </c>
      <c r="L174" s="210">
        <v>453768.96000000014</v>
      </c>
      <c r="M174" s="144">
        <f t="shared" si="9"/>
        <v>1017198.8999999999</v>
      </c>
      <c r="N174" s="210">
        <v>1481147.3</v>
      </c>
      <c r="O174" s="210">
        <v>0</v>
      </c>
      <c r="P174" s="210">
        <v>95022.590000000011</v>
      </c>
      <c r="Q174" s="210">
        <v>524756.88</v>
      </c>
      <c r="R174" s="210">
        <v>0</v>
      </c>
      <c r="S174" s="144">
        <f t="shared" si="10"/>
        <v>1051413.0100000002</v>
      </c>
      <c r="T174" s="145">
        <v>463756.98</v>
      </c>
      <c r="U174" s="145">
        <v>587656.03</v>
      </c>
    </row>
    <row r="175" spans="1:21">
      <c r="A175" s="74">
        <f t="shared" si="8"/>
        <v>165</v>
      </c>
      <c r="B175" s="75">
        <v>64852</v>
      </c>
      <c r="C175" s="209" t="s">
        <v>12</v>
      </c>
      <c r="D175" s="209" t="s">
        <v>16</v>
      </c>
      <c r="E175" s="211">
        <v>7.8173000000000004</v>
      </c>
      <c r="F175" s="208">
        <v>45486</v>
      </c>
      <c r="G175" s="208">
        <v>47311</v>
      </c>
      <c r="H175" s="77"/>
      <c r="I175" s="210">
        <v>2189353.66</v>
      </c>
      <c r="J175" s="210">
        <v>0</v>
      </c>
      <c r="K175" s="210">
        <v>-132907.99</v>
      </c>
      <c r="L175" s="210">
        <v>523514.68</v>
      </c>
      <c r="M175" s="144">
        <f t="shared" si="9"/>
        <v>1798746.9700000004</v>
      </c>
      <c r="N175" s="210">
        <v>2233374.0299999998</v>
      </c>
      <c r="O175" s="210">
        <v>0</v>
      </c>
      <c r="P175" s="210">
        <v>157632.44</v>
      </c>
      <c r="Q175" s="210">
        <v>625110.64000000013</v>
      </c>
      <c r="R175" s="210">
        <v>-132907.99</v>
      </c>
      <c r="S175" s="144">
        <f t="shared" si="10"/>
        <v>1898803.8199999996</v>
      </c>
      <c r="T175" s="145">
        <v>518813.38</v>
      </c>
      <c r="U175" s="145">
        <v>1379990.44</v>
      </c>
    </row>
    <row r="176" spans="1:21">
      <c r="A176" s="74">
        <f t="shared" si="8"/>
        <v>166</v>
      </c>
      <c r="B176" s="75">
        <v>64858</v>
      </c>
      <c r="C176" s="209" t="s">
        <v>12</v>
      </c>
      <c r="D176" s="209" t="s">
        <v>16</v>
      </c>
      <c r="E176" s="211">
        <v>7.5030999999999999</v>
      </c>
      <c r="F176" s="208">
        <v>45483</v>
      </c>
      <c r="G176" s="208">
        <v>46577</v>
      </c>
      <c r="H176" s="77"/>
      <c r="I176" s="210">
        <v>1111452.01</v>
      </c>
      <c r="J176" s="210">
        <v>0</v>
      </c>
      <c r="K176" s="210">
        <v>-97819.44</v>
      </c>
      <c r="L176" s="210">
        <v>509007.16</v>
      </c>
      <c r="M176" s="144">
        <f t="shared" si="9"/>
        <v>700264.29</v>
      </c>
      <c r="N176" s="210">
        <v>1129871.28</v>
      </c>
      <c r="O176" s="210">
        <v>0</v>
      </c>
      <c r="P176" s="210">
        <v>67409.67</v>
      </c>
      <c r="Q176" s="210">
        <v>556114.03999999992</v>
      </c>
      <c r="R176" s="210">
        <v>-97819.44</v>
      </c>
      <c r="S176" s="144">
        <f t="shared" si="10"/>
        <v>738986.35000000009</v>
      </c>
      <c r="T176" s="145">
        <v>547274.16</v>
      </c>
      <c r="U176" s="145">
        <v>191712.19</v>
      </c>
    </row>
    <row r="177" spans="1:21">
      <c r="A177" s="74">
        <f t="shared" si="8"/>
        <v>167</v>
      </c>
      <c r="B177" s="75">
        <v>64861</v>
      </c>
      <c r="C177" s="209" t="s">
        <v>12</v>
      </c>
      <c r="D177" s="209" t="s">
        <v>16</v>
      </c>
      <c r="E177" s="211">
        <v>7.5030999999999999</v>
      </c>
      <c r="F177" s="208">
        <v>45478</v>
      </c>
      <c r="G177" s="208">
        <v>46572</v>
      </c>
      <c r="H177" s="77"/>
      <c r="I177" s="210">
        <v>620734.67000000004</v>
      </c>
      <c r="J177" s="210">
        <v>0</v>
      </c>
      <c r="K177" s="210">
        <v>-26198.05</v>
      </c>
      <c r="L177" s="210">
        <v>280048.12</v>
      </c>
      <c r="M177" s="144">
        <f t="shared" si="9"/>
        <v>366884.60000000009</v>
      </c>
      <c r="N177" s="210">
        <v>634773.30000000005</v>
      </c>
      <c r="O177" s="210">
        <v>0</v>
      </c>
      <c r="P177" s="210">
        <v>37241.370000000003</v>
      </c>
      <c r="Q177" s="210">
        <v>306332.08</v>
      </c>
      <c r="R177" s="210">
        <v>-26198.05</v>
      </c>
      <c r="S177" s="144">
        <f t="shared" si="10"/>
        <v>391880.64</v>
      </c>
      <c r="T177" s="145">
        <v>290216.65999999997</v>
      </c>
      <c r="U177" s="145">
        <v>101663.98</v>
      </c>
    </row>
    <row r="178" spans="1:21">
      <c r="A178" s="74">
        <f t="shared" ref="A178:A241" si="11">A177+1</f>
        <v>168</v>
      </c>
      <c r="B178" s="75">
        <v>64863</v>
      </c>
      <c r="C178" s="209" t="s">
        <v>12</v>
      </c>
      <c r="D178" s="209" t="s">
        <v>16</v>
      </c>
      <c r="E178" s="211">
        <v>7.5030999999999999</v>
      </c>
      <c r="F178" s="208">
        <v>45485</v>
      </c>
      <c r="G178" s="208">
        <v>46579</v>
      </c>
      <c r="H178" s="77"/>
      <c r="I178" s="210">
        <v>631315.9</v>
      </c>
      <c r="J178" s="210">
        <v>0</v>
      </c>
      <c r="K178" s="210">
        <v>-26414.69</v>
      </c>
      <c r="L178" s="210">
        <v>282404.23999999993</v>
      </c>
      <c r="M178" s="144">
        <f t="shared" ref="M178:M241" si="12">I178+J178-K178-L178</f>
        <v>375326.35000000003</v>
      </c>
      <c r="N178" s="210">
        <v>640264.65</v>
      </c>
      <c r="O178" s="210">
        <v>0</v>
      </c>
      <c r="P178" s="210">
        <v>37563.32</v>
      </c>
      <c r="Q178" s="210">
        <v>308980</v>
      </c>
      <c r="R178" s="210">
        <v>-26414.69</v>
      </c>
      <c r="S178" s="144">
        <f t="shared" si="10"/>
        <v>395262.66</v>
      </c>
      <c r="T178" s="145">
        <v>292721.28000000003</v>
      </c>
      <c r="U178" s="145">
        <v>102541.38</v>
      </c>
    </row>
    <row r="179" spans="1:21">
      <c r="A179" s="74">
        <f t="shared" si="11"/>
        <v>169</v>
      </c>
      <c r="B179" s="75">
        <v>64868</v>
      </c>
      <c r="C179" s="209" t="s">
        <v>12</v>
      </c>
      <c r="D179" s="209" t="s">
        <v>16</v>
      </c>
      <c r="E179" s="211">
        <v>7.6886999999999999</v>
      </c>
      <c r="F179" s="208">
        <v>45498</v>
      </c>
      <c r="G179" s="208">
        <v>46958</v>
      </c>
      <c r="H179" s="77"/>
      <c r="I179" s="210">
        <v>896948.88</v>
      </c>
      <c r="J179" s="210">
        <v>0</v>
      </c>
      <c r="K179" s="210">
        <v>-66974.2</v>
      </c>
      <c r="L179" s="210">
        <v>279043.59999999998</v>
      </c>
      <c r="M179" s="144">
        <f t="shared" si="12"/>
        <v>684879.48</v>
      </c>
      <c r="N179" s="210">
        <v>903931.69</v>
      </c>
      <c r="O179" s="210">
        <v>0</v>
      </c>
      <c r="P179" s="210">
        <v>60279.09</v>
      </c>
      <c r="Q179" s="210">
        <v>319484.52</v>
      </c>
      <c r="R179" s="210">
        <v>-66974.2</v>
      </c>
      <c r="S179" s="144">
        <f t="shared" si="10"/>
        <v>711700.45999999985</v>
      </c>
      <c r="T179" s="145">
        <v>289506.39</v>
      </c>
      <c r="U179" s="145">
        <v>422194.07</v>
      </c>
    </row>
    <row r="180" spans="1:21">
      <c r="A180" s="74">
        <f t="shared" si="11"/>
        <v>170</v>
      </c>
      <c r="B180" s="75">
        <v>64872</v>
      </c>
      <c r="C180" s="209" t="s">
        <v>12</v>
      </c>
      <c r="D180" s="209" t="s">
        <v>16</v>
      </c>
      <c r="E180" s="211">
        <v>7.5030999999999999</v>
      </c>
      <c r="F180" s="208">
        <v>45497</v>
      </c>
      <c r="G180" s="208">
        <v>46591</v>
      </c>
      <c r="H180" s="77"/>
      <c r="I180" s="210">
        <v>1226663.6599999999</v>
      </c>
      <c r="J180" s="210">
        <v>0</v>
      </c>
      <c r="K180" s="210">
        <v>-106835.76</v>
      </c>
      <c r="L180" s="210">
        <v>552249.84000000008</v>
      </c>
      <c r="M180" s="144">
        <f t="shared" si="12"/>
        <v>781249.57999999984</v>
      </c>
      <c r="N180" s="210">
        <v>1226692.46</v>
      </c>
      <c r="O180" s="210">
        <v>0</v>
      </c>
      <c r="P180" s="210">
        <v>73200.049999999988</v>
      </c>
      <c r="Q180" s="210">
        <v>603903.12</v>
      </c>
      <c r="R180" s="210">
        <v>-106835.76</v>
      </c>
      <c r="S180" s="144">
        <f t="shared" si="10"/>
        <v>802825.15</v>
      </c>
      <c r="T180" s="145">
        <v>594551.49</v>
      </c>
      <c r="U180" s="145">
        <v>208273.66</v>
      </c>
    </row>
    <row r="181" spans="1:21">
      <c r="A181" s="74">
        <f t="shared" si="11"/>
        <v>171</v>
      </c>
      <c r="B181" s="75">
        <v>64875</v>
      </c>
      <c r="C181" s="209" t="s">
        <v>12</v>
      </c>
      <c r="D181" s="209" t="s">
        <v>16</v>
      </c>
      <c r="E181" s="211">
        <v>7.3028000000000004</v>
      </c>
      <c r="F181" s="208">
        <v>45505</v>
      </c>
      <c r="G181" s="208">
        <v>46136</v>
      </c>
      <c r="H181" s="77"/>
      <c r="I181" s="210">
        <v>502426.69</v>
      </c>
      <c r="J181" s="210">
        <v>0</v>
      </c>
      <c r="K181" s="210">
        <v>-45733.37</v>
      </c>
      <c r="L181" s="210">
        <v>509136.15999999992</v>
      </c>
      <c r="M181" s="144">
        <f t="shared" si="12"/>
        <v>39023.90000000014</v>
      </c>
      <c r="N181" s="210">
        <v>517617.36</v>
      </c>
      <c r="O181" s="210">
        <v>0</v>
      </c>
      <c r="P181" s="210">
        <v>19608.52</v>
      </c>
      <c r="Q181" s="210">
        <v>532419</v>
      </c>
      <c r="R181" s="210">
        <v>-45733.37</v>
      </c>
      <c r="S181" s="144">
        <f t="shared" si="10"/>
        <v>50540.250000000007</v>
      </c>
      <c r="T181" s="145">
        <v>50540.25</v>
      </c>
      <c r="U181" s="145">
        <v>0</v>
      </c>
    </row>
    <row r="182" spans="1:21">
      <c r="A182" s="74">
        <f t="shared" si="11"/>
        <v>172</v>
      </c>
      <c r="B182" s="75">
        <v>64876</v>
      </c>
      <c r="C182" s="209" t="s">
        <v>12</v>
      </c>
      <c r="D182" s="209" t="s">
        <v>16</v>
      </c>
      <c r="E182" s="211">
        <v>7.5030999999999999</v>
      </c>
      <c r="F182" s="208">
        <v>45504</v>
      </c>
      <c r="G182" s="208">
        <v>46598</v>
      </c>
      <c r="H182" s="77"/>
      <c r="I182" s="210">
        <v>876268.68</v>
      </c>
      <c r="J182" s="210">
        <v>0</v>
      </c>
      <c r="K182" s="210">
        <v>-35703.089999999997</v>
      </c>
      <c r="L182" s="210">
        <v>383129.04</v>
      </c>
      <c r="M182" s="144">
        <f t="shared" si="12"/>
        <v>528842.73</v>
      </c>
      <c r="N182" s="210">
        <v>869214.23</v>
      </c>
      <c r="O182" s="210">
        <v>0</v>
      </c>
      <c r="P182" s="210">
        <v>50991.969999999987</v>
      </c>
      <c r="Q182" s="210">
        <v>419433.56000000006</v>
      </c>
      <c r="R182" s="210">
        <v>-35703.089999999997</v>
      </c>
      <c r="S182" s="144">
        <f t="shared" si="10"/>
        <v>536475.72999999986</v>
      </c>
      <c r="T182" s="145">
        <v>397300.01</v>
      </c>
      <c r="U182" s="145">
        <v>139175.72</v>
      </c>
    </row>
    <row r="183" spans="1:21">
      <c r="A183" s="74">
        <f t="shared" si="11"/>
        <v>173</v>
      </c>
      <c r="B183" s="75">
        <v>64880</v>
      </c>
      <c r="C183" s="209" t="s">
        <v>12</v>
      </c>
      <c r="D183" s="209" t="s">
        <v>16</v>
      </c>
      <c r="E183" s="211">
        <v>7.6886999999999999</v>
      </c>
      <c r="F183" s="208">
        <v>45497</v>
      </c>
      <c r="G183" s="208">
        <v>46957</v>
      </c>
      <c r="H183" s="77"/>
      <c r="I183" s="210">
        <v>1107788.47</v>
      </c>
      <c r="J183" s="210">
        <v>0</v>
      </c>
      <c r="K183" s="210">
        <v>-32369.18</v>
      </c>
      <c r="L183" s="210">
        <v>338573.63999999996</v>
      </c>
      <c r="M183" s="144">
        <f t="shared" si="12"/>
        <v>801584.01</v>
      </c>
      <c r="N183" s="210">
        <v>1117318.8500000001</v>
      </c>
      <c r="O183" s="210">
        <v>0</v>
      </c>
      <c r="P183" s="210">
        <v>73316.33</v>
      </c>
      <c r="Q183" s="210">
        <v>387958.2</v>
      </c>
      <c r="R183" s="210">
        <v>-32369.18</v>
      </c>
      <c r="S183" s="144">
        <f t="shared" si="10"/>
        <v>835046.16000000027</v>
      </c>
      <c r="T183" s="145">
        <v>339681.1</v>
      </c>
      <c r="U183" s="145">
        <v>495365.06</v>
      </c>
    </row>
    <row r="184" spans="1:21">
      <c r="A184" s="74">
        <f t="shared" si="11"/>
        <v>174</v>
      </c>
      <c r="B184" s="75">
        <v>64882</v>
      </c>
      <c r="C184" s="209" t="s">
        <v>12</v>
      </c>
      <c r="D184" s="209" t="s">
        <v>16</v>
      </c>
      <c r="E184" s="211">
        <v>7.8173000000000004</v>
      </c>
      <c r="F184" s="208">
        <v>45488</v>
      </c>
      <c r="G184" s="208">
        <v>47313</v>
      </c>
      <c r="H184" s="77"/>
      <c r="I184" s="210">
        <v>1355767.01</v>
      </c>
      <c r="J184" s="210">
        <v>0</v>
      </c>
      <c r="K184" s="210">
        <v>-89499.17</v>
      </c>
      <c r="L184" s="210">
        <v>324442.9200000001</v>
      </c>
      <c r="M184" s="144">
        <f t="shared" si="12"/>
        <v>1120823.2599999998</v>
      </c>
      <c r="N184" s="210">
        <v>1381292.64</v>
      </c>
      <c r="O184" s="210">
        <v>0</v>
      </c>
      <c r="P184" s="210">
        <v>97671.8</v>
      </c>
      <c r="Q184" s="210">
        <v>387377.4800000001</v>
      </c>
      <c r="R184" s="210">
        <v>-89499.17</v>
      </c>
      <c r="S184" s="144">
        <f t="shared" si="10"/>
        <v>1181086.1299999999</v>
      </c>
      <c r="T184" s="145">
        <v>322710.14</v>
      </c>
      <c r="U184" s="145">
        <v>858375.99</v>
      </c>
    </row>
    <row r="185" spans="1:21">
      <c r="A185" s="74">
        <f t="shared" si="11"/>
        <v>175</v>
      </c>
      <c r="B185" s="75">
        <v>65142</v>
      </c>
      <c r="C185" s="209" t="s">
        <v>12</v>
      </c>
      <c r="D185" s="209" t="s">
        <v>16</v>
      </c>
      <c r="E185" s="211">
        <v>7.8133999999999997</v>
      </c>
      <c r="F185" s="208">
        <v>45469</v>
      </c>
      <c r="G185" s="208">
        <v>47294</v>
      </c>
      <c r="H185" s="77"/>
      <c r="I185" s="210">
        <v>1368027.91</v>
      </c>
      <c r="J185" s="210">
        <v>0</v>
      </c>
      <c r="K185" s="210">
        <v>-90375.14</v>
      </c>
      <c r="L185" s="210">
        <v>331384.04000000004</v>
      </c>
      <c r="M185" s="144">
        <f t="shared" si="12"/>
        <v>1127019.0099999998</v>
      </c>
      <c r="N185" s="210">
        <v>1387307.53</v>
      </c>
      <c r="O185" s="210">
        <v>0</v>
      </c>
      <c r="P185" s="210">
        <v>97778.680000000008</v>
      </c>
      <c r="Q185" s="210">
        <v>395613.28</v>
      </c>
      <c r="R185" s="210">
        <v>-90375.14</v>
      </c>
      <c r="S185" s="144">
        <f t="shared" si="10"/>
        <v>1179848.0699999998</v>
      </c>
      <c r="T185" s="145">
        <v>331774.28000000003</v>
      </c>
      <c r="U185" s="145">
        <v>848073.79</v>
      </c>
    </row>
    <row r="186" spans="1:21">
      <c r="A186" s="74">
        <f t="shared" si="11"/>
        <v>176</v>
      </c>
      <c r="B186" s="75">
        <v>65148</v>
      </c>
      <c r="C186" s="209" t="s">
        <v>12</v>
      </c>
      <c r="D186" s="209" t="s">
        <v>16</v>
      </c>
      <c r="E186" s="211">
        <v>7.8173000000000004</v>
      </c>
      <c r="F186" s="208">
        <v>45512</v>
      </c>
      <c r="G186" s="208">
        <v>47337</v>
      </c>
      <c r="H186" s="77"/>
      <c r="I186" s="210">
        <v>1545687.74</v>
      </c>
      <c r="J186" s="210">
        <v>0</v>
      </c>
      <c r="K186" s="210">
        <v>-101697.2</v>
      </c>
      <c r="L186" s="210">
        <v>364352.87999999995</v>
      </c>
      <c r="M186" s="144">
        <f t="shared" si="12"/>
        <v>1283032.06</v>
      </c>
      <c r="N186" s="210">
        <v>1577022.32</v>
      </c>
      <c r="O186" s="210">
        <v>0</v>
      </c>
      <c r="P186" s="210">
        <v>111807.02</v>
      </c>
      <c r="Q186" s="210">
        <v>435086.36000000004</v>
      </c>
      <c r="R186" s="210">
        <v>-101697.2</v>
      </c>
      <c r="S186" s="144">
        <f t="shared" si="10"/>
        <v>1355440.18</v>
      </c>
      <c r="T186" s="145">
        <v>360093.95</v>
      </c>
      <c r="U186" s="145">
        <v>995346.23</v>
      </c>
    </row>
    <row r="187" spans="1:21">
      <c r="A187" s="74">
        <f t="shared" si="11"/>
        <v>177</v>
      </c>
      <c r="B187" s="75">
        <v>65151</v>
      </c>
      <c r="C187" s="209" t="s">
        <v>12</v>
      </c>
      <c r="D187" s="209" t="s">
        <v>16</v>
      </c>
      <c r="E187" s="211">
        <v>7.8173000000000004</v>
      </c>
      <c r="F187" s="208">
        <v>45512</v>
      </c>
      <c r="G187" s="208">
        <v>47337</v>
      </c>
      <c r="H187" s="77"/>
      <c r="I187" s="210">
        <v>1216871.04</v>
      </c>
      <c r="J187" s="210">
        <v>0</v>
      </c>
      <c r="K187" s="210">
        <v>-27334.84</v>
      </c>
      <c r="L187" s="210">
        <v>282074.56</v>
      </c>
      <c r="M187" s="144">
        <f t="shared" si="12"/>
        <v>962131.32000000007</v>
      </c>
      <c r="N187" s="210">
        <v>1241539.8</v>
      </c>
      <c r="O187" s="210">
        <v>0</v>
      </c>
      <c r="P187" s="210">
        <v>86722.999999999985</v>
      </c>
      <c r="Q187" s="210">
        <v>337142.24</v>
      </c>
      <c r="R187" s="210">
        <v>-27334.84</v>
      </c>
      <c r="S187" s="144">
        <f t="shared" si="10"/>
        <v>1018455.4</v>
      </c>
      <c r="T187" s="145">
        <v>270568.68</v>
      </c>
      <c r="U187" s="145">
        <v>747886.72</v>
      </c>
    </row>
    <row r="188" spans="1:21">
      <c r="A188" s="74">
        <f t="shared" si="11"/>
        <v>178</v>
      </c>
      <c r="B188" s="75">
        <v>65423</v>
      </c>
      <c r="C188" s="209" t="s">
        <v>12</v>
      </c>
      <c r="D188" s="209" t="s">
        <v>16</v>
      </c>
      <c r="E188" s="211">
        <v>7.3353000000000002</v>
      </c>
      <c r="F188" s="208">
        <v>45575</v>
      </c>
      <c r="G188" s="208">
        <v>47035</v>
      </c>
      <c r="H188" s="77"/>
      <c r="I188" s="210">
        <v>4866398.5999999996</v>
      </c>
      <c r="J188" s="210">
        <v>0</v>
      </c>
      <c r="K188" s="210">
        <v>-404649.81</v>
      </c>
      <c r="L188" s="210">
        <v>1428057.3199999998</v>
      </c>
      <c r="M188" s="144">
        <f t="shared" si="12"/>
        <v>3842991.0899999994</v>
      </c>
      <c r="N188" s="210">
        <v>4918056.12</v>
      </c>
      <c r="O188" s="210">
        <v>0</v>
      </c>
      <c r="P188" s="210">
        <v>318016.58999999997</v>
      </c>
      <c r="Q188" s="210">
        <v>1625395.5199999998</v>
      </c>
      <c r="R188" s="210">
        <v>-404649.81</v>
      </c>
      <c r="S188" s="144">
        <f t="shared" si="10"/>
        <v>4015327.0000000005</v>
      </c>
      <c r="T188" s="145">
        <v>1465036.34</v>
      </c>
      <c r="U188" s="145">
        <v>2550290.66</v>
      </c>
    </row>
    <row r="189" spans="1:21">
      <c r="A189" s="74">
        <f t="shared" si="11"/>
        <v>179</v>
      </c>
      <c r="B189" s="256">
        <v>65449</v>
      </c>
      <c r="C189" s="209" t="s">
        <v>12</v>
      </c>
      <c r="D189" s="209" t="s">
        <v>13</v>
      </c>
      <c r="E189" s="211">
        <v>7.4850000000000003</v>
      </c>
      <c r="F189" s="208">
        <v>45617</v>
      </c>
      <c r="G189" s="208">
        <v>47442</v>
      </c>
      <c r="H189" s="77"/>
      <c r="I189" s="210">
        <v>123094478.26000001</v>
      </c>
      <c r="J189" s="210">
        <v>0</v>
      </c>
      <c r="K189" s="210">
        <v>0</v>
      </c>
      <c r="L189" s="210">
        <v>26535336.600000005</v>
      </c>
      <c r="M189" s="144">
        <f t="shared" si="12"/>
        <v>96559141.659999996</v>
      </c>
      <c r="N189" s="210">
        <v>128743381.54000001</v>
      </c>
      <c r="O189" s="210">
        <v>0</v>
      </c>
      <c r="P189" s="210">
        <v>8643126.0500000007</v>
      </c>
      <c r="Q189" s="210">
        <v>32090812</v>
      </c>
      <c r="R189" s="210">
        <v>0</v>
      </c>
      <c r="S189" s="144">
        <f t="shared" si="10"/>
        <v>105295695.59</v>
      </c>
      <c r="T189" s="145">
        <v>25264224.350000001</v>
      </c>
      <c r="U189" s="145">
        <v>80031471.239999995</v>
      </c>
    </row>
    <row r="190" spans="1:21">
      <c r="A190" s="74">
        <f t="shared" si="11"/>
        <v>180</v>
      </c>
      <c r="B190" s="75">
        <v>65468</v>
      </c>
      <c r="C190" s="209" t="s">
        <v>12</v>
      </c>
      <c r="D190" s="209" t="s">
        <v>16</v>
      </c>
      <c r="E190" s="211">
        <v>7.3353000000000002</v>
      </c>
      <c r="F190" s="208">
        <v>45611</v>
      </c>
      <c r="G190" s="208">
        <v>47071</v>
      </c>
      <c r="H190" s="77"/>
      <c r="I190" s="210">
        <v>831890.34</v>
      </c>
      <c r="J190" s="210">
        <v>0</v>
      </c>
      <c r="K190" s="210">
        <v>-22365.1</v>
      </c>
      <c r="L190" s="210">
        <v>232185.36</v>
      </c>
      <c r="M190" s="144">
        <f t="shared" si="12"/>
        <v>622070.07999999996</v>
      </c>
      <c r="N190" s="210">
        <v>835005.7</v>
      </c>
      <c r="O190" s="210">
        <v>0</v>
      </c>
      <c r="P190" s="210">
        <v>53163.520000000004</v>
      </c>
      <c r="Q190" s="210">
        <v>264648.83999999997</v>
      </c>
      <c r="R190" s="210">
        <v>-22365.1</v>
      </c>
      <c r="S190" s="144">
        <f t="shared" si="10"/>
        <v>645885.48</v>
      </c>
      <c r="T190" s="145">
        <v>227577.37</v>
      </c>
      <c r="U190" s="145">
        <v>418308.11</v>
      </c>
    </row>
    <row r="191" spans="1:21">
      <c r="A191" s="74">
        <f t="shared" si="11"/>
        <v>181</v>
      </c>
      <c r="B191" s="75">
        <v>65477</v>
      </c>
      <c r="C191" s="209" t="s">
        <v>12</v>
      </c>
      <c r="D191" s="209" t="s">
        <v>16</v>
      </c>
      <c r="E191" s="211">
        <v>7.1250999999999998</v>
      </c>
      <c r="F191" s="208">
        <v>45605</v>
      </c>
      <c r="G191" s="208">
        <v>46699</v>
      </c>
      <c r="H191" s="77"/>
      <c r="I191" s="210">
        <v>514062.77</v>
      </c>
      <c r="J191" s="210">
        <v>0</v>
      </c>
      <c r="K191" s="210">
        <v>-18909.07</v>
      </c>
      <c r="L191" s="210">
        <v>200545.72000000006</v>
      </c>
      <c r="M191" s="144">
        <f t="shared" si="12"/>
        <v>332426.11999999988</v>
      </c>
      <c r="N191" s="210">
        <v>517024.98</v>
      </c>
      <c r="O191" s="210">
        <v>0</v>
      </c>
      <c r="P191" s="210">
        <v>29894.810000000005</v>
      </c>
      <c r="Q191" s="210">
        <v>218956.91999999995</v>
      </c>
      <c r="R191" s="210">
        <v>-18909.07</v>
      </c>
      <c r="S191" s="144">
        <f t="shared" si="10"/>
        <v>346871.94000000012</v>
      </c>
      <c r="T191" s="145">
        <v>203176.72</v>
      </c>
      <c r="U191" s="145">
        <v>143695.22</v>
      </c>
    </row>
    <row r="192" spans="1:21">
      <c r="A192" s="74">
        <f t="shared" si="11"/>
        <v>182</v>
      </c>
      <c r="B192" s="75">
        <v>65481</v>
      </c>
      <c r="C192" s="209" t="s">
        <v>12</v>
      </c>
      <c r="D192" s="209" t="s">
        <v>16</v>
      </c>
      <c r="E192" s="211">
        <v>7.4850000000000003</v>
      </c>
      <c r="F192" s="208">
        <v>45610</v>
      </c>
      <c r="G192" s="208">
        <v>47435</v>
      </c>
      <c r="H192" s="77"/>
      <c r="I192" s="210">
        <v>1770638.52</v>
      </c>
      <c r="J192" s="210">
        <v>0</v>
      </c>
      <c r="K192" s="210">
        <v>-107441.60000000001</v>
      </c>
      <c r="L192" s="210">
        <v>392361.63999999996</v>
      </c>
      <c r="M192" s="144">
        <f t="shared" si="12"/>
        <v>1485718.4800000002</v>
      </c>
      <c r="N192" s="210">
        <v>1782671.83</v>
      </c>
      <c r="O192" s="210">
        <v>0</v>
      </c>
      <c r="P192" s="210">
        <v>121701.18</v>
      </c>
      <c r="Q192" s="210">
        <v>465401.6399999999</v>
      </c>
      <c r="R192" s="210">
        <v>-107441.60000000001</v>
      </c>
      <c r="S192" s="144">
        <f t="shared" si="10"/>
        <v>1546412.9700000002</v>
      </c>
      <c r="T192" s="145">
        <v>380708.98</v>
      </c>
      <c r="U192" s="145">
        <v>1165703.99</v>
      </c>
    </row>
    <row r="193" spans="1:21">
      <c r="A193" s="74">
        <f t="shared" si="11"/>
        <v>183</v>
      </c>
      <c r="B193" s="75">
        <v>65559</v>
      </c>
      <c r="C193" s="209" t="s">
        <v>12</v>
      </c>
      <c r="D193" s="209" t="s">
        <v>16</v>
      </c>
      <c r="E193" s="211">
        <v>7.4850000000000003</v>
      </c>
      <c r="F193" s="208">
        <v>45645</v>
      </c>
      <c r="G193" s="208">
        <v>47470</v>
      </c>
      <c r="H193" s="77"/>
      <c r="I193" s="210">
        <v>1498784.1</v>
      </c>
      <c r="J193" s="210">
        <v>0</v>
      </c>
      <c r="K193" s="210">
        <v>-112665.37</v>
      </c>
      <c r="L193" s="210">
        <v>327148.63999999996</v>
      </c>
      <c r="M193" s="144">
        <f t="shared" si="12"/>
        <v>1284300.8300000003</v>
      </c>
      <c r="N193" s="210">
        <v>1500846.44</v>
      </c>
      <c r="O193" s="210">
        <v>0</v>
      </c>
      <c r="P193" s="210">
        <v>103228.12000000001</v>
      </c>
      <c r="Q193" s="210">
        <v>388086.32</v>
      </c>
      <c r="R193" s="210">
        <v>-112665.37</v>
      </c>
      <c r="S193" s="144">
        <f t="shared" si="10"/>
        <v>1328653.6099999999</v>
      </c>
      <c r="T193" s="145">
        <v>318791.78000000003</v>
      </c>
      <c r="U193" s="145">
        <v>1009861.83</v>
      </c>
    </row>
    <row r="194" spans="1:21">
      <c r="A194" s="74">
        <f t="shared" si="11"/>
        <v>184</v>
      </c>
      <c r="B194" s="75">
        <v>65651</v>
      </c>
      <c r="C194" s="209" t="s">
        <v>12</v>
      </c>
      <c r="D194" s="209" t="s">
        <v>16</v>
      </c>
      <c r="E194" s="211">
        <v>7.5717999999999996</v>
      </c>
      <c r="F194" s="208">
        <v>45671</v>
      </c>
      <c r="G194" s="208">
        <v>47496</v>
      </c>
      <c r="H194" s="77"/>
      <c r="I194" s="210">
        <v>1191325.25</v>
      </c>
      <c r="J194" s="210">
        <v>0</v>
      </c>
      <c r="K194" s="210">
        <v>-24500.55</v>
      </c>
      <c r="L194" s="210">
        <v>250956.68000000002</v>
      </c>
      <c r="M194" s="144">
        <f t="shared" si="12"/>
        <v>964869.12</v>
      </c>
      <c r="N194" s="210">
        <v>1193146.4099999999</v>
      </c>
      <c r="O194" s="210">
        <v>0</v>
      </c>
      <c r="P194" s="210">
        <v>81651.87000000001</v>
      </c>
      <c r="Q194" s="210">
        <v>298546.51999999996</v>
      </c>
      <c r="R194" s="210">
        <v>-24500.55</v>
      </c>
      <c r="S194" s="144">
        <f t="shared" si="10"/>
        <v>1000752.31</v>
      </c>
      <c r="T194" s="145">
        <v>233829.92</v>
      </c>
      <c r="U194" s="145">
        <v>766922.39</v>
      </c>
    </row>
    <row r="195" spans="1:21">
      <c r="A195" s="74">
        <f t="shared" si="11"/>
        <v>185</v>
      </c>
      <c r="B195" s="75">
        <v>65683</v>
      </c>
      <c r="C195" s="209" t="s">
        <v>12</v>
      </c>
      <c r="D195" s="209" t="s">
        <v>16</v>
      </c>
      <c r="E195" s="211">
        <v>7.5717999999999996</v>
      </c>
      <c r="F195" s="208">
        <v>45693</v>
      </c>
      <c r="G195" s="208">
        <v>47518</v>
      </c>
      <c r="H195" s="77"/>
      <c r="I195" s="210">
        <v>2181326.23</v>
      </c>
      <c r="J195" s="210">
        <v>0</v>
      </c>
      <c r="K195" s="210">
        <v>-161910.41</v>
      </c>
      <c r="L195" s="210">
        <v>463115.96</v>
      </c>
      <c r="M195" s="144">
        <f t="shared" si="12"/>
        <v>1880120.6800000002</v>
      </c>
      <c r="N195" s="210">
        <v>2188846.92</v>
      </c>
      <c r="O195" s="210">
        <v>0</v>
      </c>
      <c r="P195" s="210">
        <v>152930.31</v>
      </c>
      <c r="Q195" s="210">
        <v>550589.12</v>
      </c>
      <c r="R195" s="210">
        <v>-161910.41</v>
      </c>
      <c r="S195" s="144">
        <f t="shared" si="10"/>
        <v>1953098.5199999998</v>
      </c>
      <c r="T195" s="145">
        <v>445169.33</v>
      </c>
      <c r="U195" s="145">
        <v>1507929.19</v>
      </c>
    </row>
    <row r="196" spans="1:21">
      <c r="A196" s="74">
        <f t="shared" si="11"/>
        <v>186</v>
      </c>
      <c r="B196" s="75">
        <v>65770</v>
      </c>
      <c r="C196" s="209" t="s">
        <v>12</v>
      </c>
      <c r="D196" s="209" t="s">
        <v>16</v>
      </c>
      <c r="E196" s="211">
        <v>7.3468999999999998</v>
      </c>
      <c r="F196" s="208">
        <v>45773</v>
      </c>
      <c r="G196" s="208">
        <v>47598</v>
      </c>
      <c r="H196" s="77"/>
      <c r="I196" s="210">
        <v>0</v>
      </c>
      <c r="J196" s="210">
        <v>1436078.959973</v>
      </c>
      <c r="K196" s="210">
        <v>-96125.58</v>
      </c>
      <c r="L196" s="210">
        <v>274547.89999999997</v>
      </c>
      <c r="M196" s="144">
        <f t="shared" si="12"/>
        <v>1257656.6399730002</v>
      </c>
      <c r="N196" s="210">
        <v>0</v>
      </c>
      <c r="O196" s="210">
        <v>1436078.959973</v>
      </c>
      <c r="P196" s="210">
        <v>97488.08</v>
      </c>
      <c r="Q196" s="210">
        <v>348605.24000000005</v>
      </c>
      <c r="R196" s="210">
        <v>-96125.58</v>
      </c>
      <c r="S196" s="144">
        <f t="shared" si="10"/>
        <v>1281087.3799730001</v>
      </c>
      <c r="T196" s="145">
        <v>279256.46999999997</v>
      </c>
      <c r="U196" s="145">
        <v>1001830.91</v>
      </c>
    </row>
    <row r="197" spans="1:21">
      <c r="A197" s="74">
        <f t="shared" si="11"/>
        <v>187</v>
      </c>
      <c r="B197" s="75">
        <v>65777</v>
      </c>
      <c r="C197" s="209" t="s">
        <v>12</v>
      </c>
      <c r="D197" s="209" t="s">
        <v>16</v>
      </c>
      <c r="E197" s="211">
        <v>7.3468999999999998</v>
      </c>
      <c r="F197" s="208">
        <v>45770</v>
      </c>
      <c r="G197" s="208">
        <v>47595</v>
      </c>
      <c r="H197" s="77"/>
      <c r="I197" s="210">
        <v>0</v>
      </c>
      <c r="J197" s="210">
        <v>1504720.10002</v>
      </c>
      <c r="K197" s="210">
        <v>-101310.41</v>
      </c>
      <c r="L197" s="210">
        <v>290237.73999999993</v>
      </c>
      <c r="M197" s="144">
        <f t="shared" si="12"/>
        <v>1315792.7700199999</v>
      </c>
      <c r="N197" s="210">
        <v>0</v>
      </c>
      <c r="O197" s="210">
        <v>1504720.10002</v>
      </c>
      <c r="P197" s="210">
        <v>102161.56999999999</v>
      </c>
      <c r="Q197" s="210">
        <v>365319.72</v>
      </c>
      <c r="R197" s="210">
        <v>-101310.41</v>
      </c>
      <c r="S197" s="144">
        <f t="shared" si="10"/>
        <v>1342872.36002</v>
      </c>
      <c r="T197" s="145">
        <v>292724.62</v>
      </c>
      <c r="U197" s="145">
        <v>1050147.74</v>
      </c>
    </row>
    <row r="198" spans="1:21">
      <c r="A198" s="74">
        <f t="shared" si="11"/>
        <v>188</v>
      </c>
      <c r="B198" s="75">
        <v>65778</v>
      </c>
      <c r="C198" s="209" t="s">
        <v>12</v>
      </c>
      <c r="D198" s="209" t="s">
        <v>16</v>
      </c>
      <c r="E198" s="211">
        <v>6.8864999999999998</v>
      </c>
      <c r="F198" s="208">
        <v>45774</v>
      </c>
      <c r="G198" s="208">
        <v>46869</v>
      </c>
      <c r="H198" s="77"/>
      <c r="I198" s="210">
        <v>0</v>
      </c>
      <c r="J198" s="210">
        <v>625607.59000099998</v>
      </c>
      <c r="K198" s="210">
        <v>-20166.23</v>
      </c>
      <c r="L198" s="210">
        <v>196269.36000000002</v>
      </c>
      <c r="M198" s="144">
        <f t="shared" si="12"/>
        <v>449504.46000099997</v>
      </c>
      <c r="N198" s="210">
        <v>0</v>
      </c>
      <c r="O198" s="210">
        <v>625607.59000099998</v>
      </c>
      <c r="P198" s="210">
        <v>36161.159999999996</v>
      </c>
      <c r="Q198" s="210">
        <v>230665.27999999994</v>
      </c>
      <c r="R198" s="210">
        <v>-20166.23</v>
      </c>
      <c r="S198" s="144">
        <f t="shared" si="10"/>
        <v>451269.70000100008</v>
      </c>
      <c r="T198" s="145">
        <v>208563.73</v>
      </c>
      <c r="U198" s="145">
        <v>242705.97</v>
      </c>
    </row>
    <row r="199" spans="1:21">
      <c r="A199" s="74">
        <f t="shared" si="11"/>
        <v>189</v>
      </c>
      <c r="B199" s="75">
        <v>65782</v>
      </c>
      <c r="C199" s="209" t="s">
        <v>12</v>
      </c>
      <c r="D199" s="209" t="s">
        <v>16</v>
      </c>
      <c r="E199" s="211">
        <v>7.3468999999999998</v>
      </c>
      <c r="F199" s="208">
        <v>45777</v>
      </c>
      <c r="G199" s="208">
        <v>47602</v>
      </c>
      <c r="H199" s="77"/>
      <c r="I199" s="210">
        <v>0</v>
      </c>
      <c r="J199" s="210">
        <v>1014932.460008</v>
      </c>
      <c r="K199" s="210">
        <v>-20393.93</v>
      </c>
      <c r="L199" s="210">
        <v>188174.91000000006</v>
      </c>
      <c r="M199" s="144">
        <f t="shared" si="12"/>
        <v>847151.48000800004</v>
      </c>
      <c r="N199" s="210">
        <v>0</v>
      </c>
      <c r="O199" s="210">
        <v>1014932.460008</v>
      </c>
      <c r="P199" s="210">
        <v>67788.060000000012</v>
      </c>
      <c r="Q199" s="210">
        <v>242185.92</v>
      </c>
      <c r="R199" s="210">
        <v>-20393.93</v>
      </c>
      <c r="S199" s="144">
        <f t="shared" si="10"/>
        <v>860928.53000800009</v>
      </c>
      <c r="T199" s="145">
        <v>187668.61</v>
      </c>
      <c r="U199" s="145">
        <v>673259.92</v>
      </c>
    </row>
    <row r="200" spans="1:21">
      <c r="A200" s="74">
        <f t="shared" si="11"/>
        <v>190</v>
      </c>
      <c r="B200" s="75">
        <v>65791</v>
      </c>
      <c r="C200" s="209" t="s">
        <v>12</v>
      </c>
      <c r="D200" s="209" t="s">
        <v>16</v>
      </c>
      <c r="E200" s="211">
        <v>7.3468999999999998</v>
      </c>
      <c r="F200" s="208">
        <v>45772</v>
      </c>
      <c r="G200" s="208">
        <v>47597</v>
      </c>
      <c r="H200" s="77"/>
      <c r="I200" s="210">
        <v>0</v>
      </c>
      <c r="J200" s="210">
        <v>743667.65996299998</v>
      </c>
      <c r="K200" s="210">
        <v>-14927.93</v>
      </c>
      <c r="L200" s="210">
        <v>139948.87</v>
      </c>
      <c r="M200" s="144">
        <f t="shared" si="12"/>
        <v>618646.71996300004</v>
      </c>
      <c r="N200" s="210">
        <v>0</v>
      </c>
      <c r="O200" s="210">
        <v>743667.65996299998</v>
      </c>
      <c r="P200" s="210">
        <v>49669.740000000005</v>
      </c>
      <c r="Q200" s="210">
        <v>177454.63999999993</v>
      </c>
      <c r="R200" s="210">
        <v>-14927.93</v>
      </c>
      <c r="S200" s="144">
        <f t="shared" si="10"/>
        <v>630810.68996300013</v>
      </c>
      <c r="T200" s="145">
        <v>137506.60999999999</v>
      </c>
      <c r="U200" s="145">
        <v>493304.08</v>
      </c>
    </row>
    <row r="201" spans="1:21">
      <c r="A201" s="74">
        <f t="shared" si="11"/>
        <v>191</v>
      </c>
      <c r="B201" s="75">
        <v>65795</v>
      </c>
      <c r="C201" s="209" t="s">
        <v>12</v>
      </c>
      <c r="D201" s="209" t="s">
        <v>16</v>
      </c>
      <c r="E201" s="211">
        <v>7.3468999999999998</v>
      </c>
      <c r="F201" s="208">
        <v>45777</v>
      </c>
      <c r="G201" s="208">
        <v>47602</v>
      </c>
      <c r="H201" s="77"/>
      <c r="I201" s="210">
        <v>0</v>
      </c>
      <c r="J201" s="210">
        <v>1882625.3600039999</v>
      </c>
      <c r="K201" s="210">
        <v>-143413.42000000001</v>
      </c>
      <c r="L201" s="210">
        <v>357024.37000000005</v>
      </c>
      <c r="M201" s="144">
        <f t="shared" si="12"/>
        <v>1669014.4100039997</v>
      </c>
      <c r="N201" s="210">
        <v>0</v>
      </c>
      <c r="O201" s="210">
        <v>1882625.3600039999</v>
      </c>
      <c r="P201" s="210">
        <v>128208.26000000001</v>
      </c>
      <c r="Q201" s="210">
        <v>458535.6399999999</v>
      </c>
      <c r="R201" s="210">
        <v>-143413.42000000001</v>
      </c>
      <c r="S201" s="144">
        <f t="shared" si="10"/>
        <v>1695711.4000039999</v>
      </c>
      <c r="T201" s="145">
        <v>369637.85</v>
      </c>
      <c r="U201" s="145">
        <v>1326073.55</v>
      </c>
    </row>
    <row r="202" spans="1:21">
      <c r="A202" s="74">
        <f t="shared" si="11"/>
        <v>192</v>
      </c>
      <c r="B202" s="75">
        <v>65798</v>
      </c>
      <c r="C202" s="209" t="s">
        <v>12</v>
      </c>
      <c r="D202" s="209" t="s">
        <v>16</v>
      </c>
      <c r="E202" s="211">
        <v>7.1429999999999998</v>
      </c>
      <c r="F202" s="208">
        <v>45777</v>
      </c>
      <c r="G202" s="208">
        <v>47237</v>
      </c>
      <c r="H202" s="77"/>
      <c r="I202" s="210">
        <v>0</v>
      </c>
      <c r="J202" s="210">
        <v>1907474.229977</v>
      </c>
      <c r="K202" s="210">
        <v>-127929.92</v>
      </c>
      <c r="L202" s="210">
        <v>450945.30000000005</v>
      </c>
      <c r="M202" s="144">
        <f t="shared" si="12"/>
        <v>1584458.8499769999</v>
      </c>
      <c r="N202" s="210">
        <v>0</v>
      </c>
      <c r="O202" s="210">
        <v>1907474.229977</v>
      </c>
      <c r="P202" s="210">
        <v>122114.78</v>
      </c>
      <c r="Q202" s="210">
        <v>556473.67999999993</v>
      </c>
      <c r="R202" s="210">
        <v>-127929.92</v>
      </c>
      <c r="S202" s="144">
        <f t="shared" si="10"/>
        <v>1601045.2499770001</v>
      </c>
      <c r="T202" s="145">
        <v>481264.99</v>
      </c>
      <c r="U202" s="145">
        <v>1119780.26</v>
      </c>
    </row>
    <row r="203" spans="1:21">
      <c r="A203" s="74">
        <f t="shared" si="11"/>
        <v>193</v>
      </c>
      <c r="B203" s="75">
        <v>65808</v>
      </c>
      <c r="C203" s="209" t="s">
        <v>12</v>
      </c>
      <c r="D203" s="209" t="s">
        <v>16</v>
      </c>
      <c r="E203" s="211">
        <v>7.1429999999999998</v>
      </c>
      <c r="F203" s="208">
        <v>45761</v>
      </c>
      <c r="G203" s="208">
        <v>47221</v>
      </c>
      <c r="H203" s="77"/>
      <c r="I203" s="210">
        <v>0</v>
      </c>
      <c r="J203" s="210">
        <v>1409143.1400289999</v>
      </c>
      <c r="K203" s="210">
        <v>-34546.32</v>
      </c>
      <c r="L203" s="210">
        <v>342981.97</v>
      </c>
      <c r="M203" s="144">
        <f t="shared" si="12"/>
        <v>1100707.490029</v>
      </c>
      <c r="N203" s="210">
        <v>0</v>
      </c>
      <c r="O203" s="210">
        <v>1409143.1400289999</v>
      </c>
      <c r="P203" s="210">
        <v>88869.94</v>
      </c>
      <c r="Q203" s="210">
        <v>404522.95999999996</v>
      </c>
      <c r="R203" s="210">
        <v>-34546.32</v>
      </c>
      <c r="S203" s="144">
        <f t="shared" si="10"/>
        <v>1128036.4400289999</v>
      </c>
      <c r="T203" s="145">
        <v>339081.26</v>
      </c>
      <c r="U203" s="145">
        <v>788955.18</v>
      </c>
    </row>
    <row r="204" spans="1:21">
      <c r="A204" s="74">
        <f t="shared" si="11"/>
        <v>194</v>
      </c>
      <c r="B204" s="75">
        <v>65810</v>
      </c>
      <c r="C204" s="209" t="s">
        <v>12</v>
      </c>
      <c r="D204" s="209" t="s">
        <v>16</v>
      </c>
      <c r="E204" s="211">
        <v>0</v>
      </c>
      <c r="F204" s="208">
        <v>45778</v>
      </c>
      <c r="G204" s="208">
        <v>45839</v>
      </c>
      <c r="H204" s="77"/>
      <c r="I204" s="210">
        <v>0</v>
      </c>
      <c r="J204" s="210">
        <v>1368241.080016</v>
      </c>
      <c r="K204" s="210">
        <v>1295591.1200000001</v>
      </c>
      <c r="L204" s="210">
        <v>72649.960000000006</v>
      </c>
      <c r="M204" s="144">
        <f t="shared" si="12"/>
        <v>1.5999845345504582E-5</v>
      </c>
      <c r="N204" s="210">
        <v>0</v>
      </c>
      <c r="O204" s="210">
        <v>1368241.080016</v>
      </c>
      <c r="P204" s="210">
        <v>15619.89</v>
      </c>
      <c r="Q204" s="210">
        <v>80199.740000000005</v>
      </c>
      <c r="R204" s="210">
        <v>1303661.23</v>
      </c>
      <c r="S204" s="144">
        <f t="shared" ref="S204:S267" si="13">N204+O204+P204-Q204-R204</f>
        <v>1.5999889001250267E-5</v>
      </c>
      <c r="T204" s="145">
        <v>0</v>
      </c>
      <c r="U204" s="145">
        <v>0</v>
      </c>
    </row>
    <row r="205" spans="1:21">
      <c r="A205" s="74">
        <f t="shared" si="11"/>
        <v>195</v>
      </c>
      <c r="B205" s="75">
        <v>65812</v>
      </c>
      <c r="C205" s="209" t="s">
        <v>12</v>
      </c>
      <c r="D205" s="209" t="s">
        <v>16</v>
      </c>
      <c r="E205" s="211">
        <v>6.8864999999999998</v>
      </c>
      <c r="F205" s="208">
        <v>45772</v>
      </c>
      <c r="G205" s="208">
        <v>46867</v>
      </c>
      <c r="H205" s="77"/>
      <c r="I205" s="210">
        <v>0</v>
      </c>
      <c r="J205" s="210">
        <v>962136.53002299997</v>
      </c>
      <c r="K205" s="210">
        <v>0</v>
      </c>
      <c r="L205" s="210">
        <v>299331.31000000006</v>
      </c>
      <c r="M205" s="144">
        <f t="shared" si="12"/>
        <v>662805.22002299991</v>
      </c>
      <c r="N205" s="210">
        <v>0</v>
      </c>
      <c r="O205" s="210">
        <v>962136.53002299997</v>
      </c>
      <c r="P205" s="210">
        <v>54907.709999999992</v>
      </c>
      <c r="Q205" s="210">
        <v>353866.19999999995</v>
      </c>
      <c r="R205" s="210">
        <v>0</v>
      </c>
      <c r="S205" s="144">
        <f t="shared" si="13"/>
        <v>663178.04002299998</v>
      </c>
      <c r="T205" s="145">
        <v>320208.7</v>
      </c>
      <c r="U205" s="145">
        <v>342969.34</v>
      </c>
    </row>
    <row r="206" spans="1:21">
      <c r="A206" s="74">
        <f t="shared" si="11"/>
        <v>196</v>
      </c>
      <c r="B206" s="75">
        <v>65815</v>
      </c>
      <c r="C206" s="209" t="s">
        <v>12</v>
      </c>
      <c r="D206" s="209" t="s">
        <v>16</v>
      </c>
      <c r="E206" s="211">
        <v>7.1429999999999998</v>
      </c>
      <c r="F206" s="208">
        <v>45758</v>
      </c>
      <c r="G206" s="208">
        <v>47218</v>
      </c>
      <c r="H206" s="77"/>
      <c r="I206" s="210">
        <v>0</v>
      </c>
      <c r="J206" s="210">
        <v>1244555.4299659999</v>
      </c>
      <c r="K206" s="210">
        <v>-30441.42</v>
      </c>
      <c r="L206" s="210">
        <v>305515.08999999997</v>
      </c>
      <c r="M206" s="144">
        <f t="shared" si="12"/>
        <v>969481.75996599987</v>
      </c>
      <c r="N206" s="210">
        <v>0</v>
      </c>
      <c r="O206" s="210">
        <v>1244555.4299659999</v>
      </c>
      <c r="P206" s="210">
        <v>78488.389999999985</v>
      </c>
      <c r="Q206" s="210">
        <v>357267.08</v>
      </c>
      <c r="R206" s="210">
        <v>-30441.42</v>
      </c>
      <c r="S206" s="144">
        <f t="shared" si="13"/>
        <v>996218.15996599977</v>
      </c>
      <c r="T206" s="145">
        <v>299457.43</v>
      </c>
      <c r="U206" s="145">
        <v>696760.73</v>
      </c>
    </row>
    <row r="207" spans="1:21">
      <c r="A207" s="74">
        <f t="shared" si="11"/>
        <v>197</v>
      </c>
      <c r="B207" s="75">
        <v>65819</v>
      </c>
      <c r="C207" s="209" t="s">
        <v>12</v>
      </c>
      <c r="D207" s="209" t="s">
        <v>16</v>
      </c>
      <c r="E207" s="211">
        <v>7.1429999999999998</v>
      </c>
      <c r="F207" s="208">
        <v>45768</v>
      </c>
      <c r="G207" s="208">
        <v>47228</v>
      </c>
      <c r="H207" s="77"/>
      <c r="I207" s="210">
        <v>0</v>
      </c>
      <c r="J207" s="210">
        <v>840373.81003000005</v>
      </c>
      <c r="K207" s="210">
        <v>-20775.37</v>
      </c>
      <c r="L207" s="210">
        <v>200465.10000000003</v>
      </c>
      <c r="M207" s="144">
        <f t="shared" si="12"/>
        <v>660684.08003000007</v>
      </c>
      <c r="N207" s="210">
        <v>0</v>
      </c>
      <c r="O207" s="210">
        <v>840373.81003000005</v>
      </c>
      <c r="P207" s="210">
        <v>53003.430000000008</v>
      </c>
      <c r="Q207" s="210">
        <v>241265.19999999995</v>
      </c>
      <c r="R207" s="210">
        <v>-20775.37</v>
      </c>
      <c r="S207" s="144">
        <f t="shared" si="13"/>
        <v>672887.41003000014</v>
      </c>
      <c r="T207" s="145">
        <v>202266.07</v>
      </c>
      <c r="U207" s="145">
        <v>470621.34</v>
      </c>
    </row>
    <row r="208" spans="1:21">
      <c r="A208" s="74">
        <f t="shared" si="11"/>
        <v>198</v>
      </c>
      <c r="B208" s="75">
        <v>65822</v>
      </c>
      <c r="C208" s="209" t="s">
        <v>12</v>
      </c>
      <c r="D208" s="209" t="s">
        <v>16</v>
      </c>
      <c r="E208" s="211">
        <v>7.3468999999999998</v>
      </c>
      <c r="F208" s="208">
        <v>45767</v>
      </c>
      <c r="G208" s="208">
        <v>47592</v>
      </c>
      <c r="H208" s="77"/>
      <c r="I208" s="210">
        <v>0</v>
      </c>
      <c r="J208" s="210">
        <v>1728962.120042</v>
      </c>
      <c r="K208" s="210">
        <v>-116529.54</v>
      </c>
      <c r="L208" s="210">
        <v>336398.24000000005</v>
      </c>
      <c r="M208" s="144">
        <f t="shared" si="12"/>
        <v>1509093.420042</v>
      </c>
      <c r="N208" s="210">
        <v>0</v>
      </c>
      <c r="O208" s="210">
        <v>1728962.120042</v>
      </c>
      <c r="P208" s="210">
        <v>117389.10999999999</v>
      </c>
      <c r="Q208" s="210">
        <v>419772.44</v>
      </c>
      <c r="R208" s="210">
        <v>-116529.54</v>
      </c>
      <c r="S208" s="144">
        <f t="shared" si="13"/>
        <v>1543108.3300419999</v>
      </c>
      <c r="T208" s="145">
        <v>336372.83</v>
      </c>
      <c r="U208" s="145">
        <v>1206735.5</v>
      </c>
    </row>
    <row r="209" spans="1:21">
      <c r="A209" s="74">
        <f t="shared" si="11"/>
        <v>199</v>
      </c>
      <c r="B209" s="75">
        <v>65826</v>
      </c>
      <c r="C209" s="209" t="s">
        <v>12</v>
      </c>
      <c r="D209" s="209" t="s">
        <v>16</v>
      </c>
      <c r="E209" s="211">
        <v>7.3468999999999998</v>
      </c>
      <c r="F209" s="208">
        <v>45778</v>
      </c>
      <c r="G209" s="208">
        <v>47603</v>
      </c>
      <c r="H209" s="77"/>
      <c r="I209" s="210">
        <v>0</v>
      </c>
      <c r="J209" s="210">
        <v>2265580.5500269998</v>
      </c>
      <c r="K209" s="210">
        <v>-138277.13</v>
      </c>
      <c r="L209" s="210">
        <v>425792.48</v>
      </c>
      <c r="M209" s="144">
        <f t="shared" si="12"/>
        <v>1978065.2000269997</v>
      </c>
      <c r="N209" s="210">
        <v>0</v>
      </c>
      <c r="O209" s="210">
        <v>2265580.5500269998</v>
      </c>
      <c r="P209" s="210">
        <v>142024.41</v>
      </c>
      <c r="Q209" s="210">
        <v>506712.26999999996</v>
      </c>
      <c r="R209" s="210">
        <v>-138277.13</v>
      </c>
      <c r="S209" s="144">
        <f t="shared" si="13"/>
        <v>2039169.8200269998</v>
      </c>
      <c r="T209" s="145">
        <v>444506.27</v>
      </c>
      <c r="U209" s="145">
        <v>1594663.55</v>
      </c>
    </row>
    <row r="210" spans="1:21">
      <c r="A210" s="74">
        <f t="shared" si="11"/>
        <v>200</v>
      </c>
      <c r="B210" s="75">
        <v>65831</v>
      </c>
      <c r="C210" s="209" t="s">
        <v>12</v>
      </c>
      <c r="D210" s="209" t="s">
        <v>16</v>
      </c>
      <c r="E210" s="211">
        <v>6.8864999999999998</v>
      </c>
      <c r="F210" s="208">
        <v>45773</v>
      </c>
      <c r="G210" s="208">
        <v>46868</v>
      </c>
      <c r="H210" s="77"/>
      <c r="I210" s="210">
        <v>0</v>
      </c>
      <c r="J210" s="210">
        <v>1601793.6899679999</v>
      </c>
      <c r="K210" s="210">
        <v>-122557.41</v>
      </c>
      <c r="L210" s="210">
        <v>513854.88</v>
      </c>
      <c r="M210" s="144">
        <f t="shared" si="12"/>
        <v>1210496.219968</v>
      </c>
      <c r="N210" s="210">
        <v>0</v>
      </c>
      <c r="O210" s="210">
        <v>1601793.6899679999</v>
      </c>
      <c r="P210" s="210">
        <v>94075.72</v>
      </c>
      <c r="Q210" s="210">
        <v>601177.43999999994</v>
      </c>
      <c r="R210" s="210">
        <v>-122557.41</v>
      </c>
      <c r="S210" s="144">
        <f t="shared" si="13"/>
        <v>1217249.3799679999</v>
      </c>
      <c r="T210" s="145">
        <v>562577.23</v>
      </c>
      <c r="U210" s="145">
        <v>654672.15</v>
      </c>
    </row>
    <row r="211" spans="1:21">
      <c r="A211" s="74">
        <f t="shared" si="11"/>
        <v>201</v>
      </c>
      <c r="B211" s="75">
        <v>65835</v>
      </c>
      <c r="C211" s="209" t="s">
        <v>12</v>
      </c>
      <c r="D211" s="209" t="s">
        <v>16</v>
      </c>
      <c r="E211" s="211">
        <v>7.1429999999999998</v>
      </c>
      <c r="F211" s="208">
        <v>45760</v>
      </c>
      <c r="G211" s="208">
        <v>47220</v>
      </c>
      <c r="H211" s="77"/>
      <c r="I211" s="210">
        <v>0</v>
      </c>
      <c r="J211" s="210">
        <v>1547673.639958</v>
      </c>
      <c r="K211" s="210">
        <v>-114267.76</v>
      </c>
      <c r="L211" s="210">
        <v>385334.76</v>
      </c>
      <c r="M211" s="144">
        <f t="shared" si="12"/>
        <v>1276606.639958</v>
      </c>
      <c r="N211" s="210">
        <v>0</v>
      </c>
      <c r="O211" s="210">
        <v>1547673.639958</v>
      </c>
      <c r="P211" s="210">
        <v>99315.000000000015</v>
      </c>
      <c r="Q211" s="210">
        <v>452655.12000000005</v>
      </c>
      <c r="R211" s="210">
        <v>-114267.76</v>
      </c>
      <c r="S211" s="144">
        <f t="shared" si="13"/>
        <v>1308601.2799579999</v>
      </c>
      <c r="T211" s="145">
        <v>393358.01</v>
      </c>
      <c r="U211" s="145">
        <v>915243.27</v>
      </c>
    </row>
    <row r="212" spans="1:21">
      <c r="A212" s="74">
        <f t="shared" si="11"/>
        <v>202</v>
      </c>
      <c r="B212" s="75">
        <v>65870</v>
      </c>
      <c r="C212" s="209" t="s">
        <v>12</v>
      </c>
      <c r="D212" s="209" t="s">
        <v>16</v>
      </c>
      <c r="E212" s="211">
        <v>7.1429999999999998</v>
      </c>
      <c r="F212" s="208">
        <v>45780</v>
      </c>
      <c r="G212" s="208">
        <v>47240</v>
      </c>
      <c r="H212" s="77"/>
      <c r="I212" s="210">
        <v>0</v>
      </c>
      <c r="J212" s="210">
        <v>1526902.0200209999</v>
      </c>
      <c r="K212" s="210">
        <v>-37429.03</v>
      </c>
      <c r="L212" s="210">
        <v>351508.64999999997</v>
      </c>
      <c r="M212" s="144">
        <f t="shared" si="12"/>
        <v>1212822.4000210001</v>
      </c>
      <c r="N212" s="210">
        <v>0</v>
      </c>
      <c r="O212" s="210">
        <v>1526902.0200209999</v>
      </c>
      <c r="P212" s="210">
        <v>89284.96</v>
      </c>
      <c r="Q212" s="210">
        <v>401877.80000000005</v>
      </c>
      <c r="R212" s="210">
        <v>-37429.03</v>
      </c>
      <c r="S212" s="144">
        <f t="shared" si="13"/>
        <v>1251738.2100209999</v>
      </c>
      <c r="T212" s="145">
        <v>365237.88</v>
      </c>
      <c r="U212" s="145">
        <v>886500.33</v>
      </c>
    </row>
    <row r="213" spans="1:21">
      <c r="A213" s="74">
        <f t="shared" si="11"/>
        <v>203</v>
      </c>
      <c r="B213" s="75">
        <v>65873</v>
      </c>
      <c r="C213" s="209" t="s">
        <v>12</v>
      </c>
      <c r="D213" s="209" t="s">
        <v>16</v>
      </c>
      <c r="E213" s="211">
        <v>6.8864999999999998</v>
      </c>
      <c r="F213" s="208">
        <v>45781</v>
      </c>
      <c r="G213" s="208">
        <v>46876</v>
      </c>
      <c r="H213" s="77"/>
      <c r="I213" s="210">
        <v>0</v>
      </c>
      <c r="J213" s="210">
        <v>1859027.9299659999</v>
      </c>
      <c r="K213" s="210">
        <v>-157574.63</v>
      </c>
      <c r="L213" s="210">
        <v>584701.02999999991</v>
      </c>
      <c r="M213" s="144">
        <f t="shared" si="12"/>
        <v>1431901.529966</v>
      </c>
      <c r="N213" s="210">
        <v>0</v>
      </c>
      <c r="O213" s="210">
        <v>1859027.9299659999</v>
      </c>
      <c r="P213" s="210">
        <v>102200.54000000001</v>
      </c>
      <c r="Q213" s="210">
        <v>642573.81999999995</v>
      </c>
      <c r="R213" s="210">
        <v>-157574.63</v>
      </c>
      <c r="S213" s="144">
        <f t="shared" si="13"/>
        <v>1476229.279966</v>
      </c>
      <c r="T213" s="145">
        <v>654109.22</v>
      </c>
      <c r="U213" s="145">
        <v>822120.06</v>
      </c>
    </row>
    <row r="214" spans="1:21">
      <c r="A214" s="74">
        <f t="shared" si="11"/>
        <v>204</v>
      </c>
      <c r="B214" s="75">
        <v>65877</v>
      </c>
      <c r="C214" s="209" t="s">
        <v>12</v>
      </c>
      <c r="D214" s="209" t="s">
        <v>16</v>
      </c>
      <c r="E214" s="211">
        <v>7.1429999999999998</v>
      </c>
      <c r="F214" s="208">
        <v>45793</v>
      </c>
      <c r="G214" s="208">
        <v>47253</v>
      </c>
      <c r="H214" s="77"/>
      <c r="I214" s="210">
        <v>0</v>
      </c>
      <c r="J214" s="210">
        <v>968911.24999899999</v>
      </c>
      <c r="K214" s="210">
        <v>-72364.06</v>
      </c>
      <c r="L214" s="210">
        <v>219252.46000000002</v>
      </c>
      <c r="M214" s="144">
        <f t="shared" si="12"/>
        <v>822022.84999900009</v>
      </c>
      <c r="N214" s="210">
        <v>0</v>
      </c>
      <c r="O214" s="210">
        <v>968911.24999899999</v>
      </c>
      <c r="P214" s="210">
        <v>57746.44</v>
      </c>
      <c r="Q214" s="210">
        <v>260230.95000000007</v>
      </c>
      <c r="R214" s="210">
        <v>-72364.06</v>
      </c>
      <c r="S214" s="144">
        <f t="shared" si="13"/>
        <v>838790.79999899981</v>
      </c>
      <c r="T214" s="145">
        <v>244746.2</v>
      </c>
      <c r="U214" s="145">
        <v>594044.6</v>
      </c>
    </row>
    <row r="215" spans="1:21">
      <c r="A215" s="74">
        <f t="shared" si="11"/>
        <v>205</v>
      </c>
      <c r="B215" s="75">
        <v>65882</v>
      </c>
      <c r="C215" s="209" t="s">
        <v>12</v>
      </c>
      <c r="D215" s="209" t="s">
        <v>16</v>
      </c>
      <c r="E215" s="211">
        <v>7.3468999999999998</v>
      </c>
      <c r="F215" s="208">
        <v>45789</v>
      </c>
      <c r="G215" s="208">
        <v>47614</v>
      </c>
      <c r="H215" s="77"/>
      <c r="I215" s="210">
        <v>0</v>
      </c>
      <c r="J215" s="210">
        <v>1671614.1799659999</v>
      </c>
      <c r="K215" s="210">
        <v>-33312.980000000003</v>
      </c>
      <c r="L215" s="210">
        <v>299074.19</v>
      </c>
      <c r="M215" s="144">
        <f t="shared" si="12"/>
        <v>1405852.9699659999</v>
      </c>
      <c r="N215" s="210">
        <v>0</v>
      </c>
      <c r="O215" s="210">
        <v>1671614.1799659999</v>
      </c>
      <c r="P215" s="210">
        <v>103217.60000000001</v>
      </c>
      <c r="Q215" s="210">
        <v>365689.69000000006</v>
      </c>
      <c r="R215" s="210">
        <v>-33312.980000000003</v>
      </c>
      <c r="S215" s="144">
        <f t="shared" si="13"/>
        <v>1442455.069966</v>
      </c>
      <c r="T215" s="145">
        <v>307157.28000000003</v>
      </c>
      <c r="U215" s="145">
        <v>1135297.79</v>
      </c>
    </row>
    <row r="216" spans="1:21">
      <c r="A216" s="74">
        <f t="shared" si="11"/>
        <v>206</v>
      </c>
      <c r="B216" s="75">
        <v>65889</v>
      </c>
      <c r="C216" s="209" t="s">
        <v>12</v>
      </c>
      <c r="D216" s="209" t="s">
        <v>16</v>
      </c>
      <c r="E216" s="211">
        <v>6.8864999999999998</v>
      </c>
      <c r="F216" s="208">
        <v>45806</v>
      </c>
      <c r="G216" s="208">
        <v>46901</v>
      </c>
      <c r="H216" s="77"/>
      <c r="I216" s="210">
        <v>0</v>
      </c>
      <c r="J216" s="210">
        <v>722135.28002399998</v>
      </c>
      <c r="K216" s="210">
        <v>-23314.47</v>
      </c>
      <c r="L216" s="210">
        <v>205653.00000000003</v>
      </c>
      <c r="M216" s="144">
        <f t="shared" si="12"/>
        <v>539796.75002399995</v>
      </c>
      <c r="N216" s="210">
        <v>0</v>
      </c>
      <c r="O216" s="210">
        <v>722135.28002399998</v>
      </c>
      <c r="P216" s="210">
        <v>38901.31</v>
      </c>
      <c r="Q216" s="210">
        <v>244123.31000000003</v>
      </c>
      <c r="R216" s="210">
        <v>-23314.47</v>
      </c>
      <c r="S216" s="144">
        <f t="shared" si="13"/>
        <v>540227.75002399995</v>
      </c>
      <c r="T216" s="145">
        <v>239372</v>
      </c>
      <c r="U216" s="145">
        <v>300855.75</v>
      </c>
    </row>
    <row r="217" spans="1:21">
      <c r="A217" s="74">
        <f t="shared" si="11"/>
        <v>207</v>
      </c>
      <c r="B217" s="75">
        <v>65891</v>
      </c>
      <c r="C217" s="209" t="s">
        <v>12</v>
      </c>
      <c r="D217" s="209" t="s">
        <v>16</v>
      </c>
      <c r="E217" s="211">
        <v>7.3468999999999998</v>
      </c>
      <c r="F217" s="208">
        <v>45794</v>
      </c>
      <c r="G217" s="208">
        <v>47619</v>
      </c>
      <c r="H217" s="77"/>
      <c r="I217" s="210">
        <v>0</v>
      </c>
      <c r="J217" s="210">
        <v>1601505.06996</v>
      </c>
      <c r="K217" s="210">
        <v>-109622.44</v>
      </c>
      <c r="L217" s="210">
        <v>288026.45999999996</v>
      </c>
      <c r="M217" s="144">
        <f t="shared" si="12"/>
        <v>1423101.04996</v>
      </c>
      <c r="N217" s="210">
        <v>0</v>
      </c>
      <c r="O217" s="210">
        <v>1601505.06996</v>
      </c>
      <c r="P217" s="210">
        <v>100705.37000000001</v>
      </c>
      <c r="Q217" s="210">
        <v>357088.39999999991</v>
      </c>
      <c r="R217" s="210">
        <v>-109622.44</v>
      </c>
      <c r="S217" s="144">
        <f t="shared" si="13"/>
        <v>1454744.4799600001</v>
      </c>
      <c r="T217" s="145">
        <v>309774.2</v>
      </c>
      <c r="U217" s="145">
        <v>1144970.28</v>
      </c>
    </row>
    <row r="218" spans="1:21">
      <c r="A218" s="74">
        <f t="shared" si="11"/>
        <v>208</v>
      </c>
      <c r="B218" s="75">
        <v>65895</v>
      </c>
      <c r="C218" s="209" t="s">
        <v>12</v>
      </c>
      <c r="D218" s="209" t="s">
        <v>16</v>
      </c>
      <c r="E218" s="211">
        <v>7.1429999999999998</v>
      </c>
      <c r="F218" s="208">
        <v>45780</v>
      </c>
      <c r="G218" s="208">
        <v>47240</v>
      </c>
      <c r="H218" s="77"/>
      <c r="I218" s="210">
        <v>0</v>
      </c>
      <c r="J218" s="210">
        <v>3008091.2399780001</v>
      </c>
      <c r="K218" s="210">
        <v>-205906.12</v>
      </c>
      <c r="L218" s="210">
        <v>705367.9800000001</v>
      </c>
      <c r="M218" s="144">
        <f t="shared" si="12"/>
        <v>2508629.3799780002</v>
      </c>
      <c r="N218" s="210">
        <v>0</v>
      </c>
      <c r="O218" s="210">
        <v>3008091.2399780001</v>
      </c>
      <c r="P218" s="210">
        <v>178859.72999999998</v>
      </c>
      <c r="Q218" s="210">
        <v>805903.35000000009</v>
      </c>
      <c r="R218" s="210">
        <v>-205906.12</v>
      </c>
      <c r="S218" s="144">
        <f t="shared" si="13"/>
        <v>2586953.7399780001</v>
      </c>
      <c r="T218" s="145">
        <v>754833.11</v>
      </c>
      <c r="U218" s="145">
        <v>1832120.63</v>
      </c>
    </row>
    <row r="219" spans="1:21">
      <c r="A219" s="74">
        <f t="shared" si="11"/>
        <v>209</v>
      </c>
      <c r="B219" s="75">
        <v>65903</v>
      </c>
      <c r="C219" s="209" t="s">
        <v>12</v>
      </c>
      <c r="D219" s="209" t="s">
        <v>16</v>
      </c>
      <c r="E219" s="211">
        <v>7.1429999999999998</v>
      </c>
      <c r="F219" s="208">
        <v>45786</v>
      </c>
      <c r="G219" s="208">
        <v>47246</v>
      </c>
      <c r="H219" s="77"/>
      <c r="I219" s="210">
        <v>0</v>
      </c>
      <c r="J219" s="210">
        <v>1134147.4499880001</v>
      </c>
      <c r="K219" s="210">
        <v>-27830.05</v>
      </c>
      <c r="L219" s="210">
        <v>256509.36</v>
      </c>
      <c r="M219" s="144">
        <f t="shared" si="12"/>
        <v>905468.13998800016</v>
      </c>
      <c r="N219" s="210">
        <v>0</v>
      </c>
      <c r="O219" s="210">
        <v>1134147.4499880001</v>
      </c>
      <c r="P219" s="210">
        <v>66319.420000000013</v>
      </c>
      <c r="Q219" s="210">
        <v>298508.59000000003</v>
      </c>
      <c r="R219" s="210">
        <v>-27830.05</v>
      </c>
      <c r="S219" s="144">
        <f t="shared" si="13"/>
        <v>929788.32998799998</v>
      </c>
      <c r="T219" s="145">
        <v>271297.88</v>
      </c>
      <c r="U219" s="145">
        <v>658490.44999999995</v>
      </c>
    </row>
    <row r="220" spans="1:21">
      <c r="A220" s="74">
        <f t="shared" si="11"/>
        <v>210</v>
      </c>
      <c r="B220" s="75">
        <v>65913</v>
      </c>
      <c r="C220" s="209" t="s">
        <v>12</v>
      </c>
      <c r="D220" s="209" t="s">
        <v>16</v>
      </c>
      <c r="E220" s="211">
        <v>7.3468999999999998</v>
      </c>
      <c r="F220" s="208">
        <v>45786</v>
      </c>
      <c r="G220" s="208">
        <v>47611</v>
      </c>
      <c r="H220" s="77"/>
      <c r="I220" s="210">
        <v>0</v>
      </c>
      <c r="J220" s="210">
        <v>1713952.3800260001</v>
      </c>
      <c r="K220" s="210">
        <v>-116122.29</v>
      </c>
      <c r="L220" s="210">
        <v>315574.20999999996</v>
      </c>
      <c r="M220" s="144">
        <f t="shared" si="12"/>
        <v>1514500.4600260002</v>
      </c>
      <c r="N220" s="210">
        <v>0</v>
      </c>
      <c r="O220" s="210">
        <v>1713952.3800260001</v>
      </c>
      <c r="P220" s="210">
        <v>107748.27999999998</v>
      </c>
      <c r="Q220" s="210">
        <v>382057.05999999994</v>
      </c>
      <c r="R220" s="210">
        <v>-116122.29</v>
      </c>
      <c r="S220" s="144">
        <f t="shared" si="13"/>
        <v>1555765.8900260003</v>
      </c>
      <c r="T220" s="145">
        <v>331285.75</v>
      </c>
      <c r="U220" s="145">
        <v>1224480.1399999999</v>
      </c>
    </row>
    <row r="221" spans="1:21">
      <c r="A221" s="74">
        <f t="shared" si="11"/>
        <v>211</v>
      </c>
      <c r="B221" s="75">
        <v>65916</v>
      </c>
      <c r="C221" s="209" t="s">
        <v>12</v>
      </c>
      <c r="D221" s="209" t="s">
        <v>16</v>
      </c>
      <c r="E221" s="211">
        <v>6.8864999999999998</v>
      </c>
      <c r="F221" s="208">
        <v>45786</v>
      </c>
      <c r="G221" s="208">
        <v>46881</v>
      </c>
      <c r="H221" s="77"/>
      <c r="I221" s="210">
        <v>0</v>
      </c>
      <c r="J221" s="210">
        <v>1017646.040025</v>
      </c>
      <c r="K221" s="210">
        <v>-86607.67</v>
      </c>
      <c r="L221" s="210">
        <v>315492.98000000004</v>
      </c>
      <c r="M221" s="144">
        <f t="shared" si="12"/>
        <v>788760.73002499994</v>
      </c>
      <c r="N221" s="210">
        <v>0</v>
      </c>
      <c r="O221" s="210">
        <v>1017646.040025</v>
      </c>
      <c r="P221" s="210">
        <v>55952.729999999996</v>
      </c>
      <c r="Q221" s="210">
        <v>351800.45999999996</v>
      </c>
      <c r="R221" s="210">
        <v>-86607.67</v>
      </c>
      <c r="S221" s="144">
        <f t="shared" si="13"/>
        <v>808405.98002500006</v>
      </c>
      <c r="T221" s="145">
        <v>358200.33</v>
      </c>
      <c r="U221" s="145">
        <v>450205.65</v>
      </c>
    </row>
    <row r="222" spans="1:21">
      <c r="A222" s="74">
        <f t="shared" si="11"/>
        <v>212</v>
      </c>
      <c r="B222" s="75">
        <v>65918</v>
      </c>
      <c r="C222" s="209" t="s">
        <v>12</v>
      </c>
      <c r="D222" s="209" t="s">
        <v>16</v>
      </c>
      <c r="E222" s="211">
        <v>7.3468999999999998</v>
      </c>
      <c r="F222" s="208">
        <v>45794</v>
      </c>
      <c r="G222" s="208">
        <v>47619</v>
      </c>
      <c r="H222" s="77"/>
      <c r="I222" s="210">
        <v>0</v>
      </c>
      <c r="J222" s="210">
        <v>2104075.060029</v>
      </c>
      <c r="K222" s="210">
        <v>-142790.49</v>
      </c>
      <c r="L222" s="210">
        <v>378320.22999999986</v>
      </c>
      <c r="M222" s="144">
        <f t="shared" si="12"/>
        <v>1868545.3200290003</v>
      </c>
      <c r="N222" s="210">
        <v>0</v>
      </c>
      <c r="O222" s="210">
        <v>2104075.060029</v>
      </c>
      <c r="P222" s="210">
        <v>132279.01</v>
      </c>
      <c r="Q222" s="210">
        <v>469039.8299999999</v>
      </c>
      <c r="R222" s="210">
        <v>-142790.49</v>
      </c>
      <c r="S222" s="144">
        <f t="shared" si="13"/>
        <v>1910104.730029</v>
      </c>
      <c r="T222" s="145">
        <v>406738.89</v>
      </c>
      <c r="U222" s="145">
        <v>1503365.84</v>
      </c>
    </row>
    <row r="223" spans="1:21">
      <c r="A223" s="74">
        <f t="shared" si="11"/>
        <v>213</v>
      </c>
      <c r="B223" s="75">
        <v>65922</v>
      </c>
      <c r="C223" s="209" t="s">
        <v>12</v>
      </c>
      <c r="D223" s="209" t="s">
        <v>16</v>
      </c>
      <c r="E223" s="211">
        <v>7.1429999999999998</v>
      </c>
      <c r="F223" s="208">
        <v>45798</v>
      </c>
      <c r="G223" s="208">
        <v>47258</v>
      </c>
      <c r="H223" s="77"/>
      <c r="I223" s="210">
        <v>0</v>
      </c>
      <c r="J223" s="210">
        <v>892646.15999800002</v>
      </c>
      <c r="K223" s="210">
        <v>-22104.22</v>
      </c>
      <c r="L223" s="210">
        <v>194689.94000000003</v>
      </c>
      <c r="M223" s="144">
        <f t="shared" si="12"/>
        <v>720060.43999799993</v>
      </c>
      <c r="N223" s="210">
        <v>0</v>
      </c>
      <c r="O223" s="210">
        <v>892646.15999800002</v>
      </c>
      <c r="P223" s="210">
        <v>52202.09</v>
      </c>
      <c r="Q223" s="210">
        <v>234966.71999999997</v>
      </c>
      <c r="R223" s="210">
        <v>-22104.22</v>
      </c>
      <c r="S223" s="144">
        <f t="shared" si="13"/>
        <v>731985.74999799998</v>
      </c>
      <c r="T223" s="145">
        <v>213582.13</v>
      </c>
      <c r="U223" s="145">
        <v>518403.62</v>
      </c>
    </row>
    <row r="224" spans="1:21">
      <c r="A224" s="74">
        <f t="shared" si="11"/>
        <v>214</v>
      </c>
      <c r="B224" s="75">
        <v>65925</v>
      </c>
      <c r="C224" s="209" t="s">
        <v>12</v>
      </c>
      <c r="D224" s="209" t="s">
        <v>16</v>
      </c>
      <c r="E224" s="211">
        <v>7.1429999999999998</v>
      </c>
      <c r="F224" s="208">
        <v>45802</v>
      </c>
      <c r="G224" s="208">
        <v>47262</v>
      </c>
      <c r="H224" s="77"/>
      <c r="I224" s="210">
        <v>0</v>
      </c>
      <c r="J224" s="210">
        <v>792886.85996999999</v>
      </c>
      <c r="K224" s="210">
        <v>-19626.13</v>
      </c>
      <c r="L224" s="210">
        <v>170794.02000000002</v>
      </c>
      <c r="M224" s="144">
        <f t="shared" si="12"/>
        <v>641718.96996999998</v>
      </c>
      <c r="N224" s="210">
        <v>0</v>
      </c>
      <c r="O224" s="210">
        <v>792886.85996999999</v>
      </c>
      <c r="P224" s="210">
        <v>46367.99</v>
      </c>
      <c r="Q224" s="210">
        <v>208706.74999999994</v>
      </c>
      <c r="R224" s="210">
        <v>-19626.13</v>
      </c>
      <c r="S224" s="144">
        <f t="shared" si="13"/>
        <v>650174.2299700001</v>
      </c>
      <c r="T224" s="145">
        <v>189710.79</v>
      </c>
      <c r="U224" s="145">
        <v>460463.44</v>
      </c>
    </row>
    <row r="225" spans="1:21">
      <c r="A225" s="74">
        <f t="shared" si="11"/>
        <v>215</v>
      </c>
      <c r="B225" s="75">
        <v>65927</v>
      </c>
      <c r="C225" s="209" t="s">
        <v>12</v>
      </c>
      <c r="D225" s="209" t="s">
        <v>16</v>
      </c>
      <c r="E225" s="211">
        <v>7.1429999999999998</v>
      </c>
      <c r="F225" s="208">
        <v>45795</v>
      </c>
      <c r="G225" s="208">
        <v>47255</v>
      </c>
      <c r="H225" s="77"/>
      <c r="I225" s="210">
        <v>0</v>
      </c>
      <c r="J225" s="210">
        <v>1160760.1500309999</v>
      </c>
      <c r="K225" s="210">
        <v>-87449.45</v>
      </c>
      <c r="L225" s="210">
        <v>261165.20999999996</v>
      </c>
      <c r="M225" s="144">
        <f t="shared" si="12"/>
        <v>987044.3900309999</v>
      </c>
      <c r="N225" s="210">
        <v>0</v>
      </c>
      <c r="O225" s="210">
        <v>1160760.1500309999</v>
      </c>
      <c r="P225" s="210">
        <v>69197.47</v>
      </c>
      <c r="Q225" s="210">
        <v>311839.08999999997</v>
      </c>
      <c r="R225" s="210">
        <v>-87449.45</v>
      </c>
      <c r="S225" s="144">
        <f t="shared" si="13"/>
        <v>1005567.9800309999</v>
      </c>
      <c r="T225" s="145">
        <v>293409.19</v>
      </c>
      <c r="U225" s="145">
        <v>712158.79</v>
      </c>
    </row>
    <row r="226" spans="1:21">
      <c r="A226" s="74">
        <f t="shared" si="11"/>
        <v>216</v>
      </c>
      <c r="B226" s="75">
        <v>65930</v>
      </c>
      <c r="C226" s="209" t="s">
        <v>12</v>
      </c>
      <c r="D226" s="209" t="s">
        <v>16</v>
      </c>
      <c r="E226" s="211">
        <v>7.3468999999999998</v>
      </c>
      <c r="F226" s="208">
        <v>45799</v>
      </c>
      <c r="G226" s="208">
        <v>47624</v>
      </c>
      <c r="H226" s="77"/>
      <c r="I226" s="210">
        <v>0</v>
      </c>
      <c r="J226" s="210">
        <v>1537164.020003</v>
      </c>
      <c r="K226" s="210">
        <v>-30671.3</v>
      </c>
      <c r="L226" s="210">
        <v>266743.92</v>
      </c>
      <c r="M226" s="144">
        <f t="shared" si="12"/>
        <v>1301091.4000030002</v>
      </c>
      <c r="N226" s="210">
        <v>0</v>
      </c>
      <c r="O226" s="210">
        <v>1537164.020003</v>
      </c>
      <c r="P226" s="210">
        <v>94916.55</v>
      </c>
      <c r="Q226" s="210">
        <v>336280.05</v>
      </c>
      <c r="R226" s="210">
        <v>-30671.3</v>
      </c>
      <c r="S226" s="144">
        <f t="shared" si="13"/>
        <v>1326471.8200030001</v>
      </c>
      <c r="T226" s="145">
        <v>282459.75</v>
      </c>
      <c r="U226" s="145">
        <v>1044012.07</v>
      </c>
    </row>
    <row r="227" spans="1:21">
      <c r="A227" s="74">
        <f t="shared" si="11"/>
        <v>217</v>
      </c>
      <c r="B227" s="75">
        <v>65933</v>
      </c>
      <c r="C227" s="209" t="s">
        <v>12</v>
      </c>
      <c r="D227" s="209" t="s">
        <v>16</v>
      </c>
      <c r="E227" s="211">
        <v>7.1429999999999998</v>
      </c>
      <c r="F227" s="208">
        <v>45806</v>
      </c>
      <c r="G227" s="208">
        <v>47266</v>
      </c>
      <c r="H227" s="77"/>
      <c r="I227" s="210">
        <v>0</v>
      </c>
      <c r="J227" s="210">
        <v>786695.12999199994</v>
      </c>
      <c r="K227" s="210">
        <v>-19462.919999999998</v>
      </c>
      <c r="L227" s="210">
        <v>167338.79999999996</v>
      </c>
      <c r="M227" s="144">
        <f t="shared" si="12"/>
        <v>638819.24999200006</v>
      </c>
      <c r="N227" s="210">
        <v>0</v>
      </c>
      <c r="O227" s="210">
        <v>786695.12999199994</v>
      </c>
      <c r="P227" s="210">
        <v>46005.659999999989</v>
      </c>
      <c r="Q227" s="210">
        <v>207075.87000000005</v>
      </c>
      <c r="R227" s="210">
        <v>-19462.919999999998</v>
      </c>
      <c r="S227" s="144">
        <f t="shared" si="13"/>
        <v>645087.83999199991</v>
      </c>
      <c r="T227" s="145">
        <v>188226.66</v>
      </c>
      <c r="U227" s="145">
        <v>456861.18</v>
      </c>
    </row>
    <row r="228" spans="1:21">
      <c r="A228" s="74">
        <f t="shared" si="11"/>
        <v>218</v>
      </c>
      <c r="B228" s="75">
        <v>65966</v>
      </c>
      <c r="C228" s="209" t="s">
        <v>12</v>
      </c>
      <c r="D228" s="209" t="s">
        <v>16</v>
      </c>
      <c r="E228" s="211">
        <v>7.0202999999999998</v>
      </c>
      <c r="F228" s="208">
        <v>45839</v>
      </c>
      <c r="G228" s="208">
        <v>47256</v>
      </c>
      <c r="H228" s="77"/>
      <c r="I228" s="210">
        <v>0</v>
      </c>
      <c r="J228" s="210">
        <v>1206756.1700180001</v>
      </c>
      <c r="K228" s="210">
        <v>-75816.62</v>
      </c>
      <c r="L228" s="210">
        <v>240454.81999999998</v>
      </c>
      <c r="M228" s="144">
        <f t="shared" si="12"/>
        <v>1042117.9700180002</v>
      </c>
      <c r="N228" s="210">
        <v>0</v>
      </c>
      <c r="O228" s="210">
        <v>1206756.1700180001</v>
      </c>
      <c r="P228" s="210">
        <v>58888.930000000008</v>
      </c>
      <c r="Q228" s="210">
        <v>271551.65999999997</v>
      </c>
      <c r="R228" s="210">
        <v>-75816.62</v>
      </c>
      <c r="S228" s="144">
        <f t="shared" si="13"/>
        <v>1069910.0600180002</v>
      </c>
      <c r="T228" s="145">
        <v>312616.26</v>
      </c>
      <c r="U228" s="145">
        <v>757293.8</v>
      </c>
    </row>
    <row r="229" spans="1:21">
      <c r="A229" s="74">
        <f t="shared" si="11"/>
        <v>219</v>
      </c>
      <c r="B229" s="75">
        <v>65976</v>
      </c>
      <c r="C229" s="209" t="s">
        <v>12</v>
      </c>
      <c r="D229" s="209" t="s">
        <v>16</v>
      </c>
      <c r="E229" s="211">
        <v>7.1429999999999998</v>
      </c>
      <c r="F229" s="208">
        <v>45830</v>
      </c>
      <c r="G229" s="208">
        <v>47290</v>
      </c>
      <c r="H229" s="77"/>
      <c r="I229" s="210">
        <v>0</v>
      </c>
      <c r="J229" s="210">
        <v>1555050.5100360001</v>
      </c>
      <c r="K229" s="210">
        <v>-38226.01</v>
      </c>
      <c r="L229" s="210">
        <v>304871.95999999996</v>
      </c>
      <c r="M229" s="144">
        <f t="shared" si="12"/>
        <v>1288404.5600360001</v>
      </c>
      <c r="N229" s="210">
        <v>0</v>
      </c>
      <c r="O229" s="210">
        <v>1555050.5100360001</v>
      </c>
      <c r="P229" s="210">
        <v>83615.08</v>
      </c>
      <c r="Q229" s="210">
        <v>372176.04</v>
      </c>
      <c r="R229" s="210">
        <v>-38226.01</v>
      </c>
      <c r="S229" s="144">
        <f t="shared" si="13"/>
        <v>1304715.5600360001</v>
      </c>
      <c r="T229" s="145">
        <v>369793.56</v>
      </c>
      <c r="U229" s="145">
        <v>934922</v>
      </c>
    </row>
    <row r="230" spans="1:21">
      <c r="A230" s="74">
        <f t="shared" si="11"/>
        <v>220</v>
      </c>
      <c r="B230" s="75">
        <v>65980</v>
      </c>
      <c r="C230" s="209" t="s">
        <v>12</v>
      </c>
      <c r="D230" s="209" t="s">
        <v>16</v>
      </c>
      <c r="E230" s="211">
        <v>7.3468999999999998</v>
      </c>
      <c r="F230" s="208">
        <v>45828</v>
      </c>
      <c r="G230" s="208">
        <v>47653</v>
      </c>
      <c r="H230" s="77"/>
      <c r="I230" s="210">
        <v>0</v>
      </c>
      <c r="J230" s="210">
        <v>3377848.2800389999</v>
      </c>
      <c r="K230" s="210">
        <v>0</v>
      </c>
      <c r="L230" s="210">
        <v>527319.6399999999</v>
      </c>
      <c r="M230" s="144">
        <f t="shared" si="12"/>
        <v>2850528.6400389997</v>
      </c>
      <c r="N230" s="210">
        <v>0</v>
      </c>
      <c r="O230" s="210">
        <v>3377848.2800389999</v>
      </c>
      <c r="P230" s="210">
        <v>189607</v>
      </c>
      <c r="Q230" s="210">
        <v>670292.9</v>
      </c>
      <c r="R230" s="210">
        <v>0</v>
      </c>
      <c r="S230" s="144">
        <f t="shared" si="13"/>
        <v>2897162.380039</v>
      </c>
      <c r="T230" s="145">
        <v>616923.57999999996</v>
      </c>
      <c r="U230" s="145">
        <v>2280238.7999999998</v>
      </c>
    </row>
    <row r="231" spans="1:21">
      <c r="A231" s="74">
        <f t="shared" si="11"/>
        <v>221</v>
      </c>
      <c r="B231" s="75">
        <v>65981</v>
      </c>
      <c r="C231" s="209" t="s">
        <v>12</v>
      </c>
      <c r="D231" s="209" t="s">
        <v>16</v>
      </c>
      <c r="E231" s="211">
        <v>7.3468999999999998</v>
      </c>
      <c r="F231" s="208">
        <v>45834</v>
      </c>
      <c r="G231" s="208">
        <v>47659</v>
      </c>
      <c r="H231" s="77"/>
      <c r="I231" s="210">
        <v>0</v>
      </c>
      <c r="J231" s="210">
        <v>1769282.560029</v>
      </c>
      <c r="K231" s="210">
        <v>-122772.16</v>
      </c>
      <c r="L231" s="210">
        <v>279263.07</v>
      </c>
      <c r="M231" s="144">
        <f t="shared" si="12"/>
        <v>1612791.6500289999</v>
      </c>
      <c r="N231" s="210">
        <v>0</v>
      </c>
      <c r="O231" s="210">
        <v>1769282.560029</v>
      </c>
      <c r="P231" s="210">
        <v>102220.40000000001</v>
      </c>
      <c r="Q231" s="210">
        <v>359416.60000000003</v>
      </c>
      <c r="R231" s="210">
        <v>-122772.16</v>
      </c>
      <c r="S231" s="144">
        <f t="shared" si="13"/>
        <v>1634858.5200289998</v>
      </c>
      <c r="T231" s="145">
        <v>340208.49</v>
      </c>
      <c r="U231" s="145">
        <v>1294650.03</v>
      </c>
    </row>
    <row r="232" spans="1:21">
      <c r="A232" s="74">
        <f t="shared" si="11"/>
        <v>222</v>
      </c>
      <c r="B232" s="75">
        <v>65983</v>
      </c>
      <c r="C232" s="209" t="s">
        <v>12</v>
      </c>
      <c r="D232" s="209" t="s">
        <v>16</v>
      </c>
      <c r="E232" s="211">
        <v>6.8864999999999998</v>
      </c>
      <c r="F232" s="208">
        <v>45835</v>
      </c>
      <c r="G232" s="208">
        <v>46930</v>
      </c>
      <c r="H232" s="77"/>
      <c r="I232" s="210">
        <v>0</v>
      </c>
      <c r="J232" s="210">
        <v>547254.52002199995</v>
      </c>
      <c r="K232" s="210">
        <v>-17635.93</v>
      </c>
      <c r="L232" s="210">
        <v>141125.9</v>
      </c>
      <c r="M232" s="144">
        <f t="shared" si="12"/>
        <v>423764.55002199998</v>
      </c>
      <c r="N232" s="210">
        <v>0</v>
      </c>
      <c r="O232" s="210">
        <v>547254.52002199995</v>
      </c>
      <c r="P232" s="210">
        <v>27244.100000000002</v>
      </c>
      <c r="Q232" s="210">
        <v>168222.58000000002</v>
      </c>
      <c r="R232" s="210">
        <v>-17635.93</v>
      </c>
      <c r="S232" s="144">
        <f t="shared" si="13"/>
        <v>423911.97002199991</v>
      </c>
      <c r="T232" s="145">
        <v>180346.49</v>
      </c>
      <c r="U232" s="145">
        <v>243565.48</v>
      </c>
    </row>
    <row r="233" spans="1:21">
      <c r="A233" s="74">
        <f t="shared" si="11"/>
        <v>223</v>
      </c>
      <c r="B233" s="75">
        <v>65987</v>
      </c>
      <c r="C233" s="209" t="s">
        <v>12</v>
      </c>
      <c r="D233" s="209" t="s">
        <v>16</v>
      </c>
      <c r="E233" s="211">
        <v>7.1429999999999998</v>
      </c>
      <c r="F233" s="208">
        <v>45835</v>
      </c>
      <c r="G233" s="208">
        <v>47295</v>
      </c>
      <c r="H233" s="77"/>
      <c r="I233" s="210">
        <v>0</v>
      </c>
      <c r="J233" s="210">
        <v>1614454.6600329999</v>
      </c>
      <c r="K233" s="210">
        <v>-123940.28</v>
      </c>
      <c r="L233" s="210">
        <v>318760.03000000003</v>
      </c>
      <c r="M233" s="144">
        <f t="shared" si="12"/>
        <v>1419634.9100329999</v>
      </c>
      <c r="N233" s="210">
        <v>0</v>
      </c>
      <c r="O233" s="210">
        <v>1614454.6600329999</v>
      </c>
      <c r="P233" s="210">
        <v>88700.76999999999</v>
      </c>
      <c r="Q233" s="210">
        <v>395247.3</v>
      </c>
      <c r="R233" s="210">
        <v>-123940.28</v>
      </c>
      <c r="S233" s="144">
        <f t="shared" si="13"/>
        <v>1431848.4100329999</v>
      </c>
      <c r="T233" s="145">
        <v>405826.62</v>
      </c>
      <c r="U233" s="145">
        <v>1026021.79</v>
      </c>
    </row>
    <row r="234" spans="1:21">
      <c r="A234" s="74">
        <f t="shared" si="11"/>
        <v>224</v>
      </c>
      <c r="B234" s="75">
        <v>65988</v>
      </c>
      <c r="C234" s="209" t="s">
        <v>12</v>
      </c>
      <c r="D234" s="209" t="s">
        <v>16</v>
      </c>
      <c r="E234" s="211">
        <v>7.1429999999999998</v>
      </c>
      <c r="F234" s="208">
        <v>45830</v>
      </c>
      <c r="G234" s="208">
        <v>47290</v>
      </c>
      <c r="H234" s="77"/>
      <c r="I234" s="210">
        <v>0</v>
      </c>
      <c r="J234" s="210">
        <v>1542721.0900359999</v>
      </c>
      <c r="K234" s="210">
        <v>-117714.86</v>
      </c>
      <c r="L234" s="210">
        <v>309929.34999999998</v>
      </c>
      <c r="M234" s="144">
        <f t="shared" si="12"/>
        <v>1350506.6000359999</v>
      </c>
      <c r="N234" s="210">
        <v>0</v>
      </c>
      <c r="O234" s="210">
        <v>1542721.0900359999</v>
      </c>
      <c r="P234" s="210">
        <v>84743.489999999991</v>
      </c>
      <c r="Q234" s="210">
        <v>377610.13999999996</v>
      </c>
      <c r="R234" s="210">
        <v>-117714.86</v>
      </c>
      <c r="S234" s="144">
        <f t="shared" si="13"/>
        <v>1367569.3000360001</v>
      </c>
      <c r="T234" s="145">
        <v>387608.11</v>
      </c>
      <c r="U234" s="145">
        <v>979961.19</v>
      </c>
    </row>
    <row r="235" spans="1:21">
      <c r="A235" s="74">
        <f t="shared" si="11"/>
        <v>225</v>
      </c>
      <c r="B235" s="75">
        <v>65990</v>
      </c>
      <c r="C235" s="209" t="s">
        <v>12</v>
      </c>
      <c r="D235" s="209" t="s">
        <v>16</v>
      </c>
      <c r="E235" s="211">
        <v>7.1429999999999998</v>
      </c>
      <c r="F235" s="208">
        <v>45830</v>
      </c>
      <c r="G235" s="208">
        <v>47290</v>
      </c>
      <c r="H235" s="77"/>
      <c r="I235" s="210">
        <v>0</v>
      </c>
      <c r="J235" s="210">
        <v>1546406.390011</v>
      </c>
      <c r="K235" s="210">
        <v>-115302.39</v>
      </c>
      <c r="L235" s="210">
        <v>310417.39999999991</v>
      </c>
      <c r="M235" s="144">
        <f t="shared" si="12"/>
        <v>1351291.380011</v>
      </c>
      <c r="N235" s="210">
        <v>0</v>
      </c>
      <c r="O235" s="210">
        <v>1546406.390011</v>
      </c>
      <c r="P235" s="210">
        <v>84885.440000000002</v>
      </c>
      <c r="Q235" s="210">
        <v>378229.12000000011</v>
      </c>
      <c r="R235" s="210">
        <v>-115302.39</v>
      </c>
      <c r="S235" s="144">
        <f t="shared" si="13"/>
        <v>1368365.1000109997</v>
      </c>
      <c r="T235" s="145">
        <v>387833.66</v>
      </c>
      <c r="U235" s="145">
        <v>980531.44</v>
      </c>
    </row>
    <row r="236" spans="1:21">
      <c r="A236" s="74">
        <f t="shared" si="11"/>
        <v>226</v>
      </c>
      <c r="B236" s="75">
        <v>65991</v>
      </c>
      <c r="C236" s="209" t="s">
        <v>12</v>
      </c>
      <c r="D236" s="209" t="s">
        <v>16</v>
      </c>
      <c r="E236" s="211">
        <v>7.3468999999999998</v>
      </c>
      <c r="F236" s="208">
        <v>45814</v>
      </c>
      <c r="G236" s="208">
        <v>47639</v>
      </c>
      <c r="H236" s="77"/>
      <c r="I236" s="210">
        <v>0</v>
      </c>
      <c r="J236" s="210">
        <v>1815980.8100109999</v>
      </c>
      <c r="K236" s="210">
        <v>-125787.38</v>
      </c>
      <c r="L236" s="210">
        <v>306908.03000000009</v>
      </c>
      <c r="M236" s="144">
        <f t="shared" si="12"/>
        <v>1634860.1600109998</v>
      </c>
      <c r="N236" s="210">
        <v>0</v>
      </c>
      <c r="O236" s="210">
        <v>1815980.8100109999</v>
      </c>
      <c r="P236" s="210">
        <v>104913.13000000002</v>
      </c>
      <c r="Q236" s="210">
        <v>368883.77999999997</v>
      </c>
      <c r="R236" s="210">
        <v>-125787.38</v>
      </c>
      <c r="S236" s="144">
        <f t="shared" si="13"/>
        <v>1677797.5400109999</v>
      </c>
      <c r="T236" s="145">
        <v>349143.94</v>
      </c>
      <c r="U236" s="145">
        <v>1328653.6000000001</v>
      </c>
    </row>
    <row r="237" spans="1:21">
      <c r="A237" s="74">
        <f t="shared" si="11"/>
        <v>227</v>
      </c>
      <c r="B237" s="75">
        <v>66026</v>
      </c>
      <c r="C237" s="209" t="s">
        <v>12</v>
      </c>
      <c r="D237" s="209" t="s">
        <v>16</v>
      </c>
      <c r="E237" s="211">
        <v>7.3468999999999998</v>
      </c>
      <c r="F237" s="208">
        <v>45788</v>
      </c>
      <c r="G237" s="208">
        <v>47613</v>
      </c>
      <c r="H237" s="77"/>
      <c r="I237" s="210">
        <v>0</v>
      </c>
      <c r="J237" s="210">
        <v>1330377.3400359999</v>
      </c>
      <c r="K237" s="210">
        <v>-26492.61</v>
      </c>
      <c r="L237" s="210">
        <v>238737.31</v>
      </c>
      <c r="M237" s="144">
        <f t="shared" si="12"/>
        <v>1118132.6400359999</v>
      </c>
      <c r="N237" s="210">
        <v>0</v>
      </c>
      <c r="O237" s="210">
        <v>1330377.3400359999</v>
      </c>
      <c r="P237" s="210">
        <v>82146.680000000008</v>
      </c>
      <c r="Q237" s="210">
        <v>291037.48</v>
      </c>
      <c r="R237" s="210">
        <v>-26492.61</v>
      </c>
      <c r="S237" s="144">
        <f t="shared" si="13"/>
        <v>1147979.1500359999</v>
      </c>
      <c r="T237" s="145">
        <v>244451.39</v>
      </c>
      <c r="U237" s="145">
        <v>903527.76</v>
      </c>
    </row>
    <row r="238" spans="1:21">
      <c r="A238" s="74">
        <f t="shared" si="11"/>
        <v>228</v>
      </c>
      <c r="B238" s="75">
        <v>66029</v>
      </c>
      <c r="C238" s="209" t="s">
        <v>12</v>
      </c>
      <c r="D238" s="209" t="s">
        <v>16</v>
      </c>
      <c r="E238" s="211">
        <v>6.7686000000000002</v>
      </c>
      <c r="F238" s="208">
        <v>45850</v>
      </c>
      <c r="G238" s="208">
        <v>46945</v>
      </c>
      <c r="H238" s="77"/>
      <c r="I238" s="210">
        <v>0</v>
      </c>
      <c r="J238" s="210">
        <v>1478282.430037</v>
      </c>
      <c r="K238" s="210">
        <v>-131892.09</v>
      </c>
      <c r="L238" s="210">
        <v>371825.48</v>
      </c>
      <c r="M238" s="144">
        <f t="shared" si="12"/>
        <v>1238349.0400370001</v>
      </c>
      <c r="N238" s="210">
        <v>0</v>
      </c>
      <c r="O238" s="210">
        <v>1478282.430037</v>
      </c>
      <c r="P238" s="210">
        <v>67923.81</v>
      </c>
      <c r="Q238" s="210">
        <v>419892.17</v>
      </c>
      <c r="R238" s="210">
        <v>-131892.09</v>
      </c>
      <c r="S238" s="144">
        <f t="shared" si="13"/>
        <v>1258206.1600370002</v>
      </c>
      <c r="T238" s="145">
        <v>515070.5</v>
      </c>
      <c r="U238" s="145">
        <v>743135.66</v>
      </c>
    </row>
    <row r="239" spans="1:21">
      <c r="A239" s="74">
        <f t="shared" si="11"/>
        <v>229</v>
      </c>
      <c r="B239" s="75">
        <v>66030</v>
      </c>
      <c r="C239" s="209" t="s">
        <v>12</v>
      </c>
      <c r="D239" s="209" t="s">
        <v>16</v>
      </c>
      <c r="E239" s="211">
        <v>7.1429999999999998</v>
      </c>
      <c r="F239" s="208">
        <v>45803</v>
      </c>
      <c r="G239" s="208">
        <v>47263</v>
      </c>
      <c r="H239" s="77"/>
      <c r="I239" s="210">
        <v>0</v>
      </c>
      <c r="J239" s="210">
        <v>1237115.309994</v>
      </c>
      <c r="K239" s="210">
        <v>-30355.119999999999</v>
      </c>
      <c r="L239" s="210">
        <v>265625.09000000003</v>
      </c>
      <c r="M239" s="144">
        <f t="shared" si="12"/>
        <v>1001845.339994</v>
      </c>
      <c r="N239" s="210">
        <v>0</v>
      </c>
      <c r="O239" s="210">
        <v>1237115.309994</v>
      </c>
      <c r="P239" s="210">
        <v>72340.450000000012</v>
      </c>
      <c r="Q239" s="210">
        <v>325609.65000000002</v>
      </c>
      <c r="R239" s="210">
        <v>-30355.119999999999</v>
      </c>
      <c r="S239" s="144">
        <f t="shared" si="13"/>
        <v>1014201.2299939999</v>
      </c>
      <c r="T239" s="145">
        <v>295928.26</v>
      </c>
      <c r="U239" s="145">
        <v>718272.97</v>
      </c>
    </row>
    <row r="240" spans="1:21">
      <c r="A240" s="74">
        <f t="shared" si="11"/>
        <v>230</v>
      </c>
      <c r="B240" s="75">
        <v>66033</v>
      </c>
      <c r="C240" s="209" t="s">
        <v>12</v>
      </c>
      <c r="D240" s="209" t="s">
        <v>16</v>
      </c>
      <c r="E240" s="211">
        <v>7.2312000000000003</v>
      </c>
      <c r="F240" s="208">
        <v>45857</v>
      </c>
      <c r="G240" s="208">
        <v>47682</v>
      </c>
      <c r="H240" s="77"/>
      <c r="I240" s="210">
        <v>0</v>
      </c>
      <c r="J240" s="210">
        <v>2060222.8300330001</v>
      </c>
      <c r="K240" s="210">
        <v>-163126.35</v>
      </c>
      <c r="L240" s="210">
        <v>300835.61</v>
      </c>
      <c r="M240" s="144">
        <f t="shared" si="12"/>
        <v>1922513.5700330003</v>
      </c>
      <c r="N240" s="210">
        <v>0</v>
      </c>
      <c r="O240" s="210">
        <v>2060222.8300330001</v>
      </c>
      <c r="P240" s="210">
        <v>107026.84</v>
      </c>
      <c r="Q240" s="210">
        <v>378191.75999999989</v>
      </c>
      <c r="R240" s="210">
        <v>-163126.35</v>
      </c>
      <c r="S240" s="144">
        <f t="shared" si="13"/>
        <v>1952184.2600330003</v>
      </c>
      <c r="T240" s="145">
        <v>397964.15</v>
      </c>
      <c r="U240" s="145">
        <v>1554220.11</v>
      </c>
    </row>
    <row r="241" spans="1:21">
      <c r="A241" s="74">
        <f t="shared" si="11"/>
        <v>231</v>
      </c>
      <c r="B241" s="75">
        <v>66034</v>
      </c>
      <c r="C241" s="209" t="s">
        <v>12</v>
      </c>
      <c r="D241" s="209" t="s">
        <v>16</v>
      </c>
      <c r="E241" s="211">
        <v>7.2312000000000003</v>
      </c>
      <c r="F241" s="208">
        <v>45842</v>
      </c>
      <c r="G241" s="208">
        <v>47667</v>
      </c>
      <c r="H241" s="77"/>
      <c r="I241" s="210">
        <v>0</v>
      </c>
      <c r="J241" s="210">
        <v>1552412.770003</v>
      </c>
      <c r="K241" s="210">
        <v>-109114.07</v>
      </c>
      <c r="L241" s="210">
        <v>238279.66000000003</v>
      </c>
      <c r="M241" s="144">
        <f t="shared" si="12"/>
        <v>1423247.180003</v>
      </c>
      <c r="N241" s="210">
        <v>0</v>
      </c>
      <c r="O241" s="210">
        <v>1552412.770003</v>
      </c>
      <c r="P241" s="210">
        <v>80328.31</v>
      </c>
      <c r="Q241" s="210">
        <v>283816.19</v>
      </c>
      <c r="R241" s="210">
        <v>-109114.07</v>
      </c>
      <c r="S241" s="144">
        <f t="shared" si="13"/>
        <v>1458038.9600030002</v>
      </c>
      <c r="T241" s="145">
        <v>297229.74</v>
      </c>
      <c r="U241" s="145">
        <v>1160809.22</v>
      </c>
    </row>
    <row r="242" spans="1:21">
      <c r="A242" s="74">
        <f t="shared" ref="A242:A305" si="14">A241+1</f>
        <v>232</v>
      </c>
      <c r="B242" s="75">
        <v>66035</v>
      </c>
      <c r="C242" s="209" t="s">
        <v>12</v>
      </c>
      <c r="D242" s="209" t="s">
        <v>16</v>
      </c>
      <c r="E242" s="211">
        <v>7.2312000000000003</v>
      </c>
      <c r="F242" s="208">
        <v>45868</v>
      </c>
      <c r="G242" s="208">
        <v>47693</v>
      </c>
      <c r="H242" s="77"/>
      <c r="I242" s="210">
        <v>0</v>
      </c>
      <c r="J242" s="210">
        <v>2050274.9799589999</v>
      </c>
      <c r="K242" s="210">
        <v>-162347.16</v>
      </c>
      <c r="L242" s="210">
        <v>287184.2</v>
      </c>
      <c r="M242" s="144">
        <f t="shared" ref="M242:M305" si="15">I242+J242-K242-L242</f>
        <v>1925437.9399590001</v>
      </c>
      <c r="N242" s="210">
        <v>0</v>
      </c>
      <c r="O242" s="210">
        <v>2050274.9799589999</v>
      </c>
      <c r="P242" s="210">
        <v>106510.25</v>
      </c>
      <c r="Q242" s="210">
        <v>376366.36</v>
      </c>
      <c r="R242" s="210">
        <v>-162347.16</v>
      </c>
      <c r="S242" s="144">
        <f t="shared" si="13"/>
        <v>1942766.0299589999</v>
      </c>
      <c r="T242" s="145">
        <v>396044.18</v>
      </c>
      <c r="U242" s="145">
        <v>1546721.85</v>
      </c>
    </row>
    <row r="243" spans="1:21">
      <c r="A243" s="74">
        <f t="shared" si="14"/>
        <v>233</v>
      </c>
      <c r="B243" s="75">
        <v>66038</v>
      </c>
      <c r="C243" s="209" t="s">
        <v>12</v>
      </c>
      <c r="D243" s="209" t="s">
        <v>16</v>
      </c>
      <c r="E243" s="211">
        <v>7.2312000000000003</v>
      </c>
      <c r="F243" s="208">
        <v>45841</v>
      </c>
      <c r="G243" s="208">
        <v>47666</v>
      </c>
      <c r="H243" s="77"/>
      <c r="I243" s="210">
        <v>0</v>
      </c>
      <c r="J243" s="210">
        <v>1606890.519968</v>
      </c>
      <c r="K243" s="210">
        <v>-112755.39</v>
      </c>
      <c r="L243" s="210">
        <v>247496.51000000004</v>
      </c>
      <c r="M243" s="144">
        <f t="shared" si="15"/>
        <v>1472149.3999679999</v>
      </c>
      <c r="N243" s="210">
        <v>0</v>
      </c>
      <c r="O243" s="210">
        <v>1606890.519968</v>
      </c>
      <c r="P243" s="210">
        <v>83142.89</v>
      </c>
      <c r="Q243" s="210">
        <v>293760.21000000002</v>
      </c>
      <c r="R243" s="210">
        <v>-112755.39</v>
      </c>
      <c r="S243" s="144">
        <f t="shared" si="13"/>
        <v>1509028.5899679998</v>
      </c>
      <c r="T243" s="145">
        <v>307624.27</v>
      </c>
      <c r="U243" s="145">
        <v>1201404.32</v>
      </c>
    </row>
    <row r="244" spans="1:21">
      <c r="A244" s="74">
        <f t="shared" si="14"/>
        <v>234</v>
      </c>
      <c r="B244" s="75">
        <v>66039</v>
      </c>
      <c r="C244" s="209" t="s">
        <v>12</v>
      </c>
      <c r="D244" s="209" t="s">
        <v>16</v>
      </c>
      <c r="E244" s="211">
        <v>7.0202999999999998</v>
      </c>
      <c r="F244" s="208">
        <v>45857</v>
      </c>
      <c r="G244" s="208">
        <v>47317</v>
      </c>
      <c r="H244" s="77"/>
      <c r="I244" s="210">
        <v>0</v>
      </c>
      <c r="J244" s="210">
        <v>2261798.7100069998</v>
      </c>
      <c r="K244" s="210">
        <v>-197781.13</v>
      </c>
      <c r="L244" s="210">
        <v>414879.93999999994</v>
      </c>
      <c r="M244" s="144">
        <f t="shared" si="15"/>
        <v>2044699.9000069997</v>
      </c>
      <c r="N244" s="210">
        <v>0</v>
      </c>
      <c r="O244" s="210">
        <v>2261798.7100069998</v>
      </c>
      <c r="P244" s="210">
        <v>111942.56</v>
      </c>
      <c r="Q244" s="210">
        <v>500828.47</v>
      </c>
      <c r="R244" s="210">
        <v>-197781.13</v>
      </c>
      <c r="S244" s="144">
        <f t="shared" si="13"/>
        <v>2070693.930007</v>
      </c>
      <c r="T244" s="145">
        <v>571313.55000000005</v>
      </c>
      <c r="U244" s="145">
        <v>1499380.38</v>
      </c>
    </row>
    <row r="245" spans="1:21">
      <c r="A245" s="74">
        <f t="shared" si="14"/>
        <v>235</v>
      </c>
      <c r="B245" s="75">
        <v>66042</v>
      </c>
      <c r="C245" s="209" t="s">
        <v>12</v>
      </c>
      <c r="D245" s="209" t="s">
        <v>16</v>
      </c>
      <c r="E245" s="211">
        <v>7.2312000000000003</v>
      </c>
      <c r="F245" s="208">
        <v>45864</v>
      </c>
      <c r="G245" s="208">
        <v>47689</v>
      </c>
      <c r="H245" s="77"/>
      <c r="I245" s="210">
        <v>0</v>
      </c>
      <c r="J245" s="210">
        <v>3075246.7299759998</v>
      </c>
      <c r="K245" s="210">
        <v>-196482.17</v>
      </c>
      <c r="L245" s="210">
        <v>434036.15</v>
      </c>
      <c r="M245" s="144">
        <f t="shared" si="15"/>
        <v>2837692.7499759998</v>
      </c>
      <c r="N245" s="210">
        <v>0</v>
      </c>
      <c r="O245" s="210">
        <v>3075246.7299759998</v>
      </c>
      <c r="P245" s="210">
        <v>158672.75999999998</v>
      </c>
      <c r="Q245" s="210">
        <v>560575.34</v>
      </c>
      <c r="R245" s="210">
        <v>-196482.17</v>
      </c>
      <c r="S245" s="144">
        <f t="shared" si="13"/>
        <v>2869826.3199759996</v>
      </c>
      <c r="T245" s="145">
        <v>585030.82999999996</v>
      </c>
      <c r="U245" s="145">
        <v>2284795.4900000002</v>
      </c>
    </row>
    <row r="246" spans="1:21">
      <c r="A246" s="74">
        <f t="shared" si="14"/>
        <v>236</v>
      </c>
      <c r="B246" s="75">
        <v>66043</v>
      </c>
      <c r="C246" s="209" t="s">
        <v>12</v>
      </c>
      <c r="D246" s="209" t="s">
        <v>16</v>
      </c>
      <c r="E246" s="211">
        <v>7.0202999999999998</v>
      </c>
      <c r="F246" s="208">
        <v>45841</v>
      </c>
      <c r="G246" s="208">
        <v>47301</v>
      </c>
      <c r="H246" s="77"/>
      <c r="I246" s="210">
        <v>0</v>
      </c>
      <c r="J246" s="210">
        <v>1558590.940004</v>
      </c>
      <c r="K246" s="210">
        <v>-38389.839999999997</v>
      </c>
      <c r="L246" s="210">
        <v>293706.68</v>
      </c>
      <c r="M246" s="144">
        <f t="shared" si="15"/>
        <v>1303274.1000040001</v>
      </c>
      <c r="N246" s="210">
        <v>0</v>
      </c>
      <c r="O246" s="210">
        <v>1558590.940004</v>
      </c>
      <c r="P246" s="210">
        <v>74975.77</v>
      </c>
      <c r="Q246" s="210">
        <v>335056.12</v>
      </c>
      <c r="R246" s="210">
        <v>-38389.839999999997</v>
      </c>
      <c r="S246" s="144">
        <f t="shared" si="13"/>
        <v>1336900.430004</v>
      </c>
      <c r="T246" s="145">
        <v>368856.69</v>
      </c>
      <c r="U246" s="145">
        <v>968043.74</v>
      </c>
    </row>
    <row r="247" spans="1:21">
      <c r="A247" s="74">
        <f t="shared" si="14"/>
        <v>237</v>
      </c>
      <c r="B247" s="75">
        <v>66047</v>
      </c>
      <c r="C247" s="209" t="s">
        <v>12</v>
      </c>
      <c r="D247" s="209" t="s">
        <v>16</v>
      </c>
      <c r="E247" s="211">
        <v>7.2312000000000003</v>
      </c>
      <c r="F247" s="208">
        <v>45845</v>
      </c>
      <c r="G247" s="208">
        <v>47670</v>
      </c>
      <c r="H247" s="77"/>
      <c r="I247" s="210">
        <v>0</v>
      </c>
      <c r="J247" s="210">
        <v>777234.36998900003</v>
      </c>
      <c r="K247" s="210">
        <v>-15647.07</v>
      </c>
      <c r="L247" s="210">
        <v>115211.93999999999</v>
      </c>
      <c r="M247" s="144">
        <f t="shared" si="15"/>
        <v>677669.49998900003</v>
      </c>
      <c r="N247" s="210">
        <v>0</v>
      </c>
      <c r="O247" s="210">
        <v>777234.36998900003</v>
      </c>
      <c r="P247" s="210">
        <v>39318.74</v>
      </c>
      <c r="Q247" s="210">
        <v>138826.79999999999</v>
      </c>
      <c r="R247" s="210">
        <v>-15647.07</v>
      </c>
      <c r="S247" s="144">
        <f t="shared" si="13"/>
        <v>693373.37998899992</v>
      </c>
      <c r="T247" s="145">
        <v>141348.21</v>
      </c>
      <c r="U247" s="145">
        <v>552025.17000000004</v>
      </c>
    </row>
    <row r="248" spans="1:21">
      <c r="A248" s="74">
        <f t="shared" si="14"/>
        <v>238</v>
      </c>
      <c r="B248" s="75">
        <v>66050</v>
      </c>
      <c r="C248" s="209" t="s">
        <v>12</v>
      </c>
      <c r="D248" s="209" t="s">
        <v>16</v>
      </c>
      <c r="E248" s="211">
        <v>6.8864999999999998</v>
      </c>
      <c r="F248" s="208">
        <v>45836</v>
      </c>
      <c r="G248" s="208">
        <v>46931</v>
      </c>
      <c r="H248" s="77"/>
      <c r="I248" s="210">
        <v>0</v>
      </c>
      <c r="J248" s="210">
        <v>738437.100003</v>
      </c>
      <c r="K248" s="210">
        <v>0</v>
      </c>
      <c r="L248" s="210">
        <v>186660.47000000003</v>
      </c>
      <c r="M248" s="144">
        <f t="shared" si="15"/>
        <v>551776.63000299991</v>
      </c>
      <c r="N248" s="210">
        <v>0</v>
      </c>
      <c r="O248" s="210">
        <v>738437.100003</v>
      </c>
      <c r="P248" s="210">
        <v>36220.35</v>
      </c>
      <c r="Q248" s="210">
        <v>226326.09999999998</v>
      </c>
      <c r="R248" s="210">
        <v>0</v>
      </c>
      <c r="S248" s="144">
        <f t="shared" si="13"/>
        <v>548331.350003</v>
      </c>
      <c r="T248" s="145">
        <v>242962.67</v>
      </c>
      <c r="U248" s="145">
        <v>305368.68</v>
      </c>
    </row>
    <row r="249" spans="1:21">
      <c r="A249" s="74">
        <f t="shared" si="14"/>
        <v>239</v>
      </c>
      <c r="B249" s="75">
        <v>66053</v>
      </c>
      <c r="C249" s="209" t="s">
        <v>12</v>
      </c>
      <c r="D249" s="209" t="s">
        <v>16</v>
      </c>
      <c r="E249" s="211">
        <v>7.2312000000000003</v>
      </c>
      <c r="F249" s="208">
        <v>45843</v>
      </c>
      <c r="G249" s="208">
        <v>47668</v>
      </c>
      <c r="H249" s="77"/>
      <c r="I249" s="210">
        <v>0</v>
      </c>
      <c r="J249" s="210">
        <v>3123774.8700049999</v>
      </c>
      <c r="K249" s="210">
        <v>-198743.92</v>
      </c>
      <c r="L249" s="210">
        <v>476268.67999999993</v>
      </c>
      <c r="M249" s="144">
        <f t="shared" si="15"/>
        <v>2846250.1100049997</v>
      </c>
      <c r="N249" s="210">
        <v>0</v>
      </c>
      <c r="O249" s="210">
        <v>3123774.8700049999</v>
      </c>
      <c r="P249" s="210">
        <v>161157.31</v>
      </c>
      <c r="Q249" s="210">
        <v>569351.01</v>
      </c>
      <c r="R249" s="210">
        <v>-198743.92</v>
      </c>
      <c r="S249" s="144">
        <f t="shared" si="13"/>
        <v>2914325.0900050001</v>
      </c>
      <c r="T249" s="145">
        <v>594102.17000000004</v>
      </c>
      <c r="U249" s="145">
        <v>2320222.92</v>
      </c>
    </row>
    <row r="250" spans="1:21">
      <c r="A250" s="74">
        <f t="shared" si="14"/>
        <v>240</v>
      </c>
      <c r="B250" s="75">
        <v>66057</v>
      </c>
      <c r="C250" s="209" t="s">
        <v>12</v>
      </c>
      <c r="D250" s="209" t="s">
        <v>16</v>
      </c>
      <c r="E250" s="211">
        <v>7.0202999999999998</v>
      </c>
      <c r="F250" s="208">
        <v>45849</v>
      </c>
      <c r="G250" s="208">
        <v>47309</v>
      </c>
      <c r="H250" s="77"/>
      <c r="I250" s="210">
        <v>0</v>
      </c>
      <c r="J250" s="210">
        <v>2050300.9900140001</v>
      </c>
      <c r="K250" s="210">
        <v>-178565.01</v>
      </c>
      <c r="L250" s="210">
        <v>387139.54</v>
      </c>
      <c r="M250" s="144">
        <f t="shared" si="15"/>
        <v>1841726.4600140001</v>
      </c>
      <c r="N250" s="210">
        <v>0</v>
      </c>
      <c r="O250" s="210">
        <v>2050300.9900140001</v>
      </c>
      <c r="P250" s="210">
        <v>101459</v>
      </c>
      <c r="Q250" s="210">
        <v>453922.49</v>
      </c>
      <c r="R250" s="210">
        <v>-178565.01</v>
      </c>
      <c r="S250" s="144">
        <f t="shared" si="13"/>
        <v>1876402.5100139999</v>
      </c>
      <c r="T250" s="145">
        <v>517707.7</v>
      </c>
      <c r="U250" s="145">
        <v>1358694.81</v>
      </c>
    </row>
    <row r="251" spans="1:21">
      <c r="A251" s="74">
        <f t="shared" si="14"/>
        <v>241</v>
      </c>
      <c r="B251" s="75">
        <v>65694</v>
      </c>
      <c r="C251" s="209" t="s">
        <v>12</v>
      </c>
      <c r="D251" s="209" t="s">
        <v>16</v>
      </c>
      <c r="E251" s="211">
        <v>0</v>
      </c>
      <c r="F251" s="208">
        <v>45705</v>
      </c>
      <c r="G251" s="208">
        <v>45778</v>
      </c>
      <c r="H251" s="77"/>
      <c r="I251" s="210">
        <v>1839639.1</v>
      </c>
      <c r="J251" s="210">
        <v>0</v>
      </c>
      <c r="K251" s="210">
        <v>1793273.62</v>
      </c>
      <c r="L251" s="210">
        <v>46365.479999999996</v>
      </c>
      <c r="M251" s="144">
        <f t="shared" si="15"/>
        <v>0</v>
      </c>
      <c r="N251" s="210">
        <v>1827750.25</v>
      </c>
      <c r="O251" s="210">
        <v>0</v>
      </c>
      <c r="P251" s="210">
        <v>11010.82</v>
      </c>
      <c r="Q251" s="210">
        <v>45487.45</v>
      </c>
      <c r="R251" s="210">
        <v>1793273.62</v>
      </c>
      <c r="S251" s="144">
        <f t="shared" si="13"/>
        <v>0</v>
      </c>
      <c r="T251" s="145">
        <v>0</v>
      </c>
      <c r="U251" s="145">
        <v>0</v>
      </c>
    </row>
    <row r="252" spans="1:21">
      <c r="A252" s="74">
        <f t="shared" si="14"/>
        <v>242</v>
      </c>
      <c r="B252" s="75">
        <v>65847</v>
      </c>
      <c r="C252" s="209" t="s">
        <v>12</v>
      </c>
      <c r="D252" s="209" t="s">
        <v>16</v>
      </c>
      <c r="E252" s="211">
        <v>0</v>
      </c>
      <c r="F252" s="208">
        <v>45809</v>
      </c>
      <c r="G252" s="208">
        <v>45899</v>
      </c>
      <c r="H252" s="77"/>
      <c r="I252" s="210">
        <v>0</v>
      </c>
      <c r="J252" s="210">
        <v>85272.970023000002</v>
      </c>
      <c r="K252" s="210">
        <v>0</v>
      </c>
      <c r="L252" s="210">
        <v>85272.97</v>
      </c>
      <c r="M252" s="144">
        <f t="shared" si="15"/>
        <v>2.3000000510364771E-5</v>
      </c>
      <c r="N252" s="210">
        <v>0</v>
      </c>
      <c r="O252" s="210">
        <v>85272.970023000002</v>
      </c>
      <c r="P252" s="210">
        <v>479</v>
      </c>
      <c r="Q252" s="210">
        <v>85751.97</v>
      </c>
      <c r="R252" s="210">
        <v>0</v>
      </c>
      <c r="S252" s="144">
        <f t="shared" si="13"/>
        <v>2.3000000510364771E-5</v>
      </c>
      <c r="T252" s="145">
        <v>0</v>
      </c>
      <c r="U252" s="145">
        <v>0</v>
      </c>
    </row>
    <row r="253" spans="1:21">
      <c r="A253" s="74">
        <f t="shared" si="14"/>
        <v>243</v>
      </c>
      <c r="B253" s="75">
        <v>65464</v>
      </c>
      <c r="C253" s="209" t="s">
        <v>12</v>
      </c>
      <c r="D253" s="209" t="s">
        <v>16</v>
      </c>
      <c r="E253" s="211">
        <v>0</v>
      </c>
      <c r="F253" s="208">
        <v>45459</v>
      </c>
      <c r="G253" s="208">
        <v>45839</v>
      </c>
      <c r="H253" s="77"/>
      <c r="I253" s="210">
        <v>2070626.02</v>
      </c>
      <c r="J253" s="210">
        <v>0</v>
      </c>
      <c r="K253" s="210">
        <v>1947618.52</v>
      </c>
      <c r="L253" s="210">
        <v>123007.5</v>
      </c>
      <c r="M253" s="144">
        <f t="shared" si="15"/>
        <v>0</v>
      </c>
      <c r="N253" s="210">
        <v>2113667.4300000002</v>
      </c>
      <c r="O253" s="210">
        <v>0</v>
      </c>
      <c r="P253" s="210">
        <v>39620.71</v>
      </c>
      <c r="Q253" s="210">
        <v>148026.84</v>
      </c>
      <c r="R253" s="210">
        <v>2005261.3</v>
      </c>
      <c r="S253" s="144">
        <f t="shared" si="13"/>
        <v>0</v>
      </c>
      <c r="T253" s="145">
        <v>0</v>
      </c>
      <c r="U253" s="145">
        <v>0</v>
      </c>
    </row>
    <row r="254" spans="1:21" s="138" customFormat="1">
      <c r="A254" s="74">
        <f t="shared" si="14"/>
        <v>244</v>
      </c>
      <c r="B254" s="75">
        <v>64643</v>
      </c>
      <c r="C254" s="209" t="s">
        <v>12</v>
      </c>
      <c r="D254" s="209" t="s">
        <v>16</v>
      </c>
      <c r="E254" s="211">
        <v>0</v>
      </c>
      <c r="F254" s="208">
        <v>45339</v>
      </c>
      <c r="G254" s="208">
        <v>45778</v>
      </c>
      <c r="H254" s="77"/>
      <c r="I254" s="210">
        <v>654671.55000000005</v>
      </c>
      <c r="J254" s="210">
        <v>0</v>
      </c>
      <c r="K254" s="210">
        <v>635723.97</v>
      </c>
      <c r="L254" s="210">
        <v>18947.580000000002</v>
      </c>
      <c r="M254" s="144">
        <f t="shared" si="15"/>
        <v>7.2759576141834259E-11</v>
      </c>
      <c r="N254" s="210">
        <v>672200.59</v>
      </c>
      <c r="O254" s="210">
        <v>0</v>
      </c>
      <c r="P254" s="210">
        <v>4142.12</v>
      </c>
      <c r="Q254" s="210">
        <v>21911.75</v>
      </c>
      <c r="R254" s="210">
        <v>654430.96</v>
      </c>
      <c r="S254" s="144">
        <f t="shared" si="13"/>
        <v>0</v>
      </c>
      <c r="T254" s="145">
        <v>0</v>
      </c>
      <c r="U254" s="145">
        <v>0</v>
      </c>
    </row>
    <row r="255" spans="1:21" s="138" customFormat="1">
      <c r="A255" s="74">
        <f t="shared" si="14"/>
        <v>245</v>
      </c>
      <c r="B255" s="75">
        <v>56194</v>
      </c>
      <c r="C255" s="209" t="s">
        <v>12</v>
      </c>
      <c r="D255" s="209" t="s">
        <v>16</v>
      </c>
      <c r="E255" s="211">
        <v>0</v>
      </c>
      <c r="F255" s="208">
        <v>44713</v>
      </c>
      <c r="G255" s="208">
        <v>45794</v>
      </c>
      <c r="H255" s="77"/>
      <c r="I255" s="210">
        <v>26287.63</v>
      </c>
      <c r="J255" s="210">
        <v>0</v>
      </c>
      <c r="K255" s="210">
        <v>0</v>
      </c>
      <c r="L255" s="210">
        <v>26287.63</v>
      </c>
      <c r="M255" s="144">
        <f t="shared" si="15"/>
        <v>0</v>
      </c>
      <c r="N255" s="210">
        <v>18922.68</v>
      </c>
      <c r="O255" s="210">
        <v>0</v>
      </c>
      <c r="P255" s="210">
        <v>0</v>
      </c>
      <c r="Q255" s="210">
        <v>18922.68</v>
      </c>
      <c r="R255" s="210">
        <v>0</v>
      </c>
      <c r="S255" s="144">
        <f t="shared" si="13"/>
        <v>0</v>
      </c>
      <c r="T255" s="145">
        <v>0</v>
      </c>
      <c r="U255" s="145">
        <v>0</v>
      </c>
    </row>
    <row r="256" spans="1:21" s="138" customFormat="1">
      <c r="A256" s="74">
        <f t="shared" si="14"/>
        <v>246</v>
      </c>
      <c r="B256" s="256">
        <v>56754</v>
      </c>
      <c r="C256" s="209" t="s">
        <v>12</v>
      </c>
      <c r="D256" s="209" t="s">
        <v>13</v>
      </c>
      <c r="E256" s="211">
        <v>0</v>
      </c>
      <c r="F256" s="208">
        <v>44621</v>
      </c>
      <c r="G256" s="208">
        <v>45777</v>
      </c>
      <c r="H256" s="77"/>
      <c r="I256" s="210">
        <v>987857.38</v>
      </c>
      <c r="J256" s="210">
        <v>0</v>
      </c>
      <c r="K256" s="210">
        <v>0</v>
      </c>
      <c r="L256" s="210">
        <v>987857.38</v>
      </c>
      <c r="M256" s="144">
        <f t="shared" si="15"/>
        <v>0</v>
      </c>
      <c r="N256" s="210">
        <v>991136.96</v>
      </c>
      <c r="O256" s="210">
        <v>0</v>
      </c>
      <c r="P256" s="210">
        <v>0.01</v>
      </c>
      <c r="Q256" s="210">
        <v>991136.97</v>
      </c>
      <c r="R256" s="210">
        <v>0</v>
      </c>
      <c r="S256" s="144">
        <f t="shared" si="13"/>
        <v>0</v>
      </c>
      <c r="T256" s="145">
        <v>0</v>
      </c>
      <c r="U256" s="145">
        <v>0</v>
      </c>
    </row>
    <row r="257" spans="1:21" s="138" customFormat="1">
      <c r="A257" s="74">
        <f t="shared" si="14"/>
        <v>247</v>
      </c>
      <c r="B257" s="75">
        <v>57270</v>
      </c>
      <c r="C257" s="209" t="s">
        <v>12</v>
      </c>
      <c r="D257" s="209" t="s">
        <v>16</v>
      </c>
      <c r="E257" s="211">
        <v>0</v>
      </c>
      <c r="F257" s="208">
        <v>44743</v>
      </c>
      <c r="G257" s="208">
        <v>45811</v>
      </c>
      <c r="H257" s="77"/>
      <c r="I257" s="210">
        <v>68835.31</v>
      </c>
      <c r="J257" s="210">
        <v>0</v>
      </c>
      <c r="K257" s="210">
        <v>0</v>
      </c>
      <c r="L257" s="210">
        <v>68835.310000000012</v>
      </c>
      <c r="M257" s="144">
        <f t="shared" si="15"/>
        <v>0</v>
      </c>
      <c r="N257" s="210">
        <v>72125.66</v>
      </c>
      <c r="O257" s="210">
        <v>0</v>
      </c>
      <c r="P257" s="210">
        <v>220.28</v>
      </c>
      <c r="Q257" s="210">
        <v>72345.94</v>
      </c>
      <c r="R257" s="210">
        <v>0</v>
      </c>
      <c r="S257" s="144">
        <f t="shared" si="13"/>
        <v>0</v>
      </c>
      <c r="T257" s="145">
        <v>0</v>
      </c>
      <c r="U257" s="145">
        <v>0</v>
      </c>
    </row>
    <row r="258" spans="1:21" s="138" customFormat="1">
      <c r="A258" s="74">
        <f t="shared" si="14"/>
        <v>248</v>
      </c>
      <c r="B258" s="75">
        <v>57279</v>
      </c>
      <c r="C258" s="209" t="s">
        <v>12</v>
      </c>
      <c r="D258" s="209" t="s">
        <v>16</v>
      </c>
      <c r="E258" s="211">
        <v>0</v>
      </c>
      <c r="F258" s="208">
        <v>44743</v>
      </c>
      <c r="G258" s="208">
        <v>45817</v>
      </c>
      <c r="H258" s="77"/>
      <c r="I258" s="210">
        <v>51440.46</v>
      </c>
      <c r="J258" s="210">
        <v>0</v>
      </c>
      <c r="K258" s="210">
        <v>0</v>
      </c>
      <c r="L258" s="210">
        <v>51440.46</v>
      </c>
      <c r="M258" s="144">
        <f t="shared" si="15"/>
        <v>0</v>
      </c>
      <c r="N258" s="210">
        <v>49490.95</v>
      </c>
      <c r="O258" s="210">
        <v>0</v>
      </c>
      <c r="P258" s="210">
        <v>151.14999999999998</v>
      </c>
      <c r="Q258" s="210">
        <v>49642.1</v>
      </c>
      <c r="R258" s="210">
        <v>0</v>
      </c>
      <c r="S258" s="144">
        <f t="shared" si="13"/>
        <v>0</v>
      </c>
      <c r="T258" s="145">
        <v>0</v>
      </c>
      <c r="U258" s="145">
        <v>0</v>
      </c>
    </row>
    <row r="259" spans="1:21" s="138" customFormat="1">
      <c r="A259" s="74">
        <f t="shared" si="14"/>
        <v>249</v>
      </c>
      <c r="B259" s="75">
        <v>57746</v>
      </c>
      <c r="C259" s="209" t="s">
        <v>12</v>
      </c>
      <c r="D259" s="209" t="s">
        <v>16</v>
      </c>
      <c r="E259" s="211">
        <v>0</v>
      </c>
      <c r="F259" s="208">
        <v>44774</v>
      </c>
      <c r="G259" s="208">
        <v>45865</v>
      </c>
      <c r="H259" s="77"/>
      <c r="I259" s="210">
        <v>123265.85</v>
      </c>
      <c r="J259" s="210">
        <v>0</v>
      </c>
      <c r="K259" s="210">
        <v>0</v>
      </c>
      <c r="L259" s="210">
        <v>123265.84999999999</v>
      </c>
      <c r="M259" s="144">
        <f t="shared" si="15"/>
        <v>0</v>
      </c>
      <c r="N259" s="210">
        <v>107157.5</v>
      </c>
      <c r="O259" s="210">
        <v>0</v>
      </c>
      <c r="P259" s="210">
        <v>655.27</v>
      </c>
      <c r="Q259" s="210">
        <v>107812.76999999999</v>
      </c>
      <c r="R259" s="210">
        <v>0</v>
      </c>
      <c r="S259" s="144">
        <f t="shared" si="13"/>
        <v>1.4551915228366852E-11</v>
      </c>
      <c r="T259" s="145">
        <v>0</v>
      </c>
      <c r="U259" s="145">
        <v>0</v>
      </c>
    </row>
    <row r="260" spans="1:21" s="138" customFormat="1">
      <c r="A260" s="74">
        <f t="shared" si="14"/>
        <v>250</v>
      </c>
      <c r="B260" s="256">
        <v>57772</v>
      </c>
      <c r="C260" s="209" t="s">
        <v>12</v>
      </c>
      <c r="D260" s="209" t="s">
        <v>13</v>
      </c>
      <c r="E260" s="211">
        <v>7.3532000000000002</v>
      </c>
      <c r="F260" s="208">
        <v>44805</v>
      </c>
      <c r="G260" s="208">
        <v>46022</v>
      </c>
      <c r="H260" s="77"/>
      <c r="I260" s="210">
        <v>5036147.24</v>
      </c>
      <c r="J260" s="210">
        <v>6063067.7999999998</v>
      </c>
      <c r="K260" s="210">
        <v>0</v>
      </c>
      <c r="L260" s="210">
        <v>11099215.039999999</v>
      </c>
      <c r="M260" s="144">
        <f t="shared" si="15"/>
        <v>0</v>
      </c>
      <c r="N260" s="210">
        <v>7406029.8099999996</v>
      </c>
      <c r="O260" s="210">
        <v>6063067.7999999998</v>
      </c>
      <c r="P260" s="210">
        <v>91040.98</v>
      </c>
      <c r="Q260" s="210">
        <v>13560138.59</v>
      </c>
      <c r="R260" s="210">
        <v>0</v>
      </c>
      <c r="S260" s="144">
        <f t="shared" si="13"/>
        <v>0</v>
      </c>
      <c r="T260" s="145">
        <v>0</v>
      </c>
      <c r="U260" s="145">
        <v>0</v>
      </c>
    </row>
    <row r="261" spans="1:21" s="138" customFormat="1">
      <c r="A261" s="74">
        <f t="shared" si="14"/>
        <v>251</v>
      </c>
      <c r="B261" s="75">
        <v>57992</v>
      </c>
      <c r="C261" s="209" t="s">
        <v>12</v>
      </c>
      <c r="D261" s="209" t="s">
        <v>16</v>
      </c>
      <c r="E261" s="211">
        <v>0</v>
      </c>
      <c r="F261" s="208">
        <v>44805</v>
      </c>
      <c r="G261" s="208">
        <v>45872</v>
      </c>
      <c r="H261" s="77"/>
      <c r="I261" s="210">
        <v>106175.58</v>
      </c>
      <c r="J261" s="210">
        <v>0</v>
      </c>
      <c r="K261" s="210">
        <v>0</v>
      </c>
      <c r="L261" s="210">
        <v>106175.58</v>
      </c>
      <c r="M261" s="144">
        <f t="shared" si="15"/>
        <v>0</v>
      </c>
      <c r="N261" s="210">
        <v>113531.39</v>
      </c>
      <c r="O261" s="210">
        <v>0</v>
      </c>
      <c r="P261" s="210">
        <v>1042.4100000000001</v>
      </c>
      <c r="Q261" s="210">
        <v>114573.8</v>
      </c>
      <c r="R261" s="210">
        <v>0</v>
      </c>
      <c r="S261" s="144">
        <f t="shared" si="13"/>
        <v>0</v>
      </c>
      <c r="T261" s="145">
        <v>0</v>
      </c>
      <c r="U261" s="145">
        <v>0</v>
      </c>
    </row>
    <row r="262" spans="1:21" s="138" customFormat="1">
      <c r="A262" s="74">
        <f t="shared" si="14"/>
        <v>252</v>
      </c>
      <c r="B262" s="75">
        <v>61915</v>
      </c>
      <c r="C262" s="209" t="s">
        <v>12</v>
      </c>
      <c r="D262" s="209" t="s">
        <v>16</v>
      </c>
      <c r="E262" s="211">
        <v>0</v>
      </c>
      <c r="F262" s="208">
        <v>45078</v>
      </c>
      <c r="G262" s="208">
        <v>45839</v>
      </c>
      <c r="H262" s="77"/>
      <c r="I262" s="210">
        <v>566563.11</v>
      </c>
      <c r="J262" s="210">
        <v>0</v>
      </c>
      <c r="K262" s="210">
        <v>500202.45</v>
      </c>
      <c r="L262" s="210">
        <v>66360.66</v>
      </c>
      <c r="M262" s="144">
        <f t="shared" si="15"/>
        <v>0</v>
      </c>
      <c r="N262" s="210">
        <v>599620.15</v>
      </c>
      <c r="O262" s="210">
        <v>0</v>
      </c>
      <c r="P262" s="210">
        <v>10667.73</v>
      </c>
      <c r="Q262" s="210">
        <v>77639.91</v>
      </c>
      <c r="R262" s="210">
        <v>532647.97</v>
      </c>
      <c r="S262" s="144">
        <f t="shared" si="13"/>
        <v>0</v>
      </c>
      <c r="T262" s="145">
        <v>0</v>
      </c>
      <c r="U262" s="145">
        <v>0</v>
      </c>
    </row>
    <row r="263" spans="1:21" s="138" customFormat="1">
      <c r="A263" s="74">
        <f t="shared" si="14"/>
        <v>253</v>
      </c>
      <c r="B263" s="75">
        <v>62771</v>
      </c>
      <c r="C263" s="209" t="s">
        <v>12</v>
      </c>
      <c r="D263" s="209" t="s">
        <v>16</v>
      </c>
      <c r="E263" s="211">
        <v>0</v>
      </c>
      <c r="F263" s="208">
        <v>45139</v>
      </c>
      <c r="G263" s="208">
        <v>45839</v>
      </c>
      <c r="H263" s="77"/>
      <c r="I263" s="210">
        <v>950718.52</v>
      </c>
      <c r="J263" s="210">
        <v>0</v>
      </c>
      <c r="K263" s="210">
        <v>845959.27</v>
      </c>
      <c r="L263" s="210">
        <v>104759.25</v>
      </c>
      <c r="M263" s="144">
        <f t="shared" si="15"/>
        <v>0</v>
      </c>
      <c r="N263" s="210">
        <v>1007606.7</v>
      </c>
      <c r="O263" s="210">
        <v>0</v>
      </c>
      <c r="P263" s="210">
        <v>18019.050000000003</v>
      </c>
      <c r="Q263" s="210">
        <v>121547.45999999999</v>
      </c>
      <c r="R263" s="210">
        <v>904078.29</v>
      </c>
      <c r="S263" s="144">
        <f t="shared" si="13"/>
        <v>0</v>
      </c>
      <c r="T263" s="145">
        <v>0</v>
      </c>
      <c r="U263" s="145">
        <v>0</v>
      </c>
    </row>
    <row r="264" spans="1:21" s="138" customFormat="1">
      <c r="A264" s="74">
        <f t="shared" si="14"/>
        <v>254</v>
      </c>
      <c r="B264" s="75">
        <v>52383</v>
      </c>
      <c r="C264" s="209" t="s">
        <v>12</v>
      </c>
      <c r="D264" s="209" t="s">
        <v>16</v>
      </c>
      <c r="E264" s="211">
        <v>0</v>
      </c>
      <c r="F264" s="208">
        <v>44440</v>
      </c>
      <c r="G264" s="208">
        <v>45877</v>
      </c>
      <c r="H264" s="77"/>
      <c r="I264" s="210">
        <v>145510.34</v>
      </c>
      <c r="J264" s="210">
        <v>0</v>
      </c>
      <c r="K264" s="210">
        <v>0</v>
      </c>
      <c r="L264" s="210">
        <v>145510.34</v>
      </c>
      <c r="M264" s="144">
        <f t="shared" si="15"/>
        <v>0</v>
      </c>
      <c r="N264" s="210">
        <v>150607.92000000001</v>
      </c>
      <c r="O264" s="210">
        <v>0</v>
      </c>
      <c r="P264" s="210">
        <v>1436.48</v>
      </c>
      <c r="Q264" s="210">
        <v>152044.4</v>
      </c>
      <c r="R264" s="210">
        <v>0</v>
      </c>
      <c r="S264" s="144">
        <f t="shared" si="13"/>
        <v>2.9103830456733704E-11</v>
      </c>
      <c r="T264" s="145">
        <v>0</v>
      </c>
      <c r="U264" s="145">
        <v>0</v>
      </c>
    </row>
    <row r="265" spans="1:21" s="138" customFormat="1">
      <c r="A265" s="74">
        <f t="shared" si="14"/>
        <v>255</v>
      </c>
      <c r="B265" s="75">
        <v>52385</v>
      </c>
      <c r="C265" s="209" t="s">
        <v>12</v>
      </c>
      <c r="D265" s="209" t="s">
        <v>16</v>
      </c>
      <c r="E265" s="211">
        <v>0</v>
      </c>
      <c r="F265" s="208">
        <v>44440</v>
      </c>
      <c r="G265" s="208">
        <v>45864</v>
      </c>
      <c r="H265" s="77"/>
      <c r="I265" s="210">
        <v>79454.759999999995</v>
      </c>
      <c r="J265" s="210">
        <v>0</v>
      </c>
      <c r="K265" s="210">
        <v>0</v>
      </c>
      <c r="L265" s="210">
        <v>79454.759999999995</v>
      </c>
      <c r="M265" s="144">
        <f t="shared" si="15"/>
        <v>0</v>
      </c>
      <c r="N265" s="210">
        <v>69251.67</v>
      </c>
      <c r="O265" s="210">
        <v>0</v>
      </c>
      <c r="P265" s="210">
        <v>439.89</v>
      </c>
      <c r="Q265" s="210">
        <v>69691.56</v>
      </c>
      <c r="R265" s="210">
        <v>0</v>
      </c>
      <c r="S265" s="144">
        <f t="shared" si="13"/>
        <v>0</v>
      </c>
      <c r="T265" s="145">
        <v>0</v>
      </c>
      <c r="U265" s="145">
        <v>0</v>
      </c>
    </row>
    <row r="266" spans="1:21" s="138" customFormat="1">
      <c r="A266" s="74">
        <f t="shared" si="14"/>
        <v>256</v>
      </c>
      <c r="B266" s="75">
        <v>52390</v>
      </c>
      <c r="C266" s="209" t="s">
        <v>12</v>
      </c>
      <c r="D266" s="209" t="s">
        <v>16</v>
      </c>
      <c r="E266" s="211">
        <v>0</v>
      </c>
      <c r="F266" s="208">
        <v>44440</v>
      </c>
      <c r="G266" s="208">
        <v>45894</v>
      </c>
      <c r="H266" s="77"/>
      <c r="I266" s="210">
        <v>105878.29</v>
      </c>
      <c r="J266" s="210">
        <v>0</v>
      </c>
      <c r="K266" s="210">
        <v>0</v>
      </c>
      <c r="L266" s="210">
        <v>105878.29</v>
      </c>
      <c r="M266" s="144">
        <f t="shared" si="15"/>
        <v>0</v>
      </c>
      <c r="N266" s="210">
        <v>98162.78</v>
      </c>
      <c r="O266" s="210">
        <v>0</v>
      </c>
      <c r="P266" s="210">
        <v>936.26</v>
      </c>
      <c r="Q266" s="210">
        <v>99099.04</v>
      </c>
      <c r="R266" s="210">
        <v>0</v>
      </c>
      <c r="S266" s="144">
        <f t="shared" si="13"/>
        <v>0</v>
      </c>
      <c r="T266" s="145">
        <v>0</v>
      </c>
      <c r="U266" s="145">
        <v>0</v>
      </c>
    </row>
    <row r="267" spans="1:21" s="138" customFormat="1">
      <c r="A267" s="74">
        <f t="shared" si="14"/>
        <v>257</v>
      </c>
      <c r="B267" s="75">
        <v>52394</v>
      </c>
      <c r="C267" s="209" t="s">
        <v>12</v>
      </c>
      <c r="D267" s="209" t="s">
        <v>16</v>
      </c>
      <c r="E267" s="211">
        <v>0</v>
      </c>
      <c r="F267" s="208">
        <v>44440</v>
      </c>
      <c r="G267" s="208">
        <v>45894</v>
      </c>
      <c r="H267" s="77"/>
      <c r="I267" s="210">
        <v>110859.2</v>
      </c>
      <c r="J267" s="210">
        <v>0</v>
      </c>
      <c r="K267" s="210">
        <v>0</v>
      </c>
      <c r="L267" s="210">
        <v>110859.2</v>
      </c>
      <c r="M267" s="144">
        <f t="shared" si="15"/>
        <v>0</v>
      </c>
      <c r="N267" s="210">
        <v>102780.71</v>
      </c>
      <c r="O267" s="210">
        <v>0</v>
      </c>
      <c r="P267" s="210">
        <v>980.33</v>
      </c>
      <c r="Q267" s="210">
        <v>103761.04</v>
      </c>
      <c r="R267" s="210">
        <v>0</v>
      </c>
      <c r="S267" s="144">
        <f t="shared" si="13"/>
        <v>1.4551915228366852E-11</v>
      </c>
      <c r="T267" s="145">
        <v>0</v>
      </c>
      <c r="U267" s="145">
        <v>0</v>
      </c>
    </row>
    <row r="268" spans="1:21" s="138" customFormat="1">
      <c r="A268" s="74">
        <f t="shared" si="14"/>
        <v>258</v>
      </c>
      <c r="B268" s="75">
        <v>52401</v>
      </c>
      <c r="C268" s="209" t="s">
        <v>12</v>
      </c>
      <c r="D268" s="209" t="s">
        <v>16</v>
      </c>
      <c r="E268" s="211">
        <v>0</v>
      </c>
      <c r="F268" s="208">
        <v>44440</v>
      </c>
      <c r="G268" s="208">
        <v>45897</v>
      </c>
      <c r="H268" s="77"/>
      <c r="I268" s="210">
        <v>113962.71</v>
      </c>
      <c r="J268" s="210">
        <v>0</v>
      </c>
      <c r="K268" s="210">
        <v>0</v>
      </c>
      <c r="L268" s="210">
        <v>113962.70999999999</v>
      </c>
      <c r="M268" s="144">
        <f t="shared" si="15"/>
        <v>0</v>
      </c>
      <c r="N268" s="210">
        <v>103773.55</v>
      </c>
      <c r="O268" s="210">
        <v>0</v>
      </c>
      <c r="P268" s="210">
        <v>989.77</v>
      </c>
      <c r="Q268" s="210">
        <v>104763.32</v>
      </c>
      <c r="R268" s="210">
        <v>0</v>
      </c>
      <c r="S268" s="144">
        <f t="shared" ref="S268:S310" si="16">N268+O268+P268-Q268-R268</f>
        <v>0</v>
      </c>
      <c r="T268" s="145">
        <v>0</v>
      </c>
      <c r="U268" s="145">
        <v>0</v>
      </c>
    </row>
    <row r="269" spans="1:21" s="138" customFormat="1">
      <c r="A269" s="74">
        <f t="shared" si="14"/>
        <v>259</v>
      </c>
      <c r="B269" s="75">
        <v>52415</v>
      </c>
      <c r="C269" s="209" t="s">
        <v>12</v>
      </c>
      <c r="D269" s="209" t="s">
        <v>16</v>
      </c>
      <c r="E269" s="211">
        <v>0</v>
      </c>
      <c r="F269" s="208">
        <v>44440</v>
      </c>
      <c r="G269" s="208">
        <v>45900</v>
      </c>
      <c r="H269" s="77"/>
      <c r="I269" s="210">
        <v>100138.11</v>
      </c>
      <c r="J269" s="210">
        <v>0</v>
      </c>
      <c r="K269" s="210">
        <v>0</v>
      </c>
      <c r="L269" s="210">
        <v>100138.11</v>
      </c>
      <c r="M269" s="144">
        <f t="shared" si="15"/>
        <v>0</v>
      </c>
      <c r="N269" s="210">
        <v>109927.72</v>
      </c>
      <c r="O269" s="210">
        <v>0</v>
      </c>
      <c r="P269" s="210">
        <v>1399.4299999999998</v>
      </c>
      <c r="Q269" s="210">
        <v>111327.15</v>
      </c>
      <c r="R269" s="210">
        <v>0</v>
      </c>
      <c r="S269" s="144">
        <f t="shared" si="16"/>
        <v>0</v>
      </c>
      <c r="T269" s="145">
        <v>0</v>
      </c>
      <c r="U269" s="145">
        <v>0</v>
      </c>
    </row>
    <row r="270" spans="1:21" s="138" customFormat="1">
      <c r="A270" s="74">
        <f t="shared" si="14"/>
        <v>260</v>
      </c>
      <c r="B270" s="75">
        <v>52421</v>
      </c>
      <c r="C270" s="209" t="s">
        <v>12</v>
      </c>
      <c r="D270" s="209" t="s">
        <v>16</v>
      </c>
      <c r="E270" s="211">
        <v>0</v>
      </c>
      <c r="F270" s="208">
        <v>44440</v>
      </c>
      <c r="G270" s="208">
        <v>45893</v>
      </c>
      <c r="H270" s="77"/>
      <c r="I270" s="210">
        <v>79900.2</v>
      </c>
      <c r="J270" s="210">
        <v>0</v>
      </c>
      <c r="K270" s="210">
        <v>0</v>
      </c>
      <c r="L270" s="210">
        <v>79900.200000000012</v>
      </c>
      <c r="M270" s="144">
        <f t="shared" si="15"/>
        <v>0</v>
      </c>
      <c r="N270" s="210">
        <v>74530.080000000002</v>
      </c>
      <c r="O270" s="210">
        <v>0</v>
      </c>
      <c r="P270" s="210">
        <v>710.88</v>
      </c>
      <c r="Q270" s="210">
        <v>75240.960000000006</v>
      </c>
      <c r="R270" s="210">
        <v>0</v>
      </c>
      <c r="S270" s="144">
        <f t="shared" si="16"/>
        <v>0</v>
      </c>
      <c r="T270" s="145">
        <v>0</v>
      </c>
      <c r="U270" s="145">
        <v>0</v>
      </c>
    </row>
    <row r="271" spans="1:21" s="138" customFormat="1">
      <c r="A271" s="74">
        <f t="shared" si="14"/>
        <v>261</v>
      </c>
      <c r="B271" s="75">
        <v>52425</v>
      </c>
      <c r="C271" s="209" t="s">
        <v>12</v>
      </c>
      <c r="D271" s="209" t="s">
        <v>16</v>
      </c>
      <c r="E271" s="211">
        <v>0</v>
      </c>
      <c r="F271" s="208">
        <v>44440</v>
      </c>
      <c r="G271" s="208">
        <v>45879</v>
      </c>
      <c r="H271" s="77"/>
      <c r="I271" s="210">
        <v>108810.73</v>
      </c>
      <c r="J271" s="210">
        <v>0</v>
      </c>
      <c r="K271" s="210">
        <v>0</v>
      </c>
      <c r="L271" s="210">
        <v>108810.73000000001</v>
      </c>
      <c r="M271" s="144">
        <f t="shared" si="15"/>
        <v>0</v>
      </c>
      <c r="N271" s="210">
        <v>111086.71</v>
      </c>
      <c r="O271" s="210">
        <v>0</v>
      </c>
      <c r="P271" s="210">
        <v>1059.53</v>
      </c>
      <c r="Q271" s="210">
        <v>112146.24000000001</v>
      </c>
      <c r="R271" s="210">
        <v>0</v>
      </c>
      <c r="S271" s="144">
        <f t="shared" si="16"/>
        <v>0</v>
      </c>
      <c r="T271" s="145">
        <v>0</v>
      </c>
      <c r="U271" s="145">
        <v>0</v>
      </c>
    </row>
    <row r="272" spans="1:21" s="138" customFormat="1">
      <c r="A272" s="74">
        <f t="shared" si="14"/>
        <v>262</v>
      </c>
      <c r="B272" s="75">
        <v>52429</v>
      </c>
      <c r="C272" s="209" t="s">
        <v>12</v>
      </c>
      <c r="D272" s="209" t="s">
        <v>16</v>
      </c>
      <c r="E272" s="211">
        <v>0</v>
      </c>
      <c r="F272" s="208">
        <v>44440</v>
      </c>
      <c r="G272" s="208">
        <v>45850</v>
      </c>
      <c r="H272" s="77"/>
      <c r="I272" s="210">
        <v>93948.76</v>
      </c>
      <c r="J272" s="210">
        <v>0</v>
      </c>
      <c r="K272" s="210">
        <v>0</v>
      </c>
      <c r="L272" s="210">
        <v>93948.760000000009</v>
      </c>
      <c r="M272" s="144">
        <f t="shared" si="15"/>
        <v>0</v>
      </c>
      <c r="N272" s="210">
        <v>91945.18</v>
      </c>
      <c r="O272" s="210">
        <v>0</v>
      </c>
      <c r="P272" s="210">
        <v>584.05999999999995</v>
      </c>
      <c r="Q272" s="210">
        <v>92529.24</v>
      </c>
      <c r="R272" s="210">
        <v>0</v>
      </c>
      <c r="S272" s="144">
        <f t="shared" si="16"/>
        <v>-1.4551915228366852E-11</v>
      </c>
      <c r="T272" s="145">
        <v>0</v>
      </c>
      <c r="U272" s="145">
        <v>0</v>
      </c>
    </row>
    <row r="273" spans="1:21" s="138" customFormat="1">
      <c r="A273" s="74">
        <f t="shared" si="14"/>
        <v>263</v>
      </c>
      <c r="B273" s="75">
        <v>52438</v>
      </c>
      <c r="C273" s="209" t="s">
        <v>12</v>
      </c>
      <c r="D273" s="209" t="s">
        <v>16</v>
      </c>
      <c r="E273" s="211">
        <v>0</v>
      </c>
      <c r="F273" s="208">
        <v>44440</v>
      </c>
      <c r="G273" s="208">
        <v>45847</v>
      </c>
      <c r="H273" s="77"/>
      <c r="I273" s="210">
        <v>87644.81</v>
      </c>
      <c r="J273" s="210">
        <v>0</v>
      </c>
      <c r="K273" s="210">
        <v>0</v>
      </c>
      <c r="L273" s="210">
        <v>87644.81</v>
      </c>
      <c r="M273" s="144">
        <f t="shared" si="15"/>
        <v>0</v>
      </c>
      <c r="N273" s="210">
        <v>88122.22</v>
      </c>
      <c r="O273" s="210">
        <v>0</v>
      </c>
      <c r="P273" s="210">
        <v>559.76</v>
      </c>
      <c r="Q273" s="210">
        <v>88681.98</v>
      </c>
      <c r="R273" s="210">
        <v>0</v>
      </c>
      <c r="S273" s="144">
        <f t="shared" si="16"/>
        <v>0</v>
      </c>
      <c r="T273" s="145">
        <v>0</v>
      </c>
      <c r="U273" s="145">
        <v>0</v>
      </c>
    </row>
    <row r="274" spans="1:21" s="138" customFormat="1">
      <c r="A274" s="74">
        <f t="shared" si="14"/>
        <v>264</v>
      </c>
      <c r="B274" s="75">
        <v>52440</v>
      </c>
      <c r="C274" s="209" t="s">
        <v>12</v>
      </c>
      <c r="D274" s="209" t="s">
        <v>16</v>
      </c>
      <c r="E274" s="211">
        <v>0</v>
      </c>
      <c r="F274" s="208">
        <v>44440</v>
      </c>
      <c r="G274" s="208">
        <v>45868</v>
      </c>
      <c r="H274" s="77"/>
      <c r="I274" s="210">
        <v>64716.93</v>
      </c>
      <c r="J274" s="210">
        <v>0</v>
      </c>
      <c r="K274" s="210">
        <v>0</v>
      </c>
      <c r="L274" s="210">
        <v>64716.93</v>
      </c>
      <c r="M274" s="144">
        <f t="shared" si="15"/>
        <v>0</v>
      </c>
      <c r="N274" s="210">
        <v>54716.24</v>
      </c>
      <c r="O274" s="210">
        <v>0</v>
      </c>
      <c r="P274" s="210">
        <v>347.56</v>
      </c>
      <c r="Q274" s="210">
        <v>55063.799999999996</v>
      </c>
      <c r="R274" s="210">
        <v>0</v>
      </c>
      <c r="S274" s="144">
        <f t="shared" si="16"/>
        <v>0</v>
      </c>
      <c r="T274" s="145">
        <v>0</v>
      </c>
      <c r="U274" s="145">
        <v>0</v>
      </c>
    </row>
    <row r="275" spans="1:21" s="138" customFormat="1">
      <c r="A275" s="74">
        <f t="shared" si="14"/>
        <v>265</v>
      </c>
      <c r="B275" s="75">
        <v>52443</v>
      </c>
      <c r="C275" s="209" t="s">
        <v>12</v>
      </c>
      <c r="D275" s="209" t="s">
        <v>16</v>
      </c>
      <c r="E275" s="211">
        <v>0</v>
      </c>
      <c r="F275" s="208">
        <v>44440</v>
      </c>
      <c r="G275" s="208">
        <v>45895</v>
      </c>
      <c r="H275" s="77"/>
      <c r="I275" s="210">
        <v>91742.51</v>
      </c>
      <c r="J275" s="210">
        <v>0</v>
      </c>
      <c r="K275" s="210">
        <v>0</v>
      </c>
      <c r="L275" s="210">
        <v>91742.51</v>
      </c>
      <c r="M275" s="144">
        <f t="shared" si="15"/>
        <v>0</v>
      </c>
      <c r="N275" s="210">
        <v>84544.66</v>
      </c>
      <c r="O275" s="210">
        <v>0</v>
      </c>
      <c r="P275" s="210">
        <v>806.38</v>
      </c>
      <c r="Q275" s="210">
        <v>85351.039999999994</v>
      </c>
      <c r="R275" s="210">
        <v>0</v>
      </c>
      <c r="S275" s="144">
        <f t="shared" si="16"/>
        <v>1.4551915228366852E-11</v>
      </c>
      <c r="T275" s="145">
        <v>0</v>
      </c>
      <c r="U275" s="145">
        <v>0</v>
      </c>
    </row>
    <row r="276" spans="1:21" s="138" customFormat="1">
      <c r="A276" s="74">
        <f t="shared" si="14"/>
        <v>266</v>
      </c>
      <c r="B276" s="75">
        <v>56162</v>
      </c>
      <c r="C276" s="209" t="s">
        <v>12</v>
      </c>
      <c r="D276" s="209" t="s">
        <v>16</v>
      </c>
      <c r="E276" s="211">
        <v>0</v>
      </c>
      <c r="F276" s="208">
        <v>44713</v>
      </c>
      <c r="G276" s="208">
        <v>45782</v>
      </c>
      <c r="H276" s="77"/>
      <c r="I276" s="210">
        <v>29673.17</v>
      </c>
      <c r="J276" s="210">
        <v>0</v>
      </c>
      <c r="K276" s="210">
        <v>0</v>
      </c>
      <c r="L276" s="210">
        <v>29673.17</v>
      </c>
      <c r="M276" s="144">
        <f t="shared" si="15"/>
        <v>0</v>
      </c>
      <c r="N276" s="210">
        <v>28172.41</v>
      </c>
      <c r="O276" s="210">
        <v>0</v>
      </c>
      <c r="P276" s="210">
        <v>-0.01</v>
      </c>
      <c r="Q276" s="210">
        <v>28172.400000000001</v>
      </c>
      <c r="R276" s="210">
        <v>0</v>
      </c>
      <c r="S276" s="144">
        <f t="shared" si="16"/>
        <v>0</v>
      </c>
      <c r="T276" s="145">
        <v>0</v>
      </c>
      <c r="U276" s="145">
        <v>0</v>
      </c>
    </row>
    <row r="277" spans="1:21" s="138" customFormat="1">
      <c r="A277" s="74">
        <f t="shared" si="14"/>
        <v>267</v>
      </c>
      <c r="B277" s="75">
        <v>50676</v>
      </c>
      <c r="C277" s="209" t="s">
        <v>12</v>
      </c>
      <c r="D277" s="209" t="s">
        <v>16</v>
      </c>
      <c r="E277" s="211">
        <v>0</v>
      </c>
      <c r="F277" s="208">
        <v>44317</v>
      </c>
      <c r="G277" s="208">
        <v>45756</v>
      </c>
      <c r="H277" s="77"/>
      <c r="I277" s="210">
        <v>14202.22</v>
      </c>
      <c r="J277" s="210">
        <v>0</v>
      </c>
      <c r="K277" s="210">
        <v>0</v>
      </c>
      <c r="L277" s="210">
        <v>14202.22</v>
      </c>
      <c r="M277" s="144">
        <f t="shared" si="15"/>
        <v>0</v>
      </c>
      <c r="N277" s="210">
        <v>60802.32</v>
      </c>
      <c r="O277" s="210">
        <v>0</v>
      </c>
      <c r="P277" s="210">
        <v>0</v>
      </c>
      <c r="Q277" s="210">
        <v>60802.32</v>
      </c>
      <c r="R277" s="210">
        <v>0</v>
      </c>
      <c r="S277" s="144">
        <f t="shared" si="16"/>
        <v>0</v>
      </c>
      <c r="T277" s="145">
        <v>0</v>
      </c>
      <c r="U277" s="145">
        <v>0</v>
      </c>
    </row>
    <row r="278" spans="1:21" s="138" customFormat="1">
      <c r="A278" s="74">
        <f t="shared" si="14"/>
        <v>268</v>
      </c>
      <c r="B278" s="75">
        <v>66067</v>
      </c>
      <c r="C278" s="209" t="s">
        <v>12</v>
      </c>
      <c r="D278" s="209" t="s">
        <v>16</v>
      </c>
      <c r="E278" s="211">
        <v>7.2312000000000003</v>
      </c>
      <c r="F278" s="208">
        <v>45877</v>
      </c>
      <c r="G278" s="208">
        <v>47702</v>
      </c>
      <c r="H278" s="77"/>
      <c r="I278" s="210">
        <v>0</v>
      </c>
      <c r="J278" s="210">
        <v>2086911.459972</v>
      </c>
      <c r="K278" s="210">
        <v>-168039.43</v>
      </c>
      <c r="L278" s="210">
        <v>282355.51</v>
      </c>
      <c r="M278" s="144">
        <f t="shared" si="15"/>
        <v>1972595.3799719999</v>
      </c>
      <c r="N278" s="210">
        <v>0</v>
      </c>
      <c r="O278" s="210">
        <v>2086911.459972</v>
      </c>
      <c r="P278" s="210">
        <v>97580.04</v>
      </c>
      <c r="Q278" s="210">
        <v>341866.76</v>
      </c>
      <c r="R278" s="210">
        <v>-168039.43</v>
      </c>
      <c r="S278" s="144">
        <f t="shared" si="16"/>
        <v>2010664.1699719997</v>
      </c>
      <c r="T278" s="145">
        <v>400882.48</v>
      </c>
      <c r="U278" s="145">
        <v>1609781.69</v>
      </c>
    </row>
    <row r="279" spans="1:21" s="138" customFormat="1">
      <c r="A279" s="74">
        <f t="shared" si="14"/>
        <v>269</v>
      </c>
      <c r="B279" s="75">
        <v>66071</v>
      </c>
      <c r="C279" s="209" t="s">
        <v>12</v>
      </c>
      <c r="D279" s="209" t="s">
        <v>16</v>
      </c>
      <c r="E279" s="211">
        <v>7.2312000000000003</v>
      </c>
      <c r="F279" s="208">
        <v>45897</v>
      </c>
      <c r="G279" s="208">
        <v>47722</v>
      </c>
      <c r="H279" s="77"/>
      <c r="I279" s="210">
        <v>0</v>
      </c>
      <c r="J279" s="210">
        <v>1916416.9899609999</v>
      </c>
      <c r="K279" s="210">
        <v>-156556.62</v>
      </c>
      <c r="L279" s="210">
        <v>238714.65</v>
      </c>
      <c r="M279" s="144">
        <f t="shared" si="15"/>
        <v>1834258.9599609999</v>
      </c>
      <c r="N279" s="210">
        <v>0</v>
      </c>
      <c r="O279" s="210">
        <v>1916416.9899609999</v>
      </c>
      <c r="P279" s="210">
        <v>89659.839999999997</v>
      </c>
      <c r="Q279" s="210">
        <v>314122.80000000005</v>
      </c>
      <c r="R279" s="210">
        <v>-156556.62</v>
      </c>
      <c r="S279" s="144">
        <f t="shared" si="16"/>
        <v>1848510.6499609998</v>
      </c>
      <c r="T279" s="145">
        <v>368552.62</v>
      </c>
      <c r="U279" s="145">
        <v>1479958.03</v>
      </c>
    </row>
    <row r="280" spans="1:21" s="138" customFormat="1">
      <c r="A280" s="74">
        <f t="shared" si="14"/>
        <v>270</v>
      </c>
      <c r="B280" s="75">
        <v>66073</v>
      </c>
      <c r="C280" s="209" t="s">
        <v>12</v>
      </c>
      <c r="D280" s="209" t="s">
        <v>16</v>
      </c>
      <c r="E280" s="211">
        <v>7.0202999999999998</v>
      </c>
      <c r="F280" s="208">
        <v>45875</v>
      </c>
      <c r="G280" s="208">
        <v>47335</v>
      </c>
      <c r="H280" s="77"/>
      <c r="I280" s="210">
        <v>0</v>
      </c>
      <c r="J280" s="210">
        <v>1245057.359987</v>
      </c>
      <c r="K280" s="210">
        <v>-30734.95</v>
      </c>
      <c r="L280" s="210">
        <v>206109.78</v>
      </c>
      <c r="M280" s="144">
        <f t="shared" si="15"/>
        <v>1069682.5299869999</v>
      </c>
      <c r="N280" s="210">
        <v>0</v>
      </c>
      <c r="O280" s="210">
        <v>1245057.359987</v>
      </c>
      <c r="P280" s="210">
        <v>53861.270000000004</v>
      </c>
      <c r="Q280" s="210">
        <v>238007.08000000002</v>
      </c>
      <c r="R280" s="210">
        <v>-30734.95</v>
      </c>
      <c r="S280" s="144">
        <f t="shared" si="16"/>
        <v>1091646.4999869999</v>
      </c>
      <c r="T280" s="145">
        <v>292954.56</v>
      </c>
      <c r="U280" s="145">
        <v>798691.94</v>
      </c>
    </row>
    <row r="281" spans="1:21" s="138" customFormat="1">
      <c r="A281" s="74">
        <f t="shared" si="14"/>
        <v>271</v>
      </c>
      <c r="B281" s="75">
        <v>66075</v>
      </c>
      <c r="C281" s="209" t="s">
        <v>12</v>
      </c>
      <c r="D281" s="209" t="s">
        <v>16</v>
      </c>
      <c r="E281" s="211">
        <v>7.2312000000000003</v>
      </c>
      <c r="F281" s="208">
        <v>45889</v>
      </c>
      <c r="G281" s="208">
        <v>47714</v>
      </c>
      <c r="H281" s="77"/>
      <c r="I281" s="210">
        <v>0</v>
      </c>
      <c r="J281" s="210">
        <v>1887627.430037</v>
      </c>
      <c r="K281" s="210">
        <v>-154187.06</v>
      </c>
      <c r="L281" s="210">
        <v>243295.57999999996</v>
      </c>
      <c r="M281" s="144">
        <f t="shared" si="15"/>
        <v>1798518.9100370002</v>
      </c>
      <c r="N281" s="210">
        <v>0</v>
      </c>
      <c r="O281" s="210">
        <v>1887627.430037</v>
      </c>
      <c r="P281" s="210">
        <v>88312.510000000009</v>
      </c>
      <c r="Q281" s="210">
        <v>309402.40000000002</v>
      </c>
      <c r="R281" s="210">
        <v>-154187.06</v>
      </c>
      <c r="S281" s="144">
        <f t="shared" si="16"/>
        <v>1820724.6000370001</v>
      </c>
      <c r="T281" s="145">
        <v>363012.7</v>
      </c>
      <c r="U281" s="145">
        <v>1457711.9</v>
      </c>
    </row>
    <row r="282" spans="1:21" s="138" customFormat="1">
      <c r="A282" s="74">
        <f t="shared" si="14"/>
        <v>272</v>
      </c>
      <c r="B282" s="75">
        <v>66213</v>
      </c>
      <c r="C282" s="209" t="s">
        <v>12</v>
      </c>
      <c r="D282" s="209" t="s">
        <v>16</v>
      </c>
      <c r="E282" s="211">
        <v>7.0260999999999996</v>
      </c>
      <c r="F282" s="208">
        <v>45982</v>
      </c>
      <c r="G282" s="208">
        <v>47442</v>
      </c>
      <c r="H282" s="77"/>
      <c r="I282" s="210">
        <v>0</v>
      </c>
      <c r="J282" s="210">
        <v>2107198.1800210001</v>
      </c>
      <c r="K282" s="210">
        <v>0</v>
      </c>
      <c r="L282" s="210">
        <v>190233.15999999997</v>
      </c>
      <c r="M282" s="144">
        <f t="shared" si="15"/>
        <v>1916965.0200210002</v>
      </c>
      <c r="N282" s="210">
        <v>0</v>
      </c>
      <c r="O282" s="210">
        <v>2107198.1800210001</v>
      </c>
      <c r="P282" s="210">
        <v>57973.07</v>
      </c>
      <c r="Q282" s="210">
        <v>250955.65</v>
      </c>
      <c r="R282" s="210">
        <v>0</v>
      </c>
      <c r="S282" s="144">
        <f t="shared" si="16"/>
        <v>1914215.600021</v>
      </c>
      <c r="T282" s="145">
        <v>486803.56</v>
      </c>
      <c r="U282" s="145">
        <v>1427412.04</v>
      </c>
    </row>
    <row r="283" spans="1:21" s="138" customFormat="1">
      <c r="A283" s="74">
        <f t="shared" si="14"/>
        <v>273</v>
      </c>
      <c r="B283" s="75">
        <v>66196</v>
      </c>
      <c r="C283" s="209" t="s">
        <v>12</v>
      </c>
      <c r="D283" s="209" t="s">
        <v>16</v>
      </c>
      <c r="E283" s="211">
        <v>7.0260999999999996</v>
      </c>
      <c r="F283" s="208">
        <v>45961</v>
      </c>
      <c r="G283" s="208">
        <v>47421</v>
      </c>
      <c r="H283" s="77"/>
      <c r="I283" s="210">
        <v>0</v>
      </c>
      <c r="J283" s="210">
        <v>2162450.949972</v>
      </c>
      <c r="K283" s="210">
        <v>0</v>
      </c>
      <c r="L283" s="210">
        <v>226708.56</v>
      </c>
      <c r="M283" s="144">
        <f t="shared" si="15"/>
        <v>1935742.3899719999</v>
      </c>
      <c r="N283" s="210">
        <v>0</v>
      </c>
      <c r="O283" s="210">
        <v>2162450.949972</v>
      </c>
      <c r="P283" s="210">
        <v>70693.37</v>
      </c>
      <c r="Q283" s="210">
        <v>309043.14</v>
      </c>
      <c r="R283" s="210">
        <v>0</v>
      </c>
      <c r="S283" s="144">
        <f t="shared" si="16"/>
        <v>1924101.179972</v>
      </c>
      <c r="T283" s="145">
        <v>502493.05</v>
      </c>
      <c r="U283" s="145">
        <v>1421608.13</v>
      </c>
    </row>
    <row r="284" spans="1:21" s="138" customFormat="1">
      <c r="A284" s="74">
        <f t="shared" si="14"/>
        <v>274</v>
      </c>
      <c r="B284" s="75">
        <v>66240</v>
      </c>
      <c r="C284" s="209" t="s">
        <v>12</v>
      </c>
      <c r="D284" s="209" t="s">
        <v>16</v>
      </c>
      <c r="E284" s="211">
        <v>6.7777000000000003</v>
      </c>
      <c r="F284" s="208">
        <v>45982</v>
      </c>
      <c r="G284" s="208">
        <v>47077</v>
      </c>
      <c r="H284" s="77"/>
      <c r="I284" s="210">
        <v>0</v>
      </c>
      <c r="J284" s="210">
        <v>1247096.6300379999</v>
      </c>
      <c r="K284" s="210">
        <v>0</v>
      </c>
      <c r="L284" s="210">
        <v>150113.47</v>
      </c>
      <c r="M284" s="144">
        <f t="shared" si="15"/>
        <v>1096983.160038</v>
      </c>
      <c r="N284" s="210">
        <v>0</v>
      </c>
      <c r="O284" s="210">
        <v>1247096.6300379999</v>
      </c>
      <c r="P284" s="210">
        <v>32360.82</v>
      </c>
      <c r="Q284" s="210">
        <v>190822.7</v>
      </c>
      <c r="R284" s="210">
        <v>0</v>
      </c>
      <c r="S284" s="144">
        <f t="shared" si="16"/>
        <v>1088634.7500380001</v>
      </c>
      <c r="T284" s="145">
        <v>399020.88</v>
      </c>
      <c r="U284" s="145">
        <v>689613.87</v>
      </c>
    </row>
    <row r="285" spans="1:21" s="138" customFormat="1">
      <c r="A285" s="74">
        <f t="shared" si="14"/>
        <v>275</v>
      </c>
      <c r="B285" s="75">
        <v>66145</v>
      </c>
      <c r="C285" s="209" t="s">
        <v>12</v>
      </c>
      <c r="D285" s="209" t="s">
        <v>16</v>
      </c>
      <c r="E285" s="211">
        <v>7.2312000000000003</v>
      </c>
      <c r="F285" s="208">
        <v>45914</v>
      </c>
      <c r="G285" s="208">
        <v>47739</v>
      </c>
      <c r="H285" s="77"/>
      <c r="I285" s="210">
        <v>0</v>
      </c>
      <c r="J285" s="210">
        <v>2495413.2400400001</v>
      </c>
      <c r="K285" s="210">
        <v>0</v>
      </c>
      <c r="L285" s="210">
        <v>273109.11</v>
      </c>
      <c r="M285" s="144">
        <f t="shared" si="15"/>
        <v>2222304.1300400002</v>
      </c>
      <c r="N285" s="210">
        <v>0</v>
      </c>
      <c r="O285" s="210">
        <v>2495413.2400400001</v>
      </c>
      <c r="P285" s="210">
        <v>98749.459999999992</v>
      </c>
      <c r="Q285" s="210">
        <v>345710.54000000004</v>
      </c>
      <c r="R285" s="210">
        <v>0</v>
      </c>
      <c r="S285" s="144">
        <f t="shared" si="16"/>
        <v>2248452.16004</v>
      </c>
      <c r="T285" s="145">
        <v>448292.2</v>
      </c>
      <c r="U285" s="145">
        <v>1800159.96</v>
      </c>
    </row>
    <row r="286" spans="1:21" s="138" customFormat="1">
      <c r="A286" s="74">
        <f t="shared" si="14"/>
        <v>276</v>
      </c>
      <c r="B286" s="75">
        <v>66210</v>
      </c>
      <c r="C286" s="209" t="s">
        <v>12</v>
      </c>
      <c r="D286" s="209" t="s">
        <v>16</v>
      </c>
      <c r="E286" s="211">
        <v>7.1996000000000002</v>
      </c>
      <c r="F286" s="208">
        <v>45969</v>
      </c>
      <c r="G286" s="208">
        <v>47794</v>
      </c>
      <c r="H286" s="77"/>
      <c r="I286" s="210">
        <v>0</v>
      </c>
      <c r="J286" s="210">
        <v>2414687.249996</v>
      </c>
      <c r="K286" s="210">
        <v>0</v>
      </c>
      <c r="L286" s="210">
        <v>191833.50000000003</v>
      </c>
      <c r="M286" s="144">
        <f t="shared" si="15"/>
        <v>2222853.749996</v>
      </c>
      <c r="N286" s="210">
        <v>0</v>
      </c>
      <c r="O286" s="210">
        <v>2414687.249996</v>
      </c>
      <c r="P286" s="210">
        <v>68978.78</v>
      </c>
      <c r="Q286" s="210">
        <v>238774.55000000002</v>
      </c>
      <c r="R286" s="210">
        <v>0</v>
      </c>
      <c r="S286" s="144">
        <f t="shared" si="16"/>
        <v>2244891.479996</v>
      </c>
      <c r="T286" s="145">
        <v>428841.47</v>
      </c>
      <c r="U286" s="145">
        <v>1816050.01</v>
      </c>
    </row>
    <row r="287" spans="1:21" s="138" customFormat="1">
      <c r="A287" s="74">
        <f t="shared" si="14"/>
        <v>277</v>
      </c>
      <c r="B287" s="75">
        <v>66238</v>
      </c>
      <c r="C287" s="209" t="s">
        <v>12</v>
      </c>
      <c r="D287" s="209" t="s">
        <v>16</v>
      </c>
      <c r="E287" s="211">
        <v>7.0260999999999996</v>
      </c>
      <c r="F287" s="208">
        <v>45968</v>
      </c>
      <c r="G287" s="208">
        <v>47428</v>
      </c>
      <c r="H287" s="77"/>
      <c r="I287" s="210">
        <v>0</v>
      </c>
      <c r="J287" s="210">
        <v>1502977.0100090001</v>
      </c>
      <c r="K287" s="210">
        <v>0</v>
      </c>
      <c r="L287" s="210">
        <v>150297.70000000001</v>
      </c>
      <c r="M287" s="144">
        <f t="shared" si="15"/>
        <v>1352679.3100090001</v>
      </c>
      <c r="N287" s="210">
        <v>0</v>
      </c>
      <c r="O287" s="210">
        <v>1502977.0100090001</v>
      </c>
      <c r="P287" s="210">
        <v>41349.789999999994</v>
      </c>
      <c r="Q287" s="210">
        <v>178996.25</v>
      </c>
      <c r="R287" s="210">
        <v>0</v>
      </c>
      <c r="S287" s="144">
        <f t="shared" si="16"/>
        <v>1365330.5500090001</v>
      </c>
      <c r="T287" s="145">
        <v>347216.78</v>
      </c>
      <c r="U287" s="145">
        <v>1018113.77</v>
      </c>
    </row>
    <row r="288" spans="1:21" s="138" customFormat="1">
      <c r="A288" s="74">
        <f t="shared" si="14"/>
        <v>278</v>
      </c>
      <c r="B288" s="75">
        <v>66242</v>
      </c>
      <c r="C288" s="209" t="s">
        <v>12</v>
      </c>
      <c r="D288" s="209" t="s">
        <v>16</v>
      </c>
      <c r="E288" s="211">
        <v>7.1996000000000002</v>
      </c>
      <c r="F288" s="208">
        <v>45988</v>
      </c>
      <c r="G288" s="208">
        <v>47813</v>
      </c>
      <c r="H288" s="77"/>
      <c r="I288" s="210">
        <v>0</v>
      </c>
      <c r="J288" s="210">
        <v>951973.59997500002</v>
      </c>
      <c r="K288" s="210">
        <v>0</v>
      </c>
      <c r="L288" s="210">
        <v>65580.42</v>
      </c>
      <c r="M288" s="144">
        <f t="shared" si="15"/>
        <v>886393.17997499998</v>
      </c>
      <c r="N288" s="210">
        <v>0</v>
      </c>
      <c r="O288" s="210">
        <v>951973.59997500002</v>
      </c>
      <c r="P288" s="210">
        <v>27194.400000000001</v>
      </c>
      <c r="Q288" s="210">
        <v>94135.200000000012</v>
      </c>
      <c r="R288" s="210">
        <v>0</v>
      </c>
      <c r="S288" s="144">
        <f t="shared" si="16"/>
        <v>885032.79997500009</v>
      </c>
      <c r="T288" s="145">
        <v>169067.76</v>
      </c>
      <c r="U288" s="145">
        <v>715965.04</v>
      </c>
    </row>
    <row r="289" spans="1:21" s="138" customFormat="1">
      <c r="A289" s="74">
        <f t="shared" si="14"/>
        <v>279</v>
      </c>
      <c r="B289" s="75">
        <v>66175</v>
      </c>
      <c r="C289" s="209" t="s">
        <v>12</v>
      </c>
      <c r="D289" s="209" t="s">
        <v>16</v>
      </c>
      <c r="E289" s="211">
        <v>6.7775999999999996</v>
      </c>
      <c r="F289" s="208">
        <v>45950</v>
      </c>
      <c r="G289" s="208">
        <v>47045</v>
      </c>
      <c r="H289" s="77"/>
      <c r="I289" s="210">
        <v>0</v>
      </c>
      <c r="J289" s="210">
        <v>810655.09002899996</v>
      </c>
      <c r="K289" s="210">
        <v>0</v>
      </c>
      <c r="L289" s="210">
        <v>121307.71999999999</v>
      </c>
      <c r="M289" s="144">
        <f t="shared" si="15"/>
        <v>689347.37002899998</v>
      </c>
      <c r="N289" s="210">
        <v>0</v>
      </c>
      <c r="O289" s="210">
        <v>810655.09002899996</v>
      </c>
      <c r="P289" s="210">
        <v>24892.01</v>
      </c>
      <c r="Q289" s="210">
        <v>148849.25999999998</v>
      </c>
      <c r="R289" s="210">
        <v>0</v>
      </c>
      <c r="S289" s="144">
        <f t="shared" si="16"/>
        <v>686697.84002899996</v>
      </c>
      <c r="T289" s="145">
        <v>260842.23</v>
      </c>
      <c r="U289" s="145">
        <v>425855.61</v>
      </c>
    </row>
    <row r="290" spans="1:21" s="138" customFormat="1">
      <c r="A290" s="74">
        <f t="shared" si="14"/>
        <v>280</v>
      </c>
      <c r="B290" s="75">
        <v>66151</v>
      </c>
      <c r="C290" s="209" t="s">
        <v>12</v>
      </c>
      <c r="D290" s="209" t="s">
        <v>16</v>
      </c>
      <c r="E290" s="211">
        <v>7.0260999999999996</v>
      </c>
      <c r="F290" s="208">
        <v>45961</v>
      </c>
      <c r="G290" s="208">
        <v>47421</v>
      </c>
      <c r="H290" s="77"/>
      <c r="I290" s="210">
        <v>0</v>
      </c>
      <c r="J290" s="210">
        <v>1046499.890025</v>
      </c>
      <c r="K290" s="210">
        <v>0</v>
      </c>
      <c r="L290" s="210">
        <v>109713.69</v>
      </c>
      <c r="M290" s="144">
        <f t="shared" si="15"/>
        <v>936786.20002499991</v>
      </c>
      <c r="N290" s="210">
        <v>0</v>
      </c>
      <c r="O290" s="210">
        <v>1046499.890025</v>
      </c>
      <c r="P290" s="210">
        <v>34211.469999999994</v>
      </c>
      <c r="Q290" s="210">
        <v>149558.82</v>
      </c>
      <c r="R290" s="210">
        <v>0</v>
      </c>
      <c r="S290" s="144">
        <f t="shared" si="16"/>
        <v>931152.54002499999</v>
      </c>
      <c r="T290" s="145">
        <v>243177.27</v>
      </c>
      <c r="U290" s="145">
        <v>687975.27</v>
      </c>
    </row>
    <row r="291" spans="1:21" s="138" customFormat="1">
      <c r="A291" s="74">
        <f t="shared" si="14"/>
        <v>281</v>
      </c>
      <c r="B291" s="75">
        <v>66157</v>
      </c>
      <c r="C291" s="209" t="s">
        <v>12</v>
      </c>
      <c r="D291" s="209" t="s">
        <v>16</v>
      </c>
      <c r="E291" s="211">
        <v>7.2312000000000003</v>
      </c>
      <c r="F291" s="208">
        <v>45902</v>
      </c>
      <c r="G291" s="208">
        <v>47727</v>
      </c>
      <c r="H291" s="77"/>
      <c r="I291" s="210">
        <v>0</v>
      </c>
      <c r="J291" s="210">
        <v>1877074.7600140001</v>
      </c>
      <c r="K291" s="210">
        <v>0</v>
      </c>
      <c r="L291" s="210">
        <v>217949.24000000005</v>
      </c>
      <c r="M291" s="144">
        <f t="shared" si="15"/>
        <v>1659125.5200140001</v>
      </c>
      <c r="N291" s="210">
        <v>0</v>
      </c>
      <c r="O291" s="210">
        <v>1877074.7600140001</v>
      </c>
      <c r="P291" s="210">
        <v>74280.34</v>
      </c>
      <c r="Q291" s="210">
        <v>260046.91999999998</v>
      </c>
      <c r="R291" s="210">
        <v>0</v>
      </c>
      <c r="S291" s="144">
        <f t="shared" si="16"/>
        <v>1691308.1800140003</v>
      </c>
      <c r="T291" s="145">
        <v>337209.87</v>
      </c>
      <c r="U291" s="145">
        <v>1354098.31</v>
      </c>
    </row>
    <row r="292" spans="1:21" s="138" customFormat="1">
      <c r="A292" s="74">
        <f t="shared" si="14"/>
        <v>282</v>
      </c>
      <c r="B292" s="75">
        <v>66162</v>
      </c>
      <c r="C292" s="209" t="s">
        <v>12</v>
      </c>
      <c r="D292" s="209" t="s">
        <v>16</v>
      </c>
      <c r="E292" s="211">
        <v>7.2312000000000003</v>
      </c>
      <c r="F292" s="208">
        <v>45919</v>
      </c>
      <c r="G292" s="208">
        <v>47744</v>
      </c>
      <c r="H292" s="77"/>
      <c r="I292" s="210">
        <v>0</v>
      </c>
      <c r="J292" s="210">
        <v>1634214.790023</v>
      </c>
      <c r="K292" s="210">
        <v>0</v>
      </c>
      <c r="L292" s="210">
        <v>174316.22</v>
      </c>
      <c r="M292" s="144">
        <f t="shared" si="15"/>
        <v>1459898.570023</v>
      </c>
      <c r="N292" s="210">
        <v>0</v>
      </c>
      <c r="O292" s="210">
        <v>1634214.790023</v>
      </c>
      <c r="P292" s="210">
        <v>64669.779999999992</v>
      </c>
      <c r="Q292" s="210">
        <v>226401.49000000002</v>
      </c>
      <c r="R292" s="210">
        <v>0</v>
      </c>
      <c r="S292" s="144">
        <f t="shared" si="16"/>
        <v>1472483.080023</v>
      </c>
      <c r="T292" s="145">
        <v>293580.93</v>
      </c>
      <c r="U292" s="145">
        <v>1178902.1499999999</v>
      </c>
    </row>
    <row r="293" spans="1:21" s="138" customFormat="1">
      <c r="A293" s="74">
        <f t="shared" si="14"/>
        <v>283</v>
      </c>
      <c r="B293" s="75">
        <v>66246</v>
      </c>
      <c r="C293" s="209" t="s">
        <v>12</v>
      </c>
      <c r="D293" s="209" t="s">
        <v>16</v>
      </c>
      <c r="E293" s="211">
        <v>6.7777000000000003</v>
      </c>
      <c r="F293" s="208">
        <v>45970</v>
      </c>
      <c r="G293" s="208">
        <v>47065</v>
      </c>
      <c r="H293" s="77"/>
      <c r="I293" s="210">
        <v>0</v>
      </c>
      <c r="J293" s="210">
        <v>1647975.1499580001</v>
      </c>
      <c r="K293" s="210">
        <v>0</v>
      </c>
      <c r="L293" s="210">
        <v>216678.22999999998</v>
      </c>
      <c r="M293" s="144">
        <f t="shared" si="15"/>
        <v>1431296.9199580001</v>
      </c>
      <c r="N293" s="210">
        <v>0</v>
      </c>
      <c r="O293" s="210">
        <v>1647975.1499580001</v>
      </c>
      <c r="P293" s="210">
        <v>42763.17</v>
      </c>
      <c r="Q293" s="210">
        <v>252162.55000000002</v>
      </c>
      <c r="R293" s="210">
        <v>0</v>
      </c>
      <c r="S293" s="144">
        <f t="shared" si="16"/>
        <v>1438575.7699579999</v>
      </c>
      <c r="T293" s="145">
        <v>527285.92000000004</v>
      </c>
      <c r="U293" s="145">
        <v>911289.85</v>
      </c>
    </row>
    <row r="294" spans="1:21" s="138" customFormat="1">
      <c r="A294" s="74">
        <f t="shared" si="14"/>
        <v>284</v>
      </c>
      <c r="B294" s="75">
        <v>66234</v>
      </c>
      <c r="C294" s="209" t="s">
        <v>12</v>
      </c>
      <c r="D294" s="209" t="s">
        <v>16</v>
      </c>
      <c r="E294" s="211">
        <v>6.7777000000000003</v>
      </c>
      <c r="F294" s="208">
        <v>45977</v>
      </c>
      <c r="G294" s="208">
        <v>47072</v>
      </c>
      <c r="H294" s="77"/>
      <c r="I294" s="210">
        <v>0</v>
      </c>
      <c r="J294" s="210">
        <v>1689013.3400419999</v>
      </c>
      <c r="K294" s="210">
        <v>0</v>
      </c>
      <c r="L294" s="210">
        <v>211126.68000000002</v>
      </c>
      <c r="M294" s="144">
        <f t="shared" si="15"/>
        <v>1477886.660042</v>
      </c>
      <c r="N294" s="210">
        <v>0</v>
      </c>
      <c r="O294" s="210">
        <v>1689013.3400419999</v>
      </c>
      <c r="P294" s="210">
        <v>43828.08</v>
      </c>
      <c r="Q294" s="210">
        <v>258441.95</v>
      </c>
      <c r="R294" s="210">
        <v>0</v>
      </c>
      <c r="S294" s="144">
        <f t="shared" si="16"/>
        <v>1474399.4700420001</v>
      </c>
      <c r="T294" s="145">
        <v>540416.47</v>
      </c>
      <c r="U294" s="145">
        <v>933983</v>
      </c>
    </row>
    <row r="295" spans="1:21" s="138" customFormat="1">
      <c r="A295" s="74">
        <f t="shared" si="14"/>
        <v>285</v>
      </c>
      <c r="B295" s="75">
        <v>66198</v>
      </c>
      <c r="C295" s="209" t="s">
        <v>12</v>
      </c>
      <c r="D295" s="209" t="s">
        <v>16</v>
      </c>
      <c r="E295" s="211">
        <v>7.0260999999999996</v>
      </c>
      <c r="F295" s="208">
        <v>45988</v>
      </c>
      <c r="G295" s="208">
        <v>47448</v>
      </c>
      <c r="H295" s="77"/>
      <c r="I295" s="210">
        <v>0</v>
      </c>
      <c r="J295" s="210">
        <v>1299787.049992</v>
      </c>
      <c r="K295" s="210">
        <v>0</v>
      </c>
      <c r="L295" s="210">
        <v>111926.12</v>
      </c>
      <c r="M295" s="144">
        <f t="shared" si="15"/>
        <v>1187860.9299920001</v>
      </c>
      <c r="N295" s="210">
        <v>0</v>
      </c>
      <c r="O295" s="210">
        <v>1299787.049992</v>
      </c>
      <c r="P295" s="210">
        <v>35759.64</v>
      </c>
      <c r="Q295" s="210">
        <v>154797.45000000001</v>
      </c>
      <c r="R295" s="210">
        <v>0</v>
      </c>
      <c r="S295" s="144">
        <f t="shared" si="16"/>
        <v>1180749.2399919999</v>
      </c>
      <c r="T295" s="145">
        <v>300275.96999999997</v>
      </c>
      <c r="U295" s="145">
        <v>880473.27</v>
      </c>
    </row>
    <row r="296" spans="1:21" s="138" customFormat="1">
      <c r="A296" s="74">
        <f t="shared" si="14"/>
        <v>286</v>
      </c>
      <c r="B296" s="75">
        <v>66244</v>
      </c>
      <c r="C296" s="209" t="s">
        <v>12</v>
      </c>
      <c r="D296" s="209" t="s">
        <v>16</v>
      </c>
      <c r="E296" s="211">
        <v>7.0260999999999996</v>
      </c>
      <c r="F296" s="208">
        <v>45969</v>
      </c>
      <c r="G296" s="208">
        <v>47429</v>
      </c>
      <c r="H296" s="77"/>
      <c r="I296" s="210">
        <v>0</v>
      </c>
      <c r="J296" s="210">
        <v>2499189.509964</v>
      </c>
      <c r="K296" s="210">
        <v>0</v>
      </c>
      <c r="L296" s="210">
        <v>248183.41000000003</v>
      </c>
      <c r="M296" s="144">
        <f t="shared" si="15"/>
        <v>2251006.0999639998</v>
      </c>
      <c r="N296" s="210">
        <v>0</v>
      </c>
      <c r="O296" s="210">
        <v>2499189.509964</v>
      </c>
      <c r="P296" s="210">
        <v>68757.510000000009</v>
      </c>
      <c r="Q296" s="210">
        <v>297639.65000000002</v>
      </c>
      <c r="R296" s="210">
        <v>0</v>
      </c>
      <c r="S296" s="144">
        <f t="shared" si="16"/>
        <v>2270307.3699640003</v>
      </c>
      <c r="T296" s="145">
        <v>577361.17000000004</v>
      </c>
      <c r="U296" s="145">
        <v>1692946.2</v>
      </c>
    </row>
    <row r="297" spans="1:21" s="138" customFormat="1">
      <c r="A297" s="74">
        <f t="shared" si="14"/>
        <v>287</v>
      </c>
      <c r="B297" s="75">
        <v>66230</v>
      </c>
      <c r="C297" s="209" t="s">
        <v>12</v>
      </c>
      <c r="D297" s="209" t="s">
        <v>16</v>
      </c>
      <c r="E297" s="211">
        <v>7.0260999999999996</v>
      </c>
      <c r="F297" s="208">
        <v>45961</v>
      </c>
      <c r="G297" s="208">
        <v>47421</v>
      </c>
      <c r="H297" s="77"/>
      <c r="I297" s="210">
        <v>0</v>
      </c>
      <c r="J297" s="210">
        <v>1301233.3800250001</v>
      </c>
      <c r="K297" s="210">
        <v>0</v>
      </c>
      <c r="L297" s="210">
        <v>136419.63</v>
      </c>
      <c r="M297" s="144">
        <f t="shared" si="15"/>
        <v>1164813.750025</v>
      </c>
      <c r="N297" s="210">
        <v>0</v>
      </c>
      <c r="O297" s="210">
        <v>1301233.3800250001</v>
      </c>
      <c r="P297" s="210">
        <v>42539.040000000001</v>
      </c>
      <c r="Q297" s="210">
        <v>185963.63999999998</v>
      </c>
      <c r="R297" s="210">
        <v>0</v>
      </c>
      <c r="S297" s="144">
        <f t="shared" si="16"/>
        <v>1157808.7800250002</v>
      </c>
      <c r="T297" s="145">
        <v>302370.2</v>
      </c>
      <c r="U297" s="145">
        <v>855438.58</v>
      </c>
    </row>
    <row r="298" spans="1:21" s="138" customFormat="1">
      <c r="A298" s="74">
        <f t="shared" si="14"/>
        <v>288</v>
      </c>
      <c r="B298" s="75">
        <v>66166</v>
      </c>
      <c r="C298" s="209" t="s">
        <v>12</v>
      </c>
      <c r="D298" s="209" t="s">
        <v>16</v>
      </c>
      <c r="E298" s="211">
        <v>7.1996000000000002</v>
      </c>
      <c r="F298" s="208">
        <v>45950</v>
      </c>
      <c r="G298" s="208">
        <v>47775</v>
      </c>
      <c r="H298" s="77"/>
      <c r="I298" s="210">
        <v>0</v>
      </c>
      <c r="J298" s="210">
        <v>2979855.079965</v>
      </c>
      <c r="K298" s="210">
        <v>0</v>
      </c>
      <c r="L298" s="210">
        <v>267546.12</v>
      </c>
      <c r="M298" s="144">
        <f t="shared" si="15"/>
        <v>2712308.9599649999</v>
      </c>
      <c r="N298" s="210">
        <v>0</v>
      </c>
      <c r="O298" s="210">
        <v>2979855.079965</v>
      </c>
      <c r="P298" s="210">
        <v>101390.96</v>
      </c>
      <c r="Q298" s="210">
        <v>353592.9</v>
      </c>
      <c r="R298" s="210">
        <v>0</v>
      </c>
      <c r="S298" s="144">
        <f t="shared" si="16"/>
        <v>2727653.1399650001</v>
      </c>
      <c r="T298" s="145">
        <v>532388.74</v>
      </c>
      <c r="U298" s="145">
        <v>2195264.4</v>
      </c>
    </row>
    <row r="299" spans="1:21" s="138" customFormat="1">
      <c r="A299" s="74">
        <f t="shared" si="14"/>
        <v>289</v>
      </c>
      <c r="B299" s="75">
        <v>66245</v>
      </c>
      <c r="C299" s="209" t="s">
        <v>12</v>
      </c>
      <c r="D299" s="209" t="s">
        <v>16</v>
      </c>
      <c r="E299" s="211">
        <v>7.0260999999999996</v>
      </c>
      <c r="F299" s="208">
        <v>45982</v>
      </c>
      <c r="G299" s="208">
        <v>47442</v>
      </c>
      <c r="H299" s="77"/>
      <c r="I299" s="210">
        <v>0</v>
      </c>
      <c r="J299" s="210">
        <v>2533815.3799709999</v>
      </c>
      <c r="K299" s="210">
        <v>0</v>
      </c>
      <c r="L299" s="210">
        <v>228747.22</v>
      </c>
      <c r="M299" s="144">
        <f t="shared" si="15"/>
        <v>2305068.1599709997</v>
      </c>
      <c r="N299" s="210">
        <v>0</v>
      </c>
      <c r="O299" s="210">
        <v>2533815.3799709999</v>
      </c>
      <c r="P299" s="210">
        <v>69710.14</v>
      </c>
      <c r="Q299" s="210">
        <v>301763.40000000002</v>
      </c>
      <c r="R299" s="210">
        <v>0</v>
      </c>
      <c r="S299" s="144">
        <f t="shared" si="16"/>
        <v>2301762.1199710001</v>
      </c>
      <c r="T299" s="145">
        <v>585360.41</v>
      </c>
      <c r="U299" s="145">
        <v>1716401.71</v>
      </c>
    </row>
    <row r="300" spans="1:21" s="138" customFormat="1">
      <c r="A300" s="74">
        <f t="shared" si="14"/>
        <v>290</v>
      </c>
      <c r="B300" s="75">
        <v>66206</v>
      </c>
      <c r="C300" s="209" t="s">
        <v>12</v>
      </c>
      <c r="D300" s="209" t="s">
        <v>16</v>
      </c>
      <c r="E300" s="211">
        <v>7.1996000000000002</v>
      </c>
      <c r="F300" s="208">
        <v>45989</v>
      </c>
      <c r="G300" s="208">
        <v>47814</v>
      </c>
      <c r="H300" s="77"/>
      <c r="I300" s="210">
        <v>0</v>
      </c>
      <c r="J300" s="210">
        <v>3091811.219968</v>
      </c>
      <c r="K300" s="210">
        <v>0</v>
      </c>
      <c r="L300" s="210">
        <v>211273.78000000003</v>
      </c>
      <c r="M300" s="144">
        <f t="shared" si="15"/>
        <v>2880537.4399680002</v>
      </c>
      <c r="N300" s="210">
        <v>0</v>
      </c>
      <c r="O300" s="210">
        <v>3091811.219968</v>
      </c>
      <c r="P300" s="210">
        <v>88321.72</v>
      </c>
      <c r="Q300" s="210">
        <v>305731.45</v>
      </c>
      <c r="R300" s="210">
        <v>0</v>
      </c>
      <c r="S300" s="144">
        <f t="shared" si="16"/>
        <v>2874401.489968</v>
      </c>
      <c r="T300" s="145">
        <v>549096.73</v>
      </c>
      <c r="U300" s="145">
        <v>2325304.7599999998</v>
      </c>
    </row>
    <row r="301" spans="1:21" s="138" customFormat="1">
      <c r="A301" s="74">
        <f t="shared" si="14"/>
        <v>291</v>
      </c>
      <c r="B301" s="75">
        <v>66183</v>
      </c>
      <c r="C301" s="209" t="s">
        <v>12</v>
      </c>
      <c r="D301" s="209" t="s">
        <v>16</v>
      </c>
      <c r="E301" s="211">
        <v>6.7775999999999996</v>
      </c>
      <c r="F301" s="208">
        <v>45949</v>
      </c>
      <c r="G301" s="208">
        <v>47044</v>
      </c>
      <c r="H301" s="77"/>
      <c r="I301" s="210">
        <v>0</v>
      </c>
      <c r="J301" s="210">
        <v>1679858.010027</v>
      </c>
      <c r="K301" s="210">
        <v>0</v>
      </c>
      <c r="L301" s="210">
        <v>252881.84000000003</v>
      </c>
      <c r="M301" s="144">
        <f t="shared" si="15"/>
        <v>1426976.1700269999</v>
      </c>
      <c r="N301" s="210">
        <v>0</v>
      </c>
      <c r="O301" s="210">
        <v>1679858.010027</v>
      </c>
      <c r="P301" s="210">
        <v>51581.770000000004</v>
      </c>
      <c r="Q301" s="210">
        <v>308448.84000000003</v>
      </c>
      <c r="R301" s="210">
        <v>0</v>
      </c>
      <c r="S301" s="144">
        <f t="shared" si="16"/>
        <v>1422990.9400269999</v>
      </c>
      <c r="T301" s="145">
        <v>540523.22</v>
      </c>
      <c r="U301" s="145">
        <v>882467.72</v>
      </c>
    </row>
    <row r="302" spans="1:21" s="138" customFormat="1">
      <c r="A302" s="74">
        <f t="shared" si="14"/>
        <v>292</v>
      </c>
      <c r="B302" s="75">
        <v>66225</v>
      </c>
      <c r="C302" s="209" t="s">
        <v>12</v>
      </c>
      <c r="D302" s="209" t="s">
        <v>16</v>
      </c>
      <c r="E302" s="211">
        <v>7.1996000000000002</v>
      </c>
      <c r="F302" s="208">
        <v>45969</v>
      </c>
      <c r="G302" s="208">
        <v>47794</v>
      </c>
      <c r="H302" s="77"/>
      <c r="I302" s="210">
        <v>0</v>
      </c>
      <c r="J302" s="210">
        <v>2807109.6799579998</v>
      </c>
      <c r="K302" s="210">
        <v>0</v>
      </c>
      <c r="L302" s="210">
        <v>223009.26</v>
      </c>
      <c r="M302" s="144">
        <f t="shared" si="15"/>
        <v>2584100.4199580001</v>
      </c>
      <c r="N302" s="210">
        <v>0</v>
      </c>
      <c r="O302" s="210">
        <v>2807109.6799579998</v>
      </c>
      <c r="P302" s="210">
        <v>80188.860000000015</v>
      </c>
      <c r="Q302" s="210">
        <v>277578.95</v>
      </c>
      <c r="R302" s="210">
        <v>0</v>
      </c>
      <c r="S302" s="144">
        <f t="shared" si="16"/>
        <v>2609719.5899579995</v>
      </c>
      <c r="T302" s="145">
        <v>498534.55</v>
      </c>
      <c r="U302" s="145">
        <v>2111185.04</v>
      </c>
    </row>
    <row r="303" spans="1:21" s="138" customFormat="1">
      <c r="A303" s="74">
        <f t="shared" si="14"/>
        <v>293</v>
      </c>
      <c r="B303" s="75">
        <v>66203</v>
      </c>
      <c r="C303" s="209" t="s">
        <v>12</v>
      </c>
      <c r="D303" s="209" t="s">
        <v>16</v>
      </c>
      <c r="E303" s="211">
        <v>7.0260999999999996</v>
      </c>
      <c r="F303" s="208">
        <v>45961</v>
      </c>
      <c r="G303" s="208">
        <v>47421</v>
      </c>
      <c r="H303" s="77"/>
      <c r="I303" s="210">
        <v>0</v>
      </c>
      <c r="J303" s="210">
        <v>1460615.260023</v>
      </c>
      <c r="K303" s="210">
        <v>0</v>
      </c>
      <c r="L303" s="210">
        <v>153129</v>
      </c>
      <c r="M303" s="144">
        <f t="shared" si="15"/>
        <v>1307486.260023</v>
      </c>
      <c r="N303" s="210">
        <v>0</v>
      </c>
      <c r="O303" s="210">
        <v>1460615.260023</v>
      </c>
      <c r="P303" s="210">
        <v>47749.440000000002</v>
      </c>
      <c r="Q303" s="210">
        <v>208741.43999999997</v>
      </c>
      <c r="R303" s="210">
        <v>0</v>
      </c>
      <c r="S303" s="144">
        <f t="shared" si="16"/>
        <v>1299623.260023</v>
      </c>
      <c r="T303" s="145">
        <v>339406.1</v>
      </c>
      <c r="U303" s="145">
        <v>960217.16</v>
      </c>
    </row>
    <row r="304" spans="1:21" s="138" customFormat="1">
      <c r="A304" s="74">
        <f t="shared" si="14"/>
        <v>294</v>
      </c>
      <c r="B304" s="75">
        <v>66172</v>
      </c>
      <c r="C304" s="209" t="s">
        <v>12</v>
      </c>
      <c r="D304" s="209" t="s">
        <v>16</v>
      </c>
      <c r="E304" s="211">
        <v>7.0260999999999996</v>
      </c>
      <c r="F304" s="208">
        <v>45947</v>
      </c>
      <c r="G304" s="208">
        <v>47407</v>
      </c>
      <c r="H304" s="77"/>
      <c r="I304" s="210">
        <v>0</v>
      </c>
      <c r="J304" s="210">
        <v>1665749.4699810001</v>
      </c>
      <c r="K304" s="210">
        <v>0</v>
      </c>
      <c r="L304" s="210">
        <v>190307.38</v>
      </c>
      <c r="M304" s="144">
        <f t="shared" si="15"/>
        <v>1475442.0899809999</v>
      </c>
      <c r="N304" s="210">
        <v>0</v>
      </c>
      <c r="O304" s="210">
        <v>1665749.4699810001</v>
      </c>
      <c r="P304" s="210">
        <v>54455.54</v>
      </c>
      <c r="Q304" s="210">
        <v>238057.86</v>
      </c>
      <c r="R304" s="210">
        <v>0</v>
      </c>
      <c r="S304" s="144">
        <f t="shared" si="16"/>
        <v>1482147.149981</v>
      </c>
      <c r="T304" s="145">
        <v>387073.53</v>
      </c>
      <c r="U304" s="145">
        <v>1095073.6200000001</v>
      </c>
    </row>
    <row r="305" spans="1:21" s="138" customFormat="1">
      <c r="A305" s="74">
        <f t="shared" si="14"/>
        <v>295</v>
      </c>
      <c r="B305" s="75">
        <v>66260</v>
      </c>
      <c r="C305" s="209" t="s">
        <v>12</v>
      </c>
      <c r="D305" s="209" t="s">
        <v>16</v>
      </c>
      <c r="E305" s="211">
        <v>7.2</v>
      </c>
      <c r="F305" s="208">
        <v>46003</v>
      </c>
      <c r="G305" s="208">
        <v>47828</v>
      </c>
      <c r="H305" s="77"/>
      <c r="I305" s="210">
        <v>0</v>
      </c>
      <c r="J305" s="210">
        <v>718574.96001699998</v>
      </c>
      <c r="K305" s="210">
        <v>0</v>
      </c>
      <c r="L305" s="210">
        <v>43655.360000000001</v>
      </c>
      <c r="M305" s="144">
        <f t="shared" si="15"/>
        <v>674919.60001699999</v>
      </c>
      <c r="N305" s="210">
        <v>0</v>
      </c>
      <c r="O305" s="210">
        <v>718574.96001699998</v>
      </c>
      <c r="P305" s="210">
        <v>16542.900000000001</v>
      </c>
      <c r="Q305" s="210">
        <v>56844.6</v>
      </c>
      <c r="R305" s="210">
        <v>0</v>
      </c>
      <c r="S305" s="144">
        <f t="shared" si="16"/>
        <v>678273.26001700002</v>
      </c>
      <c r="T305" s="145">
        <v>126855.76</v>
      </c>
      <c r="U305" s="145">
        <v>551417.5</v>
      </c>
    </row>
    <row r="306" spans="1:21" s="138" customFormat="1">
      <c r="A306" s="74">
        <f>A305+1</f>
        <v>296</v>
      </c>
      <c r="B306" s="75">
        <v>66264</v>
      </c>
      <c r="C306" s="209" t="s">
        <v>12</v>
      </c>
      <c r="D306" s="209" t="s">
        <v>16</v>
      </c>
      <c r="E306" s="211">
        <v>7.2</v>
      </c>
      <c r="F306" s="208">
        <v>46005</v>
      </c>
      <c r="G306" s="208">
        <v>47830</v>
      </c>
      <c r="H306" s="77"/>
      <c r="I306" s="210">
        <v>0</v>
      </c>
      <c r="J306" s="210">
        <v>2242060.679976</v>
      </c>
      <c r="K306" s="210">
        <v>0</v>
      </c>
      <c r="L306" s="210">
        <v>133800.40000000002</v>
      </c>
      <c r="M306" s="144">
        <f>I306+J306-K306-L306</f>
        <v>2108260.2799760001</v>
      </c>
      <c r="N306" s="210">
        <v>0</v>
      </c>
      <c r="O306" s="210">
        <v>2242060.679976</v>
      </c>
      <c r="P306" s="210">
        <v>51616.319999999992</v>
      </c>
      <c r="Q306" s="210">
        <v>177363.6</v>
      </c>
      <c r="R306" s="210">
        <v>0</v>
      </c>
      <c r="S306" s="144">
        <f t="shared" si="16"/>
        <v>2116313.3999759997</v>
      </c>
      <c r="T306" s="145">
        <v>395808.77</v>
      </c>
      <c r="U306" s="145">
        <v>1720504.63</v>
      </c>
    </row>
    <row r="307" spans="1:21" s="138" customFormat="1">
      <c r="A307" s="74">
        <f>A306+1</f>
        <v>297</v>
      </c>
      <c r="B307" s="75">
        <v>66268</v>
      </c>
      <c r="C307" s="209" t="s">
        <v>12</v>
      </c>
      <c r="D307" s="209" t="s">
        <v>16</v>
      </c>
      <c r="E307" s="211">
        <v>6.78</v>
      </c>
      <c r="F307" s="208">
        <v>45991</v>
      </c>
      <c r="G307" s="208">
        <v>47086</v>
      </c>
      <c r="H307" s="77"/>
      <c r="I307" s="210">
        <v>0</v>
      </c>
      <c r="J307" s="210">
        <v>806820.77997799998</v>
      </c>
      <c r="K307" s="210">
        <v>0</v>
      </c>
      <c r="L307" s="210">
        <v>90393.819999999992</v>
      </c>
      <c r="M307" s="144">
        <f>I307+J307-K307-L307</f>
        <v>716426.95997800003</v>
      </c>
      <c r="N307" s="210">
        <v>0</v>
      </c>
      <c r="O307" s="210">
        <v>806820.77997799998</v>
      </c>
      <c r="P307" s="210">
        <v>20935.82</v>
      </c>
      <c r="Q307" s="210">
        <v>123454.34999999999</v>
      </c>
      <c r="R307" s="210">
        <v>0</v>
      </c>
      <c r="S307" s="144">
        <f t="shared" si="16"/>
        <v>704302.24997799995</v>
      </c>
      <c r="T307" s="145">
        <v>258150.45</v>
      </c>
      <c r="U307" s="145">
        <v>446151.8</v>
      </c>
    </row>
    <row r="308" spans="1:21" s="138" customFormat="1">
      <c r="A308" s="74">
        <f>A307+1</f>
        <v>298</v>
      </c>
      <c r="B308" s="75">
        <v>66271</v>
      </c>
      <c r="C308" s="209" t="s">
        <v>12</v>
      </c>
      <c r="D308" s="209" t="s">
        <v>16</v>
      </c>
      <c r="E308" s="211">
        <v>6.78</v>
      </c>
      <c r="F308" s="208">
        <v>46007</v>
      </c>
      <c r="G308" s="208">
        <v>47102</v>
      </c>
      <c r="H308" s="77"/>
      <c r="I308" s="210">
        <v>0</v>
      </c>
      <c r="J308" s="210">
        <v>827852.61002000002</v>
      </c>
      <c r="K308" s="210">
        <v>0</v>
      </c>
      <c r="L308" s="210">
        <v>80856.59</v>
      </c>
      <c r="M308" s="144">
        <f>I308+J308-K308-L308</f>
        <v>746996.02002000005</v>
      </c>
      <c r="N308" s="210">
        <v>0</v>
      </c>
      <c r="O308" s="210">
        <v>827852.61002000002</v>
      </c>
      <c r="P308" s="210">
        <v>17422.89</v>
      </c>
      <c r="Q308" s="210">
        <v>101338</v>
      </c>
      <c r="R308" s="210">
        <v>0</v>
      </c>
      <c r="S308" s="144">
        <f t="shared" si="16"/>
        <v>743937.50002000004</v>
      </c>
      <c r="T308" s="145">
        <v>263392.15000000002</v>
      </c>
      <c r="U308" s="145">
        <v>480545.35</v>
      </c>
    </row>
    <row r="309" spans="1:21" s="138" customFormat="1">
      <c r="A309" s="74">
        <f>A308+1</f>
        <v>299</v>
      </c>
      <c r="B309" s="75">
        <v>66275</v>
      </c>
      <c r="C309" s="209" t="s">
        <v>12</v>
      </c>
      <c r="D309" s="209" t="s">
        <v>16</v>
      </c>
      <c r="E309" s="211">
        <v>7.2</v>
      </c>
      <c r="F309" s="208">
        <v>46015</v>
      </c>
      <c r="G309" s="208">
        <v>47840</v>
      </c>
      <c r="H309" s="77"/>
      <c r="I309" s="210">
        <v>0</v>
      </c>
      <c r="J309" s="210">
        <v>2126297.0499920002</v>
      </c>
      <c r="K309" s="210">
        <v>0</v>
      </c>
      <c r="L309" s="210">
        <v>115460.2</v>
      </c>
      <c r="M309" s="144">
        <f>I309+J309-K309-L309</f>
        <v>2010836.8499920003</v>
      </c>
      <c r="N309" s="210">
        <v>0</v>
      </c>
      <c r="O309" s="210">
        <v>2126297.0499920002</v>
      </c>
      <c r="P309" s="210">
        <v>48951.229999999996</v>
      </c>
      <c r="Q309" s="210">
        <v>168205.84</v>
      </c>
      <c r="R309" s="210">
        <v>0</v>
      </c>
      <c r="S309" s="144">
        <f t="shared" si="16"/>
        <v>2007042.4399920001</v>
      </c>
      <c r="T309" s="145">
        <v>375372.09</v>
      </c>
      <c r="U309" s="145">
        <v>1631670.35</v>
      </c>
    </row>
    <row r="310" spans="1:21" s="138" customFormat="1">
      <c r="A310" s="74">
        <f>A309+1</f>
        <v>300</v>
      </c>
      <c r="B310" s="256" t="s">
        <v>347</v>
      </c>
      <c r="C310" s="209" t="s">
        <v>204</v>
      </c>
      <c r="D310" s="209" t="s">
        <v>19</v>
      </c>
      <c r="E310" s="211" t="s">
        <v>346</v>
      </c>
      <c r="F310" s="208">
        <v>44287</v>
      </c>
      <c r="G310" s="208">
        <v>46203</v>
      </c>
      <c r="H310" s="77">
        <v>3794036</v>
      </c>
      <c r="I310" s="210">
        <v>40015641.330341697</v>
      </c>
      <c r="J310" s="210">
        <v>4521159.2690808922</v>
      </c>
      <c r="K310" s="210">
        <v>0</v>
      </c>
      <c r="L310" s="210">
        <v>35727323.55777856</v>
      </c>
      <c r="M310" s="144">
        <f>I310+J310-K310-L310</f>
        <v>8809477.0416440293</v>
      </c>
      <c r="N310" s="210">
        <v>27694542</v>
      </c>
      <c r="O310" s="210">
        <v>4521159.2690808922</v>
      </c>
      <c r="P310" s="210">
        <v>2835218.9933752008</v>
      </c>
      <c r="Q310" s="210">
        <v>33093224.376969598</v>
      </c>
      <c r="R310" s="210">
        <v>0</v>
      </c>
      <c r="S310" s="144">
        <f t="shared" si="16"/>
        <v>1957695.885486491</v>
      </c>
      <c r="T310" s="145">
        <v>1957695.8854864947</v>
      </c>
      <c r="U310" s="145">
        <v>0</v>
      </c>
    </row>
    <row r="315" spans="1:21">
      <c r="G315" s="252"/>
      <c r="L315" s="215"/>
    </row>
    <row r="319" spans="1:21">
      <c r="H319" s="254"/>
    </row>
    <row r="320" spans="1:21">
      <c r="F320" s="253"/>
      <c r="H320" s="254"/>
      <c r="I320" s="255"/>
    </row>
    <row r="321" spans="6:9">
      <c r="F321" s="253"/>
      <c r="I321" s="255"/>
    </row>
    <row r="322" spans="6:9">
      <c r="F322" s="253"/>
      <c r="I322" s="255"/>
    </row>
    <row r="323" spans="6:9">
      <c r="F323" s="253"/>
      <c r="I323" s="255"/>
    </row>
    <row r="324" spans="6:9">
      <c r="F324" s="253"/>
      <c r="I324" s="255"/>
    </row>
    <row r="325" spans="6:9">
      <c r="F325" s="253"/>
      <c r="I325" s="255"/>
    </row>
    <row r="326" spans="6:9">
      <c r="F326" s="253"/>
      <c r="I326" s="255"/>
    </row>
    <row r="327" spans="6:9">
      <c r="F327" s="253"/>
      <c r="I327" s="255"/>
    </row>
    <row r="328" spans="6:9">
      <c r="F328" s="253"/>
      <c r="I328" s="255"/>
    </row>
    <row r="329" spans="6:9">
      <c r="F329" s="253"/>
      <c r="I329" s="255"/>
    </row>
    <row r="330" spans="6:9">
      <c r="F330" s="253"/>
      <c r="I330" s="255"/>
    </row>
    <row r="331" spans="6:9">
      <c r="F331" s="253"/>
      <c r="I331" s="255"/>
    </row>
    <row r="332" spans="6:9">
      <c r="F332" s="253"/>
      <c r="I332" s="255"/>
    </row>
    <row r="333" spans="6:9">
      <c r="F333" s="253"/>
      <c r="I333" s="255"/>
    </row>
    <row r="334" spans="6:9">
      <c r="F334" s="253"/>
      <c r="I334" s="255"/>
    </row>
    <row r="335" spans="6:9">
      <c r="F335" s="253"/>
      <c r="I335" s="255"/>
    </row>
    <row r="336" spans="6:9">
      <c r="F336" s="253"/>
      <c r="I336" s="255"/>
    </row>
    <row r="337" spans="6:9">
      <c r="F337" s="253"/>
      <c r="I337" s="255"/>
    </row>
    <row r="338" spans="6:9">
      <c r="F338" s="253"/>
      <c r="I338" s="255"/>
    </row>
    <row r="339" spans="6:9">
      <c r="F339" s="253"/>
      <c r="I339" s="255"/>
    </row>
    <row r="340" spans="6:9">
      <c r="F340" s="253"/>
      <c r="I340" s="255"/>
    </row>
    <row r="341" spans="6:9">
      <c r="F341" s="253"/>
      <c r="I341" s="255"/>
    </row>
  </sheetData>
  <autoFilter ref="A10:V310" xr:uid="{8CEB6B51-0883-4672-A1E8-27A119468BED}"/>
  <mergeCells count="2">
    <mergeCell ref="I9:M9"/>
    <mergeCell ref="N9:S9"/>
  </mergeCells>
  <conditionalFormatting sqref="B11">
    <cfRule type="duplicateValues" dxfId="0"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C6C7-89FA-4E38-83F3-AD2C27164FFA}">
  <sheetPr codeName="Sheet6"/>
  <dimension ref="A1:AD32"/>
  <sheetViews>
    <sheetView showGridLines="0" topLeftCell="A2" zoomScale="80" zoomScaleNormal="80" workbookViewId="0">
      <selection activeCell="A12" sqref="A12:C12"/>
    </sheetView>
  </sheetViews>
  <sheetFormatPr defaultColWidth="8.796875" defaultRowHeight="13.3"/>
  <cols>
    <col min="1" max="1" width="17.5" style="182" bestFit="1" customWidth="1"/>
    <col min="2" max="2" width="21.796875" style="182" bestFit="1" customWidth="1"/>
    <col min="3" max="3" width="17.5" style="182" bestFit="1" customWidth="1"/>
    <col min="4" max="4" width="17.796875" style="182" bestFit="1" customWidth="1"/>
    <col min="5" max="5" width="12.796875" style="182" bestFit="1" customWidth="1"/>
    <col min="6" max="7" width="13.5" style="182" bestFit="1" customWidth="1"/>
    <col min="8" max="8" width="15.796875" style="182" customWidth="1"/>
    <col min="9" max="9" width="12.796875" style="182" bestFit="1" customWidth="1"/>
    <col min="10" max="10" width="12.796875" style="182" customWidth="1"/>
    <col min="11" max="11" width="20.19921875" style="182" bestFit="1" customWidth="1"/>
    <col min="12" max="12" width="12" style="182" hidden="1" customWidth="1"/>
    <col min="13" max="13" width="12.5" style="182" hidden="1" customWidth="1"/>
    <col min="14" max="14" width="13.796875" style="182" hidden="1" customWidth="1"/>
    <col min="15" max="15" width="12.19921875" style="182" hidden="1" customWidth="1"/>
    <col min="16" max="16" width="15" style="182" hidden="1" customWidth="1"/>
    <col min="17" max="17" width="13.796875" style="182" hidden="1" customWidth="1"/>
    <col min="18" max="18" width="14.5" style="182" hidden="1" customWidth="1"/>
    <col min="19" max="19" width="0.796875" style="182" customWidth="1"/>
    <col min="20" max="20" width="9.19921875" style="182" bestFit="1" customWidth="1"/>
    <col min="21" max="22" width="9.796875" style="182" bestFit="1" customWidth="1"/>
    <col min="23" max="23" width="11" style="182" bestFit="1" customWidth="1"/>
    <col min="24" max="24" width="9.19921875" style="182" bestFit="1" customWidth="1"/>
    <col min="25" max="25" width="17.5" style="182" bestFit="1" customWidth="1"/>
    <col min="26" max="26" width="12.5" style="182" customWidth="1"/>
    <col min="27" max="27" width="14.5" style="182" customWidth="1"/>
    <col min="28" max="28" width="15" style="182" customWidth="1"/>
    <col min="29" max="29" width="1" style="182" customWidth="1"/>
    <col min="30" max="30" width="15.5" style="182" customWidth="1"/>
    <col min="31" max="16384" width="8.796875" style="182"/>
  </cols>
  <sheetData>
    <row r="1" spans="1:5">
      <c r="A1" s="1" t="e">
        <f>Scope!#REF!</f>
        <v>#REF!</v>
      </c>
    </row>
    <row r="2" spans="1:5">
      <c r="A2" s="1" t="e">
        <f>Scope!#REF!</f>
        <v>#REF!</v>
      </c>
    </row>
    <row r="3" spans="1:5">
      <c r="A3" s="1" t="e">
        <f>Scope!#REF!</f>
        <v>#REF!</v>
      </c>
    </row>
    <row r="4" spans="1:5">
      <c r="A4" s="1"/>
    </row>
    <row r="5" spans="1:5">
      <c r="A5" s="1"/>
    </row>
    <row r="6" spans="1:5" ht="14.55" customHeight="1">
      <c r="A6" s="1" t="s">
        <v>58</v>
      </c>
    </row>
    <row r="7" spans="1:5">
      <c r="A7" s="182" t="s">
        <v>141</v>
      </c>
    </row>
    <row r="10" spans="1:5">
      <c r="A10" s="109" t="s">
        <v>24</v>
      </c>
      <c r="B10" s="109" t="s">
        <v>126</v>
      </c>
      <c r="C10" s="109" t="s">
        <v>127</v>
      </c>
      <c r="D10" s="109" t="s">
        <v>32</v>
      </c>
    </row>
    <row r="11" spans="1:5">
      <c r="A11" s="184" t="s">
        <v>14</v>
      </c>
      <c r="B11" s="185">
        <f>SUM(K19)</f>
        <v>12654747.059999995</v>
      </c>
      <c r="C11" s="185">
        <f>AB20</f>
        <v>11320748.314254167</v>
      </c>
      <c r="D11" s="185">
        <f>B11-C11</f>
        <v>1333998.7457458284</v>
      </c>
      <c r="E11" s="182" t="s">
        <v>144</v>
      </c>
    </row>
    <row r="12" spans="1:5" ht="29.5" customHeight="1">
      <c r="A12" s="371" t="s">
        <v>469</v>
      </c>
      <c r="B12" s="371"/>
      <c r="C12" s="371"/>
      <c r="D12" s="186">
        <f>(D11*0.07/12)*37</f>
        <v>287921.395956808</v>
      </c>
      <c r="E12" s="182" t="s">
        <v>144</v>
      </c>
    </row>
    <row r="13" spans="1:5">
      <c r="A13" s="372" t="s">
        <v>128</v>
      </c>
      <c r="B13" s="372"/>
      <c r="C13" s="372"/>
      <c r="D13" s="185">
        <f>J19-AA20</f>
        <v>1405932.5218790695</v>
      </c>
      <c r="E13" s="182" t="s">
        <v>144</v>
      </c>
    </row>
    <row r="14" spans="1:5">
      <c r="D14" s="187"/>
    </row>
    <row r="15" spans="1:5">
      <c r="D15" s="187"/>
    </row>
    <row r="16" spans="1:5">
      <c r="A16" s="1" t="s">
        <v>142</v>
      </c>
      <c r="D16" s="187"/>
    </row>
    <row r="17" spans="1:30">
      <c r="A17" s="182" t="s">
        <v>143</v>
      </c>
      <c r="D17" s="187"/>
    </row>
    <row r="18" spans="1:30">
      <c r="Y18" s="335"/>
    </row>
    <row r="19" spans="1:30" ht="13.85" thickBot="1">
      <c r="H19" s="100">
        <f t="shared" ref="H19:J19" si="0">SUM(H21:H30)</f>
        <v>21288785.189999998</v>
      </c>
      <c r="I19" s="100">
        <f t="shared" si="0"/>
        <v>8701759.1700000018</v>
      </c>
      <c r="J19" s="100">
        <f t="shared" si="0"/>
        <v>28568120.198666669</v>
      </c>
      <c r="K19" s="100">
        <f>SUM(K21:K30)</f>
        <v>12654747.059999995</v>
      </c>
      <c r="L19" s="100">
        <f t="shared" ref="L19:R19" si="1">SUM(L22:L29)</f>
        <v>2271131.9799999995</v>
      </c>
      <c r="M19" s="100">
        <f t="shared" si="1"/>
        <v>0</v>
      </c>
      <c r="N19" s="100">
        <f t="shared" si="1"/>
        <v>718221.84</v>
      </c>
      <c r="O19" s="100">
        <f t="shared" si="1"/>
        <v>10932960.359999999</v>
      </c>
      <c r="P19" s="100">
        <f t="shared" si="1"/>
        <v>0</v>
      </c>
      <c r="Q19" s="100">
        <f t="shared" si="1"/>
        <v>0</v>
      </c>
      <c r="R19" s="100">
        <f t="shared" si="1"/>
        <v>4612238.7400000012</v>
      </c>
    </row>
    <row r="20" spans="1:30">
      <c r="A20" s="326"/>
      <c r="B20" s="327"/>
      <c r="C20" s="327"/>
      <c r="D20" s="328"/>
      <c r="E20" s="329"/>
      <c r="F20" s="329"/>
      <c r="G20" s="330"/>
      <c r="H20" s="373" t="s">
        <v>14</v>
      </c>
      <c r="I20" s="373"/>
      <c r="J20" s="373"/>
      <c r="K20" s="373"/>
      <c r="L20" s="369" t="s">
        <v>15</v>
      </c>
      <c r="M20" s="369"/>
      <c r="N20" s="369"/>
      <c r="O20" s="369"/>
      <c r="P20" s="369"/>
      <c r="Q20" s="369"/>
      <c r="R20" s="370"/>
      <c r="Z20" s="111">
        <v>46112</v>
      </c>
      <c r="AA20" s="100">
        <f>SUM(AA22:AA30)</f>
        <v>27162187.6767876</v>
      </c>
      <c r="AB20" s="100">
        <f>SUM(AB22:AB30)</f>
        <v>11320748.314254167</v>
      </c>
      <c r="AD20" s="100">
        <f>SUM(AD22:AD30)</f>
        <v>1333998.745745827</v>
      </c>
    </row>
    <row r="21" spans="1:30" s="188" customFormat="1" ht="39.9">
      <c r="A21" s="331" t="s">
        <v>0</v>
      </c>
      <c r="B21" s="331" t="s">
        <v>1</v>
      </c>
      <c r="C21" s="331" t="s">
        <v>2</v>
      </c>
      <c r="D21" s="332" t="s">
        <v>67</v>
      </c>
      <c r="E21" s="333" t="s">
        <v>68</v>
      </c>
      <c r="F21" s="333" t="s">
        <v>69</v>
      </c>
      <c r="G21" s="334" t="s">
        <v>6</v>
      </c>
      <c r="H21" s="334" t="s">
        <v>200</v>
      </c>
      <c r="I21" s="334" t="s">
        <v>203</v>
      </c>
      <c r="J21" s="334" t="s">
        <v>465</v>
      </c>
      <c r="K21" s="334" t="s">
        <v>71</v>
      </c>
      <c r="L21" s="321" t="s">
        <v>9</v>
      </c>
      <c r="M21" s="4" t="s">
        <v>72</v>
      </c>
      <c r="N21" s="4" t="s">
        <v>10</v>
      </c>
      <c r="O21" s="4" t="s">
        <v>11</v>
      </c>
      <c r="P21" s="4" t="s">
        <v>73</v>
      </c>
      <c r="Q21" s="4" t="s">
        <v>70</v>
      </c>
      <c r="R21" s="4" t="s">
        <v>71</v>
      </c>
      <c r="S21" s="104"/>
      <c r="T21" s="102" t="s">
        <v>3</v>
      </c>
      <c r="U21" s="103" t="s">
        <v>4</v>
      </c>
      <c r="V21" s="103" t="s">
        <v>5</v>
      </c>
      <c r="W21" s="101" t="s">
        <v>6</v>
      </c>
      <c r="X21" s="101" t="s">
        <v>129</v>
      </c>
      <c r="Y21" s="101" t="s">
        <v>14</v>
      </c>
      <c r="Z21" s="101" t="s">
        <v>466</v>
      </c>
      <c r="AA21" s="101" t="s">
        <v>467</v>
      </c>
      <c r="AB21" s="101" t="s">
        <v>468</v>
      </c>
      <c r="AD21" s="105" t="s">
        <v>130</v>
      </c>
    </row>
    <row r="22" spans="1:30">
      <c r="A22" s="322">
        <v>60272</v>
      </c>
      <c r="B22" s="322" t="s">
        <v>17</v>
      </c>
      <c r="C22" s="323" t="s">
        <v>16</v>
      </c>
      <c r="D22" s="143">
        <v>4.4375</v>
      </c>
      <c r="E22" s="208">
        <v>44986</v>
      </c>
      <c r="F22" s="208">
        <v>46124</v>
      </c>
      <c r="G22" s="77">
        <v>35593.85</v>
      </c>
      <c r="H22" s="324">
        <v>659457.49</v>
      </c>
      <c r="I22" s="324">
        <v>400867.72</v>
      </c>
      <c r="J22" s="324">
        <v>1231917.77</v>
      </c>
      <c r="K22" s="325">
        <v>295837.17000000004</v>
      </c>
      <c r="L22" s="73">
        <v>295837.17000000004</v>
      </c>
      <c r="M22" s="73">
        <v>0</v>
      </c>
      <c r="N22" s="73">
        <v>42150.98</v>
      </c>
      <c r="O22" s="73">
        <v>343007.76</v>
      </c>
      <c r="P22" s="73">
        <v>0</v>
      </c>
      <c r="Q22" s="73">
        <v>0</v>
      </c>
      <c r="R22" s="77">
        <v>437035.73999999976</v>
      </c>
      <c r="T22" s="107">
        <v>7.0000000000000007E-2</v>
      </c>
      <c r="U22" s="136">
        <f>E22</f>
        <v>44986</v>
      </c>
      <c r="V22" s="136">
        <f>F22</f>
        <v>46124</v>
      </c>
      <c r="W22" s="110">
        <f>G22</f>
        <v>35593.85</v>
      </c>
      <c r="X22" s="108">
        <f>(V22-U22)/30</f>
        <v>37.93333333333333</v>
      </c>
      <c r="Y22" s="106">
        <f t="shared" ref="Y22:Y30" si="2">-PV((T22/12),X22,W22)</f>
        <v>1208099.2794565691</v>
      </c>
      <c r="Z22" s="108">
        <f t="shared" ref="Z22:Z28" si="3">($Z$20-U22)/30</f>
        <v>37.533333333333331</v>
      </c>
      <c r="AA22" s="106">
        <f t="shared" ref="AA22:AA29" si="4">Y22/X22*Z22</f>
        <v>1195360.0954904191</v>
      </c>
      <c r="AB22" s="106">
        <f t="shared" ref="AB22:AB28" si="5">Y22-AA22</f>
        <v>12739.183966150042</v>
      </c>
      <c r="AD22" s="185">
        <f t="shared" ref="AD22:AD29" si="6">K22-AB22</f>
        <v>283097.98603385</v>
      </c>
    </row>
    <row r="23" spans="1:30">
      <c r="A23" s="75">
        <v>61193</v>
      </c>
      <c r="B23" s="75" t="s">
        <v>17</v>
      </c>
      <c r="C23" s="76" t="s">
        <v>16</v>
      </c>
      <c r="D23" s="143">
        <v>4.6980000000000004</v>
      </c>
      <c r="E23" s="208">
        <v>45047</v>
      </c>
      <c r="F23" s="208">
        <v>46498</v>
      </c>
      <c r="G23" s="77">
        <v>27611.88</v>
      </c>
      <c r="H23" s="73">
        <v>615109.10000000009</v>
      </c>
      <c r="I23" s="73">
        <v>296354.24</v>
      </c>
      <c r="J23" s="324">
        <v>877429.60666666657</v>
      </c>
      <c r="K23" s="325">
        <v>329891.91000000015</v>
      </c>
      <c r="L23" s="73">
        <v>329891.91000000015</v>
      </c>
      <c r="M23" s="73">
        <v>0</v>
      </c>
      <c r="N23" s="73">
        <v>44359.840000000004</v>
      </c>
      <c r="O23" s="73">
        <v>319561.92</v>
      </c>
      <c r="P23" s="73">
        <v>0</v>
      </c>
      <c r="Q23" s="73">
        <v>0</v>
      </c>
      <c r="R23" s="77">
        <v>479173.68</v>
      </c>
      <c r="T23" s="107">
        <v>7.0000000000000007E-2</v>
      </c>
      <c r="U23" s="136">
        <f t="shared" ref="U23:U30" si="7">E23</f>
        <v>45047</v>
      </c>
      <c r="V23" s="136">
        <f t="shared" ref="V23:V30" si="8">F23</f>
        <v>46498</v>
      </c>
      <c r="W23" s="110">
        <f t="shared" ref="W23:W30" si="9">G23</f>
        <v>27611.88</v>
      </c>
      <c r="X23" s="108">
        <f t="shared" ref="X23:X30" si="10">ROUNDDOWN((V23-U23)/30,0)</f>
        <v>48</v>
      </c>
      <c r="Y23" s="106">
        <f t="shared" si="2"/>
        <v>1153077.6699741283</v>
      </c>
      <c r="Z23" s="108">
        <f t="shared" si="3"/>
        <v>35.5</v>
      </c>
      <c r="AA23" s="106">
        <f t="shared" si="4"/>
        <v>852797.02675169893</v>
      </c>
      <c r="AB23" s="106">
        <f t="shared" si="5"/>
        <v>300280.64322242932</v>
      </c>
      <c r="AD23" s="185">
        <f t="shared" si="6"/>
        <v>29611.266777570825</v>
      </c>
    </row>
    <row r="24" spans="1:30">
      <c r="A24" s="75">
        <v>61200</v>
      </c>
      <c r="B24" s="75" t="s">
        <v>17</v>
      </c>
      <c r="C24" s="76" t="s">
        <v>16</v>
      </c>
      <c r="D24" s="143">
        <v>4.6980000000000004</v>
      </c>
      <c r="E24" s="208">
        <v>45047</v>
      </c>
      <c r="F24" s="208">
        <v>46498</v>
      </c>
      <c r="G24" s="77">
        <v>17701.46</v>
      </c>
      <c r="H24" s="73">
        <v>394335.25</v>
      </c>
      <c r="I24" s="73">
        <v>189242.56000000003</v>
      </c>
      <c r="J24" s="324">
        <v>561758.9933333334</v>
      </c>
      <c r="K24" s="325">
        <v>209123.72</v>
      </c>
      <c r="L24" s="73">
        <v>209123.72</v>
      </c>
      <c r="M24" s="73">
        <v>0</v>
      </c>
      <c r="N24" s="73">
        <v>330921.14999999997</v>
      </c>
      <c r="O24" s="73">
        <v>6122556</v>
      </c>
      <c r="P24" s="73">
        <v>0</v>
      </c>
      <c r="Q24" s="73">
        <v>0</v>
      </c>
      <c r="R24" s="77">
        <v>1520641.6500000004</v>
      </c>
      <c r="T24" s="107">
        <v>7.0000000000000007E-2</v>
      </c>
      <c r="U24" s="136">
        <f t="shared" si="7"/>
        <v>45047</v>
      </c>
      <c r="V24" s="136">
        <f t="shared" si="8"/>
        <v>46498</v>
      </c>
      <c r="W24" s="110">
        <f t="shared" si="9"/>
        <v>17701.46</v>
      </c>
      <c r="X24" s="108">
        <f t="shared" si="10"/>
        <v>48</v>
      </c>
      <c r="Y24" s="106">
        <f t="shared" si="2"/>
        <v>739216.53476475459</v>
      </c>
      <c r="Z24" s="108">
        <f t="shared" si="3"/>
        <v>35.5</v>
      </c>
      <c r="AA24" s="106">
        <f t="shared" si="4"/>
        <v>546712.22883643315</v>
      </c>
      <c r="AB24" s="106">
        <f t="shared" si="5"/>
        <v>192504.30592832144</v>
      </c>
      <c r="AD24" s="185">
        <f t="shared" si="6"/>
        <v>16619.414071678562</v>
      </c>
    </row>
    <row r="25" spans="1:30">
      <c r="A25" s="75">
        <v>61205</v>
      </c>
      <c r="B25" s="75" t="s">
        <v>17</v>
      </c>
      <c r="C25" s="76" t="s">
        <v>16</v>
      </c>
      <c r="D25" s="143">
        <v>4.6980000000000004</v>
      </c>
      <c r="E25" s="208">
        <v>45047</v>
      </c>
      <c r="F25" s="208">
        <v>46507</v>
      </c>
      <c r="G25" s="77">
        <v>33574.42</v>
      </c>
      <c r="H25" s="73">
        <v>766842.83</v>
      </c>
      <c r="I25" s="73">
        <v>361349.76000000013</v>
      </c>
      <c r="J25" s="324">
        <v>1077069.8933333335</v>
      </c>
      <c r="K25" s="325">
        <v>405519.0399999998</v>
      </c>
      <c r="L25" s="73">
        <v>405519.0399999998</v>
      </c>
      <c r="M25" s="73">
        <v>0</v>
      </c>
      <c r="N25" s="73">
        <v>105245.3</v>
      </c>
      <c r="O25" s="73">
        <v>1806060.6</v>
      </c>
      <c r="P25" s="73">
        <v>0</v>
      </c>
      <c r="Q25" s="73">
        <v>0</v>
      </c>
      <c r="R25" s="77">
        <v>596332.41000000015</v>
      </c>
      <c r="T25" s="107">
        <v>7.0000000000000007E-2</v>
      </c>
      <c r="U25" s="136">
        <f t="shared" si="7"/>
        <v>45047</v>
      </c>
      <c r="V25" s="136">
        <f t="shared" si="8"/>
        <v>46507</v>
      </c>
      <c r="W25" s="110">
        <f t="shared" si="9"/>
        <v>33574.42</v>
      </c>
      <c r="X25" s="108">
        <f t="shared" si="10"/>
        <v>48</v>
      </c>
      <c r="Y25" s="106">
        <f t="shared" si="2"/>
        <v>1402074.5412602392</v>
      </c>
      <c r="Z25" s="108">
        <f t="shared" si="3"/>
        <v>35.5</v>
      </c>
      <c r="AA25" s="106">
        <f t="shared" si="4"/>
        <v>1036950.962807052</v>
      </c>
      <c r="AB25" s="106">
        <f t="shared" si="5"/>
        <v>365123.57845318725</v>
      </c>
      <c r="AD25" s="185">
        <f t="shared" si="6"/>
        <v>40395.461546812556</v>
      </c>
    </row>
    <row r="26" spans="1:30">
      <c r="A26" s="75">
        <v>61209</v>
      </c>
      <c r="B26" s="75" t="s">
        <v>17</v>
      </c>
      <c r="C26" s="76" t="s">
        <v>16</v>
      </c>
      <c r="D26" s="143">
        <v>4.6980000000000004</v>
      </c>
      <c r="E26" s="208">
        <v>45047</v>
      </c>
      <c r="F26" s="208">
        <v>46507</v>
      </c>
      <c r="G26" s="77">
        <v>25441.09</v>
      </c>
      <c r="H26" s="73">
        <v>581076.73</v>
      </c>
      <c r="I26" s="73">
        <v>269431.71999999997</v>
      </c>
      <c r="J26" s="324">
        <v>811770.2533333333</v>
      </c>
      <c r="K26" s="325">
        <v>293041.88</v>
      </c>
      <c r="L26" s="73">
        <v>293041.88</v>
      </c>
      <c r="M26" s="73">
        <v>0</v>
      </c>
      <c r="N26" s="73">
        <v>78646.48000000001</v>
      </c>
      <c r="O26" s="73">
        <v>1121136</v>
      </c>
      <c r="P26" s="73">
        <v>0</v>
      </c>
      <c r="Q26" s="73">
        <v>0</v>
      </c>
      <c r="R26" s="77">
        <v>551778.14999999991</v>
      </c>
      <c r="T26" s="107">
        <v>7.0000000000000007E-2</v>
      </c>
      <c r="U26" s="136">
        <f t="shared" si="7"/>
        <v>45047</v>
      </c>
      <c r="V26" s="136">
        <f t="shared" si="8"/>
        <v>46507</v>
      </c>
      <c r="W26" s="110">
        <f t="shared" si="9"/>
        <v>25441.09</v>
      </c>
      <c r="X26" s="108">
        <f t="shared" si="10"/>
        <v>48</v>
      </c>
      <c r="Y26" s="106">
        <f t="shared" si="2"/>
        <v>1062425.0423658981</v>
      </c>
      <c r="Z26" s="108">
        <f t="shared" si="3"/>
        <v>35.5</v>
      </c>
      <c r="AA26" s="106">
        <f t="shared" si="4"/>
        <v>785751.85424977879</v>
      </c>
      <c r="AB26" s="106">
        <f t="shared" si="5"/>
        <v>276673.18811611936</v>
      </c>
      <c r="AD26" s="185">
        <f t="shared" si="6"/>
        <v>16368.691883880645</v>
      </c>
    </row>
    <row r="27" spans="1:30">
      <c r="A27" s="75">
        <v>62974</v>
      </c>
      <c r="B27" s="75" t="s">
        <v>17</v>
      </c>
      <c r="C27" s="76" t="s">
        <v>16</v>
      </c>
      <c r="D27" s="143">
        <v>4.8266</v>
      </c>
      <c r="E27" s="208">
        <v>45170</v>
      </c>
      <c r="F27" s="208">
        <v>46668</v>
      </c>
      <c r="G27" s="77">
        <v>21973.84</v>
      </c>
      <c r="H27" s="73">
        <v>564437.74</v>
      </c>
      <c r="I27" s="73">
        <v>235793.36000000007</v>
      </c>
      <c r="J27" s="324">
        <v>619092.34433333343</v>
      </c>
      <c r="K27" s="325">
        <v>332544.3899999999</v>
      </c>
      <c r="L27" s="73">
        <v>332544.3899999999</v>
      </c>
      <c r="M27" s="73">
        <v>0</v>
      </c>
      <c r="N27" s="73">
        <v>38504.129999999997</v>
      </c>
      <c r="O27" s="73">
        <v>506430.6</v>
      </c>
      <c r="P27" s="73">
        <v>0</v>
      </c>
      <c r="Q27" s="73">
        <v>0</v>
      </c>
      <c r="R27" s="77">
        <v>289870.84000000008</v>
      </c>
      <c r="T27" s="107">
        <v>7.0000000000000007E-2</v>
      </c>
      <c r="U27" s="136">
        <f t="shared" si="7"/>
        <v>45170</v>
      </c>
      <c r="V27" s="136">
        <f t="shared" si="8"/>
        <v>46668</v>
      </c>
      <c r="W27" s="110">
        <f t="shared" si="9"/>
        <v>21973.84</v>
      </c>
      <c r="X27" s="108">
        <f t="shared" si="10"/>
        <v>49</v>
      </c>
      <c r="Y27" s="106">
        <f t="shared" si="2"/>
        <v>934156.57734281442</v>
      </c>
      <c r="Z27" s="108">
        <f t="shared" si="3"/>
        <v>31.4</v>
      </c>
      <c r="AA27" s="106">
        <f t="shared" si="4"/>
        <v>598622.78629723203</v>
      </c>
      <c r="AB27" s="106">
        <f t="shared" si="5"/>
        <v>335533.79104558239</v>
      </c>
      <c r="AD27" s="185">
        <f t="shared" si="6"/>
        <v>-2989.40104558249</v>
      </c>
    </row>
    <row r="28" spans="1:30">
      <c r="A28" s="75">
        <v>62980</v>
      </c>
      <c r="B28" s="75" t="s">
        <v>17</v>
      </c>
      <c r="C28" s="76" t="s">
        <v>16</v>
      </c>
      <c r="D28" s="143">
        <v>4.8266</v>
      </c>
      <c r="E28" s="208">
        <v>45169</v>
      </c>
      <c r="F28" s="208">
        <v>46629</v>
      </c>
      <c r="G28" s="77">
        <v>24788.47</v>
      </c>
      <c r="H28" s="73">
        <v>642481.87999999989</v>
      </c>
      <c r="I28" s="73">
        <v>267290.72000000003</v>
      </c>
      <c r="J28" s="324">
        <v>694610.16599999997</v>
      </c>
      <c r="K28" s="325">
        <v>405173.86999999982</v>
      </c>
      <c r="L28" s="73">
        <v>405173.86999999982</v>
      </c>
      <c r="M28" s="73">
        <v>0</v>
      </c>
      <c r="N28" s="73">
        <v>37651.370000000003</v>
      </c>
      <c r="O28" s="73">
        <v>379600.92</v>
      </c>
      <c r="P28" s="73">
        <v>0</v>
      </c>
      <c r="Q28" s="73">
        <v>0</v>
      </c>
      <c r="R28" s="77">
        <v>337168.91000000009</v>
      </c>
      <c r="T28" s="107">
        <v>7.0000000000000007E-2</v>
      </c>
      <c r="U28" s="136">
        <f t="shared" si="7"/>
        <v>45169</v>
      </c>
      <c r="V28" s="136">
        <f t="shared" si="8"/>
        <v>46629</v>
      </c>
      <c r="W28" s="110">
        <f t="shared" si="9"/>
        <v>24788.47</v>
      </c>
      <c r="X28" s="108">
        <f t="shared" si="10"/>
        <v>48</v>
      </c>
      <c r="Y28" s="106">
        <f t="shared" si="2"/>
        <v>1035171.4997248858</v>
      </c>
      <c r="Z28" s="108">
        <f t="shared" si="3"/>
        <v>31.433333333333334</v>
      </c>
      <c r="AA28" s="106">
        <f t="shared" si="4"/>
        <v>677893.55850039388</v>
      </c>
      <c r="AB28" s="106">
        <f t="shared" si="5"/>
        <v>357277.94122449192</v>
      </c>
      <c r="AD28" s="185">
        <f t="shared" si="6"/>
        <v>47895.928775507899</v>
      </c>
    </row>
    <row r="29" spans="1:30">
      <c r="A29" s="75">
        <v>52815</v>
      </c>
      <c r="B29" s="75" t="s">
        <v>18</v>
      </c>
      <c r="C29" s="76" t="s">
        <v>16</v>
      </c>
      <c r="D29" s="143">
        <v>1.3148</v>
      </c>
      <c r="E29" s="208">
        <v>44470</v>
      </c>
      <c r="F29" s="208">
        <v>45899</v>
      </c>
      <c r="G29" s="77">
        <v>28583.98</v>
      </c>
      <c r="H29" s="73">
        <v>123356.36999999988</v>
      </c>
      <c r="I29" s="73">
        <v>123356.36999999988</v>
      </c>
      <c r="J29" s="324">
        <v>1180349.2763333335</v>
      </c>
      <c r="K29" s="325">
        <v>0</v>
      </c>
      <c r="L29" s="73">
        <v>0</v>
      </c>
      <c r="M29" s="73">
        <v>0</v>
      </c>
      <c r="N29" s="73">
        <v>40742.590000000004</v>
      </c>
      <c r="O29" s="73">
        <v>334606.56</v>
      </c>
      <c r="P29" s="73">
        <v>0</v>
      </c>
      <c r="Q29" s="73">
        <v>0</v>
      </c>
      <c r="R29" s="77">
        <v>400237.35999999993</v>
      </c>
      <c r="T29" s="107">
        <v>7.0000000000000007E-2</v>
      </c>
      <c r="U29" s="136">
        <f t="shared" si="7"/>
        <v>44470</v>
      </c>
      <c r="V29" s="136">
        <f t="shared" si="8"/>
        <v>45899</v>
      </c>
      <c r="W29" s="110">
        <f t="shared" si="9"/>
        <v>28583.98</v>
      </c>
      <c r="X29" s="108">
        <f t="shared" si="10"/>
        <v>47</v>
      </c>
      <c r="Y29" s="106">
        <f t="shared" si="2"/>
        <v>1172051.8728703165</v>
      </c>
      <c r="Z29" s="108">
        <v>47</v>
      </c>
      <c r="AA29" s="106">
        <f t="shared" si="4"/>
        <v>1172051.8728703165</v>
      </c>
      <c r="AB29" s="106">
        <f>Y29-AA29</f>
        <v>0</v>
      </c>
      <c r="AD29" s="185">
        <f t="shared" si="6"/>
        <v>0</v>
      </c>
    </row>
    <row r="30" spans="1:30">
      <c r="A30" s="75">
        <v>59308</v>
      </c>
      <c r="B30" s="75" t="s">
        <v>17</v>
      </c>
      <c r="C30" s="76" t="s">
        <v>13</v>
      </c>
      <c r="D30" s="143">
        <v>5.1215000000000002</v>
      </c>
      <c r="E30" s="208">
        <v>44926</v>
      </c>
      <c r="F30" s="208">
        <v>46691</v>
      </c>
      <c r="G30" s="77">
        <v>606609.11</v>
      </c>
      <c r="H30" s="73">
        <v>16941687.799999997</v>
      </c>
      <c r="I30" s="73">
        <v>6558072.7200000025</v>
      </c>
      <c r="J30" s="324">
        <v>21514121.895333335</v>
      </c>
      <c r="K30" s="325">
        <v>10383615.079999994</v>
      </c>
      <c r="T30" s="107">
        <v>7.0000000000000007E-2</v>
      </c>
      <c r="U30" s="136">
        <f t="shared" si="7"/>
        <v>44926</v>
      </c>
      <c r="V30" s="136">
        <f t="shared" si="8"/>
        <v>46691</v>
      </c>
      <c r="W30" s="110">
        <f t="shared" si="9"/>
        <v>606609.11</v>
      </c>
      <c r="X30" s="108">
        <f t="shared" si="10"/>
        <v>58</v>
      </c>
      <c r="Y30" s="106">
        <f t="shared" si="2"/>
        <v>29776662.973282162</v>
      </c>
      <c r="Z30" s="108">
        <f t="shared" ref="Z30" si="11">($Z$20-U30)/30</f>
        <v>39.533333333333331</v>
      </c>
      <c r="AA30" s="106">
        <f t="shared" ref="AA30" si="12">Y30/X30*Z30</f>
        <v>20296047.290984277</v>
      </c>
      <c r="AB30" s="106">
        <f>Y30-AA30</f>
        <v>9480615.6822978854</v>
      </c>
      <c r="AD30" s="185">
        <f t="shared" ref="AD30" si="13">K30-AB30</f>
        <v>902999.39770210907</v>
      </c>
    </row>
    <row r="32" spans="1:30">
      <c r="Z32" s="336">
        <f>AVERAGE(Z22:Z30)</f>
        <v>36.544444444444444</v>
      </c>
    </row>
  </sheetData>
  <autoFilter ref="A21:AB29" xr:uid="{221B34DF-6342-4005-B22C-AB11A25C22A4}"/>
  <mergeCells count="4">
    <mergeCell ref="A12:C12"/>
    <mergeCell ref="A13:C13"/>
    <mergeCell ref="H20:K20"/>
    <mergeCell ref="L20:R2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8A81-07FB-4614-B4D2-97A9AB68FA93}">
  <dimension ref="A1:L81"/>
  <sheetViews>
    <sheetView showGridLines="0" topLeftCell="A7" workbookViewId="0">
      <selection activeCell="B14" sqref="B14"/>
    </sheetView>
  </sheetViews>
  <sheetFormatPr defaultColWidth="8.796875" defaultRowHeight="13.3"/>
  <cols>
    <col min="1" max="1" width="19.19921875" style="2" customWidth="1"/>
    <col min="2" max="2" width="16.19921875" style="2" bestFit="1" customWidth="1"/>
    <col min="3" max="3" width="19.59765625" style="2" customWidth="1"/>
    <col min="4" max="4" width="19.19921875" style="2" bestFit="1" customWidth="1"/>
    <col min="5" max="5" width="19.796875" style="2" bestFit="1" customWidth="1"/>
    <col min="6" max="6" width="16.796875" style="2" bestFit="1" customWidth="1"/>
    <col min="7" max="7" width="13.796875" style="2" bestFit="1" customWidth="1"/>
    <col min="8" max="8" width="17.3984375" style="2" bestFit="1" customWidth="1"/>
    <col min="9" max="9" width="12.796875" style="2" bestFit="1" customWidth="1"/>
    <col min="10" max="10" width="13.796875" style="2" bestFit="1" customWidth="1"/>
    <col min="11" max="12" width="12.796875" style="2" bestFit="1" customWidth="1"/>
    <col min="13" max="16384" width="8.796875" style="2"/>
  </cols>
  <sheetData>
    <row r="1" spans="1:12">
      <c r="A1" s="14" t="e">
        <f>'ITC- 59268'!A1</f>
        <v>#REF!</v>
      </c>
    </row>
    <row r="2" spans="1:12">
      <c r="A2" s="14" t="e">
        <f>'ITC- 59268'!A2</f>
        <v>#REF!</v>
      </c>
    </row>
    <row r="3" spans="1:12">
      <c r="A3" s="14" t="e">
        <f>'ITC- 59268'!A3</f>
        <v>#REF!</v>
      </c>
    </row>
    <row r="6" spans="1:12">
      <c r="A6" s="14" t="str">
        <f>[3]Scope!A6</f>
        <v xml:space="preserve">Purpose </v>
      </c>
    </row>
    <row r="7" spans="1:12">
      <c r="A7" s="182" t="s">
        <v>59</v>
      </c>
    </row>
    <row r="10" spans="1:12">
      <c r="A10" s="14" t="s">
        <v>78</v>
      </c>
    </row>
    <row r="11" spans="1:12">
      <c r="B11" s="88" t="s">
        <v>106</v>
      </c>
      <c r="C11" s="88" t="s">
        <v>107</v>
      </c>
      <c r="D11" s="88" t="s">
        <v>107</v>
      </c>
      <c r="E11" s="88" t="s">
        <v>106</v>
      </c>
      <c r="F11" s="88" t="s">
        <v>106</v>
      </c>
      <c r="G11" s="88" t="s">
        <v>106</v>
      </c>
      <c r="H11" s="88" t="s">
        <v>106</v>
      </c>
      <c r="I11" s="88" t="s">
        <v>106</v>
      </c>
      <c r="J11" s="88" t="s">
        <v>106</v>
      </c>
    </row>
    <row r="12" spans="1:12" ht="34.1" customHeight="1">
      <c r="A12" s="5" t="s">
        <v>24</v>
      </c>
      <c r="B12" s="6" t="s">
        <v>67</v>
      </c>
      <c r="C12" s="72" t="s">
        <v>68</v>
      </c>
      <c r="D12" s="72" t="s">
        <v>69</v>
      </c>
      <c r="E12" s="4" t="s">
        <v>201</v>
      </c>
      <c r="F12" s="4" t="s">
        <v>203</v>
      </c>
      <c r="G12" s="4" t="s">
        <v>71</v>
      </c>
      <c r="H12" s="4" t="s">
        <v>10</v>
      </c>
      <c r="I12" s="4" t="s">
        <v>11</v>
      </c>
      <c r="J12" s="4" t="s">
        <v>71</v>
      </c>
      <c r="K12" s="4" t="s">
        <v>48</v>
      </c>
      <c r="L12" s="4" t="s">
        <v>47</v>
      </c>
    </row>
    <row r="13" spans="1:12">
      <c r="A13" s="74" t="s">
        <v>105</v>
      </c>
      <c r="B13" s="223">
        <v>5.1214999999999997E-2</v>
      </c>
      <c r="C13" s="208">
        <v>44926</v>
      </c>
      <c r="D13" s="208">
        <v>46691</v>
      </c>
      <c r="E13" s="73">
        <v>0</v>
      </c>
      <c r="F13" s="73">
        <v>6558072.7200000025</v>
      </c>
      <c r="G13" s="77">
        <v>10383615.079999994</v>
      </c>
      <c r="H13" s="73">
        <v>720542.53</v>
      </c>
      <c r="I13" s="73">
        <v>7279309.3200000012</v>
      </c>
      <c r="J13" s="73">
        <v>11095180.960000001</v>
      </c>
      <c r="K13" s="73">
        <v>6902672.25</v>
      </c>
      <c r="L13" s="73">
        <v>4192508.51</v>
      </c>
    </row>
    <row r="14" spans="1:12">
      <c r="A14" s="74" t="s">
        <v>104</v>
      </c>
      <c r="B14" s="226">
        <v>5.1214999999999997E-2</v>
      </c>
      <c r="C14" s="85">
        <v>44926</v>
      </c>
      <c r="D14" s="85">
        <v>46691</v>
      </c>
      <c r="E14" s="73">
        <v>0</v>
      </c>
      <c r="F14" s="73">
        <f>SUM(C52:C63)</f>
        <v>6436214.8018581448</v>
      </c>
      <c r="G14" s="77">
        <f>D63</f>
        <v>9654322.2027871981</v>
      </c>
      <c r="H14" s="73">
        <f>SUM(F52:F63)</f>
        <v>720542.52991354757</v>
      </c>
      <c r="I14" s="73">
        <f>-SUM(G52:G63)</f>
        <v>7279309.3200000012</v>
      </c>
      <c r="J14" s="77">
        <f>H63</f>
        <v>10488571.660596324</v>
      </c>
      <c r="K14" s="8">
        <f>H63-H76</f>
        <v>7493977.0125828758</v>
      </c>
      <c r="L14" s="8">
        <f>J14-K14</f>
        <v>2994594.6480134483</v>
      </c>
    </row>
    <row r="15" spans="1:12">
      <c r="A15" s="86" t="s">
        <v>32</v>
      </c>
      <c r="B15" s="216">
        <f>B13-B14</f>
        <v>0</v>
      </c>
      <c r="C15" s="8">
        <f t="shared" ref="C15:L15" si="0">C13-C14</f>
        <v>0</v>
      </c>
      <c r="D15" s="8">
        <f>D13-D14</f>
        <v>0</v>
      </c>
      <c r="E15" s="8">
        <f t="shared" si="0"/>
        <v>0</v>
      </c>
      <c r="F15" s="8">
        <f>F13-F14</f>
        <v>121857.91814185772</v>
      </c>
      <c r="G15" s="8">
        <f>G13-G14</f>
        <v>729292.87721279636</v>
      </c>
      <c r="H15" s="8">
        <f>H13-H14</f>
        <v>8.6452462710440159E-5</v>
      </c>
      <c r="I15" s="8">
        <f>I13-I14</f>
        <v>0</v>
      </c>
      <c r="J15" s="8">
        <f>J13-J14</f>
        <v>606609.29940367676</v>
      </c>
      <c r="K15" s="8">
        <f t="shared" si="0"/>
        <v>-591304.76258287579</v>
      </c>
      <c r="L15" s="8">
        <f t="shared" si="0"/>
        <v>1197913.8619865514</v>
      </c>
    </row>
    <row r="16" spans="1:12">
      <c r="A16" s="14"/>
      <c r="D16" s="217"/>
      <c r="E16" s="217"/>
      <c r="F16" s="217"/>
    </row>
    <row r="18" spans="1:8">
      <c r="A18" s="14" t="s">
        <v>115</v>
      </c>
      <c r="B18" s="251">
        <v>606609.11</v>
      </c>
      <c r="C18" s="88" t="s">
        <v>107</v>
      </c>
      <c r="D18" s="89"/>
    </row>
    <row r="19" spans="1:8">
      <c r="A19" s="14" t="s">
        <v>109</v>
      </c>
      <c r="B19" s="91">
        <f>B14/12</f>
        <v>4.2679166666666664E-3</v>
      </c>
      <c r="C19" s="88" t="s">
        <v>106</v>
      </c>
      <c r="D19" s="53"/>
    </row>
    <row r="20" spans="1:8">
      <c r="A20" s="14" t="s">
        <v>114</v>
      </c>
      <c r="B20" s="7">
        <f>ROUND(((D14-C14)/30.5),0)</f>
        <v>58</v>
      </c>
      <c r="C20" s="88" t="s">
        <v>117</v>
      </c>
    </row>
    <row r="21" spans="1:8">
      <c r="A21" s="14" t="s">
        <v>110</v>
      </c>
      <c r="B21" s="7">
        <f>-PV(B19,B20,B18)</f>
        <v>31108371.542314362</v>
      </c>
      <c r="C21" s="88" t="s">
        <v>117</v>
      </c>
    </row>
    <row r="23" spans="1:8">
      <c r="A23" s="5" t="s">
        <v>210</v>
      </c>
      <c r="B23" s="79" t="s">
        <v>112</v>
      </c>
      <c r="C23" s="79" t="s">
        <v>55</v>
      </c>
      <c r="D23" s="79" t="s">
        <v>111</v>
      </c>
      <c r="E23" s="79" t="s">
        <v>113</v>
      </c>
      <c r="F23" s="79" t="s">
        <v>10</v>
      </c>
      <c r="G23" s="79" t="s">
        <v>11</v>
      </c>
      <c r="H23" s="79" t="s">
        <v>57</v>
      </c>
    </row>
    <row r="24" spans="1:8">
      <c r="A24" s="250">
        <v>44896</v>
      </c>
      <c r="B24" s="10">
        <f>$B$21</f>
        <v>31108371.542314362</v>
      </c>
      <c r="C24" s="8">
        <f>$B$21/$B$20</f>
        <v>536351.2334881787</v>
      </c>
      <c r="D24" s="10">
        <f t="shared" ref="D24:D59" si="1">B24-C24</f>
        <v>30572020.308826182</v>
      </c>
      <c r="E24" s="10">
        <f>$B$21</f>
        <v>31108371.542314362</v>
      </c>
      <c r="F24" s="10">
        <f t="shared" ref="F24:F59" si="2">E24*$B$19</f>
        <v>132767.93737830251</v>
      </c>
      <c r="G24" s="10">
        <f t="shared" ref="G24:G81" si="3">-$B$18</f>
        <v>-606609.11</v>
      </c>
      <c r="H24" s="10">
        <f t="shared" ref="H24:H59" si="4">SUM(E24:G24)</f>
        <v>30634530.369692665</v>
      </c>
    </row>
    <row r="25" spans="1:8">
      <c r="A25" s="250">
        <v>44927</v>
      </c>
      <c r="B25" s="10">
        <f>D24</f>
        <v>30572020.308826182</v>
      </c>
      <c r="C25" s="8">
        <f t="shared" ref="C25:C81" si="5">$B$21/$B$20</f>
        <v>536351.2334881787</v>
      </c>
      <c r="D25" s="10">
        <f t="shared" si="1"/>
        <v>30035669.075338002</v>
      </c>
      <c r="E25" s="10">
        <f>H24</f>
        <v>30634530.369692665</v>
      </c>
      <c r="F25" s="10">
        <f t="shared" si="2"/>
        <v>130745.62274031747</v>
      </c>
      <c r="G25" s="10">
        <f t="shared" si="3"/>
        <v>-606609.11</v>
      </c>
      <c r="H25" s="10">
        <f t="shared" si="4"/>
        <v>30158666.882432982</v>
      </c>
    </row>
    <row r="26" spans="1:8">
      <c r="A26" s="250">
        <v>44958</v>
      </c>
      <c r="B26" s="10">
        <f t="shared" ref="B26:B59" si="6">D25</f>
        <v>30035669.075338002</v>
      </c>
      <c r="C26" s="8">
        <f t="shared" si="5"/>
        <v>536351.2334881787</v>
      </c>
      <c r="D26" s="10">
        <f t="shared" si="1"/>
        <v>29499317.841849823</v>
      </c>
      <c r="E26" s="10">
        <f t="shared" ref="E26:E59" si="7">H25</f>
        <v>30158666.882432982</v>
      </c>
      <c r="F26" s="10">
        <f t="shared" si="2"/>
        <v>128714.67703198375</v>
      </c>
      <c r="G26" s="10">
        <f t="shared" si="3"/>
        <v>-606609.11</v>
      </c>
      <c r="H26" s="10">
        <f t="shared" si="4"/>
        <v>29680772.449464966</v>
      </c>
    </row>
    <row r="27" spans="1:8">
      <c r="A27" s="250">
        <v>44986</v>
      </c>
      <c r="B27" s="10">
        <f t="shared" si="6"/>
        <v>29499317.841849823</v>
      </c>
      <c r="C27" s="8">
        <f t="shared" si="5"/>
        <v>536351.2334881787</v>
      </c>
      <c r="D27" s="10">
        <f t="shared" si="1"/>
        <v>28962966.608361643</v>
      </c>
      <c r="E27" s="10">
        <f t="shared" si="7"/>
        <v>29680772.449464966</v>
      </c>
      <c r="F27" s="10">
        <f t="shared" si="2"/>
        <v>126675.06341661235</v>
      </c>
      <c r="G27" s="10">
        <f t="shared" si="3"/>
        <v>-606609.11</v>
      </c>
      <c r="H27" s="10">
        <f t="shared" si="4"/>
        <v>29200838.402881578</v>
      </c>
    </row>
    <row r="28" spans="1:8">
      <c r="A28" s="250">
        <v>45017</v>
      </c>
      <c r="B28" s="10">
        <f t="shared" si="6"/>
        <v>28962966.608361643</v>
      </c>
      <c r="C28" s="8">
        <f t="shared" si="5"/>
        <v>536351.2334881787</v>
      </c>
      <c r="D28" s="10">
        <f t="shared" si="1"/>
        <v>28426615.374873463</v>
      </c>
      <c r="E28" s="10">
        <f t="shared" si="7"/>
        <v>29200838.402881578</v>
      </c>
      <c r="F28" s="10">
        <f t="shared" si="2"/>
        <v>124626.74490029832</v>
      </c>
      <c r="G28" s="10">
        <f t="shared" si="3"/>
        <v>-606609.11</v>
      </c>
      <c r="H28" s="10">
        <f t="shared" si="4"/>
        <v>28718856.037781876</v>
      </c>
    </row>
    <row r="29" spans="1:8">
      <c r="A29" s="250">
        <v>45047</v>
      </c>
      <c r="B29" s="10">
        <f t="shared" si="6"/>
        <v>28426615.374873463</v>
      </c>
      <c r="C29" s="8">
        <f t="shared" si="5"/>
        <v>536351.2334881787</v>
      </c>
      <c r="D29" s="10">
        <f t="shared" si="1"/>
        <v>27890264.141385283</v>
      </c>
      <c r="E29" s="10">
        <f t="shared" si="7"/>
        <v>28718856.037781876</v>
      </c>
      <c r="F29" s="10">
        <f t="shared" si="2"/>
        <v>122569.68433124988</v>
      </c>
      <c r="G29" s="10">
        <f t="shared" si="3"/>
        <v>-606609.11</v>
      </c>
      <c r="H29" s="10">
        <f t="shared" si="4"/>
        <v>28234816.612113126</v>
      </c>
    </row>
    <row r="30" spans="1:8">
      <c r="A30" s="250">
        <v>45078</v>
      </c>
      <c r="B30" s="10">
        <f t="shared" si="6"/>
        <v>27890264.141385283</v>
      </c>
      <c r="C30" s="8">
        <f t="shared" si="5"/>
        <v>536351.2334881787</v>
      </c>
      <c r="D30" s="10">
        <f t="shared" si="1"/>
        <v>27353912.907897104</v>
      </c>
      <c r="E30" s="10">
        <f t="shared" si="7"/>
        <v>28234816.612113126</v>
      </c>
      <c r="F30" s="10">
        <f t="shared" si="2"/>
        <v>120503.84439911447</v>
      </c>
      <c r="G30" s="10">
        <f t="shared" si="3"/>
        <v>-606609.11</v>
      </c>
      <c r="H30" s="10">
        <f t="shared" si="4"/>
        <v>27748711.346512239</v>
      </c>
    </row>
    <row r="31" spans="1:8">
      <c r="A31" s="250">
        <v>45108</v>
      </c>
      <c r="B31" s="10">
        <f t="shared" si="6"/>
        <v>27353912.907897104</v>
      </c>
      <c r="C31" s="8">
        <f t="shared" si="5"/>
        <v>536351.2334881787</v>
      </c>
      <c r="D31" s="10">
        <f t="shared" si="1"/>
        <v>26817561.674408924</v>
      </c>
      <c r="E31" s="10">
        <f t="shared" si="7"/>
        <v>27748711.346512239</v>
      </c>
      <c r="F31" s="10">
        <f t="shared" si="2"/>
        <v>118429.18763430203</v>
      </c>
      <c r="G31" s="10">
        <f t="shared" si="3"/>
        <v>-606609.11</v>
      </c>
      <c r="H31" s="10">
        <f t="shared" si="4"/>
        <v>27260531.42414654</v>
      </c>
    </row>
    <row r="32" spans="1:8">
      <c r="A32" s="250">
        <v>45139</v>
      </c>
      <c r="B32" s="10">
        <f t="shared" si="6"/>
        <v>26817561.674408924</v>
      </c>
      <c r="C32" s="8">
        <f t="shared" si="5"/>
        <v>536351.2334881787</v>
      </c>
      <c r="D32" s="10">
        <f t="shared" si="1"/>
        <v>26281210.440920744</v>
      </c>
      <c r="E32" s="10">
        <f t="shared" si="7"/>
        <v>27260531.42414654</v>
      </c>
      <c r="F32" s="10">
        <f t="shared" si="2"/>
        <v>116345.67640730542</v>
      </c>
      <c r="G32" s="10">
        <f t="shared" si="3"/>
        <v>-606609.11</v>
      </c>
      <c r="H32" s="10">
        <f t="shared" si="4"/>
        <v>26770267.990553845</v>
      </c>
    </row>
    <row r="33" spans="1:8">
      <c r="A33" s="250">
        <v>45170</v>
      </c>
      <c r="B33" s="10">
        <f t="shared" si="6"/>
        <v>26281210.440920744</v>
      </c>
      <c r="C33" s="8">
        <f t="shared" si="5"/>
        <v>536351.2334881787</v>
      </c>
      <c r="D33" s="10">
        <f t="shared" si="1"/>
        <v>25744859.207432564</v>
      </c>
      <c r="E33" s="10">
        <f t="shared" si="7"/>
        <v>26770267.990553845</v>
      </c>
      <c r="F33" s="10">
        <f t="shared" si="2"/>
        <v>114253.27292801792</v>
      </c>
      <c r="G33" s="10">
        <f t="shared" si="3"/>
        <v>-606609.11</v>
      </c>
      <c r="H33" s="10">
        <f t="shared" si="4"/>
        <v>26277912.153481863</v>
      </c>
    </row>
    <row r="34" spans="1:8">
      <c r="A34" s="250">
        <v>45200</v>
      </c>
      <c r="B34" s="10">
        <f t="shared" si="6"/>
        <v>25744859.207432564</v>
      </c>
      <c r="C34" s="8">
        <f t="shared" si="5"/>
        <v>536351.2334881787</v>
      </c>
      <c r="D34" s="10">
        <f t="shared" si="1"/>
        <v>25208507.973944385</v>
      </c>
      <c r="E34" s="10">
        <f t="shared" si="7"/>
        <v>26277912.153481863</v>
      </c>
      <c r="F34" s="10">
        <f t="shared" si="2"/>
        <v>112151.93924504779</v>
      </c>
      <c r="G34" s="10">
        <f t="shared" si="3"/>
        <v>-606609.11</v>
      </c>
      <c r="H34" s="10">
        <f t="shared" si="4"/>
        <v>25783454.982726913</v>
      </c>
    </row>
    <row r="35" spans="1:8">
      <c r="A35" s="250">
        <v>45231</v>
      </c>
      <c r="B35" s="10">
        <f t="shared" si="6"/>
        <v>25208507.973944385</v>
      </c>
      <c r="C35" s="8">
        <f t="shared" si="5"/>
        <v>536351.2334881787</v>
      </c>
      <c r="D35" s="10">
        <f t="shared" si="1"/>
        <v>24672156.740456205</v>
      </c>
      <c r="E35" s="10">
        <f t="shared" si="7"/>
        <v>25783454.982726913</v>
      </c>
      <c r="F35" s="10">
        <f t="shared" si="2"/>
        <v>110041.63724502989</v>
      </c>
      <c r="G35" s="10">
        <f t="shared" si="3"/>
        <v>-606609.11</v>
      </c>
      <c r="H35" s="10">
        <f t="shared" si="4"/>
        <v>25286887.509971943</v>
      </c>
    </row>
    <row r="36" spans="1:8">
      <c r="A36" s="250">
        <v>45261</v>
      </c>
      <c r="B36" s="10">
        <f t="shared" si="6"/>
        <v>24672156.740456205</v>
      </c>
      <c r="C36" s="8">
        <f t="shared" si="5"/>
        <v>536351.2334881787</v>
      </c>
      <c r="D36" s="10">
        <f t="shared" si="1"/>
        <v>24135805.506968025</v>
      </c>
      <c r="E36" s="10">
        <f t="shared" si="7"/>
        <v>25286887.509971943</v>
      </c>
      <c r="F36" s="10">
        <f t="shared" si="2"/>
        <v>107922.32865193441</v>
      </c>
      <c r="G36" s="10">
        <f t="shared" si="3"/>
        <v>-606609.11</v>
      </c>
      <c r="H36" s="10">
        <f t="shared" si="4"/>
        <v>24788200.728623878</v>
      </c>
    </row>
    <row r="37" spans="1:8">
      <c r="A37" s="250">
        <v>45292</v>
      </c>
      <c r="B37" s="10">
        <f t="shared" si="6"/>
        <v>24135805.506968025</v>
      </c>
      <c r="C37" s="8">
        <f t="shared" si="5"/>
        <v>536351.2334881787</v>
      </c>
      <c r="D37" s="10">
        <f t="shared" si="1"/>
        <v>23599454.273479845</v>
      </c>
      <c r="E37" s="10">
        <f t="shared" si="7"/>
        <v>24788200.728623878</v>
      </c>
      <c r="F37" s="10">
        <f t="shared" si="2"/>
        <v>105793.97502637266</v>
      </c>
      <c r="G37" s="10">
        <f t="shared" si="3"/>
        <v>-606609.11</v>
      </c>
      <c r="H37" s="10">
        <f t="shared" si="4"/>
        <v>24287385.593650252</v>
      </c>
    </row>
    <row r="38" spans="1:8">
      <c r="A38" s="250">
        <v>45323</v>
      </c>
      <c r="B38" s="10">
        <f t="shared" si="6"/>
        <v>23599454.273479845</v>
      </c>
      <c r="C38" s="8">
        <f t="shared" si="5"/>
        <v>536351.2334881787</v>
      </c>
      <c r="D38" s="10">
        <f t="shared" si="1"/>
        <v>23063103.039991666</v>
      </c>
      <c r="E38" s="10">
        <f t="shared" si="7"/>
        <v>24287385.593650252</v>
      </c>
      <c r="F38" s="10">
        <f t="shared" si="2"/>
        <v>103656.5377648998</v>
      </c>
      <c r="G38" s="10">
        <f t="shared" si="3"/>
        <v>-606609.11</v>
      </c>
      <c r="H38" s="10">
        <f t="shared" si="4"/>
        <v>23784433.021415152</v>
      </c>
    </row>
    <row r="39" spans="1:8">
      <c r="A39" s="250">
        <v>45352</v>
      </c>
      <c r="B39" s="10">
        <f t="shared" si="6"/>
        <v>23063103.039991666</v>
      </c>
      <c r="C39" s="8">
        <f t="shared" si="5"/>
        <v>536351.2334881787</v>
      </c>
      <c r="D39" s="10">
        <f t="shared" si="1"/>
        <v>22526751.806503486</v>
      </c>
      <c r="E39" s="10">
        <f t="shared" si="7"/>
        <v>23784433.021415152</v>
      </c>
      <c r="F39" s="10">
        <f t="shared" si="2"/>
        <v>101509.97809931474</v>
      </c>
      <c r="G39" s="10">
        <f t="shared" si="3"/>
        <v>-606609.11</v>
      </c>
      <c r="H39" s="10">
        <f t="shared" si="4"/>
        <v>23279333.889514469</v>
      </c>
    </row>
    <row r="40" spans="1:8">
      <c r="A40" s="250">
        <v>45383</v>
      </c>
      <c r="B40" s="10">
        <f t="shared" si="6"/>
        <v>22526751.806503486</v>
      </c>
      <c r="C40" s="8">
        <f t="shared" si="5"/>
        <v>536351.2334881787</v>
      </c>
      <c r="D40" s="10">
        <f t="shared" si="1"/>
        <v>21990400.573015306</v>
      </c>
      <c r="E40" s="10">
        <f t="shared" si="7"/>
        <v>23279333.889514469</v>
      </c>
      <c r="F40" s="10">
        <f t="shared" si="2"/>
        <v>99354.257095956957</v>
      </c>
      <c r="G40" s="10">
        <f t="shared" si="3"/>
        <v>-606609.11</v>
      </c>
      <c r="H40" s="10">
        <f t="shared" si="4"/>
        <v>22772079.036610425</v>
      </c>
    </row>
    <row r="41" spans="1:8">
      <c r="A41" s="250">
        <v>45413</v>
      </c>
      <c r="B41" s="10">
        <f t="shared" si="6"/>
        <v>21990400.573015306</v>
      </c>
      <c r="C41" s="8">
        <f t="shared" si="5"/>
        <v>536351.2334881787</v>
      </c>
      <c r="D41" s="10">
        <f t="shared" si="1"/>
        <v>21454049.339527126</v>
      </c>
      <c r="E41" s="10">
        <f t="shared" si="7"/>
        <v>22772079.036610425</v>
      </c>
      <c r="F41" s="10">
        <f t="shared" si="2"/>
        <v>97189.335655000235</v>
      </c>
      <c r="G41" s="10">
        <f t="shared" si="3"/>
        <v>-606609.11</v>
      </c>
      <c r="H41" s="10">
        <f t="shared" si="4"/>
        <v>22262659.262265425</v>
      </c>
    </row>
    <row r="42" spans="1:8">
      <c r="A42" s="250">
        <v>45444</v>
      </c>
      <c r="B42" s="10">
        <f t="shared" si="6"/>
        <v>21454049.339527126</v>
      </c>
      <c r="C42" s="8">
        <f t="shared" si="5"/>
        <v>536351.2334881787</v>
      </c>
      <c r="D42" s="10">
        <f t="shared" si="1"/>
        <v>20917698.106038947</v>
      </c>
      <c r="E42" s="10">
        <f t="shared" si="7"/>
        <v>22262659.262265425</v>
      </c>
      <c r="F42" s="10">
        <f t="shared" si="2"/>
        <v>95015.174509743636</v>
      </c>
      <c r="G42" s="10">
        <f t="shared" si="3"/>
        <v>-606609.11</v>
      </c>
      <c r="H42" s="10">
        <f t="shared" si="4"/>
        <v>21751065.326775171</v>
      </c>
    </row>
    <row r="43" spans="1:8">
      <c r="A43" s="250">
        <v>45474</v>
      </c>
      <c r="B43" s="10">
        <f t="shared" si="6"/>
        <v>20917698.106038947</v>
      </c>
      <c r="C43" s="8">
        <f t="shared" si="5"/>
        <v>536351.2334881787</v>
      </c>
      <c r="D43" s="10">
        <f t="shared" si="1"/>
        <v>20381346.872550767</v>
      </c>
      <c r="E43" s="10">
        <f t="shared" si="7"/>
        <v>21751065.326775171</v>
      </c>
      <c r="F43" s="10">
        <f t="shared" si="2"/>
        <v>92831.734225899185</v>
      </c>
      <c r="G43" s="10">
        <f t="shared" si="3"/>
        <v>-606609.11</v>
      </c>
      <c r="H43" s="10">
        <f t="shared" si="4"/>
        <v>21237287.95100107</v>
      </c>
    </row>
    <row r="44" spans="1:8">
      <c r="A44" s="250">
        <v>45505</v>
      </c>
      <c r="B44" s="10">
        <f t="shared" si="6"/>
        <v>20381346.872550767</v>
      </c>
      <c r="C44" s="8">
        <f t="shared" si="5"/>
        <v>536351.2334881787</v>
      </c>
      <c r="D44" s="10">
        <f t="shared" si="1"/>
        <v>19844995.639062587</v>
      </c>
      <c r="E44" s="10">
        <f t="shared" si="7"/>
        <v>21237287.95100107</v>
      </c>
      <c r="F44" s="10">
        <f t="shared" si="2"/>
        <v>90638.975200876652</v>
      </c>
      <c r="G44" s="10">
        <f t="shared" si="3"/>
        <v>-606609.11</v>
      </c>
      <c r="H44" s="10">
        <f t="shared" si="4"/>
        <v>20721317.816201948</v>
      </c>
    </row>
    <row r="45" spans="1:8">
      <c r="A45" s="250">
        <v>45536</v>
      </c>
      <c r="B45" s="10">
        <f t="shared" si="6"/>
        <v>19844995.639062587</v>
      </c>
      <c r="C45" s="8">
        <f t="shared" si="5"/>
        <v>536351.2334881787</v>
      </c>
      <c r="D45" s="10">
        <f t="shared" si="1"/>
        <v>19308644.405574407</v>
      </c>
      <c r="E45" s="10">
        <f t="shared" si="7"/>
        <v>20721317.816201948</v>
      </c>
      <c r="F45" s="10">
        <f t="shared" si="2"/>
        <v>88436.857663065224</v>
      </c>
      <c r="G45" s="10">
        <f t="shared" si="3"/>
        <v>-606609.11</v>
      </c>
      <c r="H45" s="10">
        <f t="shared" si="4"/>
        <v>20203145.563865013</v>
      </c>
    </row>
    <row r="46" spans="1:8">
      <c r="A46" s="250">
        <v>45566</v>
      </c>
      <c r="B46" s="10">
        <f t="shared" si="6"/>
        <v>19308644.405574407</v>
      </c>
      <c r="C46" s="8">
        <f t="shared" si="5"/>
        <v>536351.2334881787</v>
      </c>
      <c r="D46" s="10">
        <f t="shared" si="1"/>
        <v>18772293.172086228</v>
      </c>
      <c r="E46" s="10">
        <f t="shared" si="7"/>
        <v>20203145.563865013</v>
      </c>
      <c r="F46" s="10">
        <f t="shared" si="2"/>
        <v>86225.341671112212</v>
      </c>
      <c r="G46" s="10">
        <f t="shared" si="3"/>
        <v>-606609.11</v>
      </c>
      <c r="H46" s="10">
        <f t="shared" si="4"/>
        <v>19682761.795536127</v>
      </c>
    </row>
    <row r="47" spans="1:8">
      <c r="A47" s="250">
        <v>45597</v>
      </c>
      <c r="B47" s="10">
        <f t="shared" si="6"/>
        <v>18772293.172086228</v>
      </c>
      <c r="C47" s="8">
        <f t="shared" si="5"/>
        <v>536351.2334881787</v>
      </c>
      <c r="D47" s="10">
        <f t="shared" si="1"/>
        <v>18235941.938598048</v>
      </c>
      <c r="E47" s="10">
        <f t="shared" si="7"/>
        <v>19682761.795536127</v>
      </c>
      <c r="F47" s="10">
        <f t="shared" si="2"/>
        <v>84004.387113198551</v>
      </c>
      <c r="G47" s="10">
        <f t="shared" si="3"/>
        <v>-606609.11</v>
      </c>
      <c r="H47" s="10">
        <f t="shared" si="4"/>
        <v>19160157.072649326</v>
      </c>
    </row>
    <row r="48" spans="1:8">
      <c r="A48" s="250">
        <v>45627</v>
      </c>
      <c r="B48" s="10">
        <f t="shared" si="6"/>
        <v>18235941.938598048</v>
      </c>
      <c r="C48" s="8">
        <f t="shared" si="5"/>
        <v>536351.2334881787</v>
      </c>
      <c r="D48" s="10">
        <f t="shared" si="1"/>
        <v>17699590.705109868</v>
      </c>
      <c r="E48" s="10">
        <f t="shared" si="7"/>
        <v>19160157.072649326</v>
      </c>
      <c r="F48" s="10">
        <f t="shared" si="2"/>
        <v>81773.953706311266</v>
      </c>
      <c r="G48" s="10">
        <f t="shared" si="3"/>
        <v>-606609.11</v>
      </c>
      <c r="H48" s="10">
        <f t="shared" si="4"/>
        <v>18635321.91635564</v>
      </c>
    </row>
    <row r="49" spans="1:8">
      <c r="A49" s="250">
        <v>45658</v>
      </c>
      <c r="B49" s="10">
        <f t="shared" si="6"/>
        <v>17699590.705109868</v>
      </c>
      <c r="C49" s="8">
        <f t="shared" si="5"/>
        <v>536351.2334881787</v>
      </c>
      <c r="D49" s="10">
        <f t="shared" si="1"/>
        <v>17163239.471621688</v>
      </c>
      <c r="E49" s="10">
        <f t="shared" si="7"/>
        <v>18635321.91635564</v>
      </c>
      <c r="F49" s="10">
        <f t="shared" si="2"/>
        <v>79534.000995512833</v>
      </c>
      <c r="G49" s="10">
        <f t="shared" si="3"/>
        <v>-606609.11</v>
      </c>
      <c r="H49" s="10">
        <f t="shared" si="4"/>
        <v>18108246.807351153</v>
      </c>
    </row>
    <row r="50" spans="1:8">
      <c r="A50" s="250">
        <v>45689</v>
      </c>
      <c r="B50" s="10">
        <f t="shared" si="6"/>
        <v>17163239.471621688</v>
      </c>
      <c r="C50" s="8">
        <f t="shared" si="5"/>
        <v>536351.2334881787</v>
      </c>
      <c r="D50" s="10">
        <f t="shared" si="1"/>
        <v>16626888.238133511</v>
      </c>
      <c r="E50" s="10">
        <f t="shared" si="7"/>
        <v>18108246.807351153</v>
      </c>
      <c r="F50" s="10">
        <f t="shared" si="2"/>
        <v>77284.488353207431</v>
      </c>
      <c r="G50" s="10">
        <f t="shared" si="3"/>
        <v>-606609.11</v>
      </c>
      <c r="H50" s="10">
        <f t="shared" si="4"/>
        <v>17578922.185704362</v>
      </c>
    </row>
    <row r="51" spans="1:8">
      <c r="A51" s="250">
        <v>45717</v>
      </c>
      <c r="B51" s="10">
        <f t="shared" si="6"/>
        <v>16626888.238133511</v>
      </c>
      <c r="C51" s="8">
        <f t="shared" si="5"/>
        <v>536351.2334881787</v>
      </c>
      <c r="D51" s="10">
        <f t="shared" si="1"/>
        <v>16090537.004645333</v>
      </c>
      <c r="E51" s="10">
        <f t="shared" si="7"/>
        <v>17578922.185704362</v>
      </c>
      <c r="F51" s="10">
        <f t="shared" si="2"/>
        <v>75025.37497840407</v>
      </c>
      <c r="G51" s="10">
        <f t="shared" si="3"/>
        <v>-606609.11</v>
      </c>
      <c r="H51" s="10">
        <f t="shared" si="4"/>
        <v>17047338.450682767</v>
      </c>
    </row>
    <row r="52" spans="1:8">
      <c r="A52" s="250">
        <v>45748</v>
      </c>
      <c r="B52" s="10">
        <f t="shared" si="6"/>
        <v>16090537.004645333</v>
      </c>
      <c r="C52" s="8">
        <f t="shared" si="5"/>
        <v>536351.2334881787</v>
      </c>
      <c r="D52" s="10">
        <f t="shared" si="1"/>
        <v>15554185.771157155</v>
      </c>
      <c r="E52" s="10">
        <f t="shared" si="7"/>
        <v>17047338.450682767</v>
      </c>
      <c r="F52" s="10">
        <f t="shared" si="2"/>
        <v>72756.619895976488</v>
      </c>
      <c r="G52" s="10">
        <f t="shared" si="3"/>
        <v>-606609.11</v>
      </c>
      <c r="H52" s="10">
        <f t="shared" si="4"/>
        <v>16513485.960578743</v>
      </c>
    </row>
    <row r="53" spans="1:8">
      <c r="A53" s="250">
        <v>45778</v>
      </c>
      <c r="B53" s="10">
        <f t="shared" si="6"/>
        <v>15554185.771157155</v>
      </c>
      <c r="C53" s="8">
        <f t="shared" si="5"/>
        <v>536351.2334881787</v>
      </c>
      <c r="D53" s="10">
        <f t="shared" si="1"/>
        <v>15017834.537668977</v>
      </c>
      <c r="E53" s="10">
        <f t="shared" si="7"/>
        <v>16513485.960578743</v>
      </c>
      <c r="F53" s="10">
        <f t="shared" si="2"/>
        <v>70478.181955920023</v>
      </c>
      <c r="G53" s="10">
        <f t="shared" si="3"/>
        <v>-606609.11</v>
      </c>
      <c r="H53" s="10">
        <f t="shared" si="4"/>
        <v>15977355.032534664</v>
      </c>
    </row>
    <row r="54" spans="1:8">
      <c r="A54" s="250">
        <v>45809</v>
      </c>
      <c r="B54" s="10">
        <f t="shared" si="6"/>
        <v>15017834.537668977</v>
      </c>
      <c r="C54" s="8">
        <f t="shared" si="5"/>
        <v>536351.2334881787</v>
      </c>
      <c r="D54" s="10">
        <f t="shared" si="1"/>
        <v>14481483.304180799</v>
      </c>
      <c r="E54" s="10">
        <f t="shared" si="7"/>
        <v>15977355.032534664</v>
      </c>
      <c r="F54" s="10">
        <f t="shared" si="2"/>
        <v>68190.019832605234</v>
      </c>
      <c r="G54" s="10">
        <f t="shared" si="3"/>
        <v>-606609.11</v>
      </c>
      <c r="H54" s="10">
        <f t="shared" si="4"/>
        <v>15438935.942367271</v>
      </c>
    </row>
    <row r="55" spans="1:8">
      <c r="A55" s="250">
        <v>45839</v>
      </c>
      <c r="B55" s="10">
        <f t="shared" si="6"/>
        <v>14481483.304180799</v>
      </c>
      <c r="C55" s="8">
        <f t="shared" si="5"/>
        <v>536351.2334881787</v>
      </c>
      <c r="D55" s="10">
        <f t="shared" si="1"/>
        <v>13945132.070692621</v>
      </c>
      <c r="E55" s="10">
        <f t="shared" si="7"/>
        <v>15438935.942367271</v>
      </c>
      <c r="F55" s="10">
        <f t="shared" si="2"/>
        <v>65892.092024028316</v>
      </c>
      <c r="G55" s="10">
        <f t="shared" si="3"/>
        <v>-606609.11</v>
      </c>
      <c r="H55" s="10">
        <f t="shared" si="4"/>
        <v>14898218.924391299</v>
      </c>
    </row>
    <row r="56" spans="1:8">
      <c r="A56" s="250">
        <v>45870</v>
      </c>
      <c r="B56" s="10">
        <f t="shared" si="6"/>
        <v>13945132.070692621</v>
      </c>
      <c r="C56" s="8">
        <f t="shared" si="5"/>
        <v>536351.2334881787</v>
      </c>
      <c r="D56" s="10">
        <f t="shared" si="1"/>
        <v>13408780.837204443</v>
      </c>
      <c r="E56" s="10">
        <f t="shared" si="7"/>
        <v>14898218.924391299</v>
      </c>
      <c r="F56" s="10">
        <f t="shared" si="2"/>
        <v>63584.356851058365</v>
      </c>
      <c r="G56" s="10">
        <f t="shared" si="3"/>
        <v>-606609.11</v>
      </c>
      <c r="H56" s="10">
        <f t="shared" si="4"/>
        <v>14355194.171242358</v>
      </c>
    </row>
    <row r="57" spans="1:8">
      <c r="A57" s="250">
        <v>45901</v>
      </c>
      <c r="B57" s="10">
        <f t="shared" si="6"/>
        <v>13408780.837204443</v>
      </c>
      <c r="C57" s="8">
        <f t="shared" si="5"/>
        <v>536351.2334881787</v>
      </c>
      <c r="D57" s="10">
        <f t="shared" si="1"/>
        <v>12872429.603716265</v>
      </c>
      <c r="E57" s="10">
        <f t="shared" si="7"/>
        <v>14355194.171242358</v>
      </c>
      <c r="F57" s="10">
        <f t="shared" si="2"/>
        <v>61266.772456681443</v>
      </c>
      <c r="G57" s="10">
        <f t="shared" si="3"/>
        <v>-606609.11</v>
      </c>
      <c r="H57" s="10">
        <f t="shared" si="4"/>
        <v>13809851.83369904</v>
      </c>
    </row>
    <row r="58" spans="1:8">
      <c r="A58" s="250">
        <v>45931</v>
      </c>
      <c r="B58" s="10">
        <f t="shared" si="6"/>
        <v>12872429.603716265</v>
      </c>
      <c r="C58" s="8">
        <f t="shared" si="5"/>
        <v>536351.2334881787</v>
      </c>
      <c r="D58" s="10">
        <f t="shared" si="1"/>
        <v>12336078.370228088</v>
      </c>
      <c r="E58" s="10">
        <f t="shared" si="7"/>
        <v>13809851.83369904</v>
      </c>
      <c r="F58" s="10">
        <f t="shared" si="2"/>
        <v>58939.296805241356</v>
      </c>
      <c r="G58" s="10">
        <f t="shared" si="3"/>
        <v>-606609.11</v>
      </c>
      <c r="H58" s="10">
        <f t="shared" si="4"/>
        <v>13262182.020504283</v>
      </c>
    </row>
    <row r="59" spans="1:8">
      <c r="A59" s="250">
        <v>45962</v>
      </c>
      <c r="B59" s="10">
        <f t="shared" si="6"/>
        <v>12336078.370228088</v>
      </c>
      <c r="C59" s="8">
        <f t="shared" si="5"/>
        <v>536351.2334881787</v>
      </c>
      <c r="D59" s="10">
        <f t="shared" si="1"/>
        <v>11799727.13673991</v>
      </c>
      <c r="E59" s="10">
        <f t="shared" si="7"/>
        <v>13262182.020504283</v>
      </c>
      <c r="F59" s="10">
        <f t="shared" si="2"/>
        <v>56601.887681677232</v>
      </c>
      <c r="G59" s="10">
        <f t="shared" si="3"/>
        <v>-606609.11</v>
      </c>
      <c r="H59" s="10">
        <f t="shared" si="4"/>
        <v>12712174.798185961</v>
      </c>
    </row>
    <row r="60" spans="1:8">
      <c r="A60" s="250">
        <v>45992</v>
      </c>
      <c r="B60" s="10">
        <f t="shared" ref="B60:B81" si="8">D59</f>
        <v>11799727.13673991</v>
      </c>
      <c r="C60" s="8">
        <f t="shared" si="5"/>
        <v>536351.2334881787</v>
      </c>
      <c r="D60" s="10">
        <f t="shared" ref="D60:D81" si="9">B60-C60</f>
        <v>11263375.903251732</v>
      </c>
      <c r="E60" s="10">
        <f t="shared" ref="E60:E81" si="10">H59</f>
        <v>12712174.798185961</v>
      </c>
      <c r="F60" s="10">
        <f t="shared" ref="F60:F81" si="11">E60*$B$19</f>
        <v>54254.502690757829</v>
      </c>
      <c r="G60" s="10">
        <f t="shared" si="3"/>
        <v>-606609.11</v>
      </c>
      <c r="H60" s="10">
        <f t="shared" ref="H60:H81" si="12">SUM(E60:G60)</f>
        <v>12159820.19087672</v>
      </c>
    </row>
    <row r="61" spans="1:8">
      <c r="A61" s="250">
        <v>46023</v>
      </c>
      <c r="B61" s="10">
        <f t="shared" si="8"/>
        <v>11263375.903251732</v>
      </c>
      <c r="C61" s="8">
        <f t="shared" si="5"/>
        <v>536351.2334881787</v>
      </c>
      <c r="D61" s="10">
        <f t="shared" si="9"/>
        <v>10727024.669763554</v>
      </c>
      <c r="E61" s="10">
        <f t="shared" si="10"/>
        <v>12159820.19087672</v>
      </c>
      <c r="F61" s="10">
        <f t="shared" si="11"/>
        <v>51897.099256312598</v>
      </c>
      <c r="G61" s="10">
        <f t="shared" si="3"/>
        <v>-606609.11</v>
      </c>
      <c r="H61" s="10">
        <f t="shared" si="12"/>
        <v>11605108.180133034</v>
      </c>
    </row>
    <row r="62" spans="1:8">
      <c r="A62" s="250">
        <v>46054</v>
      </c>
      <c r="B62" s="10">
        <f t="shared" si="8"/>
        <v>10727024.669763554</v>
      </c>
      <c r="C62" s="8">
        <f t="shared" si="5"/>
        <v>536351.2334881787</v>
      </c>
      <c r="D62" s="10">
        <f t="shared" si="9"/>
        <v>10190673.436275376</v>
      </c>
      <c r="E62" s="10">
        <f t="shared" si="10"/>
        <v>11605108.180133034</v>
      </c>
      <c r="F62" s="10">
        <f t="shared" si="11"/>
        <v>49529.634620459437</v>
      </c>
      <c r="G62" s="10">
        <f t="shared" si="3"/>
        <v>-606609.11</v>
      </c>
      <c r="H62" s="10">
        <f t="shared" si="12"/>
        <v>11048028.704753494</v>
      </c>
    </row>
    <row r="63" spans="1:8">
      <c r="A63" s="250">
        <v>46082</v>
      </c>
      <c r="B63" s="10">
        <f t="shared" si="8"/>
        <v>10190673.436275376</v>
      </c>
      <c r="C63" s="8">
        <f t="shared" si="5"/>
        <v>536351.2334881787</v>
      </c>
      <c r="D63" s="10">
        <f t="shared" si="9"/>
        <v>9654322.2027871981</v>
      </c>
      <c r="E63" s="10">
        <f t="shared" si="10"/>
        <v>11048028.704753494</v>
      </c>
      <c r="F63" s="10">
        <f t="shared" si="11"/>
        <v>47152.065842829179</v>
      </c>
      <c r="G63" s="10">
        <f t="shared" si="3"/>
        <v>-606609.11</v>
      </c>
      <c r="H63" s="10">
        <f t="shared" si="12"/>
        <v>10488571.660596324</v>
      </c>
    </row>
    <row r="64" spans="1:8">
      <c r="A64" s="250">
        <v>46113</v>
      </c>
      <c r="B64" s="10">
        <f t="shared" si="8"/>
        <v>9654322.2027871981</v>
      </c>
      <c r="C64" s="8">
        <f t="shared" si="5"/>
        <v>536351.2334881787</v>
      </c>
      <c r="D64" s="10">
        <f t="shared" si="9"/>
        <v>9117970.9692990202</v>
      </c>
      <c r="E64" s="10">
        <f t="shared" si="10"/>
        <v>10488571.660596324</v>
      </c>
      <c r="F64" s="10">
        <f t="shared" si="11"/>
        <v>44764.349799786723</v>
      </c>
      <c r="G64" s="10">
        <f t="shared" si="3"/>
        <v>-606609.11</v>
      </c>
      <c r="H64" s="10">
        <f t="shared" si="12"/>
        <v>9926726.9003961124</v>
      </c>
    </row>
    <row r="65" spans="1:8">
      <c r="A65" s="250">
        <v>46143</v>
      </c>
      <c r="B65" s="10">
        <f t="shared" si="8"/>
        <v>9117970.9692990202</v>
      </c>
      <c r="C65" s="8">
        <f t="shared" si="5"/>
        <v>536351.2334881787</v>
      </c>
      <c r="D65" s="10">
        <f t="shared" si="9"/>
        <v>8581619.7358108424</v>
      </c>
      <c r="E65" s="10">
        <f t="shared" si="10"/>
        <v>9926726.9003961124</v>
      </c>
      <c r="F65" s="10">
        <f t="shared" si="11"/>
        <v>42366.443183648902</v>
      </c>
      <c r="G65" s="10">
        <f t="shared" si="3"/>
        <v>-606609.11</v>
      </c>
      <c r="H65" s="10">
        <f t="shared" si="12"/>
        <v>9362484.2335797623</v>
      </c>
    </row>
    <row r="66" spans="1:8">
      <c r="A66" s="250">
        <v>46174</v>
      </c>
      <c r="B66" s="10">
        <f t="shared" si="8"/>
        <v>8581619.7358108424</v>
      </c>
      <c r="C66" s="8">
        <f t="shared" si="5"/>
        <v>536351.2334881787</v>
      </c>
      <c r="D66" s="10">
        <f t="shared" si="9"/>
        <v>8045268.5023226636</v>
      </c>
      <c r="E66" s="10">
        <f t="shared" si="10"/>
        <v>9362484.2335797623</v>
      </c>
      <c r="F66" s="10">
        <f t="shared" si="11"/>
        <v>39958.302501898957</v>
      </c>
      <c r="G66" s="10">
        <f t="shared" si="3"/>
        <v>-606609.11</v>
      </c>
      <c r="H66" s="10">
        <f t="shared" si="12"/>
        <v>8795833.4260816611</v>
      </c>
    </row>
    <row r="67" spans="1:8">
      <c r="A67" s="250">
        <v>46204</v>
      </c>
      <c r="B67" s="10">
        <f t="shared" si="8"/>
        <v>8045268.5023226636</v>
      </c>
      <c r="C67" s="8">
        <f t="shared" si="5"/>
        <v>536351.2334881787</v>
      </c>
      <c r="D67" s="10">
        <f t="shared" si="9"/>
        <v>7508917.2688344847</v>
      </c>
      <c r="E67" s="10">
        <f t="shared" si="10"/>
        <v>8795833.4260816611</v>
      </c>
      <c r="F67" s="10">
        <f t="shared" si="11"/>
        <v>37539.884076397684</v>
      </c>
      <c r="G67" s="10">
        <f t="shared" si="3"/>
        <v>-606609.11</v>
      </c>
      <c r="H67" s="10">
        <f t="shared" si="12"/>
        <v>8226764.2001580587</v>
      </c>
    </row>
    <row r="68" spans="1:8">
      <c r="A68" s="250">
        <v>46235</v>
      </c>
      <c r="B68" s="10">
        <f t="shared" si="8"/>
        <v>7508917.2688344847</v>
      </c>
      <c r="C68" s="8">
        <f t="shared" si="5"/>
        <v>536351.2334881787</v>
      </c>
      <c r="D68" s="10">
        <f t="shared" si="9"/>
        <v>6972566.0353463059</v>
      </c>
      <c r="E68" s="10">
        <f t="shared" si="10"/>
        <v>8226764.2001580587</v>
      </c>
      <c r="F68" s="10">
        <f t="shared" si="11"/>
        <v>35111.144042591244</v>
      </c>
      <c r="G68" s="10">
        <f t="shared" si="3"/>
        <v>-606609.11</v>
      </c>
      <c r="H68" s="10">
        <f t="shared" si="12"/>
        <v>7655266.2342006499</v>
      </c>
    </row>
    <row r="69" spans="1:8">
      <c r="A69" s="250">
        <v>46266</v>
      </c>
      <c r="B69" s="10">
        <f t="shared" si="8"/>
        <v>6972566.0353463059</v>
      </c>
      <c r="C69" s="8">
        <f t="shared" si="5"/>
        <v>536351.2334881787</v>
      </c>
      <c r="D69" s="10">
        <f t="shared" si="9"/>
        <v>6436214.8018581271</v>
      </c>
      <c r="E69" s="10">
        <f t="shared" si="10"/>
        <v>7655266.2342006499</v>
      </c>
      <c r="F69" s="10">
        <f t="shared" si="11"/>
        <v>32672.038348715523</v>
      </c>
      <c r="G69" s="10">
        <f t="shared" si="3"/>
        <v>-606609.11</v>
      </c>
      <c r="H69" s="10">
        <f t="shared" si="12"/>
        <v>7081329.1625493653</v>
      </c>
    </row>
    <row r="70" spans="1:8">
      <c r="A70" s="250">
        <v>46296</v>
      </c>
      <c r="B70" s="10">
        <f t="shared" si="8"/>
        <v>6436214.8018581271</v>
      </c>
      <c r="C70" s="8">
        <f t="shared" si="5"/>
        <v>536351.2334881787</v>
      </c>
      <c r="D70" s="10">
        <f t="shared" si="9"/>
        <v>5899863.5683699483</v>
      </c>
      <c r="E70" s="10">
        <f t="shared" si="10"/>
        <v>7081329.1625493653</v>
      </c>
      <c r="F70" s="10">
        <f t="shared" si="11"/>
        <v>30222.522754997142</v>
      </c>
      <c r="G70" s="10">
        <f t="shared" si="3"/>
        <v>-606609.11</v>
      </c>
      <c r="H70" s="10">
        <f t="shared" si="12"/>
        <v>6504942.575304362</v>
      </c>
    </row>
    <row r="71" spans="1:8">
      <c r="A71" s="250">
        <v>46327</v>
      </c>
      <c r="B71" s="10">
        <f t="shared" si="8"/>
        <v>5899863.5683699483</v>
      </c>
      <c r="C71" s="8">
        <f t="shared" si="5"/>
        <v>536351.2334881787</v>
      </c>
      <c r="D71" s="10">
        <f t="shared" si="9"/>
        <v>5363512.3348817695</v>
      </c>
      <c r="E71" s="10">
        <f t="shared" si="10"/>
        <v>6504942.575304362</v>
      </c>
      <c r="F71" s="10">
        <f t="shared" si="11"/>
        <v>27762.552832851074</v>
      </c>
      <c r="G71" s="10">
        <f t="shared" si="3"/>
        <v>-606609.11</v>
      </c>
      <c r="H71" s="10">
        <f t="shared" si="12"/>
        <v>5926096.0181372128</v>
      </c>
    </row>
    <row r="72" spans="1:8">
      <c r="A72" s="250">
        <v>46357</v>
      </c>
      <c r="B72" s="10">
        <f t="shared" si="8"/>
        <v>5363512.3348817695</v>
      </c>
      <c r="C72" s="8">
        <f t="shared" si="5"/>
        <v>536351.2334881787</v>
      </c>
      <c r="D72" s="10">
        <f t="shared" si="9"/>
        <v>4827161.1013935907</v>
      </c>
      <c r="E72" s="10">
        <f t="shared" si="10"/>
        <v>5926096.0181372128</v>
      </c>
      <c r="F72" s="10">
        <f t="shared" si="11"/>
        <v>25292.083964074776</v>
      </c>
      <c r="G72" s="10">
        <f t="shared" si="3"/>
        <v>-606609.11</v>
      </c>
      <c r="H72" s="10">
        <f t="shared" si="12"/>
        <v>5344778.9921012875</v>
      </c>
    </row>
    <row r="73" spans="1:8">
      <c r="A73" s="250">
        <v>46388</v>
      </c>
      <c r="B73" s="10">
        <f t="shared" si="8"/>
        <v>4827161.1013935907</v>
      </c>
      <c r="C73" s="8">
        <f t="shared" si="5"/>
        <v>536351.2334881787</v>
      </c>
      <c r="D73" s="10">
        <f t="shared" si="9"/>
        <v>4290809.8679054119</v>
      </c>
      <c r="E73" s="10">
        <f t="shared" si="10"/>
        <v>5344778.9921012875</v>
      </c>
      <c r="F73" s="10">
        <f t="shared" si="11"/>
        <v>22811.07134003895</v>
      </c>
      <c r="G73" s="10">
        <f t="shared" si="3"/>
        <v>-606609.11</v>
      </c>
      <c r="H73" s="10">
        <f t="shared" si="12"/>
        <v>4760980.9534413265</v>
      </c>
    </row>
    <row r="74" spans="1:8">
      <c r="A74" s="250">
        <v>46419</v>
      </c>
      <c r="B74" s="10">
        <f t="shared" si="8"/>
        <v>4290809.8679054119</v>
      </c>
      <c r="C74" s="8">
        <f t="shared" si="5"/>
        <v>536351.2334881787</v>
      </c>
      <c r="D74" s="10">
        <f t="shared" si="9"/>
        <v>3754458.6344172331</v>
      </c>
      <c r="E74" s="10">
        <f t="shared" si="10"/>
        <v>4760980.9534413265</v>
      </c>
      <c r="F74" s="10">
        <f t="shared" si="11"/>
        <v>20319.469960874794</v>
      </c>
      <c r="G74" s="10">
        <f t="shared" si="3"/>
        <v>-606609.11</v>
      </c>
      <c r="H74" s="10">
        <f t="shared" si="12"/>
        <v>4174691.3134022015</v>
      </c>
    </row>
    <row r="75" spans="1:8">
      <c r="A75" s="250">
        <v>46447</v>
      </c>
      <c r="B75" s="10">
        <f t="shared" si="8"/>
        <v>3754458.6344172331</v>
      </c>
      <c r="C75" s="8">
        <f t="shared" si="5"/>
        <v>536351.2334881787</v>
      </c>
      <c r="D75" s="10">
        <f t="shared" si="9"/>
        <v>3218107.4009290542</v>
      </c>
      <c r="E75" s="10">
        <f t="shared" si="10"/>
        <v>4174691.3134022015</v>
      </c>
      <c r="F75" s="10">
        <f t="shared" si="11"/>
        <v>17817.234634657812</v>
      </c>
      <c r="G75" s="10">
        <f t="shared" si="3"/>
        <v>-606609.11</v>
      </c>
      <c r="H75" s="10">
        <f t="shared" si="12"/>
        <v>3585899.4380368595</v>
      </c>
    </row>
    <row r="76" spans="1:8">
      <c r="A76" s="250">
        <v>46478</v>
      </c>
      <c r="B76" s="10">
        <f t="shared" si="8"/>
        <v>3218107.4009290542</v>
      </c>
      <c r="C76" s="8">
        <f t="shared" si="5"/>
        <v>536351.2334881787</v>
      </c>
      <c r="D76" s="10">
        <f t="shared" si="9"/>
        <v>2681756.1674408754</v>
      </c>
      <c r="E76" s="10">
        <f t="shared" si="10"/>
        <v>3585899.4380368595</v>
      </c>
      <c r="F76" s="10">
        <f t="shared" si="11"/>
        <v>15304.319976588145</v>
      </c>
      <c r="G76" s="10">
        <f t="shared" si="3"/>
        <v>-606609.11</v>
      </c>
      <c r="H76" s="10">
        <f t="shared" si="12"/>
        <v>2994594.6480134479</v>
      </c>
    </row>
    <row r="77" spans="1:8">
      <c r="A77" s="250">
        <v>46508</v>
      </c>
      <c r="B77" s="10">
        <f t="shared" si="8"/>
        <v>2681756.1674408754</v>
      </c>
      <c r="C77" s="8">
        <f t="shared" si="5"/>
        <v>536351.2334881787</v>
      </c>
      <c r="D77" s="10">
        <f t="shared" si="9"/>
        <v>2145404.9339526966</v>
      </c>
      <c r="E77" s="10">
        <f t="shared" si="10"/>
        <v>2994594.6480134479</v>
      </c>
      <c r="F77" s="10">
        <f t="shared" si="11"/>
        <v>12780.680408167394</v>
      </c>
      <c r="G77" s="10">
        <f t="shared" si="3"/>
        <v>-606609.11</v>
      </c>
      <c r="H77" s="10">
        <f t="shared" si="12"/>
        <v>2400766.2184216152</v>
      </c>
    </row>
    <row r="78" spans="1:8">
      <c r="A78" s="250">
        <v>46539</v>
      </c>
      <c r="B78" s="10">
        <f t="shared" si="8"/>
        <v>2145404.9339526966</v>
      </c>
      <c r="C78" s="8">
        <f t="shared" si="5"/>
        <v>536351.2334881787</v>
      </c>
      <c r="D78" s="10">
        <f t="shared" si="9"/>
        <v>1609053.7004645178</v>
      </c>
      <c r="E78" s="10">
        <f t="shared" si="10"/>
        <v>2400766.2184216152</v>
      </c>
      <c r="F78" s="10">
        <f t="shared" si="11"/>
        <v>10246.270156371918</v>
      </c>
      <c r="G78" s="10">
        <f t="shared" si="3"/>
        <v>-606609.11</v>
      </c>
      <c r="H78" s="10">
        <f t="shared" si="12"/>
        <v>1804403.3785779872</v>
      </c>
    </row>
    <row r="79" spans="1:8">
      <c r="A79" s="250">
        <v>46569</v>
      </c>
      <c r="B79" s="10">
        <f t="shared" si="8"/>
        <v>1609053.7004645178</v>
      </c>
      <c r="C79" s="8">
        <f t="shared" si="5"/>
        <v>536351.2334881787</v>
      </c>
      <c r="D79" s="10">
        <f t="shared" si="9"/>
        <v>1072702.466976339</v>
      </c>
      <c r="E79" s="10">
        <f t="shared" si="10"/>
        <v>1804403.3785779872</v>
      </c>
      <c r="F79" s="10">
        <f t="shared" si="11"/>
        <v>7701.0432528226338</v>
      </c>
      <c r="G79" s="10">
        <f t="shared" si="3"/>
        <v>-606609.11</v>
      </c>
      <c r="H79" s="10">
        <f t="shared" si="12"/>
        <v>1205495.3118308098</v>
      </c>
    </row>
    <row r="80" spans="1:8">
      <c r="A80" s="250">
        <v>46600</v>
      </c>
      <c r="B80" s="10">
        <f t="shared" si="8"/>
        <v>1072702.466976339</v>
      </c>
      <c r="C80" s="8">
        <f t="shared" si="5"/>
        <v>536351.2334881787</v>
      </c>
      <c r="D80" s="10">
        <f t="shared" si="9"/>
        <v>536351.2334881603</v>
      </c>
      <c r="E80" s="10">
        <f t="shared" si="10"/>
        <v>1205495.3118308098</v>
      </c>
      <c r="F80" s="10">
        <f t="shared" si="11"/>
        <v>5144.9535329512437</v>
      </c>
      <c r="G80" s="10">
        <f t="shared" si="3"/>
        <v>-606609.11</v>
      </c>
      <c r="H80" s="10">
        <f t="shared" si="12"/>
        <v>604031.155363761</v>
      </c>
    </row>
    <row r="81" spans="1:8">
      <c r="A81" s="250">
        <v>46631</v>
      </c>
      <c r="B81" s="10">
        <f t="shared" si="8"/>
        <v>536351.2334881603</v>
      </c>
      <c r="C81" s="8">
        <f t="shared" si="5"/>
        <v>536351.2334881787</v>
      </c>
      <c r="D81" s="10">
        <f t="shared" si="9"/>
        <v>-1.8393620848655701E-8</v>
      </c>
      <c r="E81" s="10">
        <f t="shared" si="10"/>
        <v>604031.155363761</v>
      </c>
      <c r="F81" s="10">
        <f t="shared" si="11"/>
        <v>2577.9546351629183</v>
      </c>
      <c r="G81" s="10">
        <f t="shared" si="3"/>
        <v>-606609.11</v>
      </c>
      <c r="H81" s="10">
        <f t="shared" si="12"/>
        <v>-1.0760268196463585E-6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87E80-4788-4E5A-97BC-F2A3776C763D}">
  <dimension ref="A1:O96"/>
  <sheetViews>
    <sheetView showGridLines="0" zoomScale="88" zoomScaleNormal="88" workbookViewId="0">
      <selection sqref="A1:A3"/>
    </sheetView>
  </sheetViews>
  <sheetFormatPr defaultColWidth="8.796875" defaultRowHeight="14.4"/>
  <cols>
    <col min="1" max="1" width="26.5" style="292" customWidth="1"/>
    <col min="2" max="2" width="16.796875" style="259" customWidth="1"/>
    <col min="3" max="3" width="34.296875" style="259" bestFit="1" customWidth="1"/>
    <col min="4" max="4" width="19" style="259" customWidth="1"/>
    <col min="5" max="6" width="13.796875" style="259" customWidth="1"/>
    <col min="7" max="7" width="14.796875" style="259" customWidth="1"/>
    <col min="8" max="9" width="17.5" style="259" customWidth="1"/>
    <col min="10" max="11" width="11.5" style="259" customWidth="1"/>
    <col min="12" max="12" width="12.796875" style="259" customWidth="1"/>
    <col min="13" max="13" width="8.796875" style="259"/>
    <col min="14" max="14" width="10.5" style="259" customWidth="1"/>
    <col min="15" max="16384" width="8.796875" style="259"/>
  </cols>
  <sheetData>
    <row r="1" spans="1:12" ht="12.75" customHeight="1">
      <c r="A1" s="258"/>
    </row>
    <row r="2" spans="1:12" ht="12.75" customHeight="1">
      <c r="A2" s="258"/>
    </row>
    <row r="3" spans="1:12" ht="12.75" customHeight="1">
      <c r="A3" s="258"/>
    </row>
    <row r="4" spans="1:12" ht="12.75" customHeight="1">
      <c r="A4" s="259"/>
    </row>
    <row r="5" spans="1:12" ht="12.75" customHeight="1">
      <c r="A5" s="259"/>
    </row>
    <row r="6" spans="1:12" ht="12.75" customHeight="1">
      <c r="A6" s="258" t="s">
        <v>21</v>
      </c>
    </row>
    <row r="7" spans="1:12" ht="12.75" customHeight="1">
      <c r="A7" s="259" t="s">
        <v>59</v>
      </c>
    </row>
    <row r="8" spans="1:12" ht="12.75" customHeight="1">
      <c r="A8" s="259"/>
    </row>
    <row r="9" spans="1:12" ht="13.3">
      <c r="A9" s="259"/>
    </row>
    <row r="10" spans="1:12" ht="12.75" customHeight="1">
      <c r="A10" s="258" t="s">
        <v>78</v>
      </c>
    </row>
    <row r="11" spans="1:12" ht="12.75" customHeight="1">
      <c r="A11" s="259"/>
      <c r="B11" s="260"/>
      <c r="C11" s="260"/>
      <c r="D11" s="260"/>
      <c r="E11" s="261"/>
      <c r="F11" s="260"/>
      <c r="G11" s="260"/>
      <c r="H11" s="260"/>
      <c r="I11" s="260"/>
      <c r="J11" s="260"/>
    </row>
    <row r="12" spans="1:12" ht="42.8" customHeight="1">
      <c r="A12" s="262" t="s">
        <v>24</v>
      </c>
      <c r="B12" s="263" t="s">
        <v>67</v>
      </c>
      <c r="C12" s="264" t="s">
        <v>68</v>
      </c>
      <c r="D12" s="264" t="s">
        <v>69</v>
      </c>
      <c r="E12" s="265" t="s">
        <v>201</v>
      </c>
      <c r="F12" s="265" t="s">
        <v>203</v>
      </c>
      <c r="G12" s="265" t="s">
        <v>116</v>
      </c>
      <c r="H12" s="265" t="s">
        <v>10</v>
      </c>
      <c r="I12" s="265" t="s">
        <v>11</v>
      </c>
      <c r="J12" s="265" t="s">
        <v>71</v>
      </c>
      <c r="K12" s="265" t="s">
        <v>48</v>
      </c>
      <c r="L12" s="265" t="s">
        <v>47</v>
      </c>
    </row>
    <row r="13" spans="1:12" ht="12.75" customHeight="1">
      <c r="A13" s="266" t="s">
        <v>105</v>
      </c>
      <c r="B13" s="267">
        <v>7.6674999999999993E-2</v>
      </c>
      <c r="C13" s="268">
        <v>45992</v>
      </c>
      <c r="D13" s="268">
        <v>48182</v>
      </c>
      <c r="E13" s="269">
        <v>142174951.40000001</v>
      </c>
      <c r="F13" s="269">
        <v>7898608.4000000004</v>
      </c>
      <c r="G13" s="269">
        <v>134276343</v>
      </c>
      <c r="H13" s="269">
        <v>3542368.18</v>
      </c>
      <c r="I13" s="269">
        <v>7860320</v>
      </c>
      <c r="J13" s="269">
        <v>137856999.58000001</v>
      </c>
      <c r="K13" s="269">
        <v>13633962.189999999</v>
      </c>
      <c r="L13" s="269">
        <v>124223037.39</v>
      </c>
    </row>
    <row r="14" spans="1:12">
      <c r="A14" s="266" t="s">
        <v>104</v>
      </c>
      <c r="B14" s="270">
        <v>7.6674999999999993E-2</v>
      </c>
      <c r="C14" s="271">
        <v>45992</v>
      </c>
      <c r="D14" s="271">
        <v>48182</v>
      </c>
      <c r="E14" s="269">
        <f>B20</f>
        <v>142174977.3598991</v>
      </c>
      <c r="F14" s="269">
        <f>SUM(C25:C28)</f>
        <v>7898609.8533277279</v>
      </c>
      <c r="G14" s="269">
        <f>D28</f>
        <v>134276367.50657135</v>
      </c>
      <c r="H14" s="269">
        <f>SUM(G25:G28)</f>
        <v>3542366.0601882506</v>
      </c>
      <c r="I14" s="269">
        <f>-SUM(F25:F28)</f>
        <v>7860320</v>
      </c>
      <c r="J14" s="269">
        <f>H28</f>
        <v>137857023.42008737</v>
      </c>
      <c r="K14" s="272">
        <f>H29-H41</f>
        <v>13721083.753783897</v>
      </c>
      <c r="L14" s="272">
        <f>H41</f>
        <v>123039152.56311475</v>
      </c>
    </row>
    <row r="15" spans="1:12" ht="12.75" customHeight="1">
      <c r="A15" s="273" t="s">
        <v>32</v>
      </c>
      <c r="B15" s="274">
        <f t="shared" ref="B15:L15" si="0">B13-B14</f>
        <v>0</v>
      </c>
      <c r="C15" s="275">
        <f t="shared" si="0"/>
        <v>0</v>
      </c>
      <c r="D15" s="275">
        <f t="shared" si="0"/>
        <v>0</v>
      </c>
      <c r="E15" s="272">
        <f t="shared" si="0"/>
        <v>-25.959899097681046</v>
      </c>
      <c r="F15" s="272">
        <f t="shared" si="0"/>
        <v>-1.4533277275040746</v>
      </c>
      <c r="G15" s="272">
        <f t="shared" si="0"/>
        <v>-24.506571352481842</v>
      </c>
      <c r="H15" s="272">
        <f t="shared" si="0"/>
        <v>2.1198117495514452</v>
      </c>
      <c r="I15" s="272">
        <f t="shared" si="0"/>
        <v>0</v>
      </c>
      <c r="J15" s="272">
        <f t="shared" si="0"/>
        <v>-23.840087354183197</v>
      </c>
      <c r="K15" s="272">
        <f t="shared" si="0"/>
        <v>-87121.563783897087</v>
      </c>
      <c r="L15" s="272">
        <f t="shared" si="0"/>
        <v>1183884.8268852532</v>
      </c>
    </row>
    <row r="16" spans="1:12" ht="12.75" customHeight="1">
      <c r="A16" s="259"/>
      <c r="B16" s="276"/>
      <c r="C16" s="277"/>
      <c r="E16" s="277"/>
      <c r="G16" s="277"/>
      <c r="H16" s="277"/>
    </row>
    <row r="17" spans="1:15" ht="31.6" customHeight="1">
      <c r="A17" s="278" t="s">
        <v>420</v>
      </c>
      <c r="B17" s="279">
        <v>1965080</v>
      </c>
      <c r="C17" s="280" t="s">
        <v>421</v>
      </c>
      <c r="E17" s="277"/>
    </row>
    <row r="18" spans="1:15" ht="12.75" customHeight="1">
      <c r="A18" s="258" t="s">
        <v>109</v>
      </c>
      <c r="B18" s="281">
        <f>B14/12</f>
        <v>6.3895833333333331E-3</v>
      </c>
      <c r="C18" s="260" t="s">
        <v>106</v>
      </c>
      <c r="E18" s="281"/>
    </row>
    <row r="19" spans="1:15" ht="12.75" customHeight="1">
      <c r="A19" s="258" t="s">
        <v>114</v>
      </c>
      <c r="B19" s="282">
        <f>6*12</f>
        <v>72</v>
      </c>
      <c r="C19" s="260" t="s">
        <v>422</v>
      </c>
      <c r="E19" s="282"/>
      <c r="G19" s="277"/>
    </row>
    <row r="20" spans="1:15" ht="12.75" customHeight="1">
      <c r="A20" s="258" t="s">
        <v>110</v>
      </c>
      <c r="B20" s="283">
        <f>-PV(B18,36,B17,,1)-PV(B18,36,B21,,1)/(1+B18)^36</f>
        <v>142174977.3598991</v>
      </c>
      <c r="C20" s="260" t="s">
        <v>117</v>
      </c>
      <c r="D20" s="284"/>
      <c r="E20" s="283"/>
      <c r="F20" s="285"/>
    </row>
    <row r="21" spans="1:15" ht="31.6" customHeight="1">
      <c r="A21" s="278" t="s">
        <v>423</v>
      </c>
      <c r="B21" s="279">
        <v>3069120</v>
      </c>
      <c r="C21" s="280" t="s">
        <v>424</v>
      </c>
      <c r="D21" s="286"/>
      <c r="E21" s="277"/>
    </row>
    <row r="22" spans="1:15" ht="12.75" customHeight="1">
      <c r="A22" s="258"/>
      <c r="B22" s="283"/>
      <c r="C22" s="260"/>
      <c r="E22" s="277"/>
    </row>
    <row r="23" spans="1:15" ht="12.75" customHeight="1">
      <c r="A23" s="259"/>
      <c r="B23" s="374" t="s">
        <v>185</v>
      </c>
      <c r="C23" s="374"/>
      <c r="D23" s="374"/>
      <c r="E23" s="375" t="s">
        <v>15</v>
      </c>
      <c r="F23" s="375"/>
      <c r="G23" s="375"/>
      <c r="H23" s="375"/>
    </row>
    <row r="24" spans="1:15" s="288" customFormat="1" ht="12.75" customHeight="1">
      <c r="A24" s="262" t="s">
        <v>176</v>
      </c>
      <c r="B24" s="287" t="s">
        <v>112</v>
      </c>
      <c r="C24" s="287" t="s">
        <v>133</v>
      </c>
      <c r="D24" s="287" t="s">
        <v>111</v>
      </c>
      <c r="E24" s="287" t="s">
        <v>113</v>
      </c>
      <c r="F24" s="287" t="s">
        <v>11</v>
      </c>
      <c r="G24" s="287" t="s">
        <v>10</v>
      </c>
      <c r="H24" s="287" t="s">
        <v>57</v>
      </c>
      <c r="I24" s="259"/>
      <c r="J24" s="259"/>
      <c r="K24" s="259"/>
      <c r="L24" s="259"/>
      <c r="M24" s="259"/>
      <c r="N24" s="259"/>
      <c r="O24" s="259"/>
    </row>
    <row r="25" spans="1:15" ht="12.75" customHeight="1">
      <c r="A25" s="289">
        <v>45992</v>
      </c>
      <c r="B25" s="290">
        <f>B20</f>
        <v>142174977.3598991</v>
      </c>
      <c r="C25" s="272">
        <f t="shared" ref="C25:C88" si="1">$B$20/$B$19</f>
        <v>1974652.463331932</v>
      </c>
      <c r="D25" s="290">
        <f t="shared" ref="D25:D88" si="2">B25-C25</f>
        <v>140200324.89656717</v>
      </c>
      <c r="E25" s="290">
        <f>B25</f>
        <v>142174977.3598991</v>
      </c>
      <c r="F25" s="290">
        <f t="shared" ref="F25:F59" si="3">-$B$17</f>
        <v>-1965080</v>
      </c>
      <c r="G25" s="290">
        <f t="shared" ref="G25:G88" si="4">(E25+F25)*$B$18</f>
        <v>895882.82333918859</v>
      </c>
      <c r="H25" s="290">
        <f t="shared" ref="H25:H88" si="5">E25+F25+G25</f>
        <v>141105780.1832383</v>
      </c>
    </row>
    <row r="26" spans="1:15" ht="12.75" customHeight="1">
      <c r="A26" s="289">
        <v>46023</v>
      </c>
      <c r="B26" s="290">
        <f t="shared" ref="B26:B89" si="6">D25</f>
        <v>140200324.89656717</v>
      </c>
      <c r="C26" s="272">
        <f t="shared" si="1"/>
        <v>1974652.463331932</v>
      </c>
      <c r="D26" s="290">
        <f t="shared" si="2"/>
        <v>138225672.43323523</v>
      </c>
      <c r="E26" s="290">
        <f t="shared" ref="E26:E89" si="7">H25</f>
        <v>141105780.1832383</v>
      </c>
      <c r="F26" s="290">
        <f t="shared" si="3"/>
        <v>-1965080</v>
      </c>
      <c r="G26" s="290">
        <f t="shared" si="4"/>
        <v>889051.09887914965</v>
      </c>
      <c r="H26" s="290">
        <f t="shared" si="5"/>
        <v>140029751.28211746</v>
      </c>
    </row>
    <row r="27" spans="1:15" ht="12.75" customHeight="1">
      <c r="A27" s="289">
        <v>46054</v>
      </c>
      <c r="B27" s="290">
        <f t="shared" si="6"/>
        <v>138225672.43323523</v>
      </c>
      <c r="C27" s="272">
        <f t="shared" si="1"/>
        <v>1974652.463331932</v>
      </c>
      <c r="D27" s="290">
        <f t="shared" si="2"/>
        <v>136251019.96990329</v>
      </c>
      <c r="E27" s="290">
        <f t="shared" si="7"/>
        <v>140029751.28211746</v>
      </c>
      <c r="F27" s="290">
        <f t="shared" si="3"/>
        <v>-1965080</v>
      </c>
      <c r="G27" s="290">
        <f t="shared" si="4"/>
        <v>882175.7225463629</v>
      </c>
      <c r="H27" s="290">
        <f t="shared" si="5"/>
        <v>138946847.00466383</v>
      </c>
    </row>
    <row r="28" spans="1:15" ht="12.75" customHeight="1">
      <c r="A28" s="289">
        <v>46082</v>
      </c>
      <c r="B28" s="290">
        <f t="shared" si="6"/>
        <v>136251019.96990329</v>
      </c>
      <c r="C28" s="272">
        <f t="shared" si="1"/>
        <v>1974652.463331932</v>
      </c>
      <c r="D28" s="290">
        <f t="shared" si="2"/>
        <v>134276367.50657135</v>
      </c>
      <c r="E28" s="290">
        <f t="shared" si="7"/>
        <v>138946847.00466383</v>
      </c>
      <c r="F28" s="290">
        <f t="shared" si="3"/>
        <v>-1965080</v>
      </c>
      <c r="G28" s="290">
        <f t="shared" si="4"/>
        <v>875256.41542354983</v>
      </c>
      <c r="H28" s="290">
        <f t="shared" si="5"/>
        <v>137857023.42008737</v>
      </c>
      <c r="I28" s="291"/>
    </row>
    <row r="29" spans="1:15" ht="12.75" customHeight="1">
      <c r="A29" s="289">
        <v>46113</v>
      </c>
      <c r="B29" s="290">
        <f t="shared" si="6"/>
        <v>134276367.50657135</v>
      </c>
      <c r="C29" s="272">
        <f t="shared" si="1"/>
        <v>1974652.463331932</v>
      </c>
      <c r="D29" s="290">
        <f t="shared" si="2"/>
        <v>132301715.04323941</v>
      </c>
      <c r="E29" s="290">
        <f t="shared" si="7"/>
        <v>137857023.42008737</v>
      </c>
      <c r="F29" s="290">
        <f t="shared" si="3"/>
        <v>-1965080</v>
      </c>
      <c r="G29" s="290">
        <f t="shared" si="4"/>
        <v>868292.89681126655</v>
      </c>
      <c r="H29" s="290">
        <f t="shared" si="5"/>
        <v>136760236.31689864</v>
      </c>
      <c r="I29" s="291"/>
    </row>
    <row r="30" spans="1:15" ht="12.75" customHeight="1">
      <c r="A30" s="289">
        <v>46143</v>
      </c>
      <c r="B30" s="290">
        <f t="shared" si="6"/>
        <v>132301715.04323941</v>
      </c>
      <c r="C30" s="272">
        <f t="shared" si="1"/>
        <v>1974652.463331932</v>
      </c>
      <c r="D30" s="290">
        <f t="shared" si="2"/>
        <v>130327062.57990748</v>
      </c>
      <c r="E30" s="290">
        <f t="shared" si="7"/>
        <v>136760236.31689864</v>
      </c>
      <c r="F30" s="290">
        <f t="shared" si="3"/>
        <v>-1965080</v>
      </c>
      <c r="G30" s="290">
        <f t="shared" si="4"/>
        <v>861284.88421651698</v>
      </c>
      <c r="H30" s="290">
        <f t="shared" si="5"/>
        <v>135656441.20111516</v>
      </c>
      <c r="I30" s="291"/>
    </row>
    <row r="31" spans="1:15" ht="12.75" customHeight="1">
      <c r="A31" s="289">
        <v>46174</v>
      </c>
      <c r="B31" s="290">
        <f t="shared" si="6"/>
        <v>130327062.57990748</v>
      </c>
      <c r="C31" s="272">
        <f t="shared" si="1"/>
        <v>1974652.463331932</v>
      </c>
      <c r="D31" s="290">
        <f t="shared" si="2"/>
        <v>128352410.11657554</v>
      </c>
      <c r="E31" s="290">
        <f t="shared" si="7"/>
        <v>135656441.20111516</v>
      </c>
      <c r="F31" s="290">
        <f t="shared" si="3"/>
        <v>-1965080</v>
      </c>
      <c r="G31" s="290">
        <f t="shared" si="4"/>
        <v>854232.093341292</v>
      </c>
      <c r="H31" s="290">
        <f t="shared" si="5"/>
        <v>134545593.29445645</v>
      </c>
      <c r="I31" s="291"/>
    </row>
    <row r="32" spans="1:15" ht="12.75" customHeight="1">
      <c r="A32" s="289">
        <v>46204</v>
      </c>
      <c r="B32" s="290">
        <f t="shared" si="6"/>
        <v>128352410.11657554</v>
      </c>
      <c r="C32" s="272">
        <f t="shared" si="1"/>
        <v>1974652.463331932</v>
      </c>
      <c r="D32" s="290">
        <f t="shared" si="2"/>
        <v>126377757.6532436</v>
      </c>
      <c r="E32" s="290">
        <f t="shared" si="7"/>
        <v>134545593.29445645</v>
      </c>
      <c r="F32" s="290">
        <f t="shared" si="3"/>
        <v>-1965080</v>
      </c>
      <c r="G32" s="290">
        <f t="shared" si="4"/>
        <v>847134.23807103734</v>
      </c>
      <c r="H32" s="290">
        <f t="shared" si="5"/>
        <v>133427647.53252749</v>
      </c>
      <c r="I32" s="291"/>
    </row>
    <row r="33" spans="1:9" ht="12.75" customHeight="1">
      <c r="A33" s="289">
        <v>46235</v>
      </c>
      <c r="B33" s="290">
        <f t="shared" si="6"/>
        <v>126377757.6532436</v>
      </c>
      <c r="C33" s="272">
        <f t="shared" si="1"/>
        <v>1974652.463331932</v>
      </c>
      <c r="D33" s="290">
        <f t="shared" si="2"/>
        <v>124403105.18991166</v>
      </c>
      <c r="E33" s="290">
        <f t="shared" si="7"/>
        <v>133427647.53252749</v>
      </c>
      <c r="F33" s="290">
        <f t="shared" si="3"/>
        <v>-1965080</v>
      </c>
      <c r="G33" s="290">
        <f t="shared" si="4"/>
        <v>839991.03046304546</v>
      </c>
      <c r="H33" s="290">
        <f t="shared" si="5"/>
        <v>132302558.56299053</v>
      </c>
      <c r="I33" s="291"/>
    </row>
    <row r="34" spans="1:9" ht="12.75" customHeight="1">
      <c r="A34" s="289">
        <v>46266</v>
      </c>
      <c r="B34" s="290">
        <f t="shared" si="6"/>
        <v>124403105.18991166</v>
      </c>
      <c r="C34" s="272">
        <f t="shared" si="1"/>
        <v>1974652.463331932</v>
      </c>
      <c r="D34" s="290">
        <f t="shared" si="2"/>
        <v>122428452.72657973</v>
      </c>
      <c r="E34" s="290">
        <f t="shared" si="7"/>
        <v>132302558.56299053</v>
      </c>
      <c r="F34" s="290">
        <f t="shared" si="3"/>
        <v>-1965080</v>
      </c>
      <c r="G34" s="290">
        <f t="shared" si="4"/>
        <v>832802.18073477491</v>
      </c>
      <c r="H34" s="290">
        <f t="shared" si="5"/>
        <v>131170280.7437253</v>
      </c>
      <c r="I34" s="291"/>
    </row>
    <row r="35" spans="1:9" ht="12.75" customHeight="1">
      <c r="A35" s="289">
        <v>46296</v>
      </c>
      <c r="B35" s="290">
        <f t="shared" si="6"/>
        <v>122428452.72657973</v>
      </c>
      <c r="C35" s="272">
        <f t="shared" si="1"/>
        <v>1974652.463331932</v>
      </c>
      <c r="D35" s="290">
        <f t="shared" si="2"/>
        <v>120453800.26324779</v>
      </c>
      <c r="E35" s="290">
        <f t="shared" si="7"/>
        <v>131170280.7437253</v>
      </c>
      <c r="F35" s="290">
        <f t="shared" si="3"/>
        <v>-1965080</v>
      </c>
      <c r="G35" s="290">
        <f t="shared" si="4"/>
        <v>825567.3972520947</v>
      </c>
      <c r="H35" s="290">
        <f t="shared" si="5"/>
        <v>130030768.1409774</v>
      </c>
      <c r="I35" s="291"/>
    </row>
    <row r="36" spans="1:9" ht="12.75" customHeight="1">
      <c r="A36" s="289">
        <v>46327</v>
      </c>
      <c r="B36" s="290">
        <f t="shared" si="6"/>
        <v>120453800.26324779</v>
      </c>
      <c r="C36" s="272">
        <f t="shared" si="1"/>
        <v>1974652.463331932</v>
      </c>
      <c r="D36" s="290">
        <f t="shared" si="2"/>
        <v>118479147.79991585</v>
      </c>
      <c r="E36" s="290">
        <f t="shared" si="7"/>
        <v>130030768.1409774</v>
      </c>
      <c r="F36" s="290">
        <f t="shared" si="3"/>
        <v>-1965080</v>
      </c>
      <c r="G36" s="290">
        <f t="shared" si="4"/>
        <v>818286.38651745347</v>
      </c>
      <c r="H36" s="290">
        <f t="shared" si="5"/>
        <v>128883974.52749485</v>
      </c>
      <c r="I36" s="291"/>
    </row>
    <row r="37" spans="1:9" ht="12.75" customHeight="1">
      <c r="A37" s="289">
        <v>46357</v>
      </c>
      <c r="B37" s="290">
        <f t="shared" si="6"/>
        <v>118479147.79991585</v>
      </c>
      <c r="C37" s="272">
        <f t="shared" si="1"/>
        <v>1974652.463331932</v>
      </c>
      <c r="D37" s="290">
        <f t="shared" si="2"/>
        <v>116504495.33658391</v>
      </c>
      <c r="E37" s="290">
        <f t="shared" si="7"/>
        <v>128883974.52749485</v>
      </c>
      <c r="F37" s="290">
        <f t="shared" si="3"/>
        <v>-1965080</v>
      </c>
      <c r="G37" s="290">
        <f t="shared" si="4"/>
        <v>810958.85315797222</v>
      </c>
      <c r="H37" s="290">
        <f t="shared" si="5"/>
        <v>127729853.38065282</v>
      </c>
      <c r="I37" s="291"/>
    </row>
    <row r="38" spans="1:9" ht="12.75" customHeight="1">
      <c r="A38" s="289">
        <v>46388</v>
      </c>
      <c r="B38" s="290">
        <f t="shared" si="6"/>
        <v>116504495.33658391</v>
      </c>
      <c r="C38" s="272">
        <f t="shared" si="1"/>
        <v>1974652.463331932</v>
      </c>
      <c r="D38" s="290">
        <f t="shared" si="2"/>
        <v>114529842.87325197</v>
      </c>
      <c r="E38" s="290">
        <f t="shared" si="7"/>
        <v>127729853.38065282</v>
      </c>
      <c r="F38" s="290">
        <f t="shared" si="3"/>
        <v>-1965080</v>
      </c>
      <c r="G38" s="290">
        <f t="shared" si="4"/>
        <v>803584.4999134629</v>
      </c>
      <c r="H38" s="290">
        <f t="shared" si="5"/>
        <v>126568357.88056628</v>
      </c>
      <c r="I38" s="291"/>
    </row>
    <row r="39" spans="1:9" ht="12.75" customHeight="1">
      <c r="A39" s="289">
        <v>46419</v>
      </c>
      <c r="B39" s="290">
        <f t="shared" si="6"/>
        <v>114529842.87325197</v>
      </c>
      <c r="C39" s="272">
        <f t="shared" si="1"/>
        <v>1974652.463331932</v>
      </c>
      <c r="D39" s="290">
        <f t="shared" si="2"/>
        <v>112555190.40992004</v>
      </c>
      <c r="E39" s="290">
        <f t="shared" si="7"/>
        <v>126568357.88056628</v>
      </c>
      <c r="F39" s="290">
        <f t="shared" si="3"/>
        <v>-1965080</v>
      </c>
      <c r="G39" s="290">
        <f t="shared" si="4"/>
        <v>796163.02762436832</v>
      </c>
      <c r="H39" s="290">
        <f t="shared" si="5"/>
        <v>125399440.90819065</v>
      </c>
      <c r="I39" s="291"/>
    </row>
    <row r="40" spans="1:9" ht="12.75" customHeight="1">
      <c r="A40" s="289">
        <v>46447</v>
      </c>
      <c r="B40" s="290">
        <f t="shared" si="6"/>
        <v>112555190.40992004</v>
      </c>
      <c r="C40" s="272">
        <f t="shared" si="1"/>
        <v>1974652.463331932</v>
      </c>
      <c r="D40" s="290">
        <f t="shared" si="2"/>
        <v>110580537.9465881</v>
      </c>
      <c r="E40" s="290">
        <f t="shared" si="7"/>
        <v>125399440.90819065</v>
      </c>
      <c r="F40" s="290">
        <f t="shared" si="3"/>
        <v>-1965080</v>
      </c>
      <c r="G40" s="290">
        <f t="shared" si="4"/>
        <v>788694.13521962648</v>
      </c>
      <c r="H40" s="290">
        <f t="shared" si="5"/>
        <v>124223055.04341029</v>
      </c>
      <c r="I40" s="291"/>
    </row>
    <row r="41" spans="1:9" ht="12.75" customHeight="1">
      <c r="A41" s="289">
        <v>46478</v>
      </c>
      <c r="B41" s="290">
        <f t="shared" si="6"/>
        <v>110580537.9465881</v>
      </c>
      <c r="C41" s="272">
        <f t="shared" si="1"/>
        <v>1974652.463331932</v>
      </c>
      <c r="D41" s="290">
        <f t="shared" si="2"/>
        <v>108605885.48325616</v>
      </c>
      <c r="E41" s="290">
        <f t="shared" si="7"/>
        <v>124223055.04341029</v>
      </c>
      <c r="F41" s="290">
        <f t="shared" si="3"/>
        <v>-1965080</v>
      </c>
      <c r="G41" s="290">
        <f t="shared" si="4"/>
        <v>781177.51970445691</v>
      </c>
      <c r="H41" s="290">
        <f t="shared" si="5"/>
        <v>123039152.56311475</v>
      </c>
      <c r="I41" s="291"/>
    </row>
    <row r="42" spans="1:9" ht="12.75" customHeight="1">
      <c r="A42" s="289">
        <v>46508</v>
      </c>
      <c r="B42" s="290">
        <f t="shared" si="6"/>
        <v>108605885.48325616</v>
      </c>
      <c r="C42" s="272">
        <f t="shared" si="1"/>
        <v>1974652.463331932</v>
      </c>
      <c r="D42" s="290">
        <f t="shared" si="2"/>
        <v>106631233.01992422</v>
      </c>
      <c r="E42" s="290">
        <f t="shared" si="7"/>
        <v>123039152.56311475</v>
      </c>
      <c r="F42" s="290">
        <f t="shared" si="3"/>
        <v>-1965080</v>
      </c>
      <c r="G42" s="290">
        <f t="shared" si="4"/>
        <v>773612.87614806858</v>
      </c>
      <c r="H42" s="290">
        <f t="shared" si="5"/>
        <v>121847685.43926282</v>
      </c>
    </row>
    <row r="43" spans="1:9" ht="12.75" customHeight="1">
      <c r="A43" s="289">
        <v>46539</v>
      </c>
      <c r="B43" s="290">
        <f t="shared" si="6"/>
        <v>106631233.01992422</v>
      </c>
      <c r="C43" s="272">
        <f t="shared" si="1"/>
        <v>1974652.463331932</v>
      </c>
      <c r="D43" s="290">
        <f t="shared" si="2"/>
        <v>104656580.55659229</v>
      </c>
      <c r="E43" s="290">
        <f t="shared" si="7"/>
        <v>121847685.43926282</v>
      </c>
      <c r="F43" s="290">
        <f t="shared" si="3"/>
        <v>-1965080</v>
      </c>
      <c r="G43" s="290">
        <f t="shared" si="4"/>
        <v>765999.89767128974</v>
      </c>
      <c r="H43" s="290">
        <f t="shared" si="5"/>
        <v>120648605.33693412</v>
      </c>
    </row>
    <row r="44" spans="1:9" ht="12.75" customHeight="1">
      <c r="A44" s="289">
        <v>46569</v>
      </c>
      <c r="B44" s="290">
        <f t="shared" si="6"/>
        <v>104656580.55659229</v>
      </c>
      <c r="C44" s="272">
        <f t="shared" si="1"/>
        <v>1974652.463331932</v>
      </c>
      <c r="D44" s="290">
        <f t="shared" si="2"/>
        <v>102681928.09326035</v>
      </c>
      <c r="E44" s="290">
        <f t="shared" si="7"/>
        <v>120648605.33693412</v>
      </c>
      <c r="F44" s="290">
        <f t="shared" si="3"/>
        <v>-1965080</v>
      </c>
      <c r="G44" s="290">
        <f t="shared" si="4"/>
        <v>758338.27543411858</v>
      </c>
      <c r="H44" s="290">
        <f t="shared" si="5"/>
        <v>119441863.61236824</v>
      </c>
    </row>
    <row r="45" spans="1:9" ht="12.75" customHeight="1">
      <c r="A45" s="289">
        <v>46600</v>
      </c>
      <c r="B45" s="290">
        <f t="shared" si="6"/>
        <v>102681928.09326035</v>
      </c>
      <c r="C45" s="272">
        <f t="shared" si="1"/>
        <v>1974652.463331932</v>
      </c>
      <c r="D45" s="290">
        <f t="shared" si="2"/>
        <v>100707275.62992841</v>
      </c>
      <c r="E45" s="290">
        <f t="shared" si="7"/>
        <v>119441863.61236824</v>
      </c>
      <c r="F45" s="290">
        <f t="shared" si="3"/>
        <v>-1965080</v>
      </c>
      <c r="G45" s="290">
        <f t="shared" si="4"/>
        <v>750627.69862319459</v>
      </c>
      <c r="H45" s="290">
        <f t="shared" si="5"/>
        <v>118227411.31099144</v>
      </c>
    </row>
    <row r="46" spans="1:9" ht="12.75" customHeight="1">
      <c r="A46" s="289">
        <v>46631</v>
      </c>
      <c r="B46" s="290">
        <f t="shared" si="6"/>
        <v>100707275.62992841</v>
      </c>
      <c r="C46" s="272">
        <f t="shared" si="1"/>
        <v>1974652.463331932</v>
      </c>
      <c r="D46" s="290">
        <f t="shared" si="2"/>
        <v>98732623.166596472</v>
      </c>
      <c r="E46" s="290">
        <f t="shared" si="7"/>
        <v>118227411.31099144</v>
      </c>
      <c r="F46" s="290">
        <f t="shared" si="3"/>
        <v>-1965080</v>
      </c>
      <c r="G46" s="290">
        <f t="shared" si="4"/>
        <v>742867.85443918896</v>
      </c>
      <c r="H46" s="290">
        <f t="shared" si="5"/>
        <v>117005199.16543062</v>
      </c>
    </row>
    <row r="47" spans="1:9" ht="12.75" customHeight="1">
      <c r="A47" s="289">
        <v>46661</v>
      </c>
      <c r="B47" s="290">
        <f t="shared" si="6"/>
        <v>98732623.166596472</v>
      </c>
      <c r="C47" s="272">
        <f t="shared" si="1"/>
        <v>1974652.463331932</v>
      </c>
      <c r="D47" s="290">
        <f t="shared" si="2"/>
        <v>96757970.703264534</v>
      </c>
      <c r="E47" s="290">
        <f t="shared" si="7"/>
        <v>117005199.16543062</v>
      </c>
      <c r="F47" s="290">
        <f t="shared" si="3"/>
        <v>-1965080</v>
      </c>
      <c r="G47" s="290">
        <f t="shared" si="4"/>
        <v>735058.42808411608</v>
      </c>
      <c r="H47" s="290">
        <f t="shared" si="5"/>
        <v>115775177.59351474</v>
      </c>
    </row>
    <row r="48" spans="1:9" ht="12.75" customHeight="1">
      <c r="A48" s="289">
        <v>46692</v>
      </c>
      <c r="B48" s="290">
        <f t="shared" si="6"/>
        <v>96757970.703264534</v>
      </c>
      <c r="C48" s="272">
        <f t="shared" si="1"/>
        <v>1974652.463331932</v>
      </c>
      <c r="D48" s="290">
        <f t="shared" si="2"/>
        <v>94783318.239932597</v>
      </c>
      <c r="E48" s="290">
        <f t="shared" si="7"/>
        <v>115775177.59351474</v>
      </c>
      <c r="F48" s="290">
        <f t="shared" si="3"/>
        <v>-1965080</v>
      </c>
      <c r="G48" s="290">
        <f t="shared" si="4"/>
        <v>727199.10274856188</v>
      </c>
      <c r="H48" s="290">
        <f t="shared" si="5"/>
        <v>114537296.6962633</v>
      </c>
    </row>
    <row r="49" spans="1:8" ht="12.75" customHeight="1">
      <c r="A49" s="289">
        <v>46722</v>
      </c>
      <c r="B49" s="290">
        <f t="shared" si="6"/>
        <v>94783318.239932597</v>
      </c>
      <c r="C49" s="272">
        <f t="shared" si="1"/>
        <v>1974652.463331932</v>
      </c>
      <c r="D49" s="290">
        <f t="shared" si="2"/>
        <v>92808665.776600659</v>
      </c>
      <c r="E49" s="290">
        <f t="shared" si="7"/>
        <v>114537296.6962633</v>
      </c>
      <c r="F49" s="290">
        <f t="shared" si="3"/>
        <v>-1965080</v>
      </c>
      <c r="G49" s="290">
        <f t="shared" si="4"/>
        <v>719289.55959883239</v>
      </c>
      <c r="H49" s="290">
        <f t="shared" si="5"/>
        <v>113291506.25586213</v>
      </c>
    </row>
    <row r="50" spans="1:8" ht="12.75" customHeight="1">
      <c r="A50" s="289">
        <v>46753</v>
      </c>
      <c r="B50" s="290">
        <f t="shared" si="6"/>
        <v>92808665.776600659</v>
      </c>
      <c r="C50" s="272">
        <f t="shared" si="1"/>
        <v>1974652.463331932</v>
      </c>
      <c r="D50" s="290">
        <f t="shared" si="2"/>
        <v>90834013.313268721</v>
      </c>
      <c r="E50" s="290">
        <f t="shared" si="7"/>
        <v>113291506.25586213</v>
      </c>
      <c r="F50" s="290">
        <f t="shared" si="3"/>
        <v>-1965080</v>
      </c>
      <c r="G50" s="290">
        <f t="shared" si="4"/>
        <v>711329.47776401904</v>
      </c>
      <c r="H50" s="290">
        <f t="shared" si="5"/>
        <v>112037755.73362616</v>
      </c>
    </row>
    <row r="51" spans="1:8" ht="12.75" customHeight="1">
      <c r="A51" s="289">
        <v>46784</v>
      </c>
      <c r="B51" s="290">
        <f t="shared" si="6"/>
        <v>90834013.313268721</v>
      </c>
      <c r="C51" s="272">
        <f t="shared" si="1"/>
        <v>1974652.463331932</v>
      </c>
      <c r="D51" s="290">
        <f t="shared" si="2"/>
        <v>88859360.849936783</v>
      </c>
      <c r="E51" s="290">
        <f t="shared" si="7"/>
        <v>112037755.73362616</v>
      </c>
      <c r="F51" s="290">
        <f t="shared" si="3"/>
        <v>-1965080</v>
      </c>
      <c r="G51" s="290">
        <f t="shared" si="4"/>
        <v>703318.53432298207</v>
      </c>
      <c r="H51" s="290">
        <f t="shared" si="5"/>
        <v>110775994.26794913</v>
      </c>
    </row>
    <row r="52" spans="1:8" ht="12.75" customHeight="1">
      <c r="A52" s="289">
        <v>46813</v>
      </c>
      <c r="B52" s="290">
        <f t="shared" si="6"/>
        <v>88859360.849936783</v>
      </c>
      <c r="C52" s="272">
        <f t="shared" si="1"/>
        <v>1974652.463331932</v>
      </c>
      <c r="D52" s="290">
        <f t="shared" si="2"/>
        <v>86884708.386604846</v>
      </c>
      <c r="E52" s="290">
        <f t="shared" si="7"/>
        <v>110775994.26794913</v>
      </c>
      <c r="F52" s="290">
        <f t="shared" si="3"/>
        <v>-1965080</v>
      </c>
      <c r="G52" s="290">
        <f t="shared" si="4"/>
        <v>695256.40429124993</v>
      </c>
      <c r="H52" s="290">
        <f t="shared" si="5"/>
        <v>109506170.67224039</v>
      </c>
    </row>
    <row r="53" spans="1:8" ht="12.75" customHeight="1">
      <c r="A53" s="289">
        <v>46844</v>
      </c>
      <c r="B53" s="290">
        <f t="shared" si="6"/>
        <v>86884708.386604846</v>
      </c>
      <c r="C53" s="272">
        <f t="shared" si="1"/>
        <v>1974652.463331932</v>
      </c>
      <c r="D53" s="290">
        <f t="shared" si="2"/>
        <v>84910055.923272908</v>
      </c>
      <c r="E53" s="290">
        <f t="shared" si="7"/>
        <v>109506170.67224039</v>
      </c>
      <c r="F53" s="290">
        <f t="shared" si="3"/>
        <v>-1965080</v>
      </c>
      <c r="G53" s="290">
        <f t="shared" si="4"/>
        <v>687142.76060783595</v>
      </c>
      <c r="H53" s="290">
        <f t="shared" si="5"/>
        <v>108228233.43284823</v>
      </c>
    </row>
    <row r="54" spans="1:8" ht="12.75" customHeight="1">
      <c r="A54" s="289">
        <v>46874</v>
      </c>
      <c r="B54" s="290">
        <f t="shared" si="6"/>
        <v>84910055.923272908</v>
      </c>
      <c r="C54" s="272">
        <f t="shared" si="1"/>
        <v>1974652.463331932</v>
      </c>
      <c r="D54" s="290">
        <f t="shared" si="2"/>
        <v>82935403.45994097</v>
      </c>
      <c r="E54" s="290">
        <f t="shared" si="7"/>
        <v>108228233.43284823</v>
      </c>
      <c r="F54" s="290">
        <f t="shared" si="3"/>
        <v>-1965080</v>
      </c>
      <c r="G54" s="290">
        <f t="shared" si="4"/>
        <v>678977.27412196982</v>
      </c>
      <c r="H54" s="290">
        <f t="shared" si="5"/>
        <v>106942130.7069702</v>
      </c>
    </row>
    <row r="55" spans="1:8" ht="12.75" customHeight="1">
      <c r="A55" s="289">
        <v>46905</v>
      </c>
      <c r="B55" s="290">
        <f t="shared" si="6"/>
        <v>82935403.45994097</v>
      </c>
      <c r="C55" s="272">
        <f t="shared" si="1"/>
        <v>1974652.463331932</v>
      </c>
      <c r="D55" s="290">
        <f t="shared" si="2"/>
        <v>80960750.996609032</v>
      </c>
      <c r="E55" s="290">
        <f t="shared" si="7"/>
        <v>106942130.7069702</v>
      </c>
      <c r="F55" s="290">
        <f t="shared" si="3"/>
        <v>-1965080</v>
      </c>
      <c r="G55" s="290">
        <f t="shared" si="4"/>
        <v>670759.61357974494</v>
      </c>
      <c r="H55" s="290">
        <f t="shared" si="5"/>
        <v>105647810.32054995</v>
      </c>
    </row>
    <row r="56" spans="1:8" ht="12.75" customHeight="1">
      <c r="A56" s="289">
        <v>46935</v>
      </c>
      <c r="B56" s="290">
        <f t="shared" si="6"/>
        <v>80960750.996609032</v>
      </c>
      <c r="C56" s="272">
        <f t="shared" si="1"/>
        <v>1974652.463331932</v>
      </c>
      <c r="D56" s="290">
        <f t="shared" si="2"/>
        <v>78986098.533277094</v>
      </c>
      <c r="E56" s="290">
        <f t="shared" si="7"/>
        <v>105647810.32054995</v>
      </c>
      <c r="F56" s="290">
        <f t="shared" si="3"/>
        <v>-1965080</v>
      </c>
      <c r="G56" s="290">
        <f t="shared" si="4"/>
        <v>662489.44561068062</v>
      </c>
      <c r="H56" s="290">
        <f t="shared" si="5"/>
        <v>104345219.76616064</v>
      </c>
    </row>
    <row r="57" spans="1:8" ht="12.75" customHeight="1">
      <c r="A57" s="289">
        <v>46966</v>
      </c>
      <c r="B57" s="290">
        <f t="shared" si="6"/>
        <v>78986098.533277094</v>
      </c>
      <c r="C57" s="272">
        <f t="shared" si="1"/>
        <v>1974652.463331932</v>
      </c>
      <c r="D57" s="290">
        <f t="shared" si="2"/>
        <v>77011446.069945157</v>
      </c>
      <c r="E57" s="290">
        <f t="shared" si="7"/>
        <v>104345219.76616064</v>
      </c>
      <c r="F57" s="290">
        <f t="shared" si="3"/>
        <v>-1965080</v>
      </c>
      <c r="G57" s="290">
        <f t="shared" si="4"/>
        <v>654166.43471419718</v>
      </c>
      <c r="H57" s="290">
        <f t="shared" si="5"/>
        <v>103034306.20087484</v>
      </c>
    </row>
    <row r="58" spans="1:8" ht="12.75" customHeight="1">
      <c r="A58" s="289">
        <v>46997</v>
      </c>
      <c r="B58" s="290">
        <f t="shared" si="6"/>
        <v>77011446.069945157</v>
      </c>
      <c r="C58" s="272">
        <f t="shared" si="1"/>
        <v>1974652.463331932</v>
      </c>
      <c r="D58" s="290">
        <f t="shared" si="2"/>
        <v>75036793.606613219</v>
      </c>
      <c r="E58" s="290">
        <f t="shared" si="7"/>
        <v>103034306.20087484</v>
      </c>
      <c r="F58" s="290">
        <f t="shared" si="3"/>
        <v>-1965080</v>
      </c>
      <c r="G58" s="290">
        <f t="shared" si="4"/>
        <v>645790.24324600643</v>
      </c>
      <c r="H58" s="290">
        <f t="shared" si="5"/>
        <v>101715016.44412084</v>
      </c>
    </row>
    <row r="59" spans="1:8" ht="12.75" customHeight="1">
      <c r="A59" s="289">
        <v>47027</v>
      </c>
      <c r="B59" s="290">
        <f t="shared" si="6"/>
        <v>75036793.606613219</v>
      </c>
      <c r="C59" s="272">
        <f t="shared" si="1"/>
        <v>1974652.463331932</v>
      </c>
      <c r="D59" s="290">
        <f t="shared" si="2"/>
        <v>73062141.143281281</v>
      </c>
      <c r="E59" s="290">
        <f t="shared" si="7"/>
        <v>101715016.44412084</v>
      </c>
      <c r="F59" s="290">
        <f t="shared" si="3"/>
        <v>-1965080</v>
      </c>
      <c r="G59" s="290">
        <f t="shared" si="4"/>
        <v>637360.53140441375</v>
      </c>
      <c r="H59" s="290">
        <f t="shared" si="5"/>
        <v>100387296.97552526</v>
      </c>
    </row>
    <row r="60" spans="1:8" ht="12.75" customHeight="1">
      <c r="A60" s="289">
        <v>47058</v>
      </c>
      <c r="B60" s="290">
        <f t="shared" si="6"/>
        <v>73062141.143281281</v>
      </c>
      <c r="C60" s="272">
        <f t="shared" si="1"/>
        <v>1974652.463331932</v>
      </c>
      <c r="D60" s="290">
        <f t="shared" si="2"/>
        <v>71087488.679949343</v>
      </c>
      <c r="E60" s="290">
        <f t="shared" si="7"/>
        <v>100387296.97552526</v>
      </c>
      <c r="F60" s="290">
        <f>-$B$17</f>
        <v>-1965080</v>
      </c>
      <c r="G60" s="290">
        <f t="shared" si="4"/>
        <v>628876.95721653325</v>
      </c>
      <c r="H60" s="290">
        <f t="shared" si="5"/>
        <v>99051093.932741791</v>
      </c>
    </row>
    <row r="61" spans="1:8" ht="12.75" customHeight="1">
      <c r="A61" s="289">
        <v>47088</v>
      </c>
      <c r="B61" s="290">
        <f t="shared" si="6"/>
        <v>71087488.679949343</v>
      </c>
      <c r="C61" s="272">
        <f t="shared" si="1"/>
        <v>1974652.463331932</v>
      </c>
      <c r="D61" s="290">
        <f t="shared" si="2"/>
        <v>69112836.216617405</v>
      </c>
      <c r="E61" s="290">
        <f t="shared" si="7"/>
        <v>99051093.932741791</v>
      </c>
      <c r="F61" s="290">
        <f>-$B$21</f>
        <v>-3069120</v>
      </c>
      <c r="G61" s="290">
        <f t="shared" si="4"/>
        <v>613284.82094108139</v>
      </c>
      <c r="H61" s="290">
        <f t="shared" si="5"/>
        <v>96595258.753682867</v>
      </c>
    </row>
    <row r="62" spans="1:8" ht="12.75" customHeight="1">
      <c r="A62" s="289">
        <v>47119</v>
      </c>
      <c r="B62" s="290">
        <f t="shared" si="6"/>
        <v>69112836.216617405</v>
      </c>
      <c r="C62" s="272">
        <f t="shared" si="1"/>
        <v>1974652.463331932</v>
      </c>
      <c r="D62" s="290">
        <f t="shared" si="2"/>
        <v>67138183.753285468</v>
      </c>
      <c r="E62" s="290">
        <f t="shared" si="7"/>
        <v>96595258.753682867</v>
      </c>
      <c r="F62" s="290">
        <f t="shared" ref="F62:F96" si="8">-$B$21</f>
        <v>-3069120</v>
      </c>
      <c r="G62" s="290">
        <f t="shared" si="4"/>
        <v>597593.05741155276</v>
      </c>
      <c r="H62" s="290">
        <f t="shared" si="5"/>
        <v>94123731.811094418</v>
      </c>
    </row>
    <row r="63" spans="1:8" ht="12.75" customHeight="1">
      <c r="A63" s="289">
        <v>47150</v>
      </c>
      <c r="B63" s="290">
        <f t="shared" si="6"/>
        <v>67138183.753285468</v>
      </c>
      <c r="C63" s="272">
        <f t="shared" si="1"/>
        <v>1974652.463331932</v>
      </c>
      <c r="D63" s="290">
        <f t="shared" si="2"/>
        <v>65163531.289953537</v>
      </c>
      <c r="E63" s="290">
        <f t="shared" si="7"/>
        <v>94123731.811094418</v>
      </c>
      <c r="F63" s="290">
        <f t="shared" si="8"/>
        <v>-3069120</v>
      </c>
      <c r="G63" s="290">
        <f t="shared" si="4"/>
        <v>581801.03005130531</v>
      </c>
      <c r="H63" s="290">
        <f t="shared" si="5"/>
        <v>91636412.841145724</v>
      </c>
    </row>
    <row r="64" spans="1:8" ht="12.75" customHeight="1">
      <c r="A64" s="289">
        <v>47178</v>
      </c>
      <c r="B64" s="290">
        <f t="shared" si="6"/>
        <v>65163531.289953537</v>
      </c>
      <c r="C64" s="272">
        <f t="shared" si="1"/>
        <v>1974652.463331932</v>
      </c>
      <c r="D64" s="290">
        <f t="shared" si="2"/>
        <v>63188878.826621607</v>
      </c>
      <c r="E64" s="290">
        <f t="shared" si="7"/>
        <v>91636412.841145724</v>
      </c>
      <c r="F64" s="290">
        <f t="shared" si="8"/>
        <v>-3069120</v>
      </c>
      <c r="G64" s="290">
        <f t="shared" si="4"/>
        <v>565908.09821623738</v>
      </c>
      <c r="H64" s="290">
        <f t="shared" si="5"/>
        <v>89133200.93936196</v>
      </c>
    </row>
    <row r="65" spans="1:8" ht="12.75" customHeight="1">
      <c r="A65" s="289">
        <v>47209</v>
      </c>
      <c r="B65" s="290">
        <f t="shared" si="6"/>
        <v>63188878.826621607</v>
      </c>
      <c r="C65" s="272">
        <f t="shared" si="1"/>
        <v>1974652.463331932</v>
      </c>
      <c r="D65" s="290">
        <f t="shared" si="2"/>
        <v>61214226.363289677</v>
      </c>
      <c r="E65" s="290">
        <f t="shared" si="7"/>
        <v>89133200.93936196</v>
      </c>
      <c r="F65" s="290">
        <f t="shared" si="8"/>
        <v>-3069120</v>
      </c>
      <c r="G65" s="290">
        <f t="shared" si="4"/>
        <v>549913.61716879811</v>
      </c>
      <c r="H65" s="290">
        <f t="shared" si="5"/>
        <v>86613994.556530759</v>
      </c>
    </row>
    <row r="66" spans="1:8" ht="12.75" customHeight="1">
      <c r="A66" s="289">
        <v>47239</v>
      </c>
      <c r="B66" s="290">
        <f t="shared" si="6"/>
        <v>61214226.363289677</v>
      </c>
      <c r="C66" s="272">
        <f t="shared" si="1"/>
        <v>1974652.463331932</v>
      </c>
      <c r="D66" s="290">
        <f t="shared" si="2"/>
        <v>59239573.899957746</v>
      </c>
      <c r="E66" s="290">
        <f t="shared" si="7"/>
        <v>86613994.556530759</v>
      </c>
      <c r="F66" s="290">
        <f t="shared" si="8"/>
        <v>-3069120</v>
      </c>
      <c r="G66" s="290">
        <f t="shared" si="4"/>
        <v>533816.93805183296</v>
      </c>
      <c r="H66" s="290">
        <f t="shared" si="5"/>
        <v>84078691.494582593</v>
      </c>
    </row>
    <row r="67" spans="1:8" ht="12.75" customHeight="1">
      <c r="A67" s="289">
        <v>47270</v>
      </c>
      <c r="B67" s="290">
        <f t="shared" si="6"/>
        <v>59239573.899957746</v>
      </c>
      <c r="C67" s="272">
        <f t="shared" si="1"/>
        <v>1974652.463331932</v>
      </c>
      <c r="D67" s="290">
        <f t="shared" si="2"/>
        <v>57264921.436625816</v>
      </c>
      <c r="E67" s="290">
        <f t="shared" si="7"/>
        <v>84078691.494582593</v>
      </c>
      <c r="F67" s="290">
        <f t="shared" si="8"/>
        <v>-3069120</v>
      </c>
      <c r="G67" s="290">
        <f t="shared" si="4"/>
        <v>517617.40786226001</v>
      </c>
      <c r="H67" s="290">
        <f t="shared" si="5"/>
        <v>81527188.902444854</v>
      </c>
    </row>
    <row r="68" spans="1:8" ht="12.75" customHeight="1">
      <c r="A68" s="289">
        <v>47300</v>
      </c>
      <c r="B68" s="290">
        <f t="shared" si="6"/>
        <v>57264921.436625816</v>
      </c>
      <c r="C68" s="272">
        <f t="shared" si="1"/>
        <v>1974652.463331932</v>
      </c>
      <c r="D68" s="290">
        <f t="shared" si="2"/>
        <v>55290268.973293886</v>
      </c>
      <c r="E68" s="290">
        <f t="shared" si="7"/>
        <v>81527188.902444854</v>
      </c>
      <c r="F68" s="290">
        <f t="shared" si="8"/>
        <v>-3069120</v>
      </c>
      <c r="G68" s="290">
        <f t="shared" si="4"/>
        <v>501314.3694245799</v>
      </c>
      <c r="H68" s="290">
        <f t="shared" si="5"/>
        <v>78959383.271869436</v>
      </c>
    </row>
    <row r="69" spans="1:8" ht="12.75" customHeight="1">
      <c r="A69" s="289">
        <v>47331</v>
      </c>
      <c r="B69" s="290">
        <f t="shared" si="6"/>
        <v>55290268.973293886</v>
      </c>
      <c r="C69" s="272">
        <f t="shared" si="1"/>
        <v>1974652.463331932</v>
      </c>
      <c r="D69" s="290">
        <f t="shared" si="2"/>
        <v>53315616.509961955</v>
      </c>
      <c r="E69" s="290">
        <f t="shared" si="7"/>
        <v>78959383.271869436</v>
      </c>
      <c r="F69" s="290">
        <f t="shared" si="8"/>
        <v>-3069120</v>
      </c>
      <c r="G69" s="290">
        <f t="shared" si="4"/>
        <v>484907.16136421572</v>
      </c>
      <c r="H69" s="290">
        <f t="shared" si="5"/>
        <v>76375170.433233649</v>
      </c>
    </row>
    <row r="70" spans="1:8" ht="12.75" customHeight="1">
      <c r="A70" s="289">
        <v>47362</v>
      </c>
      <c r="B70" s="290">
        <f t="shared" si="6"/>
        <v>53315616.509961955</v>
      </c>
      <c r="C70" s="272">
        <f t="shared" si="1"/>
        <v>1974652.463331932</v>
      </c>
      <c r="D70" s="290">
        <f t="shared" si="2"/>
        <v>51340964.046630025</v>
      </c>
      <c r="E70" s="290">
        <f t="shared" si="7"/>
        <v>76375170.433233649</v>
      </c>
      <c r="F70" s="290">
        <f t="shared" si="8"/>
        <v>-3069120</v>
      </c>
      <c r="G70" s="290">
        <f t="shared" si="4"/>
        <v>468395.11808068247</v>
      </c>
      <c r="H70" s="290">
        <f t="shared" si="5"/>
        <v>73774445.551314324</v>
      </c>
    </row>
    <row r="71" spans="1:8" ht="12.75" customHeight="1">
      <c r="A71" s="289">
        <v>47392</v>
      </c>
      <c r="B71" s="290">
        <f t="shared" si="6"/>
        <v>51340964.046630025</v>
      </c>
      <c r="C71" s="272">
        <f t="shared" si="1"/>
        <v>1974652.463331932</v>
      </c>
      <c r="D71" s="290">
        <f t="shared" si="2"/>
        <v>49366311.583298095</v>
      </c>
      <c r="E71" s="290">
        <f t="shared" si="7"/>
        <v>73774445.551314324</v>
      </c>
      <c r="F71" s="290">
        <f t="shared" si="8"/>
        <v>-3069120</v>
      </c>
      <c r="G71" s="290">
        <f t="shared" si="4"/>
        <v>451777.56972058548</v>
      </c>
      <c r="H71" s="290">
        <f t="shared" si="5"/>
        <v>71157103.121034905</v>
      </c>
    </row>
    <row r="72" spans="1:8" ht="12.75" customHeight="1">
      <c r="A72" s="289">
        <v>47423</v>
      </c>
      <c r="B72" s="290">
        <f t="shared" si="6"/>
        <v>49366311.583298095</v>
      </c>
      <c r="C72" s="272">
        <f t="shared" si="1"/>
        <v>1974652.463331932</v>
      </c>
      <c r="D72" s="290">
        <f t="shared" si="2"/>
        <v>47391659.119966164</v>
      </c>
      <c r="E72" s="290">
        <f t="shared" si="7"/>
        <v>71157103.121034905</v>
      </c>
      <c r="F72" s="290">
        <f t="shared" si="8"/>
        <v>-3069120</v>
      </c>
      <c r="G72" s="290">
        <f t="shared" si="4"/>
        <v>435053.84215044591</v>
      </c>
      <c r="H72" s="290">
        <f t="shared" si="5"/>
        <v>68523036.963185355</v>
      </c>
    </row>
    <row r="73" spans="1:8" ht="12.75" customHeight="1">
      <c r="A73" s="289">
        <v>47453</v>
      </c>
      <c r="B73" s="290">
        <f t="shared" si="6"/>
        <v>47391659.119966164</v>
      </c>
      <c r="C73" s="272">
        <f t="shared" si="1"/>
        <v>1974652.463331932</v>
      </c>
      <c r="D73" s="290">
        <f t="shared" si="2"/>
        <v>45417006.656634234</v>
      </c>
      <c r="E73" s="290">
        <f t="shared" si="7"/>
        <v>68523036.963185355</v>
      </c>
      <c r="F73" s="290">
        <f t="shared" si="8"/>
        <v>-3069120</v>
      </c>
      <c r="G73" s="290">
        <f t="shared" si="4"/>
        <v>418223.25692935305</v>
      </c>
      <c r="H73" s="290">
        <f t="shared" si="5"/>
        <v>65872140.220114708</v>
      </c>
    </row>
    <row r="74" spans="1:8" ht="12.75" customHeight="1">
      <c r="A74" s="289">
        <v>47484</v>
      </c>
      <c r="B74" s="290">
        <f t="shared" si="6"/>
        <v>45417006.656634234</v>
      </c>
      <c r="C74" s="272">
        <f t="shared" si="1"/>
        <v>1974652.463331932</v>
      </c>
      <c r="D74" s="290">
        <f t="shared" si="2"/>
        <v>43442354.193302304</v>
      </c>
      <c r="E74" s="290">
        <f t="shared" si="7"/>
        <v>65872140.220114708</v>
      </c>
      <c r="F74" s="290">
        <f t="shared" si="8"/>
        <v>-3069120</v>
      </c>
      <c r="G74" s="290">
        <f t="shared" si="4"/>
        <v>401285.13128144125</v>
      </c>
      <c r="H74" s="290">
        <f t="shared" si="5"/>
        <v>63204305.351396151</v>
      </c>
    </row>
    <row r="75" spans="1:8" ht="12.75" customHeight="1">
      <c r="A75" s="289">
        <v>47515</v>
      </c>
      <c r="B75" s="290">
        <f t="shared" si="6"/>
        <v>43442354.193302304</v>
      </c>
      <c r="C75" s="272">
        <f t="shared" si="1"/>
        <v>1974652.463331932</v>
      </c>
      <c r="D75" s="290">
        <f t="shared" si="2"/>
        <v>41467701.729970373</v>
      </c>
      <c r="E75" s="290">
        <f t="shared" si="7"/>
        <v>63204305.351396151</v>
      </c>
      <c r="F75" s="290">
        <f t="shared" si="8"/>
        <v>-3069120</v>
      </c>
      <c r="G75" s="290">
        <f t="shared" si="4"/>
        <v>384238.77806819166</v>
      </c>
      <c r="H75" s="290">
        <f t="shared" si="5"/>
        <v>60519424.129464343</v>
      </c>
    </row>
    <row r="76" spans="1:8" ht="12.75" customHeight="1">
      <c r="A76" s="289">
        <v>47543</v>
      </c>
      <c r="B76" s="290">
        <f t="shared" si="6"/>
        <v>41467701.729970373</v>
      </c>
      <c r="C76" s="272">
        <f t="shared" si="1"/>
        <v>1974652.463331932</v>
      </c>
      <c r="D76" s="290">
        <f t="shared" si="2"/>
        <v>39493049.266638443</v>
      </c>
      <c r="E76" s="290">
        <f t="shared" si="7"/>
        <v>60519424.129464343</v>
      </c>
      <c r="F76" s="290">
        <f t="shared" si="8"/>
        <v>-3069120</v>
      </c>
      <c r="G76" s="290">
        <f t="shared" si="4"/>
        <v>367083.50576055655</v>
      </c>
      <c r="H76" s="290">
        <f t="shared" si="5"/>
        <v>57817387.635224901</v>
      </c>
    </row>
    <row r="77" spans="1:8" ht="12.75" customHeight="1">
      <c r="A77" s="289">
        <v>47574</v>
      </c>
      <c r="B77" s="290">
        <f t="shared" si="6"/>
        <v>39493049.266638443</v>
      </c>
      <c r="C77" s="272">
        <f t="shared" si="1"/>
        <v>1974652.463331932</v>
      </c>
      <c r="D77" s="290">
        <f t="shared" si="2"/>
        <v>37518396.803306513</v>
      </c>
      <c r="E77" s="290">
        <f t="shared" si="7"/>
        <v>57817387.635224901</v>
      </c>
      <c r="F77" s="290">
        <f t="shared" si="8"/>
        <v>-3069120</v>
      </c>
      <c r="G77" s="290">
        <f t="shared" si="4"/>
        <v>349818.61841090576</v>
      </c>
      <c r="H77" s="290">
        <f t="shared" si="5"/>
        <v>55098086.253635809</v>
      </c>
    </row>
    <row r="78" spans="1:8" ht="12.75" customHeight="1">
      <c r="A78" s="289">
        <v>47604</v>
      </c>
      <c r="B78" s="290">
        <f t="shared" si="6"/>
        <v>37518396.803306513</v>
      </c>
      <c r="C78" s="272">
        <f t="shared" si="1"/>
        <v>1974652.463331932</v>
      </c>
      <c r="D78" s="290">
        <f t="shared" si="2"/>
        <v>35543744.339974582</v>
      </c>
      <c r="E78" s="290">
        <f t="shared" si="7"/>
        <v>55098086.253635809</v>
      </c>
      <c r="F78" s="290">
        <f t="shared" si="8"/>
        <v>-3069120</v>
      </c>
      <c r="G78" s="290">
        <f t="shared" si="4"/>
        <v>332443.41562479379</v>
      </c>
      <c r="H78" s="290">
        <f t="shared" si="5"/>
        <v>52361409.669260606</v>
      </c>
    </row>
    <row r="79" spans="1:8" ht="12.75" customHeight="1">
      <c r="A79" s="289">
        <v>47635</v>
      </c>
      <c r="B79" s="290">
        <f t="shared" si="6"/>
        <v>35543744.339974582</v>
      </c>
      <c r="C79" s="272">
        <f t="shared" si="1"/>
        <v>1974652.463331932</v>
      </c>
      <c r="D79" s="290">
        <f t="shared" si="2"/>
        <v>33569091.876642652</v>
      </c>
      <c r="E79" s="290">
        <f t="shared" si="7"/>
        <v>52361409.669260606</v>
      </c>
      <c r="F79" s="290">
        <f t="shared" si="8"/>
        <v>-3069120</v>
      </c>
      <c r="G79" s="290">
        <f t="shared" si="4"/>
        <v>314957.19253254641</v>
      </c>
      <c r="H79" s="290">
        <f t="shared" si="5"/>
        <v>49607246.861793153</v>
      </c>
    </row>
    <row r="80" spans="1:8" ht="12.75" customHeight="1">
      <c r="A80" s="289">
        <v>47665</v>
      </c>
      <c r="B80" s="290">
        <f t="shared" si="6"/>
        <v>33569091.876642652</v>
      </c>
      <c r="C80" s="272">
        <f t="shared" si="1"/>
        <v>1974652.463331932</v>
      </c>
      <c r="D80" s="290">
        <f t="shared" si="2"/>
        <v>31594439.413310722</v>
      </c>
      <c r="E80" s="290">
        <f t="shared" si="7"/>
        <v>49607246.861793153</v>
      </c>
      <c r="F80" s="290">
        <f t="shared" si="8"/>
        <v>-3069120</v>
      </c>
      <c r="G80" s="290">
        <f t="shared" si="4"/>
        <v>297359.23976066581</v>
      </c>
      <c r="H80" s="290">
        <f t="shared" si="5"/>
        <v>46835486.10155382</v>
      </c>
    </row>
    <row r="81" spans="1:8" ht="12.75" customHeight="1">
      <c r="A81" s="289">
        <v>47696</v>
      </c>
      <c r="B81" s="290">
        <f t="shared" si="6"/>
        <v>31594439.413310722</v>
      </c>
      <c r="C81" s="272">
        <f t="shared" si="1"/>
        <v>1974652.463331932</v>
      </c>
      <c r="D81" s="290">
        <f t="shared" si="2"/>
        <v>29619786.949978791</v>
      </c>
      <c r="E81" s="290">
        <f t="shared" si="7"/>
        <v>46835486.10155382</v>
      </c>
      <c r="F81" s="290">
        <f t="shared" si="8"/>
        <v>-3069120</v>
      </c>
      <c r="G81" s="290">
        <f t="shared" si="4"/>
        <v>279648.84340305324</v>
      </c>
      <c r="H81" s="290">
        <f t="shared" si="5"/>
        <v>44046014.944956876</v>
      </c>
    </row>
    <row r="82" spans="1:8" ht="12.75" customHeight="1">
      <c r="A82" s="289">
        <v>47727</v>
      </c>
      <c r="B82" s="290">
        <f t="shared" si="6"/>
        <v>29619786.949978791</v>
      </c>
      <c r="C82" s="272">
        <f t="shared" si="1"/>
        <v>1974652.463331932</v>
      </c>
      <c r="D82" s="290">
        <f t="shared" si="2"/>
        <v>27645134.486646861</v>
      </c>
      <c r="E82" s="290">
        <f t="shared" si="7"/>
        <v>44046014.944956876</v>
      </c>
      <c r="F82" s="290">
        <f t="shared" si="8"/>
        <v>-3069120</v>
      </c>
      <c r="G82" s="290">
        <f t="shared" si="4"/>
        <v>261825.28499204735</v>
      </c>
      <c r="H82" s="290">
        <f t="shared" si="5"/>
        <v>41238720.229948923</v>
      </c>
    </row>
    <row r="83" spans="1:8" ht="12.75" customHeight="1">
      <c r="A83" s="289">
        <v>47757</v>
      </c>
      <c r="B83" s="290">
        <f t="shared" si="6"/>
        <v>27645134.486646861</v>
      </c>
      <c r="C83" s="272">
        <f t="shared" si="1"/>
        <v>1974652.463331932</v>
      </c>
      <c r="D83" s="290">
        <f t="shared" si="2"/>
        <v>25670482.02331493</v>
      </c>
      <c r="E83" s="290">
        <f t="shared" si="7"/>
        <v>41238720.229948923</v>
      </c>
      <c r="F83" s="290">
        <f t="shared" si="8"/>
        <v>-3069120</v>
      </c>
      <c r="G83" s="290">
        <f t="shared" si="4"/>
        <v>243887.8414692778</v>
      </c>
      <c r="H83" s="290">
        <f t="shared" si="5"/>
        <v>38413488.071418203</v>
      </c>
    </row>
    <row r="84" spans="1:8" ht="12.75" customHeight="1">
      <c r="A84" s="289">
        <v>47788</v>
      </c>
      <c r="B84" s="290">
        <f t="shared" si="6"/>
        <v>25670482.02331493</v>
      </c>
      <c r="C84" s="272">
        <f t="shared" si="1"/>
        <v>1974652.463331932</v>
      </c>
      <c r="D84" s="290">
        <f t="shared" si="2"/>
        <v>23695829.559983</v>
      </c>
      <c r="E84" s="290">
        <f t="shared" si="7"/>
        <v>38413488.071418203</v>
      </c>
      <c r="F84" s="290">
        <f t="shared" si="8"/>
        <v>-3069120</v>
      </c>
      <c r="G84" s="290">
        <f t="shared" si="4"/>
        <v>225835.78515633254</v>
      </c>
      <c r="H84" s="290">
        <f t="shared" si="5"/>
        <v>35570203.856574535</v>
      </c>
    </row>
    <row r="85" spans="1:8" ht="13.3">
      <c r="A85" s="289">
        <v>47818</v>
      </c>
      <c r="B85" s="290">
        <f t="shared" si="6"/>
        <v>23695829.559983</v>
      </c>
      <c r="C85" s="272">
        <f t="shared" si="1"/>
        <v>1974652.463331932</v>
      </c>
      <c r="D85" s="290">
        <f t="shared" si="2"/>
        <v>21721177.09665107</v>
      </c>
      <c r="E85" s="290">
        <f t="shared" si="7"/>
        <v>35570203.856574535</v>
      </c>
      <c r="F85" s="290">
        <f t="shared" si="8"/>
        <v>-3069120</v>
      </c>
      <c r="G85" s="290">
        <f t="shared" si="4"/>
        <v>207668.38372523771</v>
      </c>
      <c r="H85" s="290">
        <f t="shared" si="5"/>
        <v>32708752.240299772</v>
      </c>
    </row>
    <row r="86" spans="1:8" ht="12.75" customHeight="1">
      <c r="A86" s="289">
        <v>47849</v>
      </c>
      <c r="B86" s="290">
        <f t="shared" si="6"/>
        <v>21721177.09665107</v>
      </c>
      <c r="C86" s="272">
        <f t="shared" si="1"/>
        <v>1974652.463331932</v>
      </c>
      <c r="D86" s="290">
        <f t="shared" si="2"/>
        <v>19746524.633319139</v>
      </c>
      <c r="E86" s="290">
        <f t="shared" si="7"/>
        <v>32708752.240299772</v>
      </c>
      <c r="F86" s="290">
        <f t="shared" si="8"/>
        <v>-3069120</v>
      </c>
      <c r="G86" s="290">
        <f t="shared" si="4"/>
        <v>189384.90016874875</v>
      </c>
      <c r="H86" s="290">
        <f t="shared" si="5"/>
        <v>29829017.140468523</v>
      </c>
    </row>
    <row r="87" spans="1:8" ht="12.75" customHeight="1">
      <c r="A87" s="289">
        <v>47880</v>
      </c>
      <c r="B87" s="290">
        <f t="shared" si="6"/>
        <v>19746524.633319139</v>
      </c>
      <c r="C87" s="272">
        <f t="shared" si="1"/>
        <v>1974652.463331932</v>
      </c>
      <c r="D87" s="290">
        <f t="shared" si="2"/>
        <v>17771872.169987209</v>
      </c>
      <c r="E87" s="290">
        <f t="shared" si="7"/>
        <v>29829017.140468523</v>
      </c>
      <c r="F87" s="290">
        <f t="shared" si="8"/>
        <v>-3069120</v>
      </c>
      <c r="G87" s="290">
        <f t="shared" si="4"/>
        <v>170984.592770452</v>
      </c>
      <c r="H87" s="290">
        <f t="shared" si="5"/>
        <v>26930881.733238976</v>
      </c>
    </row>
    <row r="88" spans="1:8" ht="12.75" customHeight="1">
      <c r="A88" s="289">
        <v>47908</v>
      </c>
      <c r="B88" s="290">
        <f t="shared" si="6"/>
        <v>17771872.169987209</v>
      </c>
      <c r="C88" s="272">
        <f t="shared" si="1"/>
        <v>1974652.463331932</v>
      </c>
      <c r="D88" s="290">
        <f t="shared" si="2"/>
        <v>15797219.706655277</v>
      </c>
      <c r="E88" s="290">
        <f t="shared" si="7"/>
        <v>26930881.733238976</v>
      </c>
      <c r="F88" s="290">
        <f t="shared" si="8"/>
        <v>-3069120</v>
      </c>
      <c r="G88" s="290">
        <f t="shared" si="4"/>
        <v>152466.71507467487</v>
      </c>
      <c r="H88" s="290">
        <f t="shared" si="5"/>
        <v>24014228.44831365</v>
      </c>
    </row>
    <row r="89" spans="1:8" ht="12.75" customHeight="1">
      <c r="A89" s="289">
        <v>47939</v>
      </c>
      <c r="B89" s="290">
        <f t="shared" si="6"/>
        <v>15797219.706655277</v>
      </c>
      <c r="C89" s="272">
        <f t="shared" ref="C89:C96" si="9">$B$20/$B$19</f>
        <v>1974652.463331932</v>
      </c>
      <c r="D89" s="290">
        <f t="shared" ref="D89:D96" si="10">B89-C89</f>
        <v>13822567.243323345</v>
      </c>
      <c r="E89" s="290">
        <f t="shared" si="7"/>
        <v>24014228.44831365</v>
      </c>
      <c r="F89" s="290">
        <f t="shared" si="8"/>
        <v>-3069120</v>
      </c>
      <c r="G89" s="290">
        <f t="shared" ref="G89:G96" si="11">(E89+F89)*$B$18</f>
        <v>133830.51585620409</v>
      </c>
      <c r="H89" s="290">
        <f t="shared" ref="H89:H96" si="12">E89+F89+G89</f>
        <v>21078938.964169852</v>
      </c>
    </row>
    <row r="90" spans="1:8" ht="12.75" customHeight="1">
      <c r="A90" s="289">
        <v>47969</v>
      </c>
      <c r="B90" s="290">
        <f t="shared" ref="B90:B96" si="13">D89</f>
        <v>13822567.243323345</v>
      </c>
      <c r="C90" s="272">
        <f t="shared" si="9"/>
        <v>1974652.463331932</v>
      </c>
      <c r="D90" s="290">
        <f t="shared" si="10"/>
        <v>11847914.779991413</v>
      </c>
      <c r="E90" s="290">
        <f t="shared" ref="E90:E96" si="14">H89</f>
        <v>21078938.964169852</v>
      </c>
      <c r="F90" s="290">
        <f t="shared" si="8"/>
        <v>-3069120</v>
      </c>
      <c r="G90" s="290">
        <f t="shared" si="11"/>
        <v>115075.23908981027</v>
      </c>
      <c r="H90" s="290">
        <f t="shared" si="12"/>
        <v>18124894.203259662</v>
      </c>
    </row>
    <row r="91" spans="1:8" ht="12.75" customHeight="1">
      <c r="A91" s="289">
        <v>48000</v>
      </c>
      <c r="B91" s="290">
        <f t="shared" si="13"/>
        <v>11847914.779991413</v>
      </c>
      <c r="C91" s="272">
        <f t="shared" si="9"/>
        <v>1974652.463331932</v>
      </c>
      <c r="D91" s="290">
        <f t="shared" si="10"/>
        <v>9873262.3166594803</v>
      </c>
      <c r="E91" s="290">
        <f t="shared" si="14"/>
        <v>18124894.203259662</v>
      </c>
      <c r="F91" s="290">
        <f t="shared" si="8"/>
        <v>-3069120</v>
      </c>
      <c r="G91" s="290">
        <f t="shared" si="11"/>
        <v>96200.123919577876</v>
      </c>
      <c r="H91" s="290">
        <f t="shared" si="12"/>
        <v>15151974.32717924</v>
      </c>
    </row>
    <row r="92" spans="1:8" ht="12.75" customHeight="1">
      <c r="A92" s="289">
        <v>48030</v>
      </c>
      <c r="B92" s="290">
        <f t="shared" si="13"/>
        <v>9873262.3166594803</v>
      </c>
      <c r="C92" s="272">
        <f t="shared" si="9"/>
        <v>1974652.463331932</v>
      </c>
      <c r="D92" s="290">
        <f t="shared" si="10"/>
        <v>7898609.8533275481</v>
      </c>
      <c r="E92" s="290">
        <f t="shared" si="14"/>
        <v>15151974.32717924</v>
      </c>
      <c r="F92" s="290">
        <f t="shared" si="8"/>
        <v>-3069120</v>
      </c>
      <c r="G92" s="290">
        <f t="shared" si="11"/>
        <v>77204.404628039018</v>
      </c>
      <c r="H92" s="290">
        <f t="shared" si="12"/>
        <v>12160058.731807278</v>
      </c>
    </row>
    <row r="93" spans="1:8" ht="12.75" customHeight="1">
      <c r="A93" s="289">
        <v>48061</v>
      </c>
      <c r="B93" s="290">
        <f t="shared" si="13"/>
        <v>7898609.8533275481</v>
      </c>
      <c r="C93" s="272">
        <f t="shared" si="9"/>
        <v>1974652.463331932</v>
      </c>
      <c r="D93" s="290">
        <f t="shared" si="10"/>
        <v>5923957.3899956159</v>
      </c>
      <c r="E93" s="290">
        <f t="shared" si="14"/>
        <v>12160058.731807278</v>
      </c>
      <c r="F93" s="290">
        <f t="shared" si="8"/>
        <v>-3069120</v>
      </c>
      <c r="G93" s="290">
        <f t="shared" si="11"/>
        <v>58087.310605110251</v>
      </c>
      <c r="H93" s="290">
        <f t="shared" si="12"/>
        <v>9149026.0424123891</v>
      </c>
    </row>
    <row r="94" spans="1:8" ht="12.75" customHeight="1">
      <c r="A94" s="289">
        <v>48092</v>
      </c>
      <c r="B94" s="290">
        <f t="shared" si="13"/>
        <v>5923957.3899956159</v>
      </c>
      <c r="C94" s="272">
        <f t="shared" si="9"/>
        <v>1974652.463331932</v>
      </c>
      <c r="D94" s="290">
        <f t="shared" si="10"/>
        <v>3949304.9266636837</v>
      </c>
      <c r="E94" s="290">
        <f t="shared" si="14"/>
        <v>9149026.0424123891</v>
      </c>
      <c r="F94" s="290">
        <f t="shared" si="8"/>
        <v>-3069120</v>
      </c>
      <c r="G94" s="290">
        <f t="shared" si="11"/>
        <v>38848.066316830824</v>
      </c>
      <c r="H94" s="290">
        <f t="shared" si="12"/>
        <v>6118754.10872922</v>
      </c>
    </row>
    <row r="95" spans="1:8" ht="12.75" customHeight="1">
      <c r="A95" s="289">
        <v>48122</v>
      </c>
      <c r="B95" s="290">
        <f t="shared" si="13"/>
        <v>3949304.9266636837</v>
      </c>
      <c r="C95" s="272">
        <f t="shared" si="9"/>
        <v>1974652.463331932</v>
      </c>
      <c r="D95" s="290">
        <f t="shared" si="10"/>
        <v>1974652.4633317518</v>
      </c>
      <c r="E95" s="290">
        <f t="shared" si="14"/>
        <v>6118754.10872922</v>
      </c>
      <c r="F95" s="290">
        <f t="shared" si="8"/>
        <v>-3069120</v>
      </c>
      <c r="G95" s="290">
        <f t="shared" si="11"/>
        <v>19485.891273901078</v>
      </c>
      <c r="H95" s="290">
        <f t="shared" si="12"/>
        <v>3069120.0000031209</v>
      </c>
    </row>
    <row r="96" spans="1:8" ht="12.75" customHeight="1">
      <c r="A96" s="289">
        <v>48153</v>
      </c>
      <c r="B96" s="290">
        <f t="shared" si="13"/>
        <v>1974652.4633317518</v>
      </c>
      <c r="C96" s="272">
        <f t="shared" si="9"/>
        <v>1974652.463331932</v>
      </c>
      <c r="D96" s="290">
        <f t="shared" si="10"/>
        <v>-1.8021091818809509E-7</v>
      </c>
      <c r="E96" s="290">
        <f t="shared" si="14"/>
        <v>3069120.0000031209</v>
      </c>
      <c r="F96" s="290">
        <f t="shared" si="8"/>
        <v>-3069120</v>
      </c>
      <c r="G96" s="290">
        <f t="shared" si="11"/>
        <v>1.9941007485613225E-8</v>
      </c>
      <c r="H96" s="290">
        <f t="shared" si="12"/>
        <v>3.1408029550220816E-6</v>
      </c>
    </row>
  </sheetData>
  <mergeCells count="2">
    <mergeCell ref="B23:D23"/>
    <mergeCell ref="E23:H23"/>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BD1B2-34E0-4CCB-8604-816F8D634C3A}">
  <dimension ref="A1:O93"/>
  <sheetViews>
    <sheetView showGridLines="0" zoomScaleNormal="100" workbookViewId="0">
      <selection sqref="A1:XFD3"/>
    </sheetView>
  </sheetViews>
  <sheetFormatPr defaultColWidth="8.796875" defaultRowHeight="14.4"/>
  <cols>
    <col min="1" max="1" width="26.5" style="292" customWidth="1"/>
    <col min="2" max="2" width="16.796875" style="259" customWidth="1"/>
    <col min="3" max="4" width="19" style="259" customWidth="1"/>
    <col min="5" max="6" width="13.796875" style="259" customWidth="1"/>
    <col min="7" max="7" width="14.796875" style="259" customWidth="1"/>
    <col min="8" max="9" width="17.5" style="259" customWidth="1"/>
    <col min="10" max="11" width="11.5" style="259" customWidth="1"/>
    <col min="12" max="12" width="12.796875" style="259" customWidth="1"/>
    <col min="13" max="13" width="8.796875" style="259"/>
    <col min="14" max="14" width="10.5" style="259" customWidth="1"/>
    <col min="15" max="16384" width="8.796875" style="259"/>
  </cols>
  <sheetData>
    <row r="1" spans="1:12" ht="12.75" customHeight="1">
      <c r="A1" s="259"/>
    </row>
    <row r="2" spans="1:12" ht="12.75" customHeight="1">
      <c r="A2" s="259"/>
    </row>
    <row r="3" spans="1:12" ht="12.75" customHeight="1">
      <c r="A3" s="258" t="s">
        <v>21</v>
      </c>
    </row>
    <row r="4" spans="1:12" ht="12.75" customHeight="1">
      <c r="A4" s="259" t="s">
        <v>59</v>
      </c>
    </row>
    <row r="5" spans="1:12" ht="12.75" customHeight="1">
      <c r="A5" s="259"/>
    </row>
    <row r="6" spans="1:12" ht="13.3">
      <c r="A6" s="259"/>
    </row>
    <row r="7" spans="1:12" ht="12.75" customHeight="1">
      <c r="A7" s="258" t="s">
        <v>78</v>
      </c>
    </row>
    <row r="8" spans="1:12" ht="12.75" customHeight="1">
      <c r="A8" s="259"/>
      <c r="B8" s="260"/>
      <c r="C8" s="260"/>
      <c r="D8" s="260"/>
      <c r="E8" s="261"/>
      <c r="F8" s="260"/>
      <c r="G8" s="260"/>
      <c r="H8" s="260"/>
      <c r="I8" s="260"/>
      <c r="J8" s="260"/>
    </row>
    <row r="9" spans="1:12" ht="42.8" customHeight="1">
      <c r="A9" s="262" t="s">
        <v>24</v>
      </c>
      <c r="B9" s="263" t="s">
        <v>67</v>
      </c>
      <c r="C9" s="264" t="s">
        <v>68</v>
      </c>
      <c r="D9" s="264" t="s">
        <v>69</v>
      </c>
      <c r="E9" s="265" t="s">
        <v>201</v>
      </c>
      <c r="F9" s="265" t="s">
        <v>203</v>
      </c>
      <c r="G9" s="265" t="s">
        <v>116</v>
      </c>
      <c r="H9" s="265" t="s">
        <v>10</v>
      </c>
      <c r="I9" s="265" t="s">
        <v>11</v>
      </c>
      <c r="J9" s="265" t="s">
        <v>71</v>
      </c>
      <c r="K9" s="265" t="s">
        <v>48</v>
      </c>
      <c r="L9" s="265" t="s">
        <v>47</v>
      </c>
    </row>
    <row r="10" spans="1:12" ht="12.75" customHeight="1">
      <c r="A10" s="266" t="s">
        <v>105</v>
      </c>
      <c r="B10" s="267">
        <v>7.6674999999999993E-2</v>
      </c>
      <c r="C10" s="268">
        <v>45992</v>
      </c>
      <c r="D10" s="268">
        <v>48182</v>
      </c>
      <c r="E10" s="269">
        <v>18970810.91</v>
      </c>
      <c r="F10" s="269">
        <v>1053933.92</v>
      </c>
      <c r="G10" s="269">
        <v>17916876.989999998</v>
      </c>
      <c r="H10" s="269">
        <v>471191.95</v>
      </c>
      <c r="I10" s="269">
        <v>1140660</v>
      </c>
      <c r="J10" s="269">
        <v>18301342.859999999</v>
      </c>
      <c r="K10" s="269">
        <v>2113849.88</v>
      </c>
      <c r="L10" s="269">
        <v>16187492.98</v>
      </c>
    </row>
    <row r="11" spans="1:12">
      <c r="A11" s="266" t="s">
        <v>104</v>
      </c>
      <c r="B11" s="270">
        <v>7.6674999999999993E-2</v>
      </c>
      <c r="C11" s="271">
        <v>45992</v>
      </c>
      <c r="D11" s="271">
        <v>48182</v>
      </c>
      <c r="E11" s="269">
        <f>B22</f>
        <v>18970814.238313057</v>
      </c>
      <c r="F11" s="269">
        <f>SUM(C22:C25)</f>
        <v>1053934.1243507254</v>
      </c>
      <c r="G11" s="269">
        <f>D25</f>
        <v>17916880.11396233</v>
      </c>
      <c r="H11" s="269">
        <f>SUM(G22:G25)</f>
        <v>471191.67249251751</v>
      </c>
      <c r="I11" s="269">
        <f>-SUM(F22:F25)</f>
        <v>1140660</v>
      </c>
      <c r="J11" s="269">
        <f>H25</f>
        <v>18301345.910805572</v>
      </c>
      <c r="K11" s="272">
        <f>H25-H37</f>
        <v>2113850.7111592386</v>
      </c>
      <c r="L11" s="272">
        <f>J11-K11</f>
        <v>16187495.199646333</v>
      </c>
    </row>
    <row r="12" spans="1:12" ht="12.75" customHeight="1">
      <c r="A12" s="273" t="s">
        <v>32</v>
      </c>
      <c r="B12" s="274">
        <f t="shared" ref="B12:L12" si="0">B10-B11</f>
        <v>0</v>
      </c>
      <c r="C12" s="275">
        <f t="shared" si="0"/>
        <v>0</v>
      </c>
      <c r="D12" s="275">
        <f t="shared" si="0"/>
        <v>0</v>
      </c>
      <c r="E12" s="272">
        <f t="shared" si="0"/>
        <v>-3.3283130563795567</v>
      </c>
      <c r="F12" s="272">
        <f t="shared" si="0"/>
        <v>-0.20435072551481426</v>
      </c>
      <c r="G12" s="272">
        <f t="shared" si="0"/>
        <v>-3.1239623315632343</v>
      </c>
      <c r="H12" s="272">
        <f t="shared" si="0"/>
        <v>0.27750748250400648</v>
      </c>
      <c r="I12" s="272">
        <f t="shared" si="0"/>
        <v>0</v>
      </c>
      <c r="J12" s="272">
        <f t="shared" si="0"/>
        <v>-3.0508055724203587</v>
      </c>
      <c r="K12" s="272">
        <f t="shared" si="0"/>
        <v>-0.83115923870354891</v>
      </c>
      <c r="L12" s="272">
        <f t="shared" si="0"/>
        <v>-2.2196463327854872</v>
      </c>
    </row>
    <row r="13" spans="1:12" ht="12.75" customHeight="1">
      <c r="A13" s="259"/>
      <c r="B13" s="276"/>
      <c r="C13" s="277"/>
      <c r="E13" s="277"/>
      <c r="G13" s="277"/>
      <c r="H13" s="277"/>
    </row>
    <row r="14" spans="1:12" ht="31.6" customHeight="1">
      <c r="A14" s="293" t="s">
        <v>420</v>
      </c>
      <c r="B14" s="294">
        <v>285165</v>
      </c>
      <c r="C14" s="295" t="s">
        <v>421</v>
      </c>
      <c r="E14" s="277"/>
    </row>
    <row r="15" spans="1:12" ht="12.75" customHeight="1">
      <c r="A15" s="296" t="s">
        <v>109</v>
      </c>
      <c r="B15" s="297">
        <f>B11/12</f>
        <v>6.3895833333333331E-3</v>
      </c>
      <c r="C15" s="298" t="s">
        <v>106</v>
      </c>
      <c r="E15" s="281"/>
    </row>
    <row r="16" spans="1:12" ht="12.75" customHeight="1">
      <c r="A16" s="296" t="s">
        <v>114</v>
      </c>
      <c r="B16" s="299">
        <f>6*12</f>
        <v>72</v>
      </c>
      <c r="C16" s="298" t="s">
        <v>422</v>
      </c>
      <c r="E16" s="282"/>
      <c r="G16" s="277"/>
    </row>
    <row r="17" spans="1:15" ht="12.75" customHeight="1">
      <c r="A17" s="296" t="s">
        <v>110</v>
      </c>
      <c r="B17" s="300">
        <f>-PV(B15,36,B14,,1)-PV(B15,36,B18,,1)/(1+B15)^36</f>
        <v>18970814.238313057</v>
      </c>
      <c r="C17" s="298" t="s">
        <v>117</v>
      </c>
      <c r="D17" s="284"/>
      <c r="E17" s="283"/>
      <c r="F17" s="285"/>
    </row>
    <row r="18" spans="1:15" ht="31.6" customHeight="1">
      <c r="A18" s="293" t="s">
        <v>423</v>
      </c>
      <c r="B18" s="294">
        <v>380646</v>
      </c>
      <c r="C18" s="295" t="s">
        <v>424</v>
      </c>
      <c r="D18" s="286"/>
      <c r="E18" s="277"/>
    </row>
    <row r="19" spans="1:15" ht="12.75" customHeight="1">
      <c r="A19" s="258"/>
      <c r="B19" s="283"/>
      <c r="C19" s="260"/>
      <c r="E19" s="277"/>
    </row>
    <row r="20" spans="1:15" ht="12.75" customHeight="1">
      <c r="A20" s="259"/>
      <c r="B20" s="374" t="s">
        <v>185</v>
      </c>
      <c r="C20" s="374"/>
      <c r="D20" s="374"/>
      <c r="E20" s="375" t="s">
        <v>15</v>
      </c>
      <c r="F20" s="375"/>
      <c r="G20" s="375"/>
      <c r="H20" s="375"/>
    </row>
    <row r="21" spans="1:15" s="288" customFormat="1" ht="12.75" customHeight="1">
      <c r="A21" s="262" t="s">
        <v>176</v>
      </c>
      <c r="B21" s="287" t="s">
        <v>112</v>
      </c>
      <c r="C21" s="287" t="s">
        <v>133</v>
      </c>
      <c r="D21" s="287" t="s">
        <v>111</v>
      </c>
      <c r="E21" s="287" t="s">
        <v>113</v>
      </c>
      <c r="F21" s="287" t="s">
        <v>11</v>
      </c>
      <c r="G21" s="287" t="s">
        <v>10</v>
      </c>
      <c r="H21" s="287" t="s">
        <v>57</v>
      </c>
      <c r="I21" s="259"/>
      <c r="J21" s="259"/>
      <c r="K21" s="259"/>
      <c r="L21" s="259"/>
      <c r="M21" s="259"/>
      <c r="N21" s="259"/>
      <c r="O21" s="259"/>
    </row>
    <row r="22" spans="1:15" ht="12.75" customHeight="1">
      <c r="A22" s="289">
        <v>45992</v>
      </c>
      <c r="B22" s="290">
        <f>B17</f>
        <v>18970814.238313057</v>
      </c>
      <c r="C22" s="272">
        <f t="shared" ref="C22:C85" si="1">$B$17/$B$16</f>
        <v>263483.53108768136</v>
      </c>
      <c r="D22" s="290">
        <f t="shared" ref="D22:D85" si="2">B22-C22</f>
        <v>18707330.707225375</v>
      </c>
      <c r="E22" s="290">
        <f>B22</f>
        <v>18970814.238313057</v>
      </c>
      <c r="F22" s="290">
        <f t="shared" ref="F22:F57" si="3">-$B$14</f>
        <v>-285165</v>
      </c>
      <c r="G22" s="290">
        <f t="shared" ref="G22:G85" si="4">(E22+F22)*$B$15</f>
        <v>119393.51294563779</v>
      </c>
      <c r="H22" s="290">
        <f t="shared" ref="H22:H85" si="5">E22+F22+G22</f>
        <v>18805042.751258694</v>
      </c>
    </row>
    <row r="23" spans="1:15" ht="12.75" customHeight="1">
      <c r="A23" s="289">
        <v>46023</v>
      </c>
      <c r="B23" s="290">
        <f t="shared" ref="B23:B86" si="6">D22</f>
        <v>18707330.707225375</v>
      </c>
      <c r="C23" s="272">
        <f t="shared" si="1"/>
        <v>263483.53108768136</v>
      </c>
      <c r="D23" s="290">
        <f t="shared" si="2"/>
        <v>18443847.176137693</v>
      </c>
      <c r="E23" s="290">
        <f t="shared" ref="E23:E86" si="7">H22</f>
        <v>18805042.751258694</v>
      </c>
      <c r="F23" s="290">
        <f t="shared" si="3"/>
        <v>-285165</v>
      </c>
      <c r="G23" s="290">
        <f t="shared" si="4"/>
        <v>118334.30221481336</v>
      </c>
      <c r="H23" s="290">
        <f t="shared" si="5"/>
        <v>18638212.053473506</v>
      </c>
    </row>
    <row r="24" spans="1:15" ht="12.75" customHeight="1">
      <c r="A24" s="289">
        <v>46054</v>
      </c>
      <c r="B24" s="290">
        <f t="shared" si="6"/>
        <v>18443847.176137693</v>
      </c>
      <c r="C24" s="272">
        <f t="shared" si="1"/>
        <v>263483.53108768136</v>
      </c>
      <c r="D24" s="290">
        <f t="shared" si="2"/>
        <v>18180363.645050012</v>
      </c>
      <c r="E24" s="290">
        <f t="shared" si="7"/>
        <v>18638212.053473506</v>
      </c>
      <c r="F24" s="290">
        <f t="shared" si="3"/>
        <v>-285165</v>
      </c>
      <c r="G24" s="290">
        <f t="shared" si="4"/>
        <v>117268.32356875675</v>
      </c>
      <c r="H24" s="290">
        <f t="shared" si="5"/>
        <v>18470315.377042264</v>
      </c>
    </row>
    <row r="25" spans="1:15" ht="12.75" customHeight="1">
      <c r="A25" s="289">
        <v>46082</v>
      </c>
      <c r="B25" s="290">
        <f t="shared" si="6"/>
        <v>18180363.645050012</v>
      </c>
      <c r="C25" s="272">
        <f t="shared" si="1"/>
        <v>263483.53108768136</v>
      </c>
      <c r="D25" s="290">
        <f t="shared" si="2"/>
        <v>17916880.11396233</v>
      </c>
      <c r="E25" s="290">
        <f t="shared" si="7"/>
        <v>18470315.377042264</v>
      </c>
      <c r="F25" s="290">
        <f t="shared" si="3"/>
        <v>-285165</v>
      </c>
      <c r="G25" s="290">
        <f t="shared" si="4"/>
        <v>116195.53376330962</v>
      </c>
      <c r="H25" s="290">
        <f t="shared" si="5"/>
        <v>18301345.910805572</v>
      </c>
      <c r="I25" s="291"/>
    </row>
    <row r="26" spans="1:15" ht="12.75" customHeight="1">
      <c r="A26" s="289">
        <v>46113</v>
      </c>
      <c r="B26" s="290">
        <f t="shared" si="6"/>
        <v>17916880.11396233</v>
      </c>
      <c r="C26" s="272">
        <f t="shared" si="1"/>
        <v>263483.53108768136</v>
      </c>
      <c r="D26" s="290">
        <f t="shared" si="2"/>
        <v>17653396.582874648</v>
      </c>
      <c r="E26" s="290">
        <f t="shared" si="7"/>
        <v>18301345.910805572</v>
      </c>
      <c r="F26" s="290">
        <f t="shared" si="3"/>
        <v>-285165</v>
      </c>
      <c r="G26" s="290">
        <f t="shared" si="4"/>
        <v>115115.88927800143</v>
      </c>
      <c r="H26" s="290">
        <f t="shared" si="5"/>
        <v>18131296.800083574</v>
      </c>
      <c r="I26" s="291"/>
    </row>
    <row r="27" spans="1:15" ht="12.75" customHeight="1">
      <c r="A27" s="289">
        <v>46143</v>
      </c>
      <c r="B27" s="290">
        <f t="shared" si="6"/>
        <v>17653396.582874648</v>
      </c>
      <c r="C27" s="272">
        <f t="shared" si="1"/>
        <v>263483.53108768136</v>
      </c>
      <c r="D27" s="290">
        <f t="shared" si="2"/>
        <v>17389913.051786967</v>
      </c>
      <c r="E27" s="290">
        <f t="shared" si="7"/>
        <v>18131296.800083574</v>
      </c>
      <c r="F27" s="290">
        <f t="shared" si="3"/>
        <v>-285165</v>
      </c>
      <c r="G27" s="290">
        <f t="shared" si="4"/>
        <v>114029.346314284</v>
      </c>
      <c r="H27" s="290">
        <f t="shared" si="5"/>
        <v>17960161.146397859</v>
      </c>
      <c r="I27" s="291"/>
    </row>
    <row r="28" spans="1:15" ht="12.75" customHeight="1">
      <c r="A28" s="289">
        <v>46174</v>
      </c>
      <c r="B28" s="290">
        <f t="shared" si="6"/>
        <v>17389913.051786967</v>
      </c>
      <c r="C28" s="272">
        <f t="shared" si="1"/>
        <v>263483.53108768136</v>
      </c>
      <c r="D28" s="290">
        <f t="shared" si="2"/>
        <v>17126429.520699285</v>
      </c>
      <c r="E28" s="290">
        <f t="shared" si="7"/>
        <v>17960161.146397859</v>
      </c>
      <c r="F28" s="290">
        <f t="shared" si="3"/>
        <v>-285165</v>
      </c>
      <c r="G28" s="290">
        <f t="shared" si="4"/>
        <v>112935.86079375465</v>
      </c>
      <c r="H28" s="290">
        <f t="shared" si="5"/>
        <v>17787932.007191613</v>
      </c>
      <c r="I28" s="291"/>
    </row>
    <row r="29" spans="1:15" ht="12.75" customHeight="1">
      <c r="A29" s="289">
        <v>46204</v>
      </c>
      <c r="B29" s="290">
        <f t="shared" si="6"/>
        <v>17126429.520699285</v>
      </c>
      <c r="C29" s="272">
        <f t="shared" si="1"/>
        <v>263483.53108768136</v>
      </c>
      <c r="D29" s="290">
        <f t="shared" si="2"/>
        <v>16862945.989611603</v>
      </c>
      <c r="E29" s="290">
        <f t="shared" si="7"/>
        <v>17787932.007191613</v>
      </c>
      <c r="F29" s="290">
        <f t="shared" si="3"/>
        <v>-285165</v>
      </c>
      <c r="G29" s="290">
        <f t="shared" si="4"/>
        <v>111835.38835636807</v>
      </c>
      <c r="H29" s="290">
        <f t="shared" si="5"/>
        <v>17614602.395547982</v>
      </c>
      <c r="I29" s="291"/>
    </row>
    <row r="30" spans="1:15" ht="12.75" customHeight="1">
      <c r="A30" s="289">
        <v>46235</v>
      </c>
      <c r="B30" s="290">
        <f t="shared" si="6"/>
        <v>16862945.989611603</v>
      </c>
      <c r="C30" s="272">
        <f t="shared" si="1"/>
        <v>263483.53108768136</v>
      </c>
      <c r="D30" s="290">
        <f t="shared" si="2"/>
        <v>16599462.458523922</v>
      </c>
      <c r="E30" s="290">
        <f t="shared" si="7"/>
        <v>17614602.395547982</v>
      </c>
      <c r="F30" s="290">
        <f t="shared" si="3"/>
        <v>-285165</v>
      </c>
      <c r="G30" s="290">
        <f t="shared" si="4"/>
        <v>110727.88435863679</v>
      </c>
      <c r="H30" s="290">
        <f t="shared" si="5"/>
        <v>17440165.279906619</v>
      </c>
      <c r="I30" s="291"/>
    </row>
    <row r="31" spans="1:15" ht="12.75" customHeight="1">
      <c r="A31" s="289">
        <v>46266</v>
      </c>
      <c r="B31" s="290">
        <f t="shared" si="6"/>
        <v>16599462.458523922</v>
      </c>
      <c r="C31" s="272">
        <f t="shared" si="1"/>
        <v>263483.53108768136</v>
      </c>
      <c r="D31" s="290">
        <f t="shared" si="2"/>
        <v>16335978.92743624</v>
      </c>
      <c r="E31" s="290">
        <f t="shared" si="7"/>
        <v>17440165.279906619</v>
      </c>
      <c r="F31" s="290">
        <f t="shared" si="3"/>
        <v>-285165</v>
      </c>
      <c r="G31" s="290">
        <f t="shared" si="4"/>
        <v>109613.30387182</v>
      </c>
      <c r="H31" s="290">
        <f t="shared" si="5"/>
        <v>17264613.583778441</v>
      </c>
      <c r="I31" s="291"/>
    </row>
    <row r="32" spans="1:15" ht="12.75" customHeight="1">
      <c r="A32" s="289">
        <v>46296</v>
      </c>
      <c r="B32" s="290">
        <f t="shared" si="6"/>
        <v>16335978.92743624</v>
      </c>
      <c r="C32" s="272">
        <f t="shared" si="1"/>
        <v>263483.53108768136</v>
      </c>
      <c r="D32" s="290">
        <f t="shared" si="2"/>
        <v>16072495.396348558</v>
      </c>
      <c r="E32" s="290">
        <f t="shared" si="7"/>
        <v>17264613.583778441</v>
      </c>
      <c r="F32" s="290">
        <f t="shared" si="3"/>
        <v>-285165</v>
      </c>
      <c r="G32" s="290">
        <f t="shared" si="4"/>
        <v>108491.601680101</v>
      </c>
      <c r="H32" s="290">
        <f t="shared" si="5"/>
        <v>17087940.185458541</v>
      </c>
      <c r="I32" s="291"/>
    </row>
    <row r="33" spans="1:9" ht="12.75" customHeight="1">
      <c r="A33" s="289">
        <v>46327</v>
      </c>
      <c r="B33" s="290">
        <f t="shared" si="6"/>
        <v>16072495.396348558</v>
      </c>
      <c r="C33" s="272">
        <f t="shared" si="1"/>
        <v>263483.53108768136</v>
      </c>
      <c r="D33" s="290">
        <f t="shared" si="2"/>
        <v>15809011.865260877</v>
      </c>
      <c r="E33" s="290">
        <f t="shared" si="7"/>
        <v>17087940.185458541</v>
      </c>
      <c r="F33" s="290">
        <f t="shared" si="3"/>
        <v>-285165</v>
      </c>
      <c r="G33" s="290">
        <f t="shared" si="4"/>
        <v>107362.7322787528</v>
      </c>
      <c r="H33" s="290">
        <f t="shared" si="5"/>
        <v>16910137.917737294</v>
      </c>
      <c r="I33" s="291"/>
    </row>
    <row r="34" spans="1:9" ht="12.75" customHeight="1">
      <c r="A34" s="289">
        <v>46357</v>
      </c>
      <c r="B34" s="290">
        <f t="shared" si="6"/>
        <v>15809011.865260877</v>
      </c>
      <c r="C34" s="272">
        <f t="shared" si="1"/>
        <v>263483.53108768136</v>
      </c>
      <c r="D34" s="290">
        <f t="shared" si="2"/>
        <v>15545528.334173195</v>
      </c>
      <c r="E34" s="290">
        <f t="shared" si="7"/>
        <v>16910137.917737294</v>
      </c>
      <c r="F34" s="290">
        <f t="shared" si="3"/>
        <v>-285165</v>
      </c>
      <c r="G34" s="290">
        <f t="shared" si="4"/>
        <v>106226.64987229224</v>
      </c>
      <c r="H34" s="290">
        <f t="shared" si="5"/>
        <v>16731199.567609586</v>
      </c>
      <c r="I34" s="291"/>
    </row>
    <row r="35" spans="1:9" ht="12.75" customHeight="1">
      <c r="A35" s="289">
        <v>46388</v>
      </c>
      <c r="B35" s="290">
        <f t="shared" si="6"/>
        <v>15545528.334173195</v>
      </c>
      <c r="C35" s="272">
        <f t="shared" si="1"/>
        <v>263483.53108768136</v>
      </c>
      <c r="D35" s="290">
        <f t="shared" si="2"/>
        <v>15282044.803085513</v>
      </c>
      <c r="E35" s="290">
        <f t="shared" si="7"/>
        <v>16731199.567609586</v>
      </c>
      <c r="F35" s="290">
        <f t="shared" si="3"/>
        <v>-285165</v>
      </c>
      <c r="G35" s="290">
        <f t="shared" si="4"/>
        <v>105083.30837262208</v>
      </c>
      <c r="H35" s="290">
        <f t="shared" si="5"/>
        <v>16551117.875982208</v>
      </c>
      <c r="I35" s="291"/>
    </row>
    <row r="36" spans="1:9" ht="12.75" customHeight="1">
      <c r="A36" s="289">
        <v>46419</v>
      </c>
      <c r="B36" s="290">
        <f t="shared" si="6"/>
        <v>15282044.803085513</v>
      </c>
      <c r="C36" s="272">
        <f t="shared" si="1"/>
        <v>263483.53108768136</v>
      </c>
      <c r="D36" s="290">
        <f t="shared" si="2"/>
        <v>15018561.271997832</v>
      </c>
      <c r="E36" s="290">
        <f t="shared" si="7"/>
        <v>16551117.875982208</v>
      </c>
      <c r="F36" s="290">
        <f t="shared" si="3"/>
        <v>-285165</v>
      </c>
      <c r="G36" s="290">
        <f t="shared" si="4"/>
        <v>103932.66139716131</v>
      </c>
      <c r="H36" s="290">
        <f t="shared" si="5"/>
        <v>16369885.537379369</v>
      </c>
      <c r="I36" s="291"/>
    </row>
    <row r="37" spans="1:9" ht="12.75" customHeight="1">
      <c r="A37" s="289">
        <v>46447</v>
      </c>
      <c r="B37" s="290">
        <f t="shared" si="6"/>
        <v>15018561.271997832</v>
      </c>
      <c r="C37" s="272">
        <f t="shared" si="1"/>
        <v>263483.53108768136</v>
      </c>
      <c r="D37" s="290">
        <f t="shared" si="2"/>
        <v>14755077.74091015</v>
      </c>
      <c r="E37" s="290">
        <f t="shared" si="7"/>
        <v>16369885.537379369</v>
      </c>
      <c r="F37" s="290">
        <f t="shared" si="3"/>
        <v>-285165</v>
      </c>
      <c r="G37" s="290">
        <f t="shared" si="4"/>
        <v>102774.66226696358</v>
      </c>
      <c r="H37" s="290">
        <f t="shared" si="5"/>
        <v>16187495.199646333</v>
      </c>
      <c r="I37" s="291"/>
    </row>
    <row r="38" spans="1:9" ht="12.75" customHeight="1">
      <c r="A38" s="289">
        <v>46478</v>
      </c>
      <c r="B38" s="290">
        <f t="shared" si="6"/>
        <v>14755077.74091015</v>
      </c>
      <c r="C38" s="272">
        <f t="shared" si="1"/>
        <v>263483.53108768136</v>
      </c>
      <c r="D38" s="290">
        <f t="shared" si="2"/>
        <v>14491594.209822468</v>
      </c>
      <c r="E38" s="290">
        <f t="shared" si="7"/>
        <v>16187495.199646333</v>
      </c>
      <c r="F38" s="290">
        <f t="shared" si="3"/>
        <v>-285165</v>
      </c>
      <c r="G38" s="290">
        <f t="shared" si="4"/>
        <v>101609.26400482355</v>
      </c>
      <c r="H38" s="290">
        <f t="shared" si="5"/>
        <v>16003939.463651156</v>
      </c>
      <c r="I38" s="291"/>
    </row>
    <row r="39" spans="1:9" ht="12.75" customHeight="1">
      <c r="A39" s="289">
        <v>46508</v>
      </c>
      <c r="B39" s="290">
        <f t="shared" si="6"/>
        <v>14491594.209822468</v>
      </c>
      <c r="C39" s="272">
        <f t="shared" si="1"/>
        <v>263483.53108768136</v>
      </c>
      <c r="D39" s="290">
        <f t="shared" si="2"/>
        <v>14228110.678734787</v>
      </c>
      <c r="E39" s="290">
        <f t="shared" si="7"/>
        <v>16003939.463651156</v>
      </c>
      <c r="F39" s="290">
        <f t="shared" si="3"/>
        <v>-285165</v>
      </c>
      <c r="G39" s="290">
        <f t="shared" si="4"/>
        <v>100436.41933337103</v>
      </c>
      <c r="H39" s="290">
        <f t="shared" si="5"/>
        <v>15819210.882984526</v>
      </c>
    </row>
    <row r="40" spans="1:9" ht="12.75" customHeight="1">
      <c r="A40" s="289">
        <v>46539</v>
      </c>
      <c r="B40" s="290">
        <f t="shared" si="6"/>
        <v>14228110.678734787</v>
      </c>
      <c r="C40" s="272">
        <f t="shared" si="1"/>
        <v>263483.53108768136</v>
      </c>
      <c r="D40" s="290">
        <f t="shared" si="2"/>
        <v>13964627.147647105</v>
      </c>
      <c r="E40" s="290">
        <f t="shared" si="7"/>
        <v>15819210.882984526</v>
      </c>
      <c r="F40" s="290">
        <f t="shared" si="3"/>
        <v>-285165</v>
      </c>
      <c r="G40" s="290">
        <f t="shared" si="4"/>
        <v>99256.080673153207</v>
      </c>
      <c r="H40" s="290">
        <f t="shared" si="5"/>
        <v>15633301.963657679</v>
      </c>
    </row>
    <row r="41" spans="1:9" ht="12.75" customHeight="1">
      <c r="A41" s="289">
        <v>46569</v>
      </c>
      <c r="B41" s="290">
        <f t="shared" si="6"/>
        <v>13964627.147647105</v>
      </c>
      <c r="C41" s="272">
        <f t="shared" si="1"/>
        <v>263483.53108768136</v>
      </c>
      <c r="D41" s="290">
        <f t="shared" si="2"/>
        <v>13701143.616559424</v>
      </c>
      <c r="E41" s="290">
        <f t="shared" si="7"/>
        <v>15633301.963657679</v>
      </c>
      <c r="F41" s="290">
        <f t="shared" si="3"/>
        <v>-285165</v>
      </c>
      <c r="G41" s="290">
        <f t="shared" si="4"/>
        <v>98068.200140704372</v>
      </c>
      <c r="H41" s="290">
        <f t="shared" si="5"/>
        <v>15446205.163798383</v>
      </c>
    </row>
    <row r="42" spans="1:9" ht="12.75" customHeight="1">
      <c r="A42" s="289">
        <v>46600</v>
      </c>
      <c r="B42" s="290">
        <f t="shared" si="6"/>
        <v>13701143.616559424</v>
      </c>
      <c r="C42" s="272">
        <f t="shared" si="1"/>
        <v>263483.53108768136</v>
      </c>
      <c r="D42" s="290">
        <f t="shared" si="2"/>
        <v>13437660.085471742</v>
      </c>
      <c r="E42" s="290">
        <f t="shared" si="7"/>
        <v>15446205.163798383</v>
      </c>
      <c r="F42" s="290">
        <f t="shared" si="3"/>
        <v>-285165</v>
      </c>
      <c r="G42" s="290">
        <f t="shared" si="4"/>
        <v>96872.729546603412</v>
      </c>
      <c r="H42" s="290">
        <f t="shared" si="5"/>
        <v>15257912.893344985</v>
      </c>
    </row>
    <row r="43" spans="1:9" ht="12.75" customHeight="1">
      <c r="A43" s="289">
        <v>46631</v>
      </c>
      <c r="B43" s="290">
        <f t="shared" si="6"/>
        <v>13437660.085471742</v>
      </c>
      <c r="C43" s="272">
        <f t="shared" si="1"/>
        <v>263483.53108768136</v>
      </c>
      <c r="D43" s="290">
        <f t="shared" si="2"/>
        <v>13174176.55438406</v>
      </c>
      <c r="E43" s="290">
        <f t="shared" si="7"/>
        <v>15257912.893344985</v>
      </c>
      <c r="F43" s="290">
        <f t="shared" si="3"/>
        <v>-285165</v>
      </c>
      <c r="G43" s="290">
        <f t="shared" si="4"/>
        <v>95669.620393518897</v>
      </c>
      <c r="H43" s="290">
        <f t="shared" si="5"/>
        <v>15068417.513738504</v>
      </c>
    </row>
    <row r="44" spans="1:9" ht="12.75" customHeight="1">
      <c r="A44" s="289">
        <v>46661</v>
      </c>
      <c r="B44" s="290">
        <f t="shared" si="6"/>
        <v>13174176.55438406</v>
      </c>
      <c r="C44" s="272">
        <f t="shared" si="1"/>
        <v>263483.53108768136</v>
      </c>
      <c r="D44" s="290">
        <f t="shared" si="2"/>
        <v>12910693.023296379</v>
      </c>
      <c r="E44" s="290">
        <f t="shared" si="7"/>
        <v>15068417.513738504</v>
      </c>
      <c r="F44" s="290">
        <f t="shared" si="3"/>
        <v>-285165</v>
      </c>
      <c r="G44" s="290">
        <f t="shared" si="4"/>
        <v>94458.823874241643</v>
      </c>
      <c r="H44" s="290">
        <f t="shared" si="5"/>
        <v>14877711.337612744</v>
      </c>
    </row>
    <row r="45" spans="1:9" ht="12.75" customHeight="1">
      <c r="A45" s="289">
        <v>46692</v>
      </c>
      <c r="B45" s="290">
        <f t="shared" si="6"/>
        <v>12910693.023296379</v>
      </c>
      <c r="C45" s="272">
        <f t="shared" si="1"/>
        <v>263483.53108768136</v>
      </c>
      <c r="D45" s="290">
        <f t="shared" si="2"/>
        <v>12647209.492208697</v>
      </c>
      <c r="E45" s="290">
        <f t="shared" si="7"/>
        <v>14877711.337612744</v>
      </c>
      <c r="F45" s="290">
        <f t="shared" si="3"/>
        <v>-285165</v>
      </c>
      <c r="G45" s="290">
        <f t="shared" si="4"/>
        <v>93240.290869704768</v>
      </c>
      <c r="H45" s="290">
        <f t="shared" si="5"/>
        <v>14685786.62848245</v>
      </c>
    </row>
    <row r="46" spans="1:9" ht="12.75" customHeight="1">
      <c r="A46" s="289">
        <v>46722</v>
      </c>
      <c r="B46" s="290">
        <f t="shared" si="6"/>
        <v>12647209.492208697</v>
      </c>
      <c r="C46" s="272">
        <f t="shared" si="1"/>
        <v>263483.53108768136</v>
      </c>
      <c r="D46" s="290">
        <f t="shared" si="2"/>
        <v>12383725.961121015</v>
      </c>
      <c r="E46" s="290">
        <f t="shared" si="7"/>
        <v>14685786.62848245</v>
      </c>
      <c r="F46" s="290">
        <f t="shared" si="3"/>
        <v>-285165</v>
      </c>
      <c r="G46" s="290">
        <f t="shared" si="4"/>
        <v>92013.971946990976</v>
      </c>
      <c r="H46" s="290">
        <f t="shared" si="5"/>
        <v>14492635.60042944</v>
      </c>
    </row>
    <row r="47" spans="1:9" ht="12.75" customHeight="1">
      <c r="A47" s="289">
        <v>46753</v>
      </c>
      <c r="B47" s="290">
        <f t="shared" si="6"/>
        <v>12383725.961121015</v>
      </c>
      <c r="C47" s="272">
        <f t="shared" si="1"/>
        <v>263483.53108768136</v>
      </c>
      <c r="D47" s="290">
        <f t="shared" si="2"/>
        <v>12120242.430033334</v>
      </c>
      <c r="E47" s="290">
        <f t="shared" si="7"/>
        <v>14492635.60042944</v>
      </c>
      <c r="F47" s="290">
        <f t="shared" si="3"/>
        <v>-285165</v>
      </c>
      <c r="G47" s="290">
        <f t="shared" si="4"/>
        <v>90779.817357327265</v>
      </c>
      <c r="H47" s="290">
        <f t="shared" si="5"/>
        <v>14298250.417786768</v>
      </c>
    </row>
    <row r="48" spans="1:9" ht="12.75" customHeight="1">
      <c r="A48" s="289">
        <v>46784</v>
      </c>
      <c r="B48" s="290">
        <f t="shared" si="6"/>
        <v>12120242.430033334</v>
      </c>
      <c r="C48" s="272">
        <f t="shared" si="1"/>
        <v>263483.53108768136</v>
      </c>
      <c r="D48" s="290">
        <f t="shared" si="2"/>
        <v>11856758.898945652</v>
      </c>
      <c r="E48" s="290">
        <f t="shared" si="7"/>
        <v>14298250.417786768</v>
      </c>
      <c r="F48" s="290">
        <f t="shared" si="3"/>
        <v>-285165</v>
      </c>
      <c r="G48" s="290">
        <f t="shared" si="4"/>
        <v>89537.77703406669</v>
      </c>
      <c r="H48" s="290">
        <f t="shared" si="5"/>
        <v>14102623.194820834</v>
      </c>
    </row>
    <row r="49" spans="1:8" ht="12.75" customHeight="1">
      <c r="A49" s="289">
        <v>46813</v>
      </c>
      <c r="B49" s="290">
        <f t="shared" si="6"/>
        <v>11856758.898945652</v>
      </c>
      <c r="C49" s="272">
        <f t="shared" si="1"/>
        <v>263483.53108768136</v>
      </c>
      <c r="D49" s="290">
        <f t="shared" si="2"/>
        <v>11593275.36785797</v>
      </c>
      <c r="E49" s="290">
        <f t="shared" si="7"/>
        <v>14102623.194820834</v>
      </c>
      <c r="F49" s="290">
        <f t="shared" si="3"/>
        <v>-285165</v>
      </c>
      <c r="G49" s="290">
        <f t="shared" si="4"/>
        <v>88287.80059065728</v>
      </c>
      <c r="H49" s="290">
        <f t="shared" si="5"/>
        <v>13905745.995411491</v>
      </c>
    </row>
    <row r="50" spans="1:8" ht="12.75" customHeight="1">
      <c r="A50" s="289">
        <v>46844</v>
      </c>
      <c r="B50" s="290">
        <f t="shared" si="6"/>
        <v>11593275.36785797</v>
      </c>
      <c r="C50" s="272">
        <f t="shared" si="1"/>
        <v>263483.53108768136</v>
      </c>
      <c r="D50" s="290">
        <f t="shared" si="2"/>
        <v>11329791.836770289</v>
      </c>
      <c r="E50" s="290">
        <f t="shared" si="7"/>
        <v>13905745.995411491</v>
      </c>
      <c r="F50" s="290">
        <f t="shared" si="3"/>
        <v>-285165</v>
      </c>
      <c r="G50" s="290">
        <f t="shared" si="4"/>
        <v>87029.837318598002</v>
      </c>
      <c r="H50" s="290">
        <f t="shared" si="5"/>
        <v>13707610.832730088</v>
      </c>
    </row>
    <row r="51" spans="1:8" ht="12.75" customHeight="1">
      <c r="A51" s="289">
        <v>46874</v>
      </c>
      <c r="B51" s="290">
        <f t="shared" si="6"/>
        <v>11329791.836770289</v>
      </c>
      <c r="C51" s="272">
        <f t="shared" si="1"/>
        <v>263483.53108768136</v>
      </c>
      <c r="D51" s="290">
        <f t="shared" si="2"/>
        <v>11066308.305682607</v>
      </c>
      <c r="E51" s="290">
        <f t="shared" si="7"/>
        <v>13707610.832730088</v>
      </c>
      <c r="F51" s="290">
        <f t="shared" si="3"/>
        <v>-285165</v>
      </c>
      <c r="G51" s="290">
        <f t="shared" si="4"/>
        <v>85763.836185381617</v>
      </c>
      <c r="H51" s="290">
        <f t="shared" si="5"/>
        <v>13508209.668915469</v>
      </c>
    </row>
    <row r="52" spans="1:8" ht="12.75" customHeight="1">
      <c r="A52" s="289">
        <v>46905</v>
      </c>
      <c r="B52" s="290">
        <f t="shared" si="6"/>
        <v>11066308.305682607</v>
      </c>
      <c r="C52" s="272">
        <f t="shared" si="1"/>
        <v>263483.53108768136</v>
      </c>
      <c r="D52" s="290">
        <f t="shared" si="2"/>
        <v>10802824.774594925</v>
      </c>
      <c r="E52" s="290">
        <f t="shared" si="7"/>
        <v>13508209.668915469</v>
      </c>
      <c r="F52" s="290">
        <f t="shared" si="3"/>
        <v>-285165</v>
      </c>
      <c r="G52" s="290">
        <f t="shared" si="4"/>
        <v>84489.745832424465</v>
      </c>
      <c r="H52" s="290">
        <f t="shared" si="5"/>
        <v>13307534.414747894</v>
      </c>
    </row>
    <row r="53" spans="1:8" ht="12.75" customHeight="1">
      <c r="A53" s="289">
        <v>46935</v>
      </c>
      <c r="B53" s="290">
        <f t="shared" si="6"/>
        <v>10802824.774594925</v>
      </c>
      <c r="C53" s="272">
        <f t="shared" si="1"/>
        <v>263483.53108768136</v>
      </c>
      <c r="D53" s="290">
        <f t="shared" si="2"/>
        <v>10539341.243507244</v>
      </c>
      <c r="E53" s="290">
        <f t="shared" si="7"/>
        <v>13307534.414747894</v>
      </c>
      <c r="F53" s="290">
        <f t="shared" si="3"/>
        <v>-285165</v>
      </c>
      <c r="G53" s="290">
        <f t="shared" si="4"/>
        <v>83207.514572982895</v>
      </c>
      <c r="H53" s="290">
        <f t="shared" si="5"/>
        <v>13105576.929320877</v>
      </c>
    </row>
    <row r="54" spans="1:8" ht="12.75" customHeight="1">
      <c r="A54" s="289">
        <v>46966</v>
      </c>
      <c r="B54" s="290">
        <f t="shared" si="6"/>
        <v>10539341.243507244</v>
      </c>
      <c r="C54" s="272">
        <f t="shared" si="1"/>
        <v>263483.53108768136</v>
      </c>
      <c r="D54" s="290">
        <f t="shared" si="2"/>
        <v>10275857.712419562</v>
      </c>
      <c r="E54" s="290">
        <f t="shared" si="7"/>
        <v>13105576.929320877</v>
      </c>
      <c r="F54" s="290">
        <f t="shared" si="3"/>
        <v>-285165</v>
      </c>
      <c r="G54" s="290">
        <f t="shared" si="4"/>
        <v>81917.090390056517</v>
      </c>
      <c r="H54" s="290">
        <f t="shared" si="5"/>
        <v>12902329.019710934</v>
      </c>
    </row>
    <row r="55" spans="1:8" ht="12.75" customHeight="1">
      <c r="A55" s="289">
        <v>46997</v>
      </c>
      <c r="B55" s="290">
        <f t="shared" si="6"/>
        <v>10275857.712419562</v>
      </c>
      <c r="C55" s="272">
        <f t="shared" si="1"/>
        <v>263483.53108768136</v>
      </c>
      <c r="D55" s="290">
        <f t="shared" si="2"/>
        <v>10012374.18133188</v>
      </c>
      <c r="E55" s="290">
        <f t="shared" si="7"/>
        <v>12902329.019710934</v>
      </c>
      <c r="F55" s="290">
        <f t="shared" si="3"/>
        <v>-285165</v>
      </c>
      <c r="G55" s="290">
        <f t="shared" si="4"/>
        <v>80618.42093427798</v>
      </c>
      <c r="H55" s="290">
        <f t="shared" si="5"/>
        <v>12697782.440645212</v>
      </c>
    </row>
    <row r="56" spans="1:8" ht="12.75" customHeight="1">
      <c r="A56" s="289">
        <v>47027</v>
      </c>
      <c r="B56" s="290">
        <f t="shared" si="6"/>
        <v>10012374.18133188</v>
      </c>
      <c r="C56" s="272">
        <f t="shared" si="1"/>
        <v>263483.53108768136</v>
      </c>
      <c r="D56" s="290">
        <f t="shared" si="2"/>
        <v>9748890.6502441987</v>
      </c>
      <c r="E56" s="290">
        <f t="shared" si="7"/>
        <v>12697782.440645212</v>
      </c>
      <c r="F56" s="290">
        <f t="shared" si="3"/>
        <v>-285165</v>
      </c>
      <c r="G56" s="290">
        <f t="shared" si="4"/>
        <v>79311.453521789299</v>
      </c>
      <c r="H56" s="290">
        <f t="shared" si="5"/>
        <v>12491928.894167002</v>
      </c>
    </row>
    <row r="57" spans="1:8" ht="12.75" customHeight="1">
      <c r="A57" s="289">
        <v>47058</v>
      </c>
      <c r="B57" s="290">
        <f t="shared" si="6"/>
        <v>9748890.6502441987</v>
      </c>
      <c r="C57" s="272">
        <f t="shared" si="1"/>
        <v>263483.53108768136</v>
      </c>
      <c r="D57" s="290">
        <f t="shared" si="2"/>
        <v>9485407.1191565171</v>
      </c>
      <c r="E57" s="290">
        <f t="shared" si="7"/>
        <v>12491928.894167002</v>
      </c>
      <c r="F57" s="290">
        <f t="shared" si="3"/>
        <v>-285165</v>
      </c>
      <c r="G57" s="290">
        <f t="shared" si="4"/>
        <v>77996.135132104566</v>
      </c>
      <c r="H57" s="290">
        <f t="shared" si="5"/>
        <v>12284760.029299106</v>
      </c>
    </row>
    <row r="58" spans="1:8" ht="12.75" customHeight="1">
      <c r="A58" s="289">
        <v>47088</v>
      </c>
      <c r="B58" s="290">
        <f t="shared" si="6"/>
        <v>9485407.1191565171</v>
      </c>
      <c r="C58" s="272">
        <f t="shared" si="1"/>
        <v>263483.53108768136</v>
      </c>
      <c r="D58" s="290">
        <f t="shared" si="2"/>
        <v>9221923.5880688354</v>
      </c>
      <c r="E58" s="290">
        <f t="shared" si="7"/>
        <v>12284760.029299106</v>
      </c>
      <c r="F58" s="290">
        <f t="shared" ref="F58:F93" si="8">-$B$18</f>
        <v>-380646</v>
      </c>
      <c r="G58" s="290">
        <f t="shared" si="4"/>
        <v>76062.328599709086</v>
      </c>
      <c r="H58" s="290">
        <f t="shared" si="5"/>
        <v>11980176.357898816</v>
      </c>
    </row>
    <row r="59" spans="1:8" ht="12.75" customHeight="1">
      <c r="A59" s="289">
        <v>47119</v>
      </c>
      <c r="B59" s="290">
        <f t="shared" si="6"/>
        <v>9221923.5880688354</v>
      </c>
      <c r="C59" s="272">
        <f t="shared" si="1"/>
        <v>263483.53108768136</v>
      </c>
      <c r="D59" s="290">
        <f t="shared" si="2"/>
        <v>8958440.0569811538</v>
      </c>
      <c r="E59" s="290">
        <f t="shared" si="7"/>
        <v>11980176.357898816</v>
      </c>
      <c r="F59" s="290">
        <f t="shared" si="8"/>
        <v>-380646</v>
      </c>
      <c r="G59" s="290">
        <f t="shared" si="4"/>
        <v>74116.165849324316</v>
      </c>
      <c r="H59" s="290">
        <f t="shared" si="5"/>
        <v>11673646.523748141</v>
      </c>
    </row>
    <row r="60" spans="1:8" ht="12.75" customHeight="1">
      <c r="A60" s="289">
        <v>47150</v>
      </c>
      <c r="B60" s="290">
        <f t="shared" si="6"/>
        <v>8958440.0569811538</v>
      </c>
      <c r="C60" s="272">
        <f t="shared" si="1"/>
        <v>263483.53108768136</v>
      </c>
      <c r="D60" s="290">
        <f t="shared" si="2"/>
        <v>8694956.5258934721</v>
      </c>
      <c r="E60" s="290">
        <f t="shared" si="7"/>
        <v>11673646.523748141</v>
      </c>
      <c r="F60" s="290">
        <f t="shared" si="8"/>
        <v>-380646</v>
      </c>
      <c r="G60" s="290">
        <f t="shared" si="4"/>
        <v>72157.56792986572</v>
      </c>
      <c r="H60" s="290">
        <f t="shared" si="5"/>
        <v>11365158.091678007</v>
      </c>
    </row>
    <row r="61" spans="1:8" ht="12.75" customHeight="1">
      <c r="A61" s="289">
        <v>47178</v>
      </c>
      <c r="B61" s="290">
        <f t="shared" si="6"/>
        <v>8694956.5258934721</v>
      </c>
      <c r="C61" s="272">
        <f t="shared" si="1"/>
        <v>263483.53108768136</v>
      </c>
      <c r="D61" s="290">
        <f t="shared" si="2"/>
        <v>8431472.9948057905</v>
      </c>
      <c r="E61" s="290">
        <f t="shared" si="7"/>
        <v>11365158.091678007</v>
      </c>
      <c r="F61" s="290">
        <f t="shared" si="8"/>
        <v>-380646</v>
      </c>
      <c r="G61" s="290">
        <f t="shared" si="4"/>
        <v>70186.455385784255</v>
      </c>
      <c r="H61" s="290">
        <f t="shared" si="5"/>
        <v>11054698.54706379</v>
      </c>
    </row>
    <row r="62" spans="1:8" ht="12.75" customHeight="1">
      <c r="A62" s="289">
        <v>47209</v>
      </c>
      <c r="B62" s="290">
        <f t="shared" si="6"/>
        <v>8431472.9948057905</v>
      </c>
      <c r="C62" s="272">
        <f t="shared" si="1"/>
        <v>263483.53108768136</v>
      </c>
      <c r="D62" s="290">
        <f t="shared" si="2"/>
        <v>8167989.4637181088</v>
      </c>
      <c r="E62" s="290">
        <f t="shared" si="7"/>
        <v>11054698.54706379</v>
      </c>
      <c r="F62" s="290">
        <f t="shared" si="8"/>
        <v>-380646</v>
      </c>
      <c r="G62" s="290">
        <f t="shared" si="4"/>
        <v>68202.748253843005</v>
      </c>
      <c r="H62" s="290">
        <f t="shared" si="5"/>
        <v>10742255.295317633</v>
      </c>
    </row>
    <row r="63" spans="1:8" ht="12.75" customHeight="1">
      <c r="A63" s="289">
        <v>47239</v>
      </c>
      <c r="B63" s="290">
        <f t="shared" si="6"/>
        <v>8167989.4637181088</v>
      </c>
      <c r="C63" s="272">
        <f t="shared" si="1"/>
        <v>263483.53108768136</v>
      </c>
      <c r="D63" s="290">
        <f t="shared" si="2"/>
        <v>7904505.9326304272</v>
      </c>
      <c r="E63" s="290">
        <f t="shared" si="7"/>
        <v>10742255.295317633</v>
      </c>
      <c r="F63" s="290">
        <f t="shared" si="8"/>
        <v>-380646</v>
      </c>
      <c r="G63" s="290">
        <f t="shared" si="4"/>
        <v>66206.366059873297</v>
      </c>
      <c r="H63" s="290">
        <f t="shared" si="5"/>
        <v>10427815.661377506</v>
      </c>
    </row>
    <row r="64" spans="1:8" ht="12.75" customHeight="1">
      <c r="A64" s="289">
        <v>47270</v>
      </c>
      <c r="B64" s="290">
        <f t="shared" si="6"/>
        <v>7904505.9326304272</v>
      </c>
      <c r="C64" s="272">
        <f t="shared" si="1"/>
        <v>263483.53108768136</v>
      </c>
      <c r="D64" s="290">
        <f t="shared" si="2"/>
        <v>7641022.4015427455</v>
      </c>
      <c r="E64" s="290">
        <f t="shared" si="7"/>
        <v>10427815.661377506</v>
      </c>
      <c r="F64" s="290">
        <f t="shared" si="8"/>
        <v>-380646</v>
      </c>
      <c r="G64" s="290">
        <f t="shared" si="4"/>
        <v>64197.227815510021</v>
      </c>
      <c r="H64" s="290">
        <f t="shared" si="5"/>
        <v>10111366.889193017</v>
      </c>
    </row>
    <row r="65" spans="1:8" ht="12.75" customHeight="1">
      <c r="A65" s="289">
        <v>47300</v>
      </c>
      <c r="B65" s="290">
        <f t="shared" si="6"/>
        <v>7641022.4015427455</v>
      </c>
      <c r="C65" s="272">
        <f t="shared" si="1"/>
        <v>263483.53108768136</v>
      </c>
      <c r="D65" s="290">
        <f t="shared" si="2"/>
        <v>7377538.8704550639</v>
      </c>
      <c r="E65" s="290">
        <f t="shared" si="7"/>
        <v>10111366.889193017</v>
      </c>
      <c r="F65" s="290">
        <f t="shared" si="8"/>
        <v>-380646</v>
      </c>
      <c r="G65" s="290">
        <f t="shared" si="4"/>
        <v>62175.252014906211</v>
      </c>
      <c r="H65" s="290">
        <f t="shared" si="5"/>
        <v>9792896.1412079241</v>
      </c>
    </row>
    <row r="66" spans="1:8" ht="12.75" customHeight="1">
      <c r="A66" s="289">
        <v>47331</v>
      </c>
      <c r="B66" s="290">
        <f t="shared" si="6"/>
        <v>7377538.8704550639</v>
      </c>
      <c r="C66" s="272">
        <f t="shared" si="1"/>
        <v>263483.53108768136</v>
      </c>
      <c r="D66" s="290">
        <f t="shared" si="2"/>
        <v>7114055.3393673822</v>
      </c>
      <c r="E66" s="290">
        <f t="shared" si="7"/>
        <v>9792896.1412079241</v>
      </c>
      <c r="F66" s="290">
        <f t="shared" si="8"/>
        <v>-380646</v>
      </c>
      <c r="G66" s="290">
        <f t="shared" si="4"/>
        <v>60140.356631426461</v>
      </c>
      <c r="H66" s="290">
        <f t="shared" si="5"/>
        <v>9472390.4978393503</v>
      </c>
    </row>
    <row r="67" spans="1:8" ht="12.75" customHeight="1">
      <c r="A67" s="289">
        <v>47362</v>
      </c>
      <c r="B67" s="290">
        <f t="shared" si="6"/>
        <v>7114055.3393673822</v>
      </c>
      <c r="C67" s="272">
        <f t="shared" si="1"/>
        <v>263483.53108768136</v>
      </c>
      <c r="D67" s="290">
        <f t="shared" si="2"/>
        <v>6850571.8082797006</v>
      </c>
      <c r="E67" s="290">
        <f t="shared" si="7"/>
        <v>9472390.4978393503</v>
      </c>
      <c r="F67" s="290">
        <f t="shared" si="8"/>
        <v>-380646</v>
      </c>
      <c r="G67" s="290">
        <f t="shared" si="4"/>
        <v>58092.459114319347</v>
      </c>
      <c r="H67" s="290">
        <f t="shared" si="5"/>
        <v>9149836.956953669</v>
      </c>
    </row>
    <row r="68" spans="1:8" ht="12.75" customHeight="1">
      <c r="A68" s="289">
        <v>47392</v>
      </c>
      <c r="B68" s="290">
        <f t="shared" si="6"/>
        <v>6850571.8082797006</v>
      </c>
      <c r="C68" s="272">
        <f t="shared" si="1"/>
        <v>263483.53108768136</v>
      </c>
      <c r="D68" s="290">
        <f t="shared" si="2"/>
        <v>6587088.2771920189</v>
      </c>
      <c r="E68" s="290">
        <f t="shared" si="7"/>
        <v>9149836.956953669</v>
      </c>
      <c r="F68" s="290">
        <f t="shared" si="8"/>
        <v>-380646</v>
      </c>
      <c r="G68" s="290">
        <f t="shared" si="4"/>
        <v>56031.476385368544</v>
      </c>
      <c r="H68" s="290">
        <f t="shared" si="5"/>
        <v>8825222.433339037</v>
      </c>
    </row>
    <row r="69" spans="1:8" ht="12.75" customHeight="1">
      <c r="A69" s="289">
        <v>47423</v>
      </c>
      <c r="B69" s="290">
        <f t="shared" si="6"/>
        <v>6587088.2771920189</v>
      </c>
      <c r="C69" s="272">
        <f t="shared" si="1"/>
        <v>263483.53108768136</v>
      </c>
      <c r="D69" s="290">
        <f t="shared" si="2"/>
        <v>6323604.7461043373</v>
      </c>
      <c r="E69" s="290">
        <f t="shared" si="7"/>
        <v>8825222.433339037</v>
      </c>
      <c r="F69" s="290">
        <f t="shared" si="8"/>
        <v>-380646</v>
      </c>
      <c r="G69" s="290">
        <f t="shared" si="4"/>
        <v>53957.324835522551</v>
      </c>
      <c r="H69" s="290">
        <f t="shared" si="5"/>
        <v>8498533.7581745591</v>
      </c>
    </row>
    <row r="70" spans="1:8" ht="12.75" customHeight="1">
      <c r="A70" s="289">
        <v>47453</v>
      </c>
      <c r="B70" s="290">
        <f t="shared" si="6"/>
        <v>6323604.7461043373</v>
      </c>
      <c r="C70" s="272">
        <f t="shared" si="1"/>
        <v>263483.53108768136</v>
      </c>
      <c r="D70" s="290">
        <f t="shared" si="2"/>
        <v>6060121.2150166556</v>
      </c>
      <c r="E70" s="290">
        <f t="shared" si="7"/>
        <v>8498533.7581745591</v>
      </c>
      <c r="F70" s="290">
        <f t="shared" si="8"/>
        <v>-380646</v>
      </c>
      <c r="G70" s="290">
        <f t="shared" si="4"/>
        <v>51869.920321502861</v>
      </c>
      <c r="H70" s="290">
        <f t="shared" si="5"/>
        <v>8169757.6784960618</v>
      </c>
    </row>
    <row r="71" spans="1:8" ht="12.75" customHeight="1">
      <c r="A71" s="289">
        <v>47484</v>
      </c>
      <c r="B71" s="290">
        <f t="shared" si="6"/>
        <v>6060121.2150166556</v>
      </c>
      <c r="C71" s="272">
        <f t="shared" si="1"/>
        <v>263483.53108768136</v>
      </c>
      <c r="D71" s="290">
        <f t="shared" si="2"/>
        <v>5796637.683928974</v>
      </c>
      <c r="E71" s="290">
        <f t="shared" si="7"/>
        <v>8169757.6784960618</v>
      </c>
      <c r="F71" s="290">
        <f t="shared" si="8"/>
        <v>-380646</v>
      </c>
      <c r="G71" s="290">
        <f t="shared" si="4"/>
        <v>49769.178162390461</v>
      </c>
      <c r="H71" s="290">
        <f t="shared" si="5"/>
        <v>7838880.8566584522</v>
      </c>
    </row>
    <row r="72" spans="1:8" ht="12.75" customHeight="1">
      <c r="A72" s="289">
        <v>47515</v>
      </c>
      <c r="B72" s="290">
        <f t="shared" si="6"/>
        <v>5796637.683928974</v>
      </c>
      <c r="C72" s="272">
        <f t="shared" si="1"/>
        <v>263483.53108768136</v>
      </c>
      <c r="D72" s="290">
        <f t="shared" si="2"/>
        <v>5533154.1528412923</v>
      </c>
      <c r="E72" s="290">
        <f t="shared" si="7"/>
        <v>7838880.8566584522</v>
      </c>
      <c r="F72" s="290">
        <f t="shared" si="8"/>
        <v>-380646</v>
      </c>
      <c r="G72" s="290">
        <f t="shared" si="4"/>
        <v>47655.013136190566</v>
      </c>
      <c r="H72" s="290">
        <f t="shared" si="5"/>
        <v>7505889.8697946426</v>
      </c>
    </row>
    <row r="73" spans="1:8" ht="12.75" customHeight="1">
      <c r="A73" s="289">
        <v>47543</v>
      </c>
      <c r="B73" s="290">
        <f t="shared" si="6"/>
        <v>5533154.1528412923</v>
      </c>
      <c r="C73" s="272">
        <f t="shared" si="1"/>
        <v>263483.53108768136</v>
      </c>
      <c r="D73" s="290">
        <f t="shared" si="2"/>
        <v>5269670.6217536107</v>
      </c>
      <c r="E73" s="290">
        <f t="shared" si="7"/>
        <v>7505889.8697946426</v>
      </c>
      <c r="F73" s="290">
        <f t="shared" si="8"/>
        <v>-380646</v>
      </c>
      <c r="G73" s="290">
        <f t="shared" si="4"/>
        <v>45527.339476375346</v>
      </c>
      <c r="H73" s="290">
        <f t="shared" si="5"/>
        <v>7170771.2092710175</v>
      </c>
    </row>
    <row r="74" spans="1:8" ht="12.75" customHeight="1">
      <c r="A74" s="289">
        <v>47574</v>
      </c>
      <c r="B74" s="290">
        <f t="shared" si="6"/>
        <v>5269670.6217536107</v>
      </c>
      <c r="C74" s="272">
        <f t="shared" si="1"/>
        <v>263483.53108768136</v>
      </c>
      <c r="D74" s="290">
        <f t="shared" si="2"/>
        <v>5006187.090665929</v>
      </c>
      <c r="E74" s="290">
        <f t="shared" si="7"/>
        <v>7170771.2092710175</v>
      </c>
      <c r="F74" s="290">
        <f t="shared" si="8"/>
        <v>-380646</v>
      </c>
      <c r="G74" s="290">
        <f t="shared" si="4"/>
        <v>43386.070868404604</v>
      </c>
      <c r="H74" s="290">
        <f t="shared" si="5"/>
        <v>6833511.280139422</v>
      </c>
    </row>
    <row r="75" spans="1:8" ht="12.75" customHeight="1">
      <c r="A75" s="289">
        <v>47604</v>
      </c>
      <c r="B75" s="290">
        <f t="shared" si="6"/>
        <v>5006187.090665929</v>
      </c>
      <c r="C75" s="272">
        <f t="shared" si="1"/>
        <v>263483.53108768136</v>
      </c>
      <c r="D75" s="290">
        <f t="shared" si="2"/>
        <v>4742703.5595782474</v>
      </c>
      <c r="E75" s="290">
        <f t="shared" si="7"/>
        <v>6833511.280139422</v>
      </c>
      <c r="F75" s="290">
        <f t="shared" si="8"/>
        <v>-380646</v>
      </c>
      <c r="G75" s="290">
        <f t="shared" si="4"/>
        <v>41231.12044622418</v>
      </c>
      <c r="H75" s="290">
        <f t="shared" si="5"/>
        <v>6494096.4005856458</v>
      </c>
    </row>
    <row r="76" spans="1:8" ht="12.75" customHeight="1">
      <c r="A76" s="289">
        <v>47635</v>
      </c>
      <c r="B76" s="290">
        <f t="shared" si="6"/>
        <v>4742703.5595782474</v>
      </c>
      <c r="C76" s="272">
        <f t="shared" si="1"/>
        <v>263483.53108768136</v>
      </c>
      <c r="D76" s="290">
        <f t="shared" si="2"/>
        <v>4479220.0284905657</v>
      </c>
      <c r="E76" s="290">
        <f t="shared" si="7"/>
        <v>6494096.4005856458</v>
      </c>
      <c r="F76" s="290">
        <f t="shared" si="8"/>
        <v>-380646</v>
      </c>
      <c r="G76" s="290">
        <f t="shared" si="4"/>
        <v>39062.40078874203</v>
      </c>
      <c r="H76" s="290">
        <f t="shared" si="5"/>
        <v>6152512.8013743879</v>
      </c>
    </row>
    <row r="77" spans="1:8" ht="12.75" customHeight="1">
      <c r="A77" s="289">
        <v>47665</v>
      </c>
      <c r="B77" s="290">
        <f t="shared" si="6"/>
        <v>4479220.0284905657</v>
      </c>
      <c r="C77" s="272">
        <f t="shared" si="1"/>
        <v>263483.53108768136</v>
      </c>
      <c r="D77" s="290">
        <f t="shared" si="2"/>
        <v>4215736.4974028841</v>
      </c>
      <c r="E77" s="290">
        <f t="shared" si="7"/>
        <v>6152512.8013743879</v>
      </c>
      <c r="F77" s="290">
        <f t="shared" si="8"/>
        <v>-380646</v>
      </c>
      <c r="G77" s="290">
        <f t="shared" si="4"/>
        <v>36879.823916281763</v>
      </c>
      <c r="H77" s="290">
        <f t="shared" si="5"/>
        <v>5808746.6252906695</v>
      </c>
    </row>
    <row r="78" spans="1:8" ht="12.75" customHeight="1">
      <c r="A78" s="289">
        <v>47696</v>
      </c>
      <c r="B78" s="290">
        <f t="shared" si="6"/>
        <v>4215736.4974028841</v>
      </c>
      <c r="C78" s="272">
        <f t="shared" si="1"/>
        <v>263483.53108768136</v>
      </c>
      <c r="D78" s="290">
        <f t="shared" si="2"/>
        <v>3952252.9663152029</v>
      </c>
      <c r="E78" s="290">
        <f t="shared" si="7"/>
        <v>5808746.6252906695</v>
      </c>
      <c r="F78" s="290">
        <f t="shared" si="8"/>
        <v>-380646</v>
      </c>
      <c r="G78" s="290">
        <f t="shared" si="4"/>
        <v>34683.301287013506</v>
      </c>
      <c r="H78" s="290">
        <f t="shared" si="5"/>
        <v>5462783.9265776826</v>
      </c>
    </row>
    <row r="79" spans="1:8" ht="12.75" customHeight="1">
      <c r="A79" s="289">
        <v>47727</v>
      </c>
      <c r="B79" s="290">
        <f t="shared" si="6"/>
        <v>3952252.9663152029</v>
      </c>
      <c r="C79" s="272">
        <f t="shared" si="1"/>
        <v>263483.53108768136</v>
      </c>
      <c r="D79" s="290">
        <f t="shared" si="2"/>
        <v>3688769.4352275217</v>
      </c>
      <c r="E79" s="290">
        <f t="shared" si="7"/>
        <v>5462783.9265776826</v>
      </c>
      <c r="F79" s="290">
        <f t="shared" si="8"/>
        <v>-380646</v>
      </c>
      <c r="G79" s="290">
        <f t="shared" si="4"/>
        <v>32472.743793361984</v>
      </c>
      <c r="H79" s="290">
        <f t="shared" si="5"/>
        <v>5114610.6703710444</v>
      </c>
    </row>
    <row r="80" spans="1:8" ht="12.75" customHeight="1">
      <c r="A80" s="289">
        <v>47757</v>
      </c>
      <c r="B80" s="290">
        <f t="shared" si="6"/>
        <v>3688769.4352275217</v>
      </c>
      <c r="C80" s="272">
        <f t="shared" si="1"/>
        <v>263483.53108768136</v>
      </c>
      <c r="D80" s="290">
        <f t="shared" si="2"/>
        <v>3425285.9041398405</v>
      </c>
      <c r="E80" s="290">
        <f t="shared" si="7"/>
        <v>5114610.6703710444</v>
      </c>
      <c r="F80" s="290">
        <f t="shared" si="8"/>
        <v>-380646</v>
      </c>
      <c r="G80" s="290">
        <f t="shared" si="4"/>
        <v>30248.06175839165</v>
      </c>
      <c r="H80" s="290">
        <f t="shared" si="5"/>
        <v>4764212.732129436</v>
      </c>
    </row>
    <row r="81" spans="1:8" ht="12.75" customHeight="1">
      <c r="A81" s="289">
        <v>47788</v>
      </c>
      <c r="B81" s="290">
        <f t="shared" si="6"/>
        <v>3425285.9041398405</v>
      </c>
      <c r="C81" s="272">
        <f t="shared" si="1"/>
        <v>263483.53108768136</v>
      </c>
      <c r="D81" s="290">
        <f t="shared" si="2"/>
        <v>3161802.3730521593</v>
      </c>
      <c r="E81" s="290">
        <f t="shared" si="7"/>
        <v>4764212.732129436</v>
      </c>
      <c r="F81" s="290">
        <f t="shared" si="8"/>
        <v>-380646</v>
      </c>
      <c r="G81" s="290">
        <f t="shared" si="4"/>
        <v>28009.164932168707</v>
      </c>
      <c r="H81" s="290">
        <f t="shared" si="5"/>
        <v>4411575.897061605</v>
      </c>
    </row>
    <row r="82" spans="1:8" ht="13.3">
      <c r="A82" s="289">
        <v>47818</v>
      </c>
      <c r="B82" s="290">
        <f t="shared" si="6"/>
        <v>3161802.3730521593</v>
      </c>
      <c r="C82" s="272">
        <f t="shared" si="1"/>
        <v>263483.53108768136</v>
      </c>
      <c r="D82" s="290">
        <f t="shared" si="2"/>
        <v>2898318.8419644781</v>
      </c>
      <c r="E82" s="290">
        <f t="shared" si="7"/>
        <v>4411575.897061605</v>
      </c>
      <c r="F82" s="290">
        <f t="shared" si="8"/>
        <v>-380646</v>
      </c>
      <c r="G82" s="290">
        <f t="shared" si="4"/>
        <v>25755.962488099878</v>
      </c>
      <c r="H82" s="290">
        <f t="shared" si="5"/>
        <v>4056685.8595497049</v>
      </c>
    </row>
    <row r="83" spans="1:8" ht="12.75" customHeight="1">
      <c r="A83" s="289">
        <v>47849</v>
      </c>
      <c r="B83" s="290">
        <f t="shared" si="6"/>
        <v>2898318.8419644781</v>
      </c>
      <c r="C83" s="272">
        <f t="shared" si="1"/>
        <v>263483.53108768136</v>
      </c>
      <c r="D83" s="290">
        <f t="shared" si="2"/>
        <v>2634835.310876797</v>
      </c>
      <c r="E83" s="290">
        <f t="shared" si="7"/>
        <v>4056685.8595497049</v>
      </c>
      <c r="F83" s="290">
        <f t="shared" si="8"/>
        <v>-380646</v>
      </c>
      <c r="G83" s="290">
        <f t="shared" si="4"/>
        <v>23488.363019247801</v>
      </c>
      <c r="H83" s="290">
        <f t="shared" si="5"/>
        <v>3699528.2225689529</v>
      </c>
    </row>
    <row r="84" spans="1:8" ht="12.75" customHeight="1">
      <c r="A84" s="289">
        <v>47880</v>
      </c>
      <c r="B84" s="290">
        <f t="shared" si="6"/>
        <v>2634835.310876797</v>
      </c>
      <c r="C84" s="272">
        <f t="shared" si="1"/>
        <v>263483.53108768136</v>
      </c>
      <c r="D84" s="290">
        <f t="shared" si="2"/>
        <v>2371351.7797891158</v>
      </c>
      <c r="E84" s="290">
        <f t="shared" si="7"/>
        <v>3699528.2225689529</v>
      </c>
      <c r="F84" s="290">
        <f t="shared" si="8"/>
        <v>-380646</v>
      </c>
      <c r="G84" s="290">
        <f t="shared" si="4"/>
        <v>21206.274534622873</v>
      </c>
      <c r="H84" s="290">
        <f t="shared" si="5"/>
        <v>3340088.4971035756</v>
      </c>
    </row>
    <row r="85" spans="1:8" ht="12.75" customHeight="1">
      <c r="A85" s="289">
        <v>47908</v>
      </c>
      <c r="B85" s="290">
        <f t="shared" si="6"/>
        <v>2371351.7797891158</v>
      </c>
      <c r="C85" s="272">
        <f t="shared" si="1"/>
        <v>263483.53108768136</v>
      </c>
      <c r="D85" s="290">
        <f t="shared" si="2"/>
        <v>2107868.2487014346</v>
      </c>
      <c r="E85" s="290">
        <f t="shared" si="7"/>
        <v>3340088.4971035756</v>
      </c>
      <c r="F85" s="290">
        <f t="shared" si="8"/>
        <v>-380646</v>
      </c>
      <c r="G85" s="290">
        <f t="shared" si="4"/>
        <v>18909.604455451386</v>
      </c>
      <c r="H85" s="290">
        <f t="shared" si="5"/>
        <v>2978352.1015590271</v>
      </c>
    </row>
    <row r="86" spans="1:8" ht="12.75" customHeight="1">
      <c r="A86" s="289">
        <v>47939</v>
      </c>
      <c r="B86" s="290">
        <f t="shared" si="6"/>
        <v>2107868.2487014346</v>
      </c>
      <c r="C86" s="272">
        <f t="shared" ref="C86:C93" si="9">$B$17/$B$16</f>
        <v>263483.53108768136</v>
      </c>
      <c r="D86" s="290">
        <f t="shared" ref="D86:D93" si="10">B86-C86</f>
        <v>1844384.7176137532</v>
      </c>
      <c r="E86" s="290">
        <f t="shared" si="7"/>
        <v>2978352.1015590271</v>
      </c>
      <c r="F86" s="290">
        <f t="shared" si="8"/>
        <v>-380646</v>
      </c>
      <c r="G86" s="290">
        <f t="shared" ref="G86:G93" si="11">(E86+F86)*$B$15</f>
        <v>16598.259611419868</v>
      </c>
      <c r="H86" s="290">
        <f t="shared" ref="H86:H93" si="12">E86+F86+G86</f>
        <v>2614304.361170447</v>
      </c>
    </row>
    <row r="87" spans="1:8" ht="12.75" customHeight="1">
      <c r="A87" s="289">
        <v>47969</v>
      </c>
      <c r="B87" s="290">
        <f t="shared" ref="B87:B93" si="13">D86</f>
        <v>1844384.7176137532</v>
      </c>
      <c r="C87" s="272">
        <f t="shared" si="9"/>
        <v>263483.53108768136</v>
      </c>
      <c r="D87" s="290">
        <f t="shared" si="10"/>
        <v>1580901.1865260717</v>
      </c>
      <c r="E87" s="290">
        <f t="shared" ref="E87:E93" si="14">H86</f>
        <v>2614304.361170447</v>
      </c>
      <c r="F87" s="290">
        <f t="shared" si="8"/>
        <v>-380646</v>
      </c>
      <c r="G87" s="290">
        <f t="shared" si="11"/>
        <v>14272.146236895334</v>
      </c>
      <c r="H87" s="290">
        <f t="shared" si="12"/>
        <v>2247930.5074073421</v>
      </c>
    </row>
    <row r="88" spans="1:8" ht="12.75" customHeight="1">
      <c r="A88" s="289">
        <v>48000</v>
      </c>
      <c r="B88" s="290">
        <f t="shared" si="13"/>
        <v>1580901.1865260717</v>
      </c>
      <c r="C88" s="272">
        <f t="shared" si="9"/>
        <v>263483.53108768136</v>
      </c>
      <c r="D88" s="290">
        <f t="shared" si="10"/>
        <v>1317417.6554383903</v>
      </c>
      <c r="E88" s="290">
        <f t="shared" si="14"/>
        <v>2247930.5074073421</v>
      </c>
      <c r="F88" s="290">
        <f t="shared" si="8"/>
        <v>-380646</v>
      </c>
      <c r="G88" s="290">
        <f t="shared" si="11"/>
        <v>11931.169967121496</v>
      </c>
      <c r="H88" s="290">
        <f t="shared" si="12"/>
        <v>1879215.6773744635</v>
      </c>
    </row>
    <row r="89" spans="1:8" ht="12.75" customHeight="1">
      <c r="A89" s="289">
        <v>48030</v>
      </c>
      <c r="B89" s="290">
        <f t="shared" si="13"/>
        <v>1317417.6554383903</v>
      </c>
      <c r="C89" s="272">
        <f t="shared" si="9"/>
        <v>263483.53108768136</v>
      </c>
      <c r="D89" s="290">
        <f t="shared" si="10"/>
        <v>1053934.1243507089</v>
      </c>
      <c r="E89" s="290">
        <f t="shared" si="14"/>
        <v>1879215.6773744635</v>
      </c>
      <c r="F89" s="290">
        <f t="shared" si="8"/>
        <v>-380646</v>
      </c>
      <c r="G89" s="290">
        <f t="shared" si="11"/>
        <v>9575.2358343905817</v>
      </c>
      <c r="H89" s="290">
        <f t="shared" si="12"/>
        <v>1508144.9132088542</v>
      </c>
    </row>
    <row r="90" spans="1:8" ht="12.75" customHeight="1">
      <c r="A90" s="289">
        <v>48061</v>
      </c>
      <c r="B90" s="290">
        <f t="shared" si="13"/>
        <v>1053934.1243507089</v>
      </c>
      <c r="C90" s="272">
        <f t="shared" si="9"/>
        <v>263483.53108768136</v>
      </c>
      <c r="D90" s="290">
        <f t="shared" si="10"/>
        <v>790450.59326302749</v>
      </c>
      <c r="E90" s="290">
        <f t="shared" si="14"/>
        <v>1508144.9132088542</v>
      </c>
      <c r="F90" s="290">
        <f t="shared" si="8"/>
        <v>-380646</v>
      </c>
      <c r="G90" s="290">
        <f t="shared" si="11"/>
        <v>7204.2482641907409</v>
      </c>
      <c r="H90" s="290">
        <f t="shared" si="12"/>
        <v>1134703.1614730449</v>
      </c>
    </row>
    <row r="91" spans="1:8" ht="12.75" customHeight="1">
      <c r="A91" s="289">
        <v>48092</v>
      </c>
      <c r="B91" s="290">
        <f t="shared" si="13"/>
        <v>790450.59326302749</v>
      </c>
      <c r="C91" s="272">
        <f t="shared" si="9"/>
        <v>263483.53108768136</v>
      </c>
      <c r="D91" s="290">
        <f t="shared" si="10"/>
        <v>526967.06217534607</v>
      </c>
      <c r="E91" s="290">
        <f t="shared" si="14"/>
        <v>1134703.1614730449</v>
      </c>
      <c r="F91" s="290">
        <f t="shared" si="8"/>
        <v>-380646</v>
      </c>
      <c r="G91" s="290">
        <f t="shared" si="11"/>
        <v>4818.1110713288099</v>
      </c>
      <c r="H91" s="290">
        <f t="shared" si="12"/>
        <v>758875.27254437376</v>
      </c>
    </row>
    <row r="92" spans="1:8" ht="12.75" customHeight="1">
      <c r="A92" s="289">
        <v>48122</v>
      </c>
      <c r="B92" s="290">
        <f t="shared" si="13"/>
        <v>526967.06217534607</v>
      </c>
      <c r="C92" s="272">
        <f t="shared" si="9"/>
        <v>263483.53108768136</v>
      </c>
      <c r="D92" s="290">
        <f t="shared" si="10"/>
        <v>263483.53108766471</v>
      </c>
      <c r="E92" s="290">
        <f t="shared" si="14"/>
        <v>758875.27254437376</v>
      </c>
      <c r="F92" s="290">
        <f t="shared" si="8"/>
        <v>-380646</v>
      </c>
      <c r="G92" s="290">
        <f t="shared" si="11"/>
        <v>2416.7274560283213</v>
      </c>
      <c r="H92" s="290">
        <f t="shared" si="12"/>
        <v>380646.0000004021</v>
      </c>
    </row>
    <row r="93" spans="1:8" ht="12.75" customHeight="1">
      <c r="A93" s="289">
        <v>48153</v>
      </c>
      <c r="B93" s="290">
        <f t="shared" si="13"/>
        <v>263483.53108766471</v>
      </c>
      <c r="C93" s="272">
        <f t="shared" si="9"/>
        <v>263483.53108768136</v>
      </c>
      <c r="D93" s="290">
        <f t="shared" si="10"/>
        <v>-1.6647391021251678E-8</v>
      </c>
      <c r="E93" s="290">
        <f t="shared" si="14"/>
        <v>380646.0000004021</v>
      </c>
      <c r="F93" s="290">
        <f t="shared" si="8"/>
        <v>-380646</v>
      </c>
      <c r="G93" s="290">
        <f t="shared" si="11"/>
        <v>2.5692420119109251E-9</v>
      </c>
      <c r="H93" s="290">
        <f t="shared" si="12"/>
        <v>4.0466776360214378E-7</v>
      </c>
    </row>
  </sheetData>
  <mergeCells count="2">
    <mergeCell ref="B20:D20"/>
    <mergeCell ref="E20:H20"/>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7005-791A-4DFE-8C13-065EBA83D78A}">
  <dimension ref="A1:L91"/>
  <sheetViews>
    <sheetView showGridLines="0" topLeftCell="A4" zoomScale="85" zoomScaleNormal="85" workbookViewId="0">
      <selection activeCell="B25" sqref="B25"/>
    </sheetView>
  </sheetViews>
  <sheetFormatPr defaultColWidth="8.796875" defaultRowHeight="14.4"/>
  <cols>
    <col min="1" max="1" width="26.5" style="292" customWidth="1"/>
    <col min="2" max="2" width="16.796875" style="292" customWidth="1"/>
    <col min="3" max="4" width="19" style="292" customWidth="1"/>
    <col min="5" max="6" width="13.796875" style="292" customWidth="1"/>
    <col min="7" max="7" width="14.796875" style="292" customWidth="1"/>
    <col min="8" max="9" width="17.5" style="292" customWidth="1"/>
    <col min="10" max="11" width="11.5" style="292" customWidth="1"/>
    <col min="12" max="12" width="12.796875" style="292" customWidth="1"/>
    <col min="13" max="13" width="8.796875" style="292"/>
    <col min="14" max="14" width="10.5" style="292" customWidth="1"/>
    <col min="15" max="16384" width="8.796875" style="292"/>
  </cols>
  <sheetData>
    <row r="1" spans="1:12" s="259" customFormat="1" ht="12.75" customHeight="1">
      <c r="A1" s="258" t="s">
        <v>20</v>
      </c>
    </row>
    <row r="2" spans="1:12" s="259" customFormat="1" ht="12.75" customHeight="1">
      <c r="A2" s="258" t="s">
        <v>56</v>
      </c>
    </row>
    <row r="3" spans="1:12" s="259" customFormat="1" ht="12.75" customHeight="1">
      <c r="A3" s="258" t="s">
        <v>197</v>
      </c>
    </row>
    <row r="4" spans="1:12" s="259" customFormat="1" ht="13.3"/>
    <row r="5" spans="1:12" s="259" customFormat="1" ht="13.3"/>
    <row r="6" spans="1:12" s="259" customFormat="1" ht="12.75" customHeight="1">
      <c r="A6" s="258" t="s">
        <v>21</v>
      </c>
    </row>
    <row r="7" spans="1:12" s="259" customFormat="1" ht="12.75" customHeight="1">
      <c r="A7" s="259" t="s">
        <v>59</v>
      </c>
    </row>
    <row r="8" spans="1:12" s="259" customFormat="1" ht="13.3"/>
    <row r="9" spans="1:12" s="259" customFormat="1" ht="14.3" customHeight="1"/>
    <row r="10" spans="1:12" s="259" customFormat="1" ht="12.75" customHeight="1">
      <c r="A10" s="258" t="s">
        <v>78</v>
      </c>
    </row>
    <row r="11" spans="1:12" s="259" customFormat="1" ht="12.75" customHeight="1">
      <c r="B11" s="260"/>
      <c r="C11" s="260"/>
      <c r="D11" s="260"/>
      <c r="E11" s="260"/>
      <c r="F11" s="260"/>
      <c r="G11" s="260"/>
      <c r="H11" s="260"/>
      <c r="I11" s="260"/>
      <c r="J11" s="260"/>
    </row>
    <row r="12" spans="1:12" s="259" customFormat="1" ht="42.8" customHeight="1">
      <c r="A12" s="262" t="s">
        <v>24</v>
      </c>
      <c r="B12" s="303" t="s">
        <v>67</v>
      </c>
      <c r="C12" s="264" t="s">
        <v>68</v>
      </c>
      <c r="D12" s="264" t="s">
        <v>69</v>
      </c>
      <c r="E12" s="304" t="s">
        <v>201</v>
      </c>
      <c r="F12" s="304" t="s">
        <v>203</v>
      </c>
      <c r="G12" s="304" t="s">
        <v>116</v>
      </c>
      <c r="H12" s="304" t="s">
        <v>10</v>
      </c>
      <c r="I12" s="304" t="s">
        <v>11</v>
      </c>
      <c r="J12" s="304" t="s">
        <v>71</v>
      </c>
      <c r="K12" s="304" t="s">
        <v>48</v>
      </c>
      <c r="L12" s="304" t="s">
        <v>47</v>
      </c>
    </row>
    <row r="13" spans="1:12" s="259" customFormat="1" ht="12.75" customHeight="1">
      <c r="A13" s="266" t="s">
        <v>105</v>
      </c>
      <c r="B13" s="305">
        <v>7.3532E-2</v>
      </c>
      <c r="C13" s="268">
        <v>44805</v>
      </c>
      <c r="D13" s="268">
        <v>46022</v>
      </c>
      <c r="E13" s="306">
        <v>6063067.7999999998</v>
      </c>
      <c r="F13" s="306">
        <v>11099215.039999999</v>
      </c>
      <c r="G13" s="306">
        <v>0</v>
      </c>
      <c r="H13" s="306">
        <v>91040.98</v>
      </c>
      <c r="I13" s="306">
        <v>13560138.59</v>
      </c>
      <c r="J13" s="306">
        <v>0</v>
      </c>
      <c r="K13" s="306">
        <v>0</v>
      </c>
      <c r="L13" s="306">
        <v>0</v>
      </c>
    </row>
    <row r="14" spans="1:12" s="259" customFormat="1" ht="14.3" customHeight="1">
      <c r="A14" s="266" t="s">
        <v>104</v>
      </c>
      <c r="B14" s="307">
        <v>7.3532E-2</v>
      </c>
      <c r="C14" s="271">
        <v>44805</v>
      </c>
      <c r="D14" s="271">
        <v>46022</v>
      </c>
      <c r="E14" s="306">
        <f>B25</f>
        <v>6063067.7999999998</v>
      </c>
      <c r="F14" s="306">
        <f>SUM(C60:C62)+SUM(C65:C68)</f>
        <v>13258588.568672758</v>
      </c>
      <c r="G14" s="306">
        <f>D62+D68</f>
        <v>5.3085386753082275E-8</v>
      </c>
      <c r="H14" s="306">
        <f>SUM(F60:F62)+SUM(F65:F68)</f>
        <v>90494.20861688396</v>
      </c>
      <c r="I14" s="306">
        <f>-G62-SUM(G65:G68)</f>
        <v>13560138.59</v>
      </c>
      <c r="J14" s="306">
        <f>H62+H68</f>
        <v>1.648440957069397E-7</v>
      </c>
      <c r="K14" s="290">
        <f>J14</f>
        <v>1.648440957069397E-7</v>
      </c>
      <c r="L14" s="290">
        <f>J14-K14</f>
        <v>0</v>
      </c>
    </row>
    <row r="15" spans="1:12" s="259" customFormat="1" ht="12.75" customHeight="1">
      <c r="A15" s="273" t="s">
        <v>32</v>
      </c>
      <c r="B15" s="305">
        <f t="shared" ref="B15:L15" si="0">B13-B14</f>
        <v>0</v>
      </c>
      <c r="C15" s="308">
        <f t="shared" si="0"/>
        <v>0</v>
      </c>
      <c r="D15" s="308">
        <f t="shared" si="0"/>
        <v>0</v>
      </c>
      <c r="E15" s="290">
        <f t="shared" si="0"/>
        <v>0</v>
      </c>
      <c r="F15" s="290">
        <f t="shared" si="0"/>
        <v>-2159373.5286727585</v>
      </c>
      <c r="G15" s="290">
        <f t="shared" si="0"/>
        <v>-5.3085386753082275E-8</v>
      </c>
      <c r="H15" s="290">
        <f t="shared" si="0"/>
        <v>546.7713831160363</v>
      </c>
      <c r="I15" s="290">
        <f t="shared" si="0"/>
        <v>0</v>
      </c>
      <c r="J15" s="290">
        <f t="shared" si="0"/>
        <v>-1.648440957069397E-7</v>
      </c>
      <c r="K15" s="290">
        <f t="shared" si="0"/>
        <v>-1.648440957069397E-7</v>
      </c>
      <c r="L15" s="290">
        <f t="shared" si="0"/>
        <v>0</v>
      </c>
    </row>
    <row r="16" spans="1:12" s="259" customFormat="1" ht="32.700000000000003" customHeight="1">
      <c r="B16" s="309"/>
      <c r="C16" s="277"/>
      <c r="E16" s="277"/>
      <c r="F16" s="377" t="s">
        <v>437</v>
      </c>
      <c r="G16" s="377"/>
      <c r="H16" s="377"/>
      <c r="I16" s="377"/>
    </row>
    <row r="17" spans="1:10" s="259" customFormat="1" ht="12.75" customHeight="1">
      <c r="A17" s="258" t="s">
        <v>438</v>
      </c>
      <c r="B17" s="291"/>
      <c r="C17" s="260"/>
      <c r="E17" s="277"/>
      <c r="F17" s="277"/>
      <c r="G17" s="277"/>
      <c r="H17" s="277"/>
      <c r="I17" s="277"/>
      <c r="J17" s="277"/>
    </row>
    <row r="18" spans="1:10" s="259" customFormat="1" ht="12.75" customHeight="1">
      <c r="A18" s="310" t="s">
        <v>173</v>
      </c>
      <c r="B18" s="290">
        <v>7497070.79</v>
      </c>
      <c r="C18" s="88" t="s">
        <v>107</v>
      </c>
      <c r="F18" s="285"/>
    </row>
    <row r="19" spans="1:10" s="259" customFormat="1" ht="14.3" customHeight="1">
      <c r="A19" s="310" t="s">
        <v>174</v>
      </c>
      <c r="B19" s="311">
        <f>B14/4</f>
        <v>1.8383E-2</v>
      </c>
      <c r="C19" s="88" t="s">
        <v>106</v>
      </c>
      <c r="E19" s="277"/>
      <c r="F19" s="312"/>
      <c r="G19" s="277"/>
    </row>
    <row r="20" spans="1:10" s="259" customFormat="1" ht="14.3" customHeight="1">
      <c r="A20" s="310" t="s">
        <v>429</v>
      </c>
      <c r="B20" s="313">
        <v>12</v>
      </c>
      <c r="C20" s="88" t="s">
        <v>117</v>
      </c>
      <c r="D20" s="284"/>
      <c r="E20" s="277"/>
      <c r="F20" s="312"/>
    </row>
    <row r="21" spans="1:10" s="259" customFormat="1" ht="12.75" customHeight="1">
      <c r="A21" s="310" t="s">
        <v>430</v>
      </c>
      <c r="B21" s="290">
        <f>-PV(B19,B20,B18,,1)</f>
        <v>81549235.378291264</v>
      </c>
      <c r="C21" s="88" t="s">
        <v>117</v>
      </c>
      <c r="E21" s="277"/>
    </row>
    <row r="22" spans="1:10" s="259" customFormat="1" ht="12.75" customHeight="1">
      <c r="A22" s="258"/>
      <c r="B22" s="291"/>
      <c r="C22" s="260"/>
      <c r="E22" s="277"/>
    </row>
    <row r="23" spans="1:10" s="259" customFormat="1" ht="12.75" customHeight="1">
      <c r="A23" s="258" t="s">
        <v>431</v>
      </c>
      <c r="B23" s="314"/>
      <c r="E23" s="292"/>
    </row>
    <row r="24" spans="1:10" s="259" customFormat="1" ht="12.75" customHeight="1">
      <c r="A24" s="289" t="s">
        <v>432</v>
      </c>
      <c r="B24" s="290">
        <v>4</v>
      </c>
      <c r="C24" s="291" t="s">
        <v>433</v>
      </c>
      <c r="D24" s="291"/>
      <c r="E24" s="291"/>
      <c r="F24" s="291"/>
      <c r="G24" s="291"/>
      <c r="H24" s="291"/>
    </row>
    <row r="25" spans="1:10" s="259" customFormat="1" ht="12.75" customHeight="1">
      <c r="A25" s="289" t="s">
        <v>434</v>
      </c>
      <c r="B25" s="290">
        <v>6063067.7999999998</v>
      </c>
      <c r="C25" s="291" t="s">
        <v>435</v>
      </c>
      <c r="D25" s="291"/>
      <c r="E25" s="291"/>
      <c r="F25" s="291"/>
      <c r="G25" s="291"/>
      <c r="H25" s="291"/>
    </row>
    <row r="26" spans="1:10" ht="12.75" customHeight="1"/>
    <row r="27" spans="1:10" s="259" customFormat="1" ht="12.75" customHeight="1">
      <c r="A27" s="376" t="s">
        <v>439</v>
      </c>
      <c r="B27" s="376"/>
      <c r="C27" s="376"/>
      <c r="D27" s="376"/>
      <c r="E27" s="376"/>
      <c r="F27" s="376"/>
      <c r="G27" s="376"/>
      <c r="H27" s="376"/>
    </row>
    <row r="28" spans="1:10" s="259" customFormat="1" ht="12.75" customHeight="1">
      <c r="A28" s="262" t="s">
        <v>210</v>
      </c>
      <c r="B28" s="262" t="s">
        <v>112</v>
      </c>
      <c r="C28" s="262" t="s">
        <v>55</v>
      </c>
      <c r="D28" s="262" t="s">
        <v>116</v>
      </c>
      <c r="E28" s="262" t="s">
        <v>113</v>
      </c>
      <c r="F28" s="262" t="s">
        <v>10</v>
      </c>
      <c r="G28" s="262" t="s">
        <v>11</v>
      </c>
      <c r="H28" s="262" t="s">
        <v>57</v>
      </c>
    </row>
    <row r="29" spans="1:10" s="259" customFormat="1" ht="12.75" customHeight="1">
      <c r="A29" s="315">
        <v>44805</v>
      </c>
      <c r="B29" s="290">
        <f>$B$21</f>
        <v>81549235.378291264</v>
      </c>
      <c r="C29" s="290">
        <f t="shared" ref="C29:C62" si="1">$B$21/34</f>
        <v>2398506.9228909197</v>
      </c>
      <c r="D29" s="290">
        <f t="shared" ref="D29:D62" si="2">B29-C29</f>
        <v>79150728.455400348</v>
      </c>
      <c r="E29" s="290">
        <f>$B$21</f>
        <v>81549235.378291264</v>
      </c>
      <c r="F29" s="290">
        <f t="shared" ref="F29:F62" si="3">(E29+G29)*((1+$B$19)^(1/3)-1)</f>
        <v>451014.50131586823</v>
      </c>
      <c r="G29" s="290">
        <f>-$B$18</f>
        <v>-7497070.79</v>
      </c>
      <c r="H29" s="290">
        <f t="shared" ref="H29:H62" si="4">E29+F29+G29</f>
        <v>74503179.08960712</v>
      </c>
    </row>
    <row r="30" spans="1:10" s="259" customFormat="1" ht="12.75" customHeight="1">
      <c r="A30" s="315">
        <v>44835</v>
      </c>
      <c r="B30" s="290">
        <f t="shared" ref="B30:B62" si="5">D29</f>
        <v>79150728.455400348</v>
      </c>
      <c r="C30" s="290">
        <f t="shared" si="1"/>
        <v>2398506.9228909197</v>
      </c>
      <c r="D30" s="290">
        <f t="shared" si="2"/>
        <v>76752221.532509431</v>
      </c>
      <c r="E30" s="290">
        <f t="shared" ref="E30:E62" si="6">H29</f>
        <v>74503179.08960712</v>
      </c>
      <c r="F30" s="290">
        <f t="shared" si="3"/>
        <v>453761.40387473494</v>
      </c>
      <c r="G30" s="290">
        <v>0</v>
      </c>
      <c r="H30" s="290">
        <f t="shared" si="4"/>
        <v>74956940.49348186</v>
      </c>
    </row>
    <row r="31" spans="1:10" s="259" customFormat="1" ht="12.75" customHeight="1">
      <c r="A31" s="315">
        <v>44866</v>
      </c>
      <c r="B31" s="290">
        <f t="shared" si="5"/>
        <v>76752221.532509431</v>
      </c>
      <c r="C31" s="290">
        <f t="shared" si="1"/>
        <v>2398506.9228909197</v>
      </c>
      <c r="D31" s="290">
        <f t="shared" si="2"/>
        <v>74353714.609618515</v>
      </c>
      <c r="E31" s="290">
        <f t="shared" si="6"/>
        <v>74956940.49348186</v>
      </c>
      <c r="F31" s="290">
        <f t="shared" si="3"/>
        <v>456525.03643595398</v>
      </c>
      <c r="G31" s="290">
        <v>0</v>
      </c>
      <c r="H31" s="290">
        <f t="shared" si="4"/>
        <v>75413465.529917806</v>
      </c>
    </row>
    <row r="32" spans="1:10" s="259" customFormat="1" ht="12.75" customHeight="1">
      <c r="A32" s="315">
        <v>44896</v>
      </c>
      <c r="B32" s="290">
        <f t="shared" si="5"/>
        <v>74353714.609618515</v>
      </c>
      <c r="C32" s="290">
        <f t="shared" si="1"/>
        <v>2398506.9228909197</v>
      </c>
      <c r="D32" s="290">
        <f t="shared" si="2"/>
        <v>71955207.686727598</v>
      </c>
      <c r="E32" s="290">
        <f t="shared" si="6"/>
        <v>75413465.529917806</v>
      </c>
      <c r="F32" s="290">
        <f t="shared" si="3"/>
        <v>413644.6122148729</v>
      </c>
      <c r="G32" s="290">
        <f>-$B$18</f>
        <v>-7497070.79</v>
      </c>
      <c r="H32" s="290">
        <f t="shared" si="4"/>
        <v>68330039.352132678</v>
      </c>
    </row>
    <row r="33" spans="1:8" s="259" customFormat="1" ht="12.75" customHeight="1">
      <c r="A33" s="315">
        <v>44927</v>
      </c>
      <c r="B33" s="290">
        <f t="shared" si="5"/>
        <v>71955207.686727598</v>
      </c>
      <c r="C33" s="290">
        <f t="shared" si="1"/>
        <v>2398506.9228909197</v>
      </c>
      <c r="D33" s="290">
        <f t="shared" si="2"/>
        <v>69556700.763836682</v>
      </c>
      <c r="E33" s="290">
        <f t="shared" si="6"/>
        <v>68330039.352132678</v>
      </c>
      <c r="F33" s="290">
        <f t="shared" si="3"/>
        <v>416163.91356868623</v>
      </c>
      <c r="G33" s="290">
        <v>0</v>
      </c>
      <c r="H33" s="290">
        <f t="shared" si="4"/>
        <v>68746203.265701368</v>
      </c>
    </row>
    <row r="34" spans="1:8" s="259" customFormat="1" ht="12.75" customHeight="1">
      <c r="A34" s="315">
        <v>44958</v>
      </c>
      <c r="B34" s="290">
        <f t="shared" si="5"/>
        <v>69556700.763836682</v>
      </c>
      <c r="C34" s="290">
        <f t="shared" si="1"/>
        <v>2398506.9228909197</v>
      </c>
      <c r="D34" s="290">
        <f t="shared" si="2"/>
        <v>67158193.840945765</v>
      </c>
      <c r="E34" s="290">
        <f t="shared" si="6"/>
        <v>68746203.265701368</v>
      </c>
      <c r="F34" s="290">
        <f t="shared" si="3"/>
        <v>418698.55872034893</v>
      </c>
      <c r="G34" s="290">
        <v>0</v>
      </c>
      <c r="H34" s="290">
        <f t="shared" si="4"/>
        <v>69164901.824421719</v>
      </c>
    </row>
    <row r="35" spans="1:8" s="259" customFormat="1" ht="12.75" customHeight="1">
      <c r="A35" s="315">
        <v>44986</v>
      </c>
      <c r="B35" s="290">
        <f t="shared" si="5"/>
        <v>67158193.840945765</v>
      </c>
      <c r="C35" s="290">
        <f t="shared" si="1"/>
        <v>2398506.9228909197</v>
      </c>
      <c r="D35" s="290">
        <f t="shared" si="2"/>
        <v>64759686.918054849</v>
      </c>
      <c r="E35" s="290">
        <f t="shared" si="6"/>
        <v>69164901.824421719</v>
      </c>
      <c r="F35" s="290">
        <f t="shared" si="3"/>
        <v>375587.7524425342</v>
      </c>
      <c r="G35" s="290">
        <f>-$B$18</f>
        <v>-7497070.79</v>
      </c>
      <c r="H35" s="290">
        <f t="shared" si="4"/>
        <v>62043418.786864258</v>
      </c>
    </row>
    <row r="36" spans="1:8" s="259" customFormat="1" ht="12.75" customHeight="1">
      <c r="A36" s="315">
        <v>45017</v>
      </c>
      <c r="B36" s="290">
        <f t="shared" si="5"/>
        <v>64759686.918054849</v>
      </c>
      <c r="C36" s="290">
        <f t="shared" si="1"/>
        <v>2398506.9228909197</v>
      </c>
      <c r="D36" s="290">
        <f t="shared" si="2"/>
        <v>62361179.995163932</v>
      </c>
      <c r="E36" s="290">
        <f t="shared" si="6"/>
        <v>62043418.786864258</v>
      </c>
      <c r="F36" s="290">
        <f t="shared" si="3"/>
        <v>377875.2685983415</v>
      </c>
      <c r="G36" s="290">
        <v>0</v>
      </c>
      <c r="H36" s="290">
        <f t="shared" si="4"/>
        <v>62421294.055462599</v>
      </c>
    </row>
    <row r="37" spans="1:8" s="259" customFormat="1" ht="12.75" customHeight="1">
      <c r="A37" s="315">
        <v>45047</v>
      </c>
      <c r="B37" s="290">
        <f t="shared" si="5"/>
        <v>62361179.995163932</v>
      </c>
      <c r="C37" s="290">
        <f t="shared" si="1"/>
        <v>2398506.9228909197</v>
      </c>
      <c r="D37" s="290">
        <f t="shared" si="2"/>
        <v>59962673.072273016</v>
      </c>
      <c r="E37" s="290">
        <f t="shared" si="6"/>
        <v>62421294.055462599</v>
      </c>
      <c r="F37" s="290">
        <f t="shared" si="3"/>
        <v>380176.71686489799</v>
      </c>
      <c r="G37" s="290">
        <v>0</v>
      </c>
      <c r="H37" s="290">
        <f t="shared" si="4"/>
        <v>62801470.772327498</v>
      </c>
    </row>
    <row r="38" spans="1:8" s="259" customFormat="1" ht="12.75" customHeight="1">
      <c r="A38" s="315">
        <v>45078</v>
      </c>
      <c r="B38" s="290">
        <f t="shared" si="5"/>
        <v>59962673.072273016</v>
      </c>
      <c r="C38" s="290">
        <f t="shared" si="1"/>
        <v>2398506.9228909197</v>
      </c>
      <c r="D38" s="290">
        <f t="shared" si="2"/>
        <v>57564166.1493821</v>
      </c>
      <c r="E38" s="290">
        <f t="shared" si="6"/>
        <v>62801470.772327498</v>
      </c>
      <c r="F38" s="290">
        <f t="shared" si="3"/>
        <v>336831.2934170005</v>
      </c>
      <c r="G38" s="290">
        <f>-$B$18</f>
        <v>-7497070.79</v>
      </c>
      <c r="H38" s="290">
        <f t="shared" si="4"/>
        <v>55641231.275744498</v>
      </c>
    </row>
    <row r="39" spans="1:8" s="259" customFormat="1" ht="12.75" customHeight="1">
      <c r="A39" s="315">
        <v>45108</v>
      </c>
      <c r="B39" s="290">
        <f t="shared" si="5"/>
        <v>57564166.1493821</v>
      </c>
      <c r="C39" s="290">
        <f t="shared" si="1"/>
        <v>2398506.9228909197</v>
      </c>
      <c r="D39" s="290">
        <f t="shared" si="2"/>
        <v>55165659.226491183</v>
      </c>
      <c r="E39" s="290">
        <f t="shared" si="6"/>
        <v>55641231.275744498</v>
      </c>
      <c r="F39" s="290">
        <f t="shared" si="3"/>
        <v>338882.76346750685</v>
      </c>
      <c r="G39" s="290">
        <v>0</v>
      </c>
      <c r="H39" s="290">
        <f t="shared" si="4"/>
        <v>55980114.039212003</v>
      </c>
    </row>
    <row r="40" spans="1:8" s="259" customFormat="1" ht="12.75" customHeight="1">
      <c r="A40" s="315">
        <v>45139</v>
      </c>
      <c r="B40" s="290">
        <f t="shared" si="5"/>
        <v>55165659.226491183</v>
      </c>
      <c r="C40" s="290">
        <f t="shared" si="1"/>
        <v>2398506.9228909197</v>
      </c>
      <c r="D40" s="290">
        <f t="shared" si="2"/>
        <v>52767152.303600267</v>
      </c>
      <c r="E40" s="290">
        <f t="shared" si="6"/>
        <v>55980114.039212003</v>
      </c>
      <c r="F40" s="290">
        <f t="shared" si="3"/>
        <v>340946.72799061827</v>
      </c>
      <c r="G40" s="290">
        <v>0</v>
      </c>
      <c r="H40" s="290">
        <f t="shared" si="4"/>
        <v>56321060.767202623</v>
      </c>
    </row>
    <row r="41" spans="1:8" s="259" customFormat="1" ht="12.75" customHeight="1">
      <c r="A41" s="315">
        <v>45170</v>
      </c>
      <c r="B41" s="290">
        <f t="shared" si="5"/>
        <v>52767152.303600267</v>
      </c>
      <c r="C41" s="290">
        <f t="shared" si="1"/>
        <v>2398506.9228909197</v>
      </c>
      <c r="D41" s="290">
        <f t="shared" si="2"/>
        <v>50368645.38070935</v>
      </c>
      <c r="E41" s="290">
        <f t="shared" si="6"/>
        <v>56321060.767202623</v>
      </c>
      <c r="F41" s="290">
        <f t="shared" si="3"/>
        <v>297362.37440520042</v>
      </c>
      <c r="G41" s="290">
        <f>-$B$18</f>
        <v>-7497070.79</v>
      </c>
      <c r="H41" s="290">
        <f t="shared" si="4"/>
        <v>49121352.351607822</v>
      </c>
    </row>
    <row r="42" spans="1:8" s="259" customFormat="1" ht="12.75" customHeight="1">
      <c r="A42" s="315">
        <v>45200</v>
      </c>
      <c r="B42" s="290">
        <f t="shared" si="5"/>
        <v>50368645.38070935</v>
      </c>
      <c r="C42" s="290">
        <f t="shared" si="1"/>
        <v>2398506.9228909197</v>
      </c>
      <c r="D42" s="290">
        <f t="shared" si="2"/>
        <v>47970138.457818434</v>
      </c>
      <c r="E42" s="290">
        <f t="shared" si="6"/>
        <v>49121352.351607822</v>
      </c>
      <c r="F42" s="290">
        <f t="shared" si="3"/>
        <v>299173.45911485207</v>
      </c>
      <c r="G42" s="290">
        <v>0</v>
      </c>
      <c r="H42" s="290">
        <f t="shared" si="4"/>
        <v>49420525.810722671</v>
      </c>
    </row>
    <row r="43" spans="1:8" s="259" customFormat="1" ht="12.75" customHeight="1">
      <c r="A43" s="315">
        <v>45231</v>
      </c>
      <c r="B43" s="290">
        <f t="shared" si="5"/>
        <v>47970138.457818434</v>
      </c>
      <c r="C43" s="290">
        <f t="shared" si="1"/>
        <v>2398506.9228909197</v>
      </c>
      <c r="D43" s="290">
        <f t="shared" si="2"/>
        <v>45571631.534927517</v>
      </c>
      <c r="E43" s="290">
        <f t="shared" si="6"/>
        <v>49420525.810722671</v>
      </c>
      <c r="F43" s="290">
        <f t="shared" si="3"/>
        <v>300995.57423086261</v>
      </c>
      <c r="G43" s="290">
        <v>0</v>
      </c>
      <c r="H43" s="290">
        <f t="shared" si="4"/>
        <v>49721521.384953536</v>
      </c>
    </row>
    <row r="44" spans="1:8" s="259" customFormat="1" ht="12.75" customHeight="1">
      <c r="A44" s="315">
        <v>45261</v>
      </c>
      <c r="B44" s="290">
        <f t="shared" si="5"/>
        <v>45571631.534927517</v>
      </c>
      <c r="C44" s="290">
        <f t="shared" si="1"/>
        <v>2398506.9228909197</v>
      </c>
      <c r="D44" s="290">
        <f t="shared" si="2"/>
        <v>43173124.612036601</v>
      </c>
      <c r="E44" s="290">
        <f t="shared" si="6"/>
        <v>49721521.384953536</v>
      </c>
      <c r="F44" s="290">
        <f t="shared" si="3"/>
        <v>257167.89825520638</v>
      </c>
      <c r="G44" s="290">
        <f>-$B$18</f>
        <v>-7497070.79</v>
      </c>
      <c r="H44" s="290">
        <f t="shared" si="4"/>
        <v>42481618.493208744</v>
      </c>
    </row>
    <row r="45" spans="1:8" s="259" customFormat="1" ht="12.75" customHeight="1">
      <c r="A45" s="315">
        <v>45292</v>
      </c>
      <c r="B45" s="290">
        <f t="shared" si="5"/>
        <v>43173124.612036601</v>
      </c>
      <c r="C45" s="290">
        <f t="shared" si="1"/>
        <v>2398506.9228909197</v>
      </c>
      <c r="D45" s="290">
        <f t="shared" si="2"/>
        <v>40774617.689145684</v>
      </c>
      <c r="E45" s="290">
        <f t="shared" si="6"/>
        <v>42481618.493208744</v>
      </c>
      <c r="F45" s="290">
        <f t="shared" si="3"/>
        <v>258734.17862028247</v>
      </c>
      <c r="G45" s="290">
        <v>0</v>
      </c>
      <c r="H45" s="290">
        <f t="shared" si="4"/>
        <v>42740352.671829022</v>
      </c>
    </row>
    <row r="46" spans="1:8" s="259" customFormat="1" ht="12.75" customHeight="1">
      <c r="A46" s="315">
        <v>45323</v>
      </c>
      <c r="B46" s="290">
        <f t="shared" si="5"/>
        <v>40774617.689145684</v>
      </c>
      <c r="C46" s="290">
        <f t="shared" si="1"/>
        <v>2398506.9228909197</v>
      </c>
      <c r="D46" s="290">
        <f t="shared" si="2"/>
        <v>38376110.766254768</v>
      </c>
      <c r="E46" s="290">
        <f t="shared" si="6"/>
        <v>42740352.671829022</v>
      </c>
      <c r="F46" s="290">
        <f t="shared" si="3"/>
        <v>260309.99841154143</v>
      </c>
      <c r="G46" s="290">
        <v>0</v>
      </c>
      <c r="H46" s="290">
        <f t="shared" si="4"/>
        <v>43000662.670240566</v>
      </c>
    </row>
    <row r="47" spans="1:8" s="259" customFormat="1" ht="12.75" customHeight="1">
      <c r="A47" s="315">
        <v>45352</v>
      </c>
      <c r="B47" s="290">
        <f t="shared" si="5"/>
        <v>38376110.766254768</v>
      </c>
      <c r="C47" s="290">
        <f t="shared" si="1"/>
        <v>2398506.9228909197</v>
      </c>
      <c r="D47" s="290">
        <f t="shared" si="2"/>
        <v>35977603.843363851</v>
      </c>
      <c r="E47" s="290">
        <f t="shared" si="6"/>
        <v>43000662.670240566</v>
      </c>
      <c r="F47" s="290">
        <f t="shared" si="3"/>
        <v>216234.52705014704</v>
      </c>
      <c r="G47" s="290">
        <f>-$B$18</f>
        <v>-7497070.79</v>
      </c>
      <c r="H47" s="290">
        <f t="shared" si="4"/>
        <v>35719826.407290712</v>
      </c>
    </row>
    <row r="48" spans="1:8" s="259" customFormat="1" ht="12.75" customHeight="1">
      <c r="A48" s="315">
        <v>45383</v>
      </c>
      <c r="B48" s="290">
        <f t="shared" si="5"/>
        <v>35977603.843363851</v>
      </c>
      <c r="C48" s="290">
        <f t="shared" si="1"/>
        <v>2398506.9228909197</v>
      </c>
      <c r="D48" s="290">
        <f t="shared" si="2"/>
        <v>33579096.920472935</v>
      </c>
      <c r="E48" s="290">
        <f t="shared" si="6"/>
        <v>35719826.407290712</v>
      </c>
      <c r="F48" s="290">
        <f t="shared" si="3"/>
        <v>217551.50283238114</v>
      </c>
      <c r="G48" s="290">
        <v>0</v>
      </c>
      <c r="H48" s="290">
        <f t="shared" si="4"/>
        <v>35937377.910123095</v>
      </c>
    </row>
    <row r="49" spans="1:8" s="259" customFormat="1" ht="12.75" customHeight="1">
      <c r="A49" s="315">
        <v>45413</v>
      </c>
      <c r="B49" s="290">
        <f t="shared" si="5"/>
        <v>33579096.920472935</v>
      </c>
      <c r="C49" s="290">
        <f t="shared" si="1"/>
        <v>2398506.9228909197</v>
      </c>
      <c r="D49" s="290">
        <f t="shared" si="2"/>
        <v>31180589.997582015</v>
      </c>
      <c r="E49" s="290">
        <f t="shared" si="6"/>
        <v>35937377.910123095</v>
      </c>
      <c r="F49" s="290">
        <f t="shared" si="3"/>
        <v>218876.49965193367</v>
      </c>
      <c r="G49" s="290">
        <v>0</v>
      </c>
      <c r="H49" s="290">
        <f t="shared" si="4"/>
        <v>36156254.409775026</v>
      </c>
    </row>
    <row r="50" spans="1:8" s="259" customFormat="1" ht="12.75" customHeight="1">
      <c r="A50" s="315">
        <v>45444</v>
      </c>
      <c r="B50" s="290">
        <f t="shared" si="5"/>
        <v>31180589.997582015</v>
      </c>
      <c r="C50" s="290">
        <f t="shared" si="1"/>
        <v>2398506.9228909197</v>
      </c>
      <c r="D50" s="290">
        <f t="shared" si="2"/>
        <v>28782083.074691094</v>
      </c>
      <c r="E50" s="290">
        <f t="shared" si="6"/>
        <v>36156254.409775026</v>
      </c>
      <c r="F50" s="290">
        <f t="shared" si="3"/>
        <v>174548.67768222507</v>
      </c>
      <c r="G50" s="290">
        <f>-$B$18</f>
        <v>-7497070.79</v>
      </c>
      <c r="H50" s="290">
        <f t="shared" si="4"/>
        <v>28833732.297457255</v>
      </c>
    </row>
    <row r="51" spans="1:8" s="259" customFormat="1" ht="12.75" customHeight="1">
      <c r="A51" s="315">
        <v>45474</v>
      </c>
      <c r="B51" s="290">
        <f t="shared" si="5"/>
        <v>28782083.074691094</v>
      </c>
      <c r="C51" s="290">
        <f t="shared" si="1"/>
        <v>2398506.9228909197</v>
      </c>
      <c r="D51" s="290">
        <f t="shared" si="2"/>
        <v>26383576.151800174</v>
      </c>
      <c r="E51" s="290">
        <f t="shared" si="6"/>
        <v>28833732.297457255</v>
      </c>
      <c r="F51" s="290">
        <f t="shared" si="3"/>
        <v>175611.7659154709</v>
      </c>
      <c r="G51" s="290">
        <v>0</v>
      </c>
      <c r="H51" s="290">
        <f t="shared" si="4"/>
        <v>29009344.063372727</v>
      </c>
    </row>
    <row r="52" spans="1:8" s="259" customFormat="1" ht="12.75" customHeight="1">
      <c r="A52" s="315">
        <v>45505</v>
      </c>
      <c r="B52" s="290">
        <f t="shared" si="5"/>
        <v>26383576.151800174</v>
      </c>
      <c r="C52" s="290">
        <f t="shared" si="1"/>
        <v>2398506.9228909197</v>
      </c>
      <c r="D52" s="290">
        <f t="shared" si="2"/>
        <v>23985069.228909254</v>
      </c>
      <c r="E52" s="290">
        <f t="shared" si="6"/>
        <v>29009344.063372727</v>
      </c>
      <c r="F52" s="290">
        <f t="shared" si="3"/>
        <v>176681.32888462802</v>
      </c>
      <c r="G52" s="290">
        <v>0</v>
      </c>
      <c r="H52" s="290">
        <f t="shared" si="4"/>
        <v>29186025.392257355</v>
      </c>
    </row>
    <row r="53" spans="1:8" s="259" customFormat="1" ht="12.75" customHeight="1">
      <c r="A53" s="315">
        <v>45536</v>
      </c>
      <c r="B53" s="290">
        <f t="shared" si="5"/>
        <v>23985069.228909254</v>
      </c>
      <c r="C53" s="290">
        <f t="shared" si="1"/>
        <v>2398506.9228909197</v>
      </c>
      <c r="D53" s="290">
        <f t="shared" si="2"/>
        <v>21586562.306018334</v>
      </c>
      <c r="E53" s="290">
        <f t="shared" si="6"/>
        <v>29186025.392257355</v>
      </c>
      <c r="F53" s="290">
        <f t="shared" si="3"/>
        <v>132096.51734537265</v>
      </c>
      <c r="G53" s="290">
        <f>-$B$18</f>
        <v>-7497070.79</v>
      </c>
      <c r="H53" s="290">
        <f t="shared" si="4"/>
        <v>21821051.119602729</v>
      </c>
    </row>
    <row r="54" spans="1:8" s="259" customFormat="1" ht="12.75" customHeight="1">
      <c r="A54" s="315">
        <v>45566</v>
      </c>
      <c r="B54" s="290">
        <f t="shared" si="5"/>
        <v>21586562.306018334</v>
      </c>
      <c r="C54" s="290">
        <f t="shared" si="1"/>
        <v>2398506.9228909197</v>
      </c>
      <c r="D54" s="290">
        <f t="shared" si="2"/>
        <v>19188055.383127414</v>
      </c>
      <c r="E54" s="290">
        <f t="shared" si="6"/>
        <v>21821051.119602729</v>
      </c>
      <c r="F54" s="290">
        <f t="shared" si="3"/>
        <v>132901.05081481705</v>
      </c>
      <c r="G54" s="290">
        <v>0</v>
      </c>
      <c r="H54" s="290">
        <f t="shared" si="4"/>
        <v>21953952.170417547</v>
      </c>
    </row>
    <row r="55" spans="1:8" s="259" customFormat="1" ht="12.75" customHeight="1">
      <c r="A55" s="315">
        <v>45597</v>
      </c>
      <c r="B55" s="290">
        <f t="shared" si="5"/>
        <v>19188055.383127414</v>
      </c>
      <c r="C55" s="290">
        <f t="shared" si="1"/>
        <v>2398506.9228909197</v>
      </c>
      <c r="D55" s="290">
        <f t="shared" si="2"/>
        <v>16789548.460236493</v>
      </c>
      <c r="E55" s="290">
        <f t="shared" si="6"/>
        <v>21953952.170417547</v>
      </c>
      <c r="F55" s="290">
        <f t="shared" si="3"/>
        <v>133710.484293107</v>
      </c>
      <c r="G55" s="290">
        <v>0</v>
      </c>
      <c r="H55" s="290">
        <f t="shared" si="4"/>
        <v>22087662.654710654</v>
      </c>
    </row>
    <row r="56" spans="1:8" s="259" customFormat="1" ht="12.75" customHeight="1">
      <c r="A56" s="315">
        <v>45627</v>
      </c>
      <c r="B56" s="290">
        <f t="shared" si="5"/>
        <v>16789548.460236493</v>
      </c>
      <c r="C56" s="290">
        <f t="shared" si="1"/>
        <v>2398506.9228909197</v>
      </c>
      <c r="D56" s="290">
        <f t="shared" si="2"/>
        <v>14391041.537345573</v>
      </c>
      <c r="E56" s="290">
        <f t="shared" si="6"/>
        <v>22087662.654710654</v>
      </c>
      <c r="F56" s="290">
        <f t="shared" si="3"/>
        <v>88863.958945047838</v>
      </c>
      <c r="G56" s="290">
        <f>-$B$18</f>
        <v>-7497070.79</v>
      </c>
      <c r="H56" s="290">
        <f t="shared" si="4"/>
        <v>14679455.823655702</v>
      </c>
    </row>
    <row r="57" spans="1:8" s="259" customFormat="1" ht="12.75" customHeight="1">
      <c r="A57" s="315">
        <v>45658</v>
      </c>
      <c r="B57" s="290">
        <f t="shared" si="5"/>
        <v>14391041.537345573</v>
      </c>
      <c r="C57" s="290">
        <f t="shared" si="1"/>
        <v>2398506.9228909197</v>
      </c>
      <c r="D57" s="290">
        <f t="shared" si="2"/>
        <v>11992534.614454653</v>
      </c>
      <c r="E57" s="290">
        <f t="shared" si="6"/>
        <v>14679455.823655702</v>
      </c>
      <c r="F57" s="290">
        <f t="shared" si="3"/>
        <v>89405.184638467894</v>
      </c>
      <c r="G57" s="290">
        <v>0</v>
      </c>
      <c r="H57" s="290">
        <f t="shared" si="4"/>
        <v>14768861.008294171</v>
      </c>
    </row>
    <row r="58" spans="1:8" s="259" customFormat="1" ht="12.75" customHeight="1">
      <c r="A58" s="315">
        <v>45689</v>
      </c>
      <c r="B58" s="290">
        <f t="shared" si="5"/>
        <v>11992534.614454653</v>
      </c>
      <c r="C58" s="290">
        <f t="shared" si="1"/>
        <v>2398506.9228909197</v>
      </c>
      <c r="D58" s="290">
        <f t="shared" si="2"/>
        <v>9594027.6915637329</v>
      </c>
      <c r="E58" s="290">
        <f t="shared" si="6"/>
        <v>14768861.008294171</v>
      </c>
      <c r="F58" s="290">
        <f t="shared" si="3"/>
        <v>89949.706665460035</v>
      </c>
      <c r="G58" s="290">
        <v>0</v>
      </c>
      <c r="H58" s="290">
        <f t="shared" si="4"/>
        <v>14858810.714959631</v>
      </c>
    </row>
    <row r="59" spans="1:8" s="259" customFormat="1" ht="12.75" customHeight="1">
      <c r="A59" s="315">
        <v>45717</v>
      </c>
      <c r="B59" s="290">
        <f t="shared" si="5"/>
        <v>9594027.6915637329</v>
      </c>
      <c r="C59" s="290">
        <f t="shared" si="1"/>
        <v>2398506.9228909197</v>
      </c>
      <c r="D59" s="290">
        <f t="shared" si="2"/>
        <v>7195520.7686728127</v>
      </c>
      <c r="E59" s="290">
        <f t="shared" si="6"/>
        <v>14858810.714959631</v>
      </c>
      <c r="F59" s="290">
        <f t="shared" si="3"/>
        <v>44836.656423649845</v>
      </c>
      <c r="G59" s="290">
        <f>-$B$18</f>
        <v>-7497070.79</v>
      </c>
      <c r="H59" s="290">
        <f t="shared" si="4"/>
        <v>7406576.5813832814</v>
      </c>
    </row>
    <row r="60" spans="1:8" s="259" customFormat="1" ht="12.75" customHeight="1">
      <c r="A60" s="315">
        <v>45748</v>
      </c>
      <c r="B60" s="290">
        <f t="shared" si="5"/>
        <v>7195520.7686728127</v>
      </c>
      <c r="C60" s="290">
        <f t="shared" si="1"/>
        <v>2398506.9228909197</v>
      </c>
      <c r="D60" s="290">
        <f t="shared" si="2"/>
        <v>4797013.8457818925</v>
      </c>
      <c r="E60" s="290">
        <f t="shared" si="6"/>
        <v>7406576.5813832814</v>
      </c>
      <c r="F60" s="290">
        <f t="shared" si="3"/>
        <v>45109.733954198913</v>
      </c>
      <c r="G60" s="290">
        <v>0</v>
      </c>
      <c r="H60" s="290">
        <f t="shared" si="4"/>
        <v>7451686.31533748</v>
      </c>
    </row>
    <row r="61" spans="1:8" s="259" customFormat="1" ht="12.75" customHeight="1">
      <c r="A61" s="315">
        <v>45778</v>
      </c>
      <c r="B61" s="290">
        <f t="shared" si="5"/>
        <v>4797013.8457818925</v>
      </c>
      <c r="C61" s="290">
        <f t="shared" si="1"/>
        <v>2398506.9228909197</v>
      </c>
      <c r="D61" s="290">
        <f t="shared" si="2"/>
        <v>2398506.9228909728</v>
      </c>
      <c r="E61" s="290">
        <f t="shared" si="6"/>
        <v>7451686.31533748</v>
      </c>
      <c r="F61" s="290">
        <f t="shared" si="3"/>
        <v>45384.474662684042</v>
      </c>
      <c r="G61" s="290">
        <v>0</v>
      </c>
      <c r="H61" s="290">
        <f t="shared" si="4"/>
        <v>7497070.790000164</v>
      </c>
    </row>
    <row r="62" spans="1:8" s="259" customFormat="1" ht="12.75" customHeight="1">
      <c r="A62" s="315">
        <v>45809</v>
      </c>
      <c r="B62" s="290">
        <f t="shared" si="5"/>
        <v>2398506.9228909728</v>
      </c>
      <c r="C62" s="290">
        <f t="shared" si="1"/>
        <v>2398506.9228909197</v>
      </c>
      <c r="D62" s="290">
        <f t="shared" si="2"/>
        <v>5.3085386753082275E-8</v>
      </c>
      <c r="E62" s="290">
        <f t="shared" si="6"/>
        <v>7497070.790000164</v>
      </c>
      <c r="F62" s="290">
        <f t="shared" si="3"/>
        <v>9.9831028633111969E-10</v>
      </c>
      <c r="G62" s="290">
        <f>-$B$18</f>
        <v>-7497070.79</v>
      </c>
      <c r="H62" s="290">
        <f t="shared" si="4"/>
        <v>1.648440957069397E-7</v>
      </c>
    </row>
    <row r="63" spans="1:8" customFormat="1" ht="12.75" customHeight="1"/>
    <row r="64" spans="1:8" s="259" customFormat="1" ht="12.75" customHeight="1">
      <c r="A64" s="317" t="s">
        <v>436</v>
      </c>
      <c r="B64" s="291"/>
      <c r="C64" s="291"/>
      <c r="D64" s="291"/>
    </row>
    <row r="65" spans="1:8" s="259" customFormat="1" ht="12.75" customHeight="1">
      <c r="A65" s="315">
        <v>45901</v>
      </c>
      <c r="B65" s="290">
        <f>$B$25</f>
        <v>6063067.7999999998</v>
      </c>
      <c r="C65" s="290">
        <f>$B$25/$B$24</f>
        <v>1515766.95</v>
      </c>
      <c r="D65" s="290">
        <f>B65-C65</f>
        <v>4547300.8499999996</v>
      </c>
      <c r="E65" s="290">
        <f>$B$25</f>
        <v>6063067.7999999998</v>
      </c>
      <c r="F65" s="290">
        <v>0</v>
      </c>
      <c r="G65" s="290">
        <f>-$B$25</f>
        <v>-6063067.7999999998</v>
      </c>
      <c r="H65" s="290">
        <f>E65+F65+G65</f>
        <v>0</v>
      </c>
    </row>
    <row r="66" spans="1:8" s="259" customFormat="1" ht="12.75" customHeight="1">
      <c r="A66" s="315">
        <v>45931</v>
      </c>
      <c r="B66" s="290">
        <f>D65</f>
        <v>4547300.8499999996</v>
      </c>
      <c r="C66" s="290">
        <f>$B$25/$B$24</f>
        <v>1515766.95</v>
      </c>
      <c r="D66" s="290">
        <f>B66-C66</f>
        <v>3031533.8999999994</v>
      </c>
      <c r="E66" s="290">
        <f>H65</f>
        <v>0</v>
      </c>
      <c r="F66" s="290">
        <v>0</v>
      </c>
      <c r="G66" s="290">
        <v>0</v>
      </c>
      <c r="H66" s="290">
        <f>E66+F66+G66</f>
        <v>0</v>
      </c>
    </row>
    <row r="67" spans="1:8" s="259" customFormat="1" ht="12.75" customHeight="1">
      <c r="A67" s="315">
        <v>45962</v>
      </c>
      <c r="B67" s="290">
        <f>D66</f>
        <v>3031533.8999999994</v>
      </c>
      <c r="C67" s="290">
        <f>$B$25/$B$24</f>
        <v>1515766.95</v>
      </c>
      <c r="D67" s="290">
        <f>B67-C67</f>
        <v>1515766.9499999995</v>
      </c>
      <c r="E67" s="290">
        <f>H66</f>
        <v>0</v>
      </c>
      <c r="F67" s="290">
        <v>0</v>
      </c>
      <c r="G67" s="290">
        <v>0</v>
      </c>
      <c r="H67" s="290">
        <f>E67+F67+G67</f>
        <v>0</v>
      </c>
    </row>
    <row r="68" spans="1:8" s="259" customFormat="1" ht="12.75" customHeight="1">
      <c r="A68" s="315">
        <v>45992</v>
      </c>
      <c r="B68" s="290">
        <f>D67</f>
        <v>1515766.9499999995</v>
      </c>
      <c r="C68" s="290">
        <f>$B$25/$B$24</f>
        <v>1515766.95</v>
      </c>
      <c r="D68" s="290">
        <f>B68-C68</f>
        <v>0</v>
      </c>
      <c r="E68" s="290">
        <f>H67</f>
        <v>0</v>
      </c>
      <c r="F68" s="290">
        <v>0</v>
      </c>
      <c r="G68" s="290">
        <v>0</v>
      </c>
      <c r="H68" s="290">
        <f>E68+F68+G68</f>
        <v>0</v>
      </c>
    </row>
    <row r="69" spans="1:8" s="259" customFormat="1" ht="12.75" customHeight="1">
      <c r="A69" s="316"/>
      <c r="B69" s="291"/>
      <c r="C69" s="291"/>
      <c r="D69" s="291"/>
    </row>
    <row r="70" spans="1:8" s="259" customFormat="1" ht="13.3"/>
    <row r="71" spans="1:8" ht="12.75" customHeight="1"/>
    <row r="72" spans="1:8" ht="12.75" customHeight="1"/>
    <row r="73" spans="1:8" ht="12.75" customHeight="1"/>
    <row r="74" spans="1:8" ht="12.75" customHeight="1"/>
    <row r="75" spans="1:8" ht="12.75" customHeight="1"/>
    <row r="76" spans="1:8" ht="12.75" customHeight="1"/>
    <row r="77" spans="1:8" ht="12.75" customHeight="1"/>
    <row r="78" spans="1:8" ht="12.75" customHeight="1"/>
    <row r="79" spans="1:8" ht="12.75" customHeight="1"/>
    <row r="80" spans="1:8" ht="12.75" customHeight="1"/>
    <row r="81" ht="12.75" customHeight="1"/>
    <row r="82" ht="12.75" customHeight="1"/>
    <row r="83" ht="12.75" customHeight="1"/>
    <row r="84" ht="12.75" customHeight="1"/>
    <row r="86" ht="12.75" customHeight="1"/>
    <row r="87" ht="12.75" customHeight="1"/>
    <row r="88" ht="12.75" customHeight="1"/>
    <row r="89" ht="12.75" customHeight="1"/>
    <row r="90" ht="12.75" customHeight="1"/>
    <row r="91" ht="12.75" customHeight="1"/>
  </sheetData>
  <mergeCells count="2">
    <mergeCell ref="A27:H27"/>
    <mergeCell ref="F16:I16"/>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4D5A9-C96B-4A83-9117-35EA36A70872}">
  <dimension ref="A1:L62"/>
  <sheetViews>
    <sheetView showGridLines="0" workbookViewId="0">
      <selection activeCell="B17" sqref="B17"/>
    </sheetView>
  </sheetViews>
  <sheetFormatPr defaultColWidth="8.796875" defaultRowHeight="13.3"/>
  <cols>
    <col min="1" max="1" width="26.5" style="2" customWidth="1"/>
    <col min="2" max="2" width="16.796875" style="2" bestFit="1" customWidth="1"/>
    <col min="3" max="4" width="19" style="2" bestFit="1" customWidth="1"/>
    <col min="5" max="6" width="13.796875" style="2" bestFit="1" customWidth="1"/>
    <col min="7" max="7" width="14.796875" style="2" bestFit="1" customWidth="1"/>
    <col min="8" max="9" width="17.5" style="2" bestFit="1" customWidth="1"/>
    <col min="10" max="11" width="11.5" style="2" bestFit="1" customWidth="1"/>
    <col min="12" max="12" width="12.79687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9" spans="1:12" ht="14.4">
      <c r="D9" s="1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223">
        <v>7.3531620000000006E-2</v>
      </c>
      <c r="C13" s="208">
        <v>44621</v>
      </c>
      <c r="D13" s="208">
        <v>45777</v>
      </c>
      <c r="E13" s="73">
        <v>0</v>
      </c>
      <c r="F13" s="73">
        <v>987857.38</v>
      </c>
      <c r="G13" s="73">
        <v>0</v>
      </c>
      <c r="H13" s="73">
        <v>0.01</v>
      </c>
      <c r="I13" s="73">
        <v>991136.97</v>
      </c>
      <c r="J13" s="73">
        <f>'Details 25-26'!S256</f>
        <v>0</v>
      </c>
      <c r="K13" s="77">
        <v>0</v>
      </c>
      <c r="L13" s="77">
        <v>0</v>
      </c>
    </row>
    <row r="14" spans="1:12" ht="14.4">
      <c r="A14" s="74" t="s">
        <v>104</v>
      </c>
      <c r="B14" s="243">
        <v>7.3531620000000006E-2</v>
      </c>
      <c r="C14" s="85">
        <v>44621</v>
      </c>
      <c r="D14" s="85">
        <v>45777</v>
      </c>
      <c r="E14" s="73">
        <v>0</v>
      </c>
      <c r="F14" s="73">
        <f>SUM(C62)</f>
        <v>887208.69074382039</v>
      </c>
      <c r="G14" s="77">
        <v>0</v>
      </c>
      <c r="H14" s="73">
        <f>G62</f>
        <v>-1.7669694375945256E-9</v>
      </c>
      <c r="I14" s="73">
        <f>F62</f>
        <v>-991137</v>
      </c>
      <c r="J14" s="77">
        <v>0</v>
      </c>
      <c r="K14" s="8">
        <v>0</v>
      </c>
      <c r="L14" s="8">
        <v>0</v>
      </c>
    </row>
    <row r="15" spans="1:12">
      <c r="A15" s="86" t="s">
        <v>32</v>
      </c>
      <c r="B15" s="257">
        <f t="shared" ref="B15:G15" si="0">B13-B14</f>
        <v>0</v>
      </c>
      <c r="C15" s="87">
        <f t="shared" si="0"/>
        <v>0</v>
      </c>
      <c r="D15" s="87">
        <f t="shared" si="0"/>
        <v>0</v>
      </c>
      <c r="E15" s="8">
        <f t="shared" si="0"/>
        <v>0</v>
      </c>
      <c r="F15" s="8">
        <f t="shared" si="0"/>
        <v>100648.68925617961</v>
      </c>
      <c r="G15" s="8">
        <f t="shared" si="0"/>
        <v>0</v>
      </c>
      <c r="H15" s="8">
        <f t="shared" ref="H15:L15" si="1">H13-H14</f>
        <v>1.0000001766969437E-2</v>
      </c>
      <c r="I15" s="8">
        <f>I13+I14</f>
        <v>-3.0000000027939677E-2</v>
      </c>
      <c r="J15" s="8">
        <f t="shared" si="1"/>
        <v>0</v>
      </c>
      <c r="K15" s="8">
        <f t="shared" si="1"/>
        <v>0</v>
      </c>
      <c r="L15" s="8">
        <f t="shared" si="1"/>
        <v>0</v>
      </c>
    </row>
    <row r="16" spans="1:12">
      <c r="B16" s="90"/>
      <c r="C16" s="53"/>
      <c r="E16" s="53"/>
      <c r="G16" s="53"/>
      <c r="H16" s="53"/>
    </row>
    <row r="17" spans="1:10">
      <c r="A17" s="14" t="s">
        <v>373</v>
      </c>
      <c r="B17" s="7">
        <v>991137</v>
      </c>
      <c r="C17" s="88" t="s">
        <v>107</v>
      </c>
      <c r="E17" s="53"/>
      <c r="F17" s="53"/>
      <c r="G17" s="53"/>
      <c r="H17" s="53"/>
      <c r="I17" s="53"/>
      <c r="J17" s="53"/>
    </row>
    <row r="18" spans="1:10">
      <c r="A18" s="14" t="s">
        <v>109</v>
      </c>
      <c r="B18" s="91">
        <f>B14/12</f>
        <v>6.1276350000000002E-3</v>
      </c>
      <c r="C18" s="88" t="s">
        <v>106</v>
      </c>
    </row>
    <row r="19" spans="1:10">
      <c r="A19" s="14" t="s">
        <v>114</v>
      </c>
      <c r="B19" s="89">
        <f>ROUND(((D14-C14)/30.5),0)</f>
        <v>38</v>
      </c>
      <c r="C19" s="88" t="s">
        <v>117</v>
      </c>
      <c r="E19" s="53"/>
      <c r="G19" s="53"/>
    </row>
    <row r="20" spans="1:10">
      <c r="A20" s="14" t="s">
        <v>110</v>
      </c>
      <c r="B20" s="7">
        <f>-PV(B18,B19,B17,,1)</f>
        <v>33713930.248265177</v>
      </c>
      <c r="C20" s="88" t="s">
        <v>117</v>
      </c>
      <c r="D20" s="224"/>
      <c r="E20" s="53"/>
      <c r="F20" s="222"/>
    </row>
    <row r="21" spans="1:10">
      <c r="A21" s="14"/>
      <c r="B21" s="7"/>
      <c r="C21" s="88"/>
      <c r="E21" s="53"/>
    </row>
    <row r="22" spans="1:10">
      <c r="A22" s="14"/>
      <c r="B22" s="7"/>
      <c r="C22" s="88"/>
      <c r="E22" s="53"/>
    </row>
    <row r="23" spans="1:10">
      <c r="B23" s="378" t="s">
        <v>185</v>
      </c>
      <c r="C23" s="378"/>
      <c r="D23" s="378"/>
      <c r="E23" s="379" t="s">
        <v>15</v>
      </c>
      <c r="F23" s="379"/>
      <c r="G23" s="379"/>
      <c r="H23" s="379"/>
    </row>
    <row r="24" spans="1:10">
      <c r="A24" s="5" t="s">
        <v>176</v>
      </c>
      <c r="B24" s="79" t="s">
        <v>112</v>
      </c>
      <c r="C24" s="79" t="s">
        <v>133</v>
      </c>
      <c r="D24" s="79" t="s">
        <v>111</v>
      </c>
      <c r="E24" s="79" t="s">
        <v>113</v>
      </c>
      <c r="F24" s="79" t="s">
        <v>11</v>
      </c>
      <c r="G24" s="79" t="s">
        <v>10</v>
      </c>
      <c r="H24" s="79" t="s">
        <v>57</v>
      </c>
    </row>
    <row r="25" spans="1:10">
      <c r="A25" s="250">
        <v>44621</v>
      </c>
      <c r="B25" s="10">
        <f>B20</f>
        <v>33713930.248265177</v>
      </c>
      <c r="C25" s="8">
        <f t="shared" ref="C25:C62" si="2">$B$20/$B$19</f>
        <v>887208.69074382039</v>
      </c>
      <c r="D25" s="10">
        <f>B25-C25</f>
        <v>32826721.557521358</v>
      </c>
      <c r="E25" s="10">
        <f>B25</f>
        <v>33713930.248265177</v>
      </c>
      <c r="F25" s="10">
        <f t="shared" ref="F25:F62" si="3">-$B$17</f>
        <v>-991137</v>
      </c>
      <c r="G25" s="10">
        <f t="shared" ref="G25:G36" si="4">(E25+F25)*$B$18</f>
        <v>200513.33320583339</v>
      </c>
      <c r="H25" s="10">
        <f>E25+F25+G25</f>
        <v>32923306.581471011</v>
      </c>
    </row>
    <row r="26" spans="1:10">
      <c r="A26" s="250">
        <v>44652</v>
      </c>
      <c r="B26" s="10">
        <f t="shared" ref="B26:B36" si="5">D25</f>
        <v>32826721.557521358</v>
      </c>
      <c r="C26" s="8">
        <f t="shared" si="2"/>
        <v>887208.69074382039</v>
      </c>
      <c r="D26" s="10">
        <f t="shared" ref="D26:D36" si="6">B26-C26</f>
        <v>31939512.866777539</v>
      </c>
      <c r="E26" s="10">
        <f t="shared" ref="E26:E36" si="7">H25</f>
        <v>32923306.581471011</v>
      </c>
      <c r="F26" s="10">
        <f t="shared" si="3"/>
        <v>-991137</v>
      </c>
      <c r="G26" s="10">
        <f t="shared" si="4"/>
        <v>195668.67995335712</v>
      </c>
      <c r="H26" s="10">
        <f t="shared" ref="H26:H36" si="8">E26+F26+G26</f>
        <v>32127838.261424366</v>
      </c>
    </row>
    <row r="27" spans="1:10">
      <c r="A27" s="250">
        <v>44682</v>
      </c>
      <c r="B27" s="10">
        <f t="shared" si="5"/>
        <v>31939512.866777539</v>
      </c>
      <c r="C27" s="8">
        <f t="shared" si="2"/>
        <v>887208.69074382039</v>
      </c>
      <c r="D27" s="10">
        <f t="shared" si="6"/>
        <v>31052304.17603372</v>
      </c>
      <c r="E27" s="10">
        <f t="shared" si="7"/>
        <v>32127838.261424366</v>
      </c>
      <c r="F27" s="10">
        <f t="shared" si="3"/>
        <v>-991137</v>
      </c>
      <c r="G27" s="10">
        <f t="shared" si="4"/>
        <v>190794.34043404809</v>
      </c>
      <c r="H27" s="10">
        <f t="shared" si="8"/>
        <v>31327495.601858415</v>
      </c>
    </row>
    <row r="28" spans="1:10">
      <c r="A28" s="250">
        <v>44713</v>
      </c>
      <c r="B28" s="10">
        <f>D27</f>
        <v>31052304.17603372</v>
      </c>
      <c r="C28" s="8">
        <f t="shared" si="2"/>
        <v>887208.69074382039</v>
      </c>
      <c r="D28" s="10">
        <f t="shared" si="6"/>
        <v>30165095.485289901</v>
      </c>
      <c r="E28" s="10">
        <f>H27</f>
        <v>31327495.601858415</v>
      </c>
      <c r="F28" s="10">
        <f t="shared" si="3"/>
        <v>-991137</v>
      </c>
      <c r="G28" s="10">
        <f t="shared" si="4"/>
        <v>185890.1327412987</v>
      </c>
      <c r="H28" s="10">
        <f t="shared" si="8"/>
        <v>30522248.734599713</v>
      </c>
    </row>
    <row r="29" spans="1:10">
      <c r="A29" s="250">
        <v>44743</v>
      </c>
      <c r="B29" s="10">
        <f t="shared" si="5"/>
        <v>30165095.485289901</v>
      </c>
      <c r="C29" s="8">
        <f t="shared" si="2"/>
        <v>887208.69074382039</v>
      </c>
      <c r="D29" s="10">
        <f t="shared" si="6"/>
        <v>29277886.794546083</v>
      </c>
      <c r="E29" s="10">
        <f t="shared" si="7"/>
        <v>30522248.734599713</v>
      </c>
      <c r="F29" s="10">
        <f t="shared" si="3"/>
        <v>-991137</v>
      </c>
      <c r="G29" s="10">
        <f t="shared" si="4"/>
        <v>180955.87385384392</v>
      </c>
      <c r="H29" s="10">
        <f t="shared" si="8"/>
        <v>29712067.608453557</v>
      </c>
    </row>
    <row r="30" spans="1:10">
      <c r="A30" s="250">
        <v>44774</v>
      </c>
      <c r="B30" s="10">
        <f t="shared" si="5"/>
        <v>29277886.794546083</v>
      </c>
      <c r="C30" s="8">
        <f t="shared" si="2"/>
        <v>887208.69074382039</v>
      </c>
      <c r="D30" s="10">
        <f t="shared" si="6"/>
        <v>28390678.103802264</v>
      </c>
      <c r="E30" s="10">
        <f t="shared" si="7"/>
        <v>29712067.608453557</v>
      </c>
      <c r="F30" s="10">
        <f t="shared" si="3"/>
        <v>-991137</v>
      </c>
      <c r="G30" s="10">
        <f t="shared" si="4"/>
        <v>175991.37962893132</v>
      </c>
      <c r="H30" s="10">
        <f t="shared" si="8"/>
        <v>28896921.988082487</v>
      </c>
    </row>
    <row r="31" spans="1:10">
      <c r="A31" s="250">
        <v>44805</v>
      </c>
      <c r="B31" s="10">
        <f t="shared" si="5"/>
        <v>28390678.103802264</v>
      </c>
      <c r="C31" s="8">
        <f t="shared" si="2"/>
        <v>887208.69074382039</v>
      </c>
      <c r="D31" s="10">
        <f t="shared" si="6"/>
        <v>27503469.413058445</v>
      </c>
      <c r="E31" s="10">
        <f t="shared" si="7"/>
        <v>28896921.988082487</v>
      </c>
      <c r="F31" s="10">
        <f t="shared" si="3"/>
        <v>-991137</v>
      </c>
      <c r="G31" s="10">
        <f t="shared" si="4"/>
        <v>170996.46479544885</v>
      </c>
      <c r="H31" s="10">
        <f t="shared" si="8"/>
        <v>28076781.452877935</v>
      </c>
    </row>
    <row r="32" spans="1:10">
      <c r="A32" s="250">
        <v>44835</v>
      </c>
      <c r="B32" s="10">
        <f t="shared" si="5"/>
        <v>27503469.413058445</v>
      </c>
      <c r="C32" s="8">
        <f t="shared" si="2"/>
        <v>887208.69074382039</v>
      </c>
      <c r="D32" s="10">
        <f>B32-C32</f>
        <v>26616260.722314626</v>
      </c>
      <c r="E32" s="10">
        <f>H31</f>
        <v>28076781.452877935</v>
      </c>
      <c r="F32" s="10">
        <f t="shared" si="3"/>
        <v>-991137</v>
      </c>
      <c r="G32" s="10">
        <f t="shared" si="4"/>
        <v>165970.94294701068</v>
      </c>
      <c r="H32" s="10">
        <f t="shared" si="8"/>
        <v>27251615.395824946</v>
      </c>
    </row>
    <row r="33" spans="1:8">
      <c r="A33" s="250">
        <v>44866</v>
      </c>
      <c r="B33" s="10">
        <f t="shared" si="5"/>
        <v>26616260.722314626</v>
      </c>
      <c r="C33" s="8">
        <f t="shared" si="2"/>
        <v>887208.69074382039</v>
      </c>
      <c r="D33" s="10">
        <f t="shared" si="6"/>
        <v>25729052.031570807</v>
      </c>
      <c r="E33" s="10">
        <f t="shared" si="7"/>
        <v>27251615.395824946</v>
      </c>
      <c r="F33" s="10">
        <f t="shared" si="3"/>
        <v>-991137</v>
      </c>
      <c r="G33" s="10">
        <f t="shared" si="4"/>
        <v>160914.6265350008</v>
      </c>
      <c r="H33" s="10">
        <f t="shared" si="8"/>
        <v>26421393.022359949</v>
      </c>
    </row>
    <row r="34" spans="1:8">
      <c r="A34" s="250">
        <v>44896</v>
      </c>
      <c r="B34" s="10">
        <f t="shared" si="5"/>
        <v>25729052.031570807</v>
      </c>
      <c r="C34" s="8">
        <f t="shared" si="2"/>
        <v>887208.69074382039</v>
      </c>
      <c r="D34" s="10">
        <f t="shared" si="6"/>
        <v>24841843.340826988</v>
      </c>
      <c r="E34" s="10">
        <f t="shared" si="7"/>
        <v>26421393.022359949</v>
      </c>
      <c r="F34" s="10">
        <f t="shared" si="3"/>
        <v>-991137</v>
      </c>
      <c r="G34" s="10">
        <f t="shared" si="4"/>
        <v>155827.32686157362</v>
      </c>
      <c r="H34" s="10">
        <f t="shared" si="8"/>
        <v>25586083.349221524</v>
      </c>
    </row>
    <row r="35" spans="1:8">
      <c r="A35" s="250">
        <v>44927</v>
      </c>
      <c r="B35" s="10">
        <f t="shared" si="5"/>
        <v>24841843.340826988</v>
      </c>
      <c r="C35" s="8">
        <f t="shared" si="2"/>
        <v>887208.69074382039</v>
      </c>
      <c r="D35" s="10">
        <f t="shared" si="6"/>
        <v>23954634.650083169</v>
      </c>
      <c r="E35" s="10">
        <f t="shared" si="7"/>
        <v>25586083.349221524</v>
      </c>
      <c r="F35" s="10">
        <f t="shared" si="3"/>
        <v>-991137</v>
      </c>
      <c r="G35" s="10">
        <f t="shared" si="4"/>
        <v>150708.85407261204</v>
      </c>
      <c r="H35" s="10">
        <f t="shared" si="8"/>
        <v>24745655.203294136</v>
      </c>
    </row>
    <row r="36" spans="1:8">
      <c r="A36" s="250">
        <v>44958</v>
      </c>
      <c r="B36" s="10">
        <f t="shared" si="5"/>
        <v>23954634.650083169</v>
      </c>
      <c r="C36" s="8">
        <f t="shared" si="2"/>
        <v>887208.69074382039</v>
      </c>
      <c r="D36" s="10">
        <f t="shared" si="6"/>
        <v>23067425.95933935</v>
      </c>
      <c r="E36" s="10">
        <f t="shared" si="7"/>
        <v>24745655.203294136</v>
      </c>
      <c r="F36" s="10">
        <f t="shared" si="3"/>
        <v>-991137</v>
      </c>
      <c r="G36" s="10">
        <f t="shared" si="4"/>
        <v>145559.01715064226</v>
      </c>
      <c r="H36" s="10">
        <f t="shared" si="8"/>
        <v>23900077.220444776</v>
      </c>
    </row>
    <row r="37" spans="1:8">
      <c r="A37" s="250">
        <v>44986</v>
      </c>
      <c r="B37" s="10">
        <f t="shared" ref="B37:B62" si="9">D36</f>
        <v>23067425.95933935</v>
      </c>
      <c r="C37" s="8">
        <f t="shared" si="2"/>
        <v>887208.69074382039</v>
      </c>
      <c r="D37" s="10">
        <f t="shared" ref="D37:D62" si="10">B37-C37</f>
        <v>22180217.268595532</v>
      </c>
      <c r="E37" s="10">
        <f t="shared" ref="E37:E62" si="11">H36</f>
        <v>23900077.220444776</v>
      </c>
      <c r="F37" s="10">
        <f t="shared" si="3"/>
        <v>-991137</v>
      </c>
      <c r="G37" s="10">
        <f t="shared" ref="G37:G62" si="12">(E37+F37)*$B$18</f>
        <v>140377.62390770513</v>
      </c>
      <c r="H37" s="10">
        <f t="shared" ref="H37:H62" si="13">E37+F37+G37</f>
        <v>23049317.84435248</v>
      </c>
    </row>
    <row r="38" spans="1:8">
      <c r="A38" s="250">
        <v>45017</v>
      </c>
      <c r="B38" s="10">
        <f t="shared" si="9"/>
        <v>22180217.268595532</v>
      </c>
      <c r="C38" s="8">
        <f t="shared" si="2"/>
        <v>887208.69074382039</v>
      </c>
      <c r="D38" s="10">
        <f t="shared" si="10"/>
        <v>21293008.577851713</v>
      </c>
      <c r="E38" s="10">
        <f t="shared" si="11"/>
        <v>23049317.84435248</v>
      </c>
      <c r="F38" s="10">
        <f t="shared" si="3"/>
        <v>-991137</v>
      </c>
      <c r="G38" s="10">
        <f t="shared" si="12"/>
        <v>135164.48097818383</v>
      </c>
      <c r="H38" s="10">
        <f t="shared" si="13"/>
        <v>22193345.325330663</v>
      </c>
    </row>
    <row r="39" spans="1:8">
      <c r="A39" s="250">
        <v>45047</v>
      </c>
      <c r="B39" s="10">
        <f t="shared" si="9"/>
        <v>21293008.577851713</v>
      </c>
      <c r="C39" s="8">
        <f t="shared" si="2"/>
        <v>887208.69074382039</v>
      </c>
      <c r="D39" s="10">
        <f t="shared" si="10"/>
        <v>20405799.887107894</v>
      </c>
      <c r="E39" s="10">
        <f t="shared" si="11"/>
        <v>22193345.325330663</v>
      </c>
      <c r="F39" s="10">
        <f t="shared" si="3"/>
        <v>-991137</v>
      </c>
      <c r="G39" s="10">
        <f t="shared" si="12"/>
        <v>129919.39381158756</v>
      </c>
      <c r="H39" s="10">
        <f t="shared" si="13"/>
        <v>21332127.719142251</v>
      </c>
    </row>
    <row r="40" spans="1:8">
      <c r="A40" s="250">
        <v>45078</v>
      </c>
      <c r="B40" s="10">
        <f t="shared" si="9"/>
        <v>20405799.887107894</v>
      </c>
      <c r="C40" s="8">
        <f t="shared" si="2"/>
        <v>887208.69074382039</v>
      </c>
      <c r="D40" s="10">
        <f t="shared" si="10"/>
        <v>19518591.196364075</v>
      </c>
      <c r="E40" s="10">
        <f t="shared" si="11"/>
        <v>21332127.719142251</v>
      </c>
      <c r="F40" s="10">
        <f t="shared" si="3"/>
        <v>-991137</v>
      </c>
      <c r="G40" s="10">
        <f t="shared" si="12"/>
        <v>124642.16666529122</v>
      </c>
      <c r="H40" s="10">
        <f t="shared" si="13"/>
        <v>20465632.88580754</v>
      </c>
    </row>
    <row r="41" spans="1:8">
      <c r="A41" s="250">
        <v>45108</v>
      </c>
      <c r="B41" s="10">
        <f t="shared" si="9"/>
        <v>19518591.196364075</v>
      </c>
      <c r="C41" s="8">
        <f t="shared" si="2"/>
        <v>887208.69074382039</v>
      </c>
      <c r="D41" s="10">
        <f t="shared" si="10"/>
        <v>18631382.505620256</v>
      </c>
      <c r="E41" s="10">
        <f t="shared" si="11"/>
        <v>20465632.88580754</v>
      </c>
      <c r="F41" s="10">
        <f t="shared" si="3"/>
        <v>-991137</v>
      </c>
      <c r="G41" s="10">
        <f t="shared" si="12"/>
        <v>119332.60259723029</v>
      </c>
      <c r="H41" s="10">
        <f t="shared" si="13"/>
        <v>19593828.488404769</v>
      </c>
    </row>
    <row r="42" spans="1:8">
      <c r="A42" s="250">
        <v>45139</v>
      </c>
      <c r="B42" s="10">
        <f t="shared" si="9"/>
        <v>18631382.505620256</v>
      </c>
      <c r="C42" s="8">
        <f t="shared" si="2"/>
        <v>887208.69074382039</v>
      </c>
      <c r="D42" s="10">
        <f t="shared" si="10"/>
        <v>17744173.814876437</v>
      </c>
      <c r="E42" s="10">
        <f t="shared" si="11"/>
        <v>19593828.488404769</v>
      </c>
      <c r="F42" s="10">
        <f t="shared" si="3"/>
        <v>-991137</v>
      </c>
      <c r="G42" s="10">
        <f t="shared" si="12"/>
        <v>113990.50345855116</v>
      </c>
      <c r="H42" s="10">
        <f t="shared" si="13"/>
        <v>18716681.991863322</v>
      </c>
    </row>
    <row r="43" spans="1:8">
      <c r="A43" s="250">
        <v>45170</v>
      </c>
      <c r="B43" s="10">
        <f t="shared" si="9"/>
        <v>17744173.814876437</v>
      </c>
      <c r="C43" s="8">
        <f t="shared" si="2"/>
        <v>887208.69074382039</v>
      </c>
      <c r="D43" s="10">
        <f t="shared" si="10"/>
        <v>16856965.124132618</v>
      </c>
      <c r="E43" s="10">
        <f t="shared" si="11"/>
        <v>18716681.991863322</v>
      </c>
      <c r="F43" s="10">
        <f t="shared" si="3"/>
        <v>-991137</v>
      </c>
      <c r="G43" s="10">
        <f t="shared" si="12"/>
        <v>108615.6698862164</v>
      </c>
      <c r="H43" s="10">
        <f t="shared" si="13"/>
        <v>17834160.661749538</v>
      </c>
    </row>
    <row r="44" spans="1:8">
      <c r="A44" s="250">
        <v>45200</v>
      </c>
      <c r="B44" s="10">
        <f t="shared" si="9"/>
        <v>16856965.124132618</v>
      </c>
      <c r="C44" s="8">
        <f t="shared" si="2"/>
        <v>887208.69074382039</v>
      </c>
      <c r="D44" s="10">
        <f t="shared" si="10"/>
        <v>15969756.433388798</v>
      </c>
      <c r="E44" s="10">
        <f t="shared" si="11"/>
        <v>17834160.661749538</v>
      </c>
      <c r="F44" s="10">
        <f t="shared" si="3"/>
        <v>-991137</v>
      </c>
      <c r="G44" s="10">
        <f t="shared" si="12"/>
        <v>103207.90129556463</v>
      </c>
      <c r="H44" s="10">
        <f t="shared" si="13"/>
        <v>16946231.563045103</v>
      </c>
    </row>
    <row r="45" spans="1:8">
      <c r="A45" s="250">
        <v>45231</v>
      </c>
      <c r="B45" s="10">
        <f t="shared" si="9"/>
        <v>15969756.433388798</v>
      </c>
      <c r="C45" s="8">
        <f t="shared" si="2"/>
        <v>887208.69074382039</v>
      </c>
      <c r="D45" s="10">
        <f t="shared" si="10"/>
        <v>15082547.742644977</v>
      </c>
      <c r="E45" s="10">
        <f t="shared" si="11"/>
        <v>16946231.563045103</v>
      </c>
      <c r="F45" s="10">
        <f t="shared" si="3"/>
        <v>-991137</v>
      </c>
      <c r="G45" s="10">
        <f t="shared" si="12"/>
        <v>97766.995872824889</v>
      </c>
      <c r="H45" s="10">
        <f t="shared" si="13"/>
        <v>16052861.558917928</v>
      </c>
    </row>
    <row r="46" spans="1:8">
      <c r="A46" s="250">
        <v>45261</v>
      </c>
      <c r="B46" s="10">
        <f t="shared" si="9"/>
        <v>15082547.742644977</v>
      </c>
      <c r="C46" s="8">
        <f t="shared" si="2"/>
        <v>887208.69074382039</v>
      </c>
      <c r="D46" s="10">
        <f t="shared" si="10"/>
        <v>14195339.051901156</v>
      </c>
      <c r="E46" s="10">
        <f t="shared" si="11"/>
        <v>16052861.558917928</v>
      </c>
      <c r="F46" s="10">
        <f t="shared" si="3"/>
        <v>-991137</v>
      </c>
      <c r="G46" s="10">
        <f t="shared" si="12"/>
        <v>92292.75056758507</v>
      </c>
      <c r="H46" s="10">
        <f t="shared" si="13"/>
        <v>15154017.309485514</v>
      </c>
    </row>
    <row r="47" spans="1:8">
      <c r="A47" s="250">
        <v>45292</v>
      </c>
      <c r="B47" s="10">
        <f t="shared" si="9"/>
        <v>14195339.051901156</v>
      </c>
      <c r="C47" s="8">
        <f t="shared" si="2"/>
        <v>887208.69074382039</v>
      </c>
      <c r="D47" s="10">
        <f t="shared" si="10"/>
        <v>13308130.361157335</v>
      </c>
      <c r="E47" s="10">
        <f t="shared" si="11"/>
        <v>15154017.309485514</v>
      </c>
      <c r="F47" s="10">
        <f t="shared" si="3"/>
        <v>-991137</v>
      </c>
      <c r="G47" s="10">
        <f t="shared" si="12"/>
        <v>86784.961085214265</v>
      </c>
      <c r="H47" s="10">
        <f t="shared" si="13"/>
        <v>14249665.270570727</v>
      </c>
    </row>
    <row r="48" spans="1:8">
      <c r="A48" s="250">
        <v>45323</v>
      </c>
      <c r="B48" s="10">
        <f t="shared" si="9"/>
        <v>13308130.361157335</v>
      </c>
      <c r="C48" s="8">
        <f t="shared" si="2"/>
        <v>887208.69074382039</v>
      </c>
      <c r="D48" s="10">
        <f t="shared" si="10"/>
        <v>12420921.670413515</v>
      </c>
      <c r="E48" s="10">
        <f t="shared" si="11"/>
        <v>14249665.270570727</v>
      </c>
      <c r="F48" s="10">
        <f t="shared" si="3"/>
        <v>-991137</v>
      </c>
      <c r="G48" s="10">
        <f t="shared" si="12"/>
        <v>81243.421879238653</v>
      </c>
      <c r="H48" s="10">
        <f t="shared" si="13"/>
        <v>13339771.692449966</v>
      </c>
    </row>
    <row r="49" spans="1:8">
      <c r="A49" s="250">
        <v>45352</v>
      </c>
      <c r="B49" s="10">
        <f t="shared" si="9"/>
        <v>12420921.670413515</v>
      </c>
      <c r="C49" s="8">
        <f t="shared" si="2"/>
        <v>887208.69074382039</v>
      </c>
      <c r="D49" s="10">
        <f t="shared" si="10"/>
        <v>11533712.979669694</v>
      </c>
      <c r="E49" s="10">
        <f t="shared" si="11"/>
        <v>13339771.692449966</v>
      </c>
      <c r="F49" s="10">
        <f t="shared" si="3"/>
        <v>-991137</v>
      </c>
      <c r="G49" s="10">
        <f t="shared" si="12"/>
        <v>75667.926143670658</v>
      </c>
      <c r="H49" s="10">
        <f t="shared" si="13"/>
        <v>12424302.618593637</v>
      </c>
    </row>
    <row r="50" spans="1:8">
      <c r="A50" s="250">
        <v>45383</v>
      </c>
      <c r="B50" s="10">
        <f t="shared" si="9"/>
        <v>11533712.979669694</v>
      </c>
      <c r="C50" s="8">
        <f t="shared" si="2"/>
        <v>887208.69074382039</v>
      </c>
      <c r="D50" s="10">
        <f t="shared" si="10"/>
        <v>10646504.288925873</v>
      </c>
      <c r="E50" s="10">
        <f t="shared" si="11"/>
        <v>12424302.618593637</v>
      </c>
      <c r="F50" s="10">
        <f t="shared" si="3"/>
        <v>-991137</v>
      </c>
      <c r="G50" s="10">
        <f t="shared" si="12"/>
        <v>70058.265805291026</v>
      </c>
      <c r="H50" s="10">
        <f t="shared" si="13"/>
        <v>11503223.884398928</v>
      </c>
    </row>
    <row r="51" spans="1:8">
      <c r="A51" s="250">
        <v>45413</v>
      </c>
      <c r="B51" s="10">
        <f t="shared" si="9"/>
        <v>10646504.288925873</v>
      </c>
      <c r="C51" s="8">
        <f t="shared" si="2"/>
        <v>887208.69074382039</v>
      </c>
      <c r="D51" s="10">
        <f t="shared" si="10"/>
        <v>9759295.5981820524</v>
      </c>
      <c r="E51" s="10">
        <f t="shared" si="11"/>
        <v>11503223.884398928</v>
      </c>
      <c r="F51" s="10">
        <f t="shared" si="3"/>
        <v>-991137</v>
      </c>
      <c r="G51" s="10">
        <f t="shared" si="12"/>
        <v>64414.231515883825</v>
      </c>
      <c r="H51" s="10">
        <f t="shared" si="13"/>
        <v>10576501.115914812</v>
      </c>
    </row>
    <row r="52" spans="1:8">
      <c r="A52" s="250">
        <v>45444</v>
      </c>
      <c r="B52" s="10">
        <f t="shared" si="9"/>
        <v>9759295.5981820524</v>
      </c>
      <c r="C52" s="8">
        <f t="shared" si="2"/>
        <v>887208.69074382039</v>
      </c>
      <c r="D52" s="10">
        <f t="shared" si="10"/>
        <v>8872086.9074382316</v>
      </c>
      <c r="E52" s="10">
        <f t="shared" si="11"/>
        <v>10576501.115914812</v>
      </c>
      <c r="F52" s="10">
        <f t="shared" si="3"/>
        <v>-991137</v>
      </c>
      <c r="G52" s="10">
        <f t="shared" si="12"/>
        <v>58735.612644423665</v>
      </c>
      <c r="H52" s="10">
        <f t="shared" si="13"/>
        <v>9644099.7285592351</v>
      </c>
    </row>
    <row r="53" spans="1:8">
      <c r="A53" s="250">
        <v>45474</v>
      </c>
      <c r="B53" s="10">
        <f t="shared" si="9"/>
        <v>8872086.9074382316</v>
      </c>
      <c r="C53" s="8">
        <f t="shared" si="2"/>
        <v>887208.69074382039</v>
      </c>
      <c r="D53" s="10">
        <f t="shared" si="10"/>
        <v>7984878.2166944109</v>
      </c>
      <c r="E53" s="10">
        <f t="shared" si="11"/>
        <v>9644099.7285592351</v>
      </c>
      <c r="F53" s="10">
        <f t="shared" si="3"/>
        <v>-991137</v>
      </c>
      <c r="G53" s="10">
        <f t="shared" si="12"/>
        <v>53022.197269215074</v>
      </c>
      <c r="H53" s="10">
        <f t="shared" si="13"/>
        <v>8705984.9258284494</v>
      </c>
    </row>
    <row r="54" spans="1:8">
      <c r="A54" s="250">
        <v>45505</v>
      </c>
      <c r="B54" s="10">
        <f t="shared" si="9"/>
        <v>7984878.2166944109</v>
      </c>
      <c r="C54" s="8">
        <f t="shared" si="2"/>
        <v>887208.69074382039</v>
      </c>
      <c r="D54" s="10">
        <f t="shared" si="10"/>
        <v>7097669.5259505901</v>
      </c>
      <c r="E54" s="10">
        <f t="shared" si="11"/>
        <v>8705984.9258284494</v>
      </c>
      <c r="F54" s="10">
        <f t="shared" si="3"/>
        <v>-991137</v>
      </c>
      <c r="G54" s="10">
        <f t="shared" si="12"/>
        <v>47273.772169983815</v>
      </c>
      <c r="H54" s="10">
        <f t="shared" si="13"/>
        <v>7762121.6979984334</v>
      </c>
    </row>
    <row r="55" spans="1:8">
      <c r="A55" s="250">
        <v>45536</v>
      </c>
      <c r="B55" s="10">
        <f t="shared" si="9"/>
        <v>7097669.5259505901</v>
      </c>
      <c r="C55" s="8">
        <f t="shared" si="2"/>
        <v>887208.69074382039</v>
      </c>
      <c r="D55" s="10">
        <f t="shared" si="10"/>
        <v>6210460.8352067694</v>
      </c>
      <c r="E55" s="10">
        <f t="shared" si="11"/>
        <v>7762121.6979984334</v>
      </c>
      <c r="F55" s="10">
        <f t="shared" si="3"/>
        <v>-991137</v>
      </c>
      <c r="G55" s="10">
        <f t="shared" si="12"/>
        <v>41490.122819919634</v>
      </c>
      <c r="H55" s="10">
        <f t="shared" si="13"/>
        <v>6812474.8208183534</v>
      </c>
    </row>
    <row r="56" spans="1:8">
      <c r="A56" s="250">
        <v>45566</v>
      </c>
      <c r="B56" s="10">
        <f t="shared" si="9"/>
        <v>6210460.8352067694</v>
      </c>
      <c r="C56" s="8">
        <f t="shared" si="2"/>
        <v>887208.69074382039</v>
      </c>
      <c r="D56" s="10">
        <f t="shared" si="10"/>
        <v>5323252.1444629487</v>
      </c>
      <c r="E56" s="10">
        <f t="shared" si="11"/>
        <v>6812474.8208183534</v>
      </c>
      <c r="F56" s="10">
        <f t="shared" si="3"/>
        <v>-991137</v>
      </c>
      <c r="G56" s="10">
        <f t="shared" si="12"/>
        <v>35671.033377670276</v>
      </c>
      <c r="H56" s="10">
        <f t="shared" si="13"/>
        <v>5857008.8541960241</v>
      </c>
    </row>
    <row r="57" spans="1:8">
      <c r="A57" s="250">
        <v>45597</v>
      </c>
      <c r="B57" s="10">
        <f t="shared" si="9"/>
        <v>5323252.1444629487</v>
      </c>
      <c r="C57" s="8">
        <f t="shared" si="2"/>
        <v>887208.69074382039</v>
      </c>
      <c r="D57" s="10">
        <f t="shared" si="10"/>
        <v>4436043.4537191279</v>
      </c>
      <c r="E57" s="10">
        <f t="shared" si="11"/>
        <v>5857008.8541960241</v>
      </c>
      <c r="F57" s="10">
        <f t="shared" si="3"/>
        <v>-991137</v>
      </c>
      <c r="G57" s="10">
        <f t="shared" si="12"/>
        <v>29816.286679286455</v>
      </c>
      <c r="H57" s="10">
        <f t="shared" si="13"/>
        <v>4895688.1408753106</v>
      </c>
    </row>
    <row r="58" spans="1:8">
      <c r="A58" s="250">
        <v>45627</v>
      </c>
      <c r="B58" s="10">
        <f t="shared" si="9"/>
        <v>4436043.4537191279</v>
      </c>
      <c r="C58" s="8">
        <f t="shared" si="2"/>
        <v>887208.69074382039</v>
      </c>
      <c r="D58" s="10">
        <f t="shared" si="10"/>
        <v>3548834.7629753076</v>
      </c>
      <c r="E58" s="10">
        <f t="shared" si="11"/>
        <v>4895688.1408753106</v>
      </c>
      <c r="F58" s="10">
        <f t="shared" si="3"/>
        <v>-991137</v>
      </c>
      <c r="G58" s="10">
        <f t="shared" si="12"/>
        <v>23925.664230117483</v>
      </c>
      <c r="H58" s="10">
        <f t="shared" si="13"/>
        <v>3928476.8051054282</v>
      </c>
    </row>
    <row r="59" spans="1:8">
      <c r="A59" s="250">
        <v>45658</v>
      </c>
      <c r="B59" s="10">
        <f t="shared" si="9"/>
        <v>3548834.7629753076</v>
      </c>
      <c r="C59" s="8">
        <f t="shared" si="2"/>
        <v>887208.69074382039</v>
      </c>
      <c r="D59" s="10">
        <f t="shared" si="10"/>
        <v>2661626.0722314874</v>
      </c>
      <c r="E59" s="10">
        <f t="shared" si="11"/>
        <v>3928476.8051054282</v>
      </c>
      <c r="F59" s="10">
        <f t="shared" si="3"/>
        <v>-991137</v>
      </c>
      <c r="G59" s="10">
        <f t="shared" si="12"/>
        <v>17998.946196657202</v>
      </c>
      <c r="H59" s="10">
        <f t="shared" si="13"/>
        <v>2955338.7513020854</v>
      </c>
    </row>
    <row r="60" spans="1:8">
      <c r="A60" s="250">
        <v>45689</v>
      </c>
      <c r="B60" s="10">
        <f t="shared" si="9"/>
        <v>2661626.0722314874</v>
      </c>
      <c r="C60" s="8">
        <f t="shared" si="2"/>
        <v>887208.69074382039</v>
      </c>
      <c r="D60" s="10">
        <f t="shared" si="10"/>
        <v>1774417.3814876671</v>
      </c>
      <c r="E60" s="10">
        <f t="shared" si="11"/>
        <v>2955338.7513020854</v>
      </c>
      <c r="F60" s="10">
        <f t="shared" si="3"/>
        <v>-991137</v>
      </c>
      <c r="G60" s="10">
        <f t="shared" si="12"/>
        <v>12035.911398339955</v>
      </c>
      <c r="H60" s="10">
        <f t="shared" si="13"/>
        <v>1976237.6627004254</v>
      </c>
    </row>
    <row r="61" spans="1:8">
      <c r="A61" s="250">
        <v>45717</v>
      </c>
      <c r="B61" s="10">
        <f t="shared" si="9"/>
        <v>1774417.3814876671</v>
      </c>
      <c r="C61" s="8">
        <f t="shared" si="2"/>
        <v>887208.69074382039</v>
      </c>
      <c r="D61" s="10">
        <f t="shared" si="10"/>
        <v>887208.6907438467</v>
      </c>
      <c r="E61" s="10">
        <f t="shared" si="11"/>
        <v>1976237.6627004254</v>
      </c>
      <c r="F61" s="10">
        <f t="shared" si="3"/>
        <v>-991137</v>
      </c>
      <c r="G61" s="10">
        <f t="shared" si="12"/>
        <v>6036.3372992863215</v>
      </c>
      <c r="H61" s="10">
        <f t="shared" si="13"/>
        <v>991136.99999971164</v>
      </c>
    </row>
    <row r="62" spans="1:8">
      <c r="A62" s="250">
        <v>45748</v>
      </c>
      <c r="B62" s="10">
        <f t="shared" si="9"/>
        <v>887208.6907438467</v>
      </c>
      <c r="C62" s="8">
        <f t="shared" si="2"/>
        <v>887208.69074382039</v>
      </c>
      <c r="D62" s="10">
        <f t="shared" si="10"/>
        <v>2.6309862732887268E-8</v>
      </c>
      <c r="E62" s="10">
        <f t="shared" si="11"/>
        <v>991136.99999971164</v>
      </c>
      <c r="F62" s="10">
        <f t="shared" si="3"/>
        <v>-991137</v>
      </c>
      <c r="G62" s="10">
        <f t="shared" si="12"/>
        <v>-1.7669694375945256E-9</v>
      </c>
      <c r="H62" s="10">
        <f t="shared" si="13"/>
        <v>-2.9012772160291208E-7</v>
      </c>
    </row>
  </sheetData>
  <mergeCells count="2">
    <mergeCell ref="B23:D23"/>
    <mergeCell ref="E23:H23"/>
  </mergeCells>
  <pageMargins left="0.7" right="0.7" top="0.75" bottom="0.75" header="0.3" footer="0.3"/>
  <ignoredErrors>
    <ignoredError sqref="I15"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CF45A-0556-4EF7-A7F6-649B6C035039}">
  <dimension ref="A1:O84"/>
  <sheetViews>
    <sheetView showGridLines="0" topLeftCell="A11" zoomScale="67" workbookViewId="0">
      <selection activeCell="B17" sqref="B17"/>
    </sheetView>
  </sheetViews>
  <sheetFormatPr defaultColWidth="8.796875" defaultRowHeight="13.3"/>
  <cols>
    <col min="1" max="1" width="26.5" style="2" customWidth="1"/>
    <col min="2" max="2" width="16.796875" style="2" bestFit="1" customWidth="1"/>
    <col min="3" max="4" width="19" style="2" bestFit="1" customWidth="1"/>
    <col min="5" max="6" width="13.796875" style="2" bestFit="1" customWidth="1"/>
    <col min="7" max="7" width="14.796875" style="2" bestFit="1" customWidth="1"/>
    <col min="8" max="9" width="17.5" style="2" bestFit="1" customWidth="1"/>
    <col min="10" max="11" width="11.5" style="2" bestFit="1" customWidth="1"/>
    <col min="12" max="12" width="12.79687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5" spans="1:12">
      <c r="D5" s="14"/>
    </row>
    <row r="6" spans="1:12">
      <c r="A6" s="14" t="str">
        <f>Scope!A2</f>
        <v xml:space="preserve">Purpose </v>
      </c>
    </row>
    <row r="7" spans="1:12">
      <c r="A7" s="182" t="s">
        <v>59</v>
      </c>
    </row>
    <row r="9" spans="1:12" ht="14.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223">
        <v>7.485E-2</v>
      </c>
      <c r="C13" s="208">
        <v>45617</v>
      </c>
      <c r="D13" s="208">
        <v>47442</v>
      </c>
      <c r="E13" s="73">
        <v>0</v>
      </c>
      <c r="F13" s="73">
        <v>26535336.600000005</v>
      </c>
      <c r="G13" s="77">
        <v>96559141.659999996</v>
      </c>
      <c r="H13" s="73">
        <v>8643126.0500000007</v>
      </c>
      <c r="I13" s="73">
        <v>32090812</v>
      </c>
      <c r="J13" s="73">
        <v>105295695.59</v>
      </c>
      <c r="K13" s="73">
        <v>25264224.350000001</v>
      </c>
      <c r="L13" s="73">
        <v>80031471.239999995</v>
      </c>
    </row>
    <row r="14" spans="1:12" ht="14.4">
      <c r="A14" s="74" t="s">
        <v>104</v>
      </c>
      <c r="B14" s="243">
        <f>7.485%</f>
        <v>7.485E-2</v>
      </c>
      <c r="C14" s="85">
        <v>45617</v>
      </c>
      <c r="D14" s="85">
        <v>47442</v>
      </c>
      <c r="E14" s="73">
        <v>0</v>
      </c>
      <c r="F14" s="73">
        <f>SUM(C30:C41)</f>
        <v>26867743.624200132</v>
      </c>
      <c r="G14" s="77">
        <f>D41</f>
        <v>96276081.320050582</v>
      </c>
      <c r="H14" s="73">
        <f>SUM(G30:G41)</f>
        <v>8349397.9181042677</v>
      </c>
      <c r="I14" s="73">
        <f>-SUM(F42:F53)</f>
        <v>32090811.999999996</v>
      </c>
      <c r="J14" s="77">
        <f>H41</f>
        <v>101216115.83497424</v>
      </c>
      <c r="K14" s="8">
        <f>-(H54-H41)</f>
        <v>27799847.191117108</v>
      </c>
      <c r="L14" s="8">
        <f>J14-K14</f>
        <v>73416268.643857136</v>
      </c>
    </row>
    <row r="15" spans="1:12">
      <c r="A15" s="86" t="s">
        <v>32</v>
      </c>
      <c r="B15" s="92">
        <f>B13-B14</f>
        <v>0</v>
      </c>
      <c r="C15" s="87">
        <f t="shared" ref="C15:L15" si="0">C13-C14</f>
        <v>0</v>
      </c>
      <c r="D15" s="87">
        <f t="shared" si="0"/>
        <v>0</v>
      </c>
      <c r="E15" s="8">
        <f t="shared" si="0"/>
        <v>0</v>
      </c>
      <c r="F15" s="8">
        <f t="shared" si="0"/>
        <v>-332407.02420012653</v>
      </c>
      <c r="G15" s="8">
        <f t="shared" si="0"/>
        <v>283060.33994941413</v>
      </c>
      <c r="H15" s="8">
        <f t="shared" si="0"/>
        <v>293728.13189573307</v>
      </c>
      <c r="I15" s="8">
        <f t="shared" si="0"/>
        <v>0</v>
      </c>
      <c r="J15" s="8">
        <f>J13-J14</f>
        <v>4079579.7550257593</v>
      </c>
      <c r="K15" s="8">
        <f>K13-K14</f>
        <v>-2535622.8411171064</v>
      </c>
      <c r="L15" s="8">
        <f t="shared" si="0"/>
        <v>6615202.5961428583</v>
      </c>
    </row>
    <row r="16" spans="1:12">
      <c r="B16" s="90"/>
      <c r="C16" s="53"/>
      <c r="E16" s="53"/>
      <c r="G16" s="53"/>
      <c r="H16" s="53"/>
    </row>
    <row r="17" spans="1:15">
      <c r="A17" s="14" t="s">
        <v>373</v>
      </c>
      <c r="B17" s="7">
        <f>8022703/3</f>
        <v>2674234.3333333335</v>
      </c>
      <c r="C17" s="88" t="s">
        <v>107</v>
      </c>
      <c r="D17" s="7"/>
      <c r="E17" s="53"/>
      <c r="F17" s="53"/>
      <c r="G17" s="53"/>
      <c r="H17" s="53"/>
      <c r="I17" s="53"/>
      <c r="J17" s="53"/>
    </row>
    <row r="18" spans="1:15">
      <c r="A18" s="14" t="s">
        <v>109</v>
      </c>
      <c r="B18" s="91">
        <f>B14/12</f>
        <v>6.2375E-3</v>
      </c>
      <c r="C18" s="88" t="s">
        <v>106</v>
      </c>
      <c r="F18" s="246"/>
    </row>
    <row r="19" spans="1:15">
      <c r="A19" s="14" t="s">
        <v>114</v>
      </c>
      <c r="B19" s="89">
        <f>ROUND(((D14-C14)/30.5),0)</f>
        <v>60</v>
      </c>
      <c r="C19" s="88" t="s">
        <v>117</v>
      </c>
      <c r="E19" s="53"/>
      <c r="G19" s="53"/>
    </row>
    <row r="20" spans="1:15" ht="14.4">
      <c r="A20" s="14" t="s">
        <v>110</v>
      </c>
      <c r="B20" s="7">
        <f>-PV(B18,B19,B17,,1)</f>
        <v>134338718.12100065</v>
      </c>
      <c r="C20" s="88" t="s">
        <v>117</v>
      </c>
      <c r="D20" s="245"/>
      <c r="E20" s="53"/>
      <c r="F20" s="222"/>
      <c r="G20" s="247"/>
      <c r="H20" s="247"/>
    </row>
    <row r="21" spans="1:15">
      <c r="A21" s="14"/>
      <c r="B21" s="7"/>
      <c r="C21" s="88"/>
      <c r="E21" s="53"/>
    </row>
    <row r="22" spans="1:15">
      <c r="A22" s="14"/>
      <c r="B22" s="7"/>
      <c r="C22" s="88"/>
      <c r="E22" s="53"/>
    </row>
    <row r="23" spans="1:15">
      <c r="B23" s="378" t="s">
        <v>185</v>
      </c>
      <c r="C23" s="378"/>
      <c r="D23" s="378"/>
      <c r="E23" s="379" t="s">
        <v>15</v>
      </c>
      <c r="F23" s="379"/>
      <c r="G23" s="379"/>
      <c r="H23" s="379"/>
    </row>
    <row r="24" spans="1:15" s="84" customFormat="1">
      <c r="A24" s="5" t="s">
        <v>176</v>
      </c>
      <c r="B24" s="79" t="s">
        <v>112</v>
      </c>
      <c r="C24" s="79" t="s">
        <v>133</v>
      </c>
      <c r="D24" s="79" t="s">
        <v>111</v>
      </c>
      <c r="E24" s="79" t="s">
        <v>113</v>
      </c>
      <c r="F24" s="79" t="s">
        <v>11</v>
      </c>
      <c r="G24" s="79" t="s">
        <v>10</v>
      </c>
      <c r="H24" s="79" t="s">
        <v>57</v>
      </c>
      <c r="I24" s="2"/>
      <c r="J24" s="2"/>
      <c r="K24" s="2"/>
      <c r="L24" s="2"/>
      <c r="M24" s="2"/>
      <c r="N24" s="2"/>
      <c r="O24" s="2"/>
    </row>
    <row r="25" spans="1:15">
      <c r="A25" s="93" t="s">
        <v>358</v>
      </c>
      <c r="B25" s="10">
        <f>B20</f>
        <v>134338718.12100065</v>
      </c>
      <c r="C25" s="8">
        <f t="shared" ref="C25:C56" si="1">$B$20/$B$19</f>
        <v>2238978.6353500108</v>
      </c>
      <c r="D25" s="10">
        <f>B25-C25</f>
        <v>132099739.48565064</v>
      </c>
      <c r="E25" s="10">
        <f>B25</f>
        <v>134338718.12100065</v>
      </c>
      <c r="F25" s="10">
        <f t="shared" ref="F25:F56" si="2">-$B$17</f>
        <v>-2674234.3333333335</v>
      </c>
      <c r="G25" s="10">
        <f t="shared" ref="G25:G49" si="3">(E25+F25)*$B$18</f>
        <v>821257.21762557491</v>
      </c>
      <c r="H25" s="10">
        <f>E25+F25+G25</f>
        <v>132485741.00529289</v>
      </c>
    </row>
    <row r="26" spans="1:15">
      <c r="A26" s="93" t="s">
        <v>359</v>
      </c>
      <c r="B26" s="10">
        <f t="shared" ref="B26:B49" si="4">D25</f>
        <v>132099739.48565064</v>
      </c>
      <c r="C26" s="8">
        <f t="shared" si="1"/>
        <v>2238978.6353500108</v>
      </c>
      <c r="D26" s="10">
        <f t="shared" ref="D26:D49" si="5">B26-C26</f>
        <v>129860760.85030064</v>
      </c>
      <c r="E26" s="10">
        <f t="shared" ref="E26:E49" si="6">H25</f>
        <v>132485741.00529289</v>
      </c>
      <c r="F26" s="10">
        <f t="shared" si="2"/>
        <v>-2674234.3333333335</v>
      </c>
      <c r="G26" s="10">
        <f t="shared" si="3"/>
        <v>809699.2728663478</v>
      </c>
      <c r="H26" s="10">
        <f t="shared" ref="H26:H49" si="7">E26+F26+G26</f>
        <v>130621205.94482592</v>
      </c>
    </row>
    <row r="27" spans="1:15">
      <c r="A27" s="93" t="s">
        <v>360</v>
      </c>
      <c r="B27" s="10">
        <f t="shared" si="4"/>
        <v>129860760.85030064</v>
      </c>
      <c r="C27" s="8">
        <f t="shared" si="1"/>
        <v>2238978.6353500108</v>
      </c>
      <c r="D27" s="10">
        <f t="shared" si="5"/>
        <v>127621782.21495064</v>
      </c>
      <c r="E27" s="10">
        <f t="shared" si="6"/>
        <v>130621205.94482592</v>
      </c>
      <c r="F27" s="10">
        <f t="shared" si="2"/>
        <v>-2674234.3333333335</v>
      </c>
      <c r="G27" s="10">
        <f t="shared" si="3"/>
        <v>798069.23542668507</v>
      </c>
      <c r="H27" s="10">
        <f t="shared" si="7"/>
        <v>128745040.84691927</v>
      </c>
    </row>
    <row r="28" spans="1:15">
      <c r="A28" s="93" t="s">
        <v>361</v>
      </c>
      <c r="B28" s="10">
        <f>D27</f>
        <v>127621782.21495064</v>
      </c>
      <c r="C28" s="8">
        <f t="shared" si="1"/>
        <v>2238978.6353500108</v>
      </c>
      <c r="D28" s="10">
        <f t="shared" si="5"/>
        <v>125382803.57960063</v>
      </c>
      <c r="E28" s="10">
        <f>H27</f>
        <v>128745040.84691927</v>
      </c>
      <c r="F28" s="10">
        <f t="shared" si="2"/>
        <v>-2674234.3333333335</v>
      </c>
      <c r="G28" s="10">
        <f t="shared" si="3"/>
        <v>786366.65562849236</v>
      </c>
      <c r="H28" s="10">
        <f t="shared" si="7"/>
        <v>126857173.16921443</v>
      </c>
    </row>
    <row r="29" spans="1:15">
      <c r="A29" s="93" t="s">
        <v>362</v>
      </c>
      <c r="B29" s="10">
        <f t="shared" si="4"/>
        <v>125382803.57960063</v>
      </c>
      <c r="C29" s="8">
        <f t="shared" si="1"/>
        <v>2238978.6353500108</v>
      </c>
      <c r="D29" s="10">
        <f t="shared" si="5"/>
        <v>123143824.94425063</v>
      </c>
      <c r="E29" s="10">
        <f t="shared" si="6"/>
        <v>126857173.16921443</v>
      </c>
      <c r="F29" s="10">
        <f t="shared" si="2"/>
        <v>-2674234.3333333335</v>
      </c>
      <c r="G29" s="10">
        <f t="shared" si="3"/>
        <v>774591.0809888083</v>
      </c>
      <c r="H29" s="10">
        <f t="shared" si="7"/>
        <v>124957529.91686991</v>
      </c>
    </row>
    <row r="30" spans="1:15">
      <c r="A30" s="93" t="s">
        <v>363</v>
      </c>
      <c r="B30" s="10">
        <f t="shared" si="4"/>
        <v>123143824.94425063</v>
      </c>
      <c r="C30" s="8">
        <f t="shared" si="1"/>
        <v>2238978.6353500108</v>
      </c>
      <c r="D30" s="10">
        <f t="shared" si="5"/>
        <v>120904846.30890062</v>
      </c>
      <c r="E30" s="10">
        <f t="shared" si="6"/>
        <v>124957529.91686991</v>
      </c>
      <c r="F30" s="10">
        <f t="shared" si="2"/>
        <v>-2674234.3333333335</v>
      </c>
      <c r="G30" s="10">
        <f t="shared" si="3"/>
        <v>762742.05620230944</v>
      </c>
      <c r="H30" s="10">
        <f t="shared" si="7"/>
        <v>123046037.63973889</v>
      </c>
    </row>
    <row r="31" spans="1:15">
      <c r="A31" s="93" t="s">
        <v>364</v>
      </c>
      <c r="B31" s="10">
        <f t="shared" si="4"/>
        <v>120904846.30890062</v>
      </c>
      <c r="C31" s="8">
        <f t="shared" si="1"/>
        <v>2238978.6353500108</v>
      </c>
      <c r="D31" s="10">
        <f t="shared" si="5"/>
        <v>118665867.67355062</v>
      </c>
      <c r="E31" s="10">
        <f t="shared" si="6"/>
        <v>123046037.63973889</v>
      </c>
      <c r="F31" s="10">
        <f t="shared" si="2"/>
        <v>-2674234.3333333335</v>
      </c>
      <c r="G31" s="10">
        <f t="shared" si="3"/>
        <v>750819.12312370469</v>
      </c>
      <c r="H31" s="10">
        <f t="shared" si="7"/>
        <v>121122622.42952926</v>
      </c>
    </row>
    <row r="32" spans="1:15">
      <c r="A32" s="93" t="s">
        <v>365</v>
      </c>
      <c r="B32" s="10">
        <f t="shared" si="4"/>
        <v>118665867.67355062</v>
      </c>
      <c r="C32" s="8">
        <f t="shared" si="1"/>
        <v>2238978.6353500108</v>
      </c>
      <c r="D32" s="10">
        <f>B32-C32</f>
        <v>116426889.03820062</v>
      </c>
      <c r="E32" s="10">
        <f>H31</f>
        <v>121122622.42952926</v>
      </c>
      <c r="F32" s="10">
        <f t="shared" si="2"/>
        <v>-2674234.3333333335</v>
      </c>
      <c r="G32" s="10">
        <f t="shared" si="3"/>
        <v>738821.82075002219</v>
      </c>
      <c r="H32" s="10">
        <f t="shared" si="7"/>
        <v>119187209.91694596</v>
      </c>
    </row>
    <row r="33" spans="1:8">
      <c r="A33" s="93" t="s">
        <v>366</v>
      </c>
      <c r="B33" s="10">
        <f t="shared" si="4"/>
        <v>116426889.03820062</v>
      </c>
      <c r="C33" s="8">
        <f t="shared" si="1"/>
        <v>2238978.6353500108</v>
      </c>
      <c r="D33" s="10">
        <f t="shared" si="5"/>
        <v>114187910.40285061</v>
      </c>
      <c r="E33" s="10">
        <f t="shared" si="6"/>
        <v>119187209.91694596</v>
      </c>
      <c r="F33" s="10">
        <f t="shared" si="2"/>
        <v>-2674234.3333333335</v>
      </c>
      <c r="G33" s="10">
        <f t="shared" si="3"/>
        <v>726749.68520278379</v>
      </c>
      <c r="H33" s="10">
        <f t="shared" si="7"/>
        <v>117239725.26881541</v>
      </c>
    </row>
    <row r="34" spans="1:8">
      <c r="A34" s="93" t="s">
        <v>367</v>
      </c>
      <c r="B34" s="10">
        <f t="shared" si="4"/>
        <v>114187910.40285061</v>
      </c>
      <c r="C34" s="8">
        <f t="shared" si="1"/>
        <v>2238978.6353500108</v>
      </c>
      <c r="D34" s="10">
        <f t="shared" si="5"/>
        <v>111948931.76750061</v>
      </c>
      <c r="E34" s="10">
        <f t="shared" si="6"/>
        <v>117239725.26881541</v>
      </c>
      <c r="F34" s="10">
        <f t="shared" si="2"/>
        <v>-2674234.3333333335</v>
      </c>
      <c r="G34" s="10">
        <f t="shared" si="3"/>
        <v>714602.2497100695</v>
      </c>
      <c r="H34" s="10">
        <f t="shared" si="7"/>
        <v>115280093.18519215</v>
      </c>
    </row>
    <row r="35" spans="1:8">
      <c r="A35" s="93" t="s">
        <v>368</v>
      </c>
      <c r="B35" s="10">
        <f t="shared" si="4"/>
        <v>111948931.76750061</v>
      </c>
      <c r="C35" s="8">
        <f t="shared" si="1"/>
        <v>2238978.6353500108</v>
      </c>
      <c r="D35" s="10">
        <f t="shared" si="5"/>
        <v>109709953.13215061</v>
      </c>
      <c r="E35" s="10">
        <f t="shared" si="6"/>
        <v>115280093.18519215</v>
      </c>
      <c r="F35" s="10">
        <f t="shared" si="2"/>
        <v>-2674234.3333333335</v>
      </c>
      <c r="G35" s="10">
        <f t="shared" si="3"/>
        <v>702379.04458846943</v>
      </c>
      <c r="H35" s="10">
        <f t="shared" si="7"/>
        <v>113308237.8964473</v>
      </c>
    </row>
    <row r="36" spans="1:8">
      <c r="A36" s="93" t="s">
        <v>369</v>
      </c>
      <c r="B36" s="10">
        <f t="shared" si="4"/>
        <v>109709953.13215061</v>
      </c>
      <c r="C36" s="8">
        <f t="shared" si="1"/>
        <v>2238978.6353500108</v>
      </c>
      <c r="D36" s="10">
        <f t="shared" si="5"/>
        <v>107470974.4968006</v>
      </c>
      <c r="E36" s="10">
        <f t="shared" si="6"/>
        <v>113308237.8964473</v>
      </c>
      <c r="F36" s="10">
        <f t="shared" si="2"/>
        <v>-2674234.3333333335</v>
      </c>
      <c r="G36" s="10">
        <f t="shared" si="3"/>
        <v>690079.59722492343</v>
      </c>
      <c r="H36" s="10">
        <f t="shared" si="7"/>
        <v>111324083.16033889</v>
      </c>
    </row>
    <row r="37" spans="1:8">
      <c r="A37" s="93" t="s">
        <v>370</v>
      </c>
      <c r="B37" s="10">
        <f t="shared" si="4"/>
        <v>107470974.4968006</v>
      </c>
      <c r="C37" s="8">
        <f t="shared" si="1"/>
        <v>2238978.6353500108</v>
      </c>
      <c r="D37" s="10">
        <f t="shared" si="5"/>
        <v>105231995.8614506</v>
      </c>
      <c r="E37" s="10">
        <f t="shared" si="6"/>
        <v>111324083.16033889</v>
      </c>
      <c r="F37" s="10">
        <f t="shared" si="2"/>
        <v>-2674234.3333333335</v>
      </c>
      <c r="G37" s="10">
        <f t="shared" si="3"/>
        <v>677703.43205844716</v>
      </c>
      <c r="H37" s="10">
        <f t="shared" si="7"/>
        <v>109327552.25906402</v>
      </c>
    </row>
    <row r="38" spans="1:8">
      <c r="A38" s="93" t="s">
        <v>371</v>
      </c>
      <c r="B38" s="10">
        <f t="shared" si="4"/>
        <v>105231995.8614506</v>
      </c>
      <c r="C38" s="8">
        <f t="shared" si="1"/>
        <v>2238978.6353500108</v>
      </c>
      <c r="D38" s="10">
        <f t="shared" si="5"/>
        <v>102993017.22610059</v>
      </c>
      <c r="E38" s="10">
        <f t="shared" si="6"/>
        <v>109327552.25906402</v>
      </c>
      <c r="F38" s="10">
        <f t="shared" si="2"/>
        <v>-2674234.3333333335</v>
      </c>
      <c r="G38" s="10">
        <f t="shared" si="3"/>
        <v>665250.0705617452</v>
      </c>
      <c r="H38" s="10">
        <f t="shared" si="7"/>
        <v>107318567.99629244</v>
      </c>
    </row>
    <row r="39" spans="1:8">
      <c r="A39" s="93" t="s">
        <v>372</v>
      </c>
      <c r="B39" s="10">
        <f t="shared" si="4"/>
        <v>102993017.22610059</v>
      </c>
      <c r="C39" s="8">
        <f t="shared" si="1"/>
        <v>2238978.6353500108</v>
      </c>
      <c r="D39" s="10">
        <f t="shared" si="5"/>
        <v>100754038.59075059</v>
      </c>
      <c r="E39" s="10">
        <f t="shared" si="6"/>
        <v>107318567.99629244</v>
      </c>
      <c r="F39" s="10">
        <f t="shared" si="2"/>
        <v>-2674234.3333333335</v>
      </c>
      <c r="G39" s="10">
        <f t="shared" si="3"/>
        <v>652719.03122270748</v>
      </c>
      <c r="H39" s="10">
        <f t="shared" si="7"/>
        <v>105297052.69418181</v>
      </c>
    </row>
    <row r="40" spans="1:8">
      <c r="A40" s="93" t="s">
        <v>374</v>
      </c>
      <c r="B40" s="10">
        <f t="shared" si="4"/>
        <v>100754038.59075059</v>
      </c>
      <c r="C40" s="8">
        <f t="shared" si="1"/>
        <v>2238978.6353500108</v>
      </c>
      <c r="D40" s="10">
        <f t="shared" si="5"/>
        <v>98515059.955400586</v>
      </c>
      <c r="E40" s="10">
        <f t="shared" si="6"/>
        <v>105297052.69418181</v>
      </c>
      <c r="F40" s="10">
        <f t="shared" si="2"/>
        <v>-2674234.3333333335</v>
      </c>
      <c r="G40" s="10">
        <f t="shared" si="3"/>
        <v>640109.82952579239</v>
      </c>
      <c r="H40" s="10">
        <f t="shared" si="7"/>
        <v>103262928.19037428</v>
      </c>
    </row>
    <row r="41" spans="1:8">
      <c r="A41" s="93" t="s">
        <v>375</v>
      </c>
      <c r="B41" s="10">
        <f t="shared" si="4"/>
        <v>98515059.955400586</v>
      </c>
      <c r="C41" s="8">
        <f t="shared" si="1"/>
        <v>2238978.6353500108</v>
      </c>
      <c r="D41" s="10">
        <f t="shared" si="5"/>
        <v>96276081.320050582</v>
      </c>
      <c r="E41" s="10">
        <f t="shared" si="6"/>
        <v>103262928.19037428</v>
      </c>
      <c r="F41" s="10">
        <f t="shared" si="2"/>
        <v>-2674234.3333333335</v>
      </c>
      <c r="G41" s="10">
        <f t="shared" si="3"/>
        <v>627421.97793329298</v>
      </c>
      <c r="H41" s="10">
        <f t="shared" si="7"/>
        <v>101216115.83497424</v>
      </c>
    </row>
    <row r="42" spans="1:8">
      <c r="A42" s="93" t="s">
        <v>376</v>
      </c>
      <c r="B42" s="10">
        <f t="shared" si="4"/>
        <v>96276081.320050582</v>
      </c>
      <c r="C42" s="8">
        <f t="shared" si="1"/>
        <v>2238978.6353500108</v>
      </c>
      <c r="D42" s="10">
        <f t="shared" si="5"/>
        <v>94037102.684700578</v>
      </c>
      <c r="E42" s="10">
        <f t="shared" si="6"/>
        <v>101216115.83497424</v>
      </c>
      <c r="F42" s="10">
        <f t="shared" si="2"/>
        <v>-2674234.3333333335</v>
      </c>
      <c r="G42" s="10">
        <f t="shared" si="3"/>
        <v>614654.98586648516</v>
      </c>
      <c r="H42" s="10">
        <f t="shared" si="7"/>
        <v>99156536.487507403</v>
      </c>
    </row>
    <row r="43" spans="1:8">
      <c r="A43" s="93" t="s">
        <v>377</v>
      </c>
      <c r="B43" s="10">
        <f t="shared" si="4"/>
        <v>94037102.684700578</v>
      </c>
      <c r="C43" s="8">
        <f t="shared" si="1"/>
        <v>2238978.6353500108</v>
      </c>
      <c r="D43" s="10">
        <f t="shared" si="5"/>
        <v>91798124.049350575</v>
      </c>
      <c r="E43" s="10">
        <f t="shared" si="6"/>
        <v>99156536.487507403</v>
      </c>
      <c r="F43" s="10">
        <f t="shared" si="2"/>
        <v>-2674234.3333333335</v>
      </c>
      <c r="G43" s="10">
        <f t="shared" si="3"/>
        <v>601808.35968666081</v>
      </c>
      <c r="H43" s="10">
        <f t="shared" si="7"/>
        <v>97084110.513860732</v>
      </c>
    </row>
    <row r="44" spans="1:8">
      <c r="A44" s="93" t="s">
        <v>378</v>
      </c>
      <c r="B44" s="10">
        <f t="shared" si="4"/>
        <v>91798124.049350575</v>
      </c>
      <c r="C44" s="8">
        <f t="shared" si="1"/>
        <v>2238978.6353500108</v>
      </c>
      <c r="D44" s="10">
        <f t="shared" si="5"/>
        <v>89559145.414000571</v>
      </c>
      <c r="E44" s="10">
        <f t="shared" si="6"/>
        <v>97084110.513860732</v>
      </c>
      <c r="F44" s="10">
        <f t="shared" si="2"/>
        <v>-2674234.3333333335</v>
      </c>
      <c r="G44" s="10">
        <f t="shared" si="3"/>
        <v>588881.60267603968</v>
      </c>
      <c r="H44" s="10">
        <f t="shared" si="7"/>
        <v>94998757.783203438</v>
      </c>
    </row>
    <row r="45" spans="1:8">
      <c r="A45" s="93" t="s">
        <v>379</v>
      </c>
      <c r="B45" s="10">
        <f t="shared" si="4"/>
        <v>89559145.414000571</v>
      </c>
      <c r="C45" s="8">
        <f t="shared" si="1"/>
        <v>2238978.6353500108</v>
      </c>
      <c r="D45" s="10">
        <f t="shared" si="5"/>
        <v>87320166.778650567</v>
      </c>
      <c r="E45" s="10">
        <f t="shared" si="6"/>
        <v>94998757.783203438</v>
      </c>
      <c r="F45" s="10">
        <f t="shared" si="2"/>
        <v>-2674234.3333333335</v>
      </c>
      <c r="G45" s="10">
        <f t="shared" si="3"/>
        <v>575874.21501856484</v>
      </c>
      <c r="H45" s="10">
        <f t="shared" si="7"/>
        <v>92900397.66488868</v>
      </c>
    </row>
    <row r="46" spans="1:8">
      <c r="A46" s="93" t="s">
        <v>380</v>
      </c>
      <c r="B46" s="10">
        <f t="shared" si="4"/>
        <v>87320166.778650567</v>
      </c>
      <c r="C46" s="8">
        <f t="shared" si="1"/>
        <v>2238978.6353500108</v>
      </c>
      <c r="D46" s="10">
        <f t="shared" si="5"/>
        <v>85081188.143300563</v>
      </c>
      <c r="E46" s="10">
        <f t="shared" si="6"/>
        <v>92900397.66488868</v>
      </c>
      <c r="F46" s="10">
        <f t="shared" si="2"/>
        <v>-2674234.3333333335</v>
      </c>
      <c r="G46" s="10">
        <f t="shared" si="3"/>
        <v>562785.69378057646</v>
      </c>
      <c r="H46" s="10">
        <f t="shared" si="7"/>
        <v>90788949.025335923</v>
      </c>
    </row>
    <row r="47" spans="1:8">
      <c r="A47" s="93" t="s">
        <v>381</v>
      </c>
      <c r="B47" s="10">
        <f t="shared" si="4"/>
        <v>85081188.143300563</v>
      </c>
      <c r="C47" s="8">
        <f t="shared" si="1"/>
        <v>2238978.6353500108</v>
      </c>
      <c r="D47" s="10">
        <f t="shared" si="5"/>
        <v>82842209.507950559</v>
      </c>
      <c r="E47" s="10">
        <f t="shared" si="6"/>
        <v>90788949.025335923</v>
      </c>
      <c r="F47" s="10">
        <f t="shared" si="2"/>
        <v>-2674234.3333333335</v>
      </c>
      <c r="G47" s="10">
        <f t="shared" si="3"/>
        <v>549615.53289136617</v>
      </c>
      <c r="H47" s="10">
        <f t="shared" si="7"/>
        <v>88664330.224893957</v>
      </c>
    </row>
    <row r="48" spans="1:8">
      <c r="A48" s="93" t="s">
        <v>382</v>
      </c>
      <c r="B48" s="10">
        <f t="shared" si="4"/>
        <v>82842209.507950559</v>
      </c>
      <c r="C48" s="8">
        <f t="shared" si="1"/>
        <v>2238978.6353500108</v>
      </c>
      <c r="D48" s="10">
        <f t="shared" si="5"/>
        <v>80603230.872600555</v>
      </c>
      <c r="E48" s="10">
        <f t="shared" si="6"/>
        <v>88664330.224893957</v>
      </c>
      <c r="F48" s="10">
        <f t="shared" si="2"/>
        <v>-2674234.3333333335</v>
      </c>
      <c r="G48" s="10">
        <f t="shared" si="3"/>
        <v>536363.22312360944</v>
      </c>
      <c r="H48" s="10">
        <f t="shared" si="7"/>
        <v>86526459.114684239</v>
      </c>
    </row>
    <row r="49" spans="1:9">
      <c r="A49" s="93" t="s">
        <v>383</v>
      </c>
      <c r="B49" s="10">
        <f t="shared" si="4"/>
        <v>80603230.872600555</v>
      </c>
      <c r="C49" s="8">
        <f t="shared" si="1"/>
        <v>2238978.6353500108</v>
      </c>
      <c r="D49" s="10">
        <f t="shared" si="5"/>
        <v>78364252.237250552</v>
      </c>
      <c r="E49" s="10">
        <f t="shared" si="6"/>
        <v>86526459.114684239</v>
      </c>
      <c r="F49" s="10">
        <f t="shared" si="2"/>
        <v>-2674234.3333333335</v>
      </c>
      <c r="G49" s="10">
        <f t="shared" si="3"/>
        <v>523028.25207367633</v>
      </c>
      <c r="H49" s="10">
        <f t="shared" si="7"/>
        <v>84375253.033424586</v>
      </c>
    </row>
    <row r="50" spans="1:9">
      <c r="A50" s="93" t="s">
        <v>384</v>
      </c>
      <c r="B50" s="10">
        <f t="shared" ref="B50:B84" si="8">D49</f>
        <v>78364252.237250552</v>
      </c>
      <c r="C50" s="8">
        <f t="shared" si="1"/>
        <v>2238978.6353500108</v>
      </c>
      <c r="D50" s="10">
        <f t="shared" ref="D50:D84" si="9">B50-C50</f>
        <v>76125273.601900548</v>
      </c>
      <c r="E50" s="10">
        <f t="shared" ref="E50:E84" si="10">H49</f>
        <v>84375253.033424586</v>
      </c>
      <c r="F50" s="10">
        <f t="shared" si="2"/>
        <v>-2674234.3333333335</v>
      </c>
      <c r="G50" s="10">
        <f t="shared" ref="G50:G84" si="11">(E50+F50)*$B$18</f>
        <v>509610.10414181923</v>
      </c>
      <c r="H50" s="10">
        <f t="shared" ref="H50:H84" si="12">E50+F50+G50</f>
        <v>82210628.804233074</v>
      </c>
      <c r="I50" s="11"/>
    </row>
    <row r="51" spans="1:9">
      <c r="A51" s="93" t="s">
        <v>385</v>
      </c>
      <c r="B51" s="10">
        <f t="shared" si="8"/>
        <v>76125273.601900548</v>
      </c>
      <c r="C51" s="8">
        <f t="shared" si="1"/>
        <v>2238978.6353500108</v>
      </c>
      <c r="D51" s="10">
        <f t="shared" si="9"/>
        <v>73886294.966550544</v>
      </c>
      <c r="E51" s="10">
        <f t="shared" si="10"/>
        <v>82210628.804233074</v>
      </c>
      <c r="F51" s="10">
        <f t="shared" si="2"/>
        <v>-2674234.3333333335</v>
      </c>
      <c r="G51" s="10">
        <f t="shared" si="11"/>
        <v>496108.26051223715</v>
      </c>
      <c r="H51" s="10">
        <f t="shared" si="12"/>
        <v>80032502.731411979</v>
      </c>
    </row>
    <row r="52" spans="1:9">
      <c r="A52" s="93" t="s">
        <v>386</v>
      </c>
      <c r="B52" s="10">
        <f t="shared" si="8"/>
        <v>73886294.966550544</v>
      </c>
      <c r="C52" s="8">
        <f t="shared" si="1"/>
        <v>2238978.6353500108</v>
      </c>
      <c r="D52" s="10">
        <f t="shared" si="9"/>
        <v>71647316.33120054</v>
      </c>
      <c r="E52" s="10">
        <f t="shared" si="10"/>
        <v>80032502.731411979</v>
      </c>
      <c r="F52" s="10">
        <f t="shared" si="2"/>
        <v>-2674234.3333333335</v>
      </c>
      <c r="G52" s="10">
        <f t="shared" si="11"/>
        <v>482522.19913301559</v>
      </c>
      <c r="H52" s="10">
        <f t="shared" si="12"/>
        <v>77840790.597211659</v>
      </c>
    </row>
    <row r="53" spans="1:9">
      <c r="A53" s="93" t="s">
        <v>387</v>
      </c>
      <c r="B53" s="10">
        <f t="shared" si="8"/>
        <v>71647316.33120054</v>
      </c>
      <c r="C53" s="8">
        <f t="shared" si="1"/>
        <v>2238978.6353500108</v>
      </c>
      <c r="D53" s="10">
        <f t="shared" si="9"/>
        <v>69408337.695850536</v>
      </c>
      <c r="E53" s="10">
        <f t="shared" si="10"/>
        <v>77840790.597211659</v>
      </c>
      <c r="F53" s="10">
        <f t="shared" si="2"/>
        <v>-2674234.3333333335</v>
      </c>
      <c r="G53" s="10">
        <f t="shared" si="11"/>
        <v>468851.39469594107</v>
      </c>
      <c r="H53" s="10">
        <f t="shared" si="12"/>
        <v>75635407.658574268</v>
      </c>
    </row>
    <row r="54" spans="1:9">
      <c r="A54" s="93" t="s">
        <v>388</v>
      </c>
      <c r="B54" s="10">
        <f t="shared" si="8"/>
        <v>69408337.695850536</v>
      </c>
      <c r="C54" s="8">
        <f t="shared" si="1"/>
        <v>2238978.6353500108</v>
      </c>
      <c r="D54" s="10">
        <f t="shared" si="9"/>
        <v>67169359.060500532</v>
      </c>
      <c r="E54" s="10">
        <f t="shared" si="10"/>
        <v>75635407.658574268</v>
      </c>
      <c r="F54" s="10">
        <f t="shared" si="2"/>
        <v>-2674234.3333333335</v>
      </c>
      <c r="G54" s="10">
        <f t="shared" si="11"/>
        <v>455095.31861619034</v>
      </c>
      <c r="H54" s="10">
        <f t="shared" si="12"/>
        <v>73416268.643857136</v>
      </c>
    </row>
    <row r="55" spans="1:9">
      <c r="A55" s="93" t="s">
        <v>389</v>
      </c>
      <c r="B55" s="10">
        <f t="shared" si="8"/>
        <v>67169359.060500532</v>
      </c>
      <c r="C55" s="8">
        <f t="shared" si="1"/>
        <v>2238978.6353500108</v>
      </c>
      <c r="D55" s="10">
        <f t="shared" si="9"/>
        <v>64930380.425150521</v>
      </c>
      <c r="E55" s="10">
        <f t="shared" si="10"/>
        <v>73416268.643857136</v>
      </c>
      <c r="F55" s="10">
        <f t="shared" si="2"/>
        <v>-2674234.3333333335</v>
      </c>
      <c r="G55" s="10">
        <f t="shared" si="11"/>
        <v>441253.43901189225</v>
      </c>
      <c r="H55" s="10">
        <f t="shared" si="12"/>
        <v>71183287.749535695</v>
      </c>
      <c r="I55" s="11"/>
    </row>
    <row r="56" spans="1:9">
      <c r="A56" s="93" t="s">
        <v>390</v>
      </c>
      <c r="B56" s="10">
        <f t="shared" si="8"/>
        <v>64930380.425150521</v>
      </c>
      <c r="C56" s="8">
        <f t="shared" si="1"/>
        <v>2238978.6353500108</v>
      </c>
      <c r="D56" s="10">
        <f t="shared" si="9"/>
        <v>62691401.78980051</v>
      </c>
      <c r="E56" s="10">
        <f t="shared" si="10"/>
        <v>71183287.749535695</v>
      </c>
      <c r="F56" s="10">
        <f t="shared" si="2"/>
        <v>-2674234.3333333335</v>
      </c>
      <c r="G56" s="10">
        <f t="shared" si="11"/>
        <v>427325.22068356228</v>
      </c>
      <c r="H56" s="10">
        <f t="shared" si="12"/>
        <v>68936378.636885926</v>
      </c>
    </row>
    <row r="57" spans="1:9">
      <c r="A57" s="93" t="s">
        <v>391</v>
      </c>
      <c r="B57" s="10">
        <f t="shared" si="8"/>
        <v>62691401.78980051</v>
      </c>
      <c r="C57" s="8">
        <f t="shared" ref="C57:C84" si="13">$B$20/$B$19</f>
        <v>2238978.6353500108</v>
      </c>
      <c r="D57" s="10">
        <f t="shared" si="9"/>
        <v>60452423.154450499</v>
      </c>
      <c r="E57" s="10">
        <f t="shared" si="10"/>
        <v>68936378.636885926</v>
      </c>
      <c r="F57" s="10">
        <f t="shared" ref="F57:F84" si="14">-$B$17</f>
        <v>-2674234.3333333335</v>
      </c>
      <c r="G57" s="10">
        <f t="shared" si="11"/>
        <v>413310.12509340927</v>
      </c>
      <c r="H57" s="10">
        <f t="shared" si="12"/>
        <v>66675454.428645998</v>
      </c>
    </row>
    <row r="58" spans="1:9">
      <c r="A58" s="93" t="s">
        <v>392</v>
      </c>
      <c r="B58" s="10">
        <f t="shared" si="8"/>
        <v>60452423.154450499</v>
      </c>
      <c r="C58" s="8">
        <f t="shared" si="13"/>
        <v>2238978.6353500108</v>
      </c>
      <c r="D58" s="10">
        <f t="shared" si="9"/>
        <v>58213444.519100487</v>
      </c>
      <c r="E58" s="10">
        <f t="shared" si="10"/>
        <v>66675454.428645998</v>
      </c>
      <c r="F58" s="10">
        <f t="shared" si="14"/>
        <v>-2674234.3333333335</v>
      </c>
      <c r="G58" s="10">
        <f t="shared" si="11"/>
        <v>399207.61034451274</v>
      </c>
      <c r="H58" s="10">
        <f t="shared" si="12"/>
        <v>64400427.705657177</v>
      </c>
    </row>
    <row r="59" spans="1:9">
      <c r="A59" s="93" t="s">
        <v>393</v>
      </c>
      <c r="B59" s="10">
        <f t="shared" si="8"/>
        <v>58213444.519100487</v>
      </c>
      <c r="C59" s="8">
        <f t="shared" si="13"/>
        <v>2238978.6353500108</v>
      </c>
      <c r="D59" s="10">
        <f t="shared" si="9"/>
        <v>55974465.883750476</v>
      </c>
      <c r="E59" s="10">
        <f t="shared" si="10"/>
        <v>64400427.705657177</v>
      </c>
      <c r="F59" s="10">
        <f t="shared" si="14"/>
        <v>-2674234.3333333335</v>
      </c>
      <c r="G59" s="10">
        <f t="shared" si="11"/>
        <v>385017.13115986995</v>
      </c>
      <c r="H59" s="10">
        <f t="shared" si="12"/>
        <v>62111210.503483713</v>
      </c>
    </row>
    <row r="60" spans="1:9">
      <c r="A60" s="93" t="s">
        <v>394</v>
      </c>
      <c r="B60" s="10">
        <f t="shared" si="8"/>
        <v>55974465.883750476</v>
      </c>
      <c r="C60" s="8">
        <f t="shared" si="13"/>
        <v>2238978.6353500108</v>
      </c>
      <c r="D60" s="10">
        <f t="shared" si="9"/>
        <v>53735487.248400465</v>
      </c>
      <c r="E60" s="10">
        <f t="shared" si="10"/>
        <v>62111210.503483713</v>
      </c>
      <c r="F60" s="10">
        <f t="shared" si="14"/>
        <v>-2674234.3333333335</v>
      </c>
      <c r="G60" s="10">
        <f t="shared" si="11"/>
        <v>370738.138861313</v>
      </c>
      <c r="H60" s="10">
        <f t="shared" si="12"/>
        <v>59807714.30901169</v>
      </c>
    </row>
    <row r="61" spans="1:9">
      <c r="A61" s="93" t="s">
        <v>395</v>
      </c>
      <c r="B61" s="10">
        <f t="shared" si="8"/>
        <v>53735487.248400465</v>
      </c>
      <c r="C61" s="8">
        <f t="shared" si="13"/>
        <v>2238978.6353500108</v>
      </c>
      <c r="D61" s="10">
        <f t="shared" si="9"/>
        <v>51496508.613050453</v>
      </c>
      <c r="E61" s="10">
        <f t="shared" si="10"/>
        <v>59807714.30901169</v>
      </c>
      <c r="F61" s="10">
        <f t="shared" si="14"/>
        <v>-2674234.3333333335</v>
      </c>
      <c r="G61" s="10">
        <f t="shared" si="11"/>
        <v>356370.08134829375</v>
      </c>
      <c r="H61" s="10">
        <f t="shared" si="12"/>
        <v>57489850.057026647</v>
      </c>
    </row>
    <row r="62" spans="1:9">
      <c r="A62" s="93" t="s">
        <v>396</v>
      </c>
      <c r="B62" s="10">
        <f t="shared" si="8"/>
        <v>51496508.613050453</v>
      </c>
      <c r="C62" s="8">
        <f t="shared" si="13"/>
        <v>2238978.6353500108</v>
      </c>
      <c r="D62" s="10">
        <f t="shared" si="9"/>
        <v>49257529.977700442</v>
      </c>
      <c r="E62" s="10">
        <f t="shared" si="10"/>
        <v>57489850.057026647</v>
      </c>
      <c r="F62" s="10">
        <f t="shared" si="14"/>
        <v>-2674234.3333333335</v>
      </c>
      <c r="G62" s="10">
        <f t="shared" si="11"/>
        <v>341912.40307653701</v>
      </c>
      <c r="H62" s="10">
        <f t="shared" si="12"/>
        <v>55157528.126769848</v>
      </c>
    </row>
    <row r="63" spans="1:9">
      <c r="A63" s="93" t="s">
        <v>397</v>
      </c>
      <c r="B63" s="10">
        <f t="shared" si="8"/>
        <v>49257529.977700442</v>
      </c>
      <c r="C63" s="8">
        <f t="shared" si="13"/>
        <v>2238978.6353500108</v>
      </c>
      <c r="D63" s="10">
        <f t="shared" si="9"/>
        <v>47018551.342350431</v>
      </c>
      <c r="E63" s="10">
        <f t="shared" si="10"/>
        <v>55157528.126769848</v>
      </c>
      <c r="F63" s="10">
        <f t="shared" si="14"/>
        <v>-2674234.3333333335</v>
      </c>
      <c r="G63" s="10">
        <f t="shared" si="11"/>
        <v>327364.54503656027</v>
      </c>
      <c r="H63" s="10">
        <f t="shared" si="12"/>
        <v>52810658.338473074</v>
      </c>
    </row>
    <row r="64" spans="1:9">
      <c r="A64" s="93" t="s">
        <v>398</v>
      </c>
      <c r="B64" s="10">
        <f t="shared" si="8"/>
        <v>47018551.342350431</v>
      </c>
      <c r="C64" s="8">
        <f t="shared" si="13"/>
        <v>2238978.6353500108</v>
      </c>
      <c r="D64" s="10">
        <f t="shared" si="9"/>
        <v>44779572.707000419</v>
      </c>
      <c r="E64" s="10">
        <f t="shared" si="10"/>
        <v>52810658.338473074</v>
      </c>
      <c r="F64" s="10">
        <f t="shared" si="14"/>
        <v>-2674234.3333333335</v>
      </c>
      <c r="G64" s="10">
        <f t="shared" si="11"/>
        <v>312725.94473205914</v>
      </c>
      <c r="H64" s="10">
        <f t="shared" si="12"/>
        <v>50449149.949871801</v>
      </c>
    </row>
    <row r="65" spans="1:8">
      <c r="A65" s="93" t="s">
        <v>399</v>
      </c>
      <c r="B65" s="10">
        <f t="shared" si="8"/>
        <v>44779572.707000419</v>
      </c>
      <c r="C65" s="8">
        <f t="shared" si="13"/>
        <v>2238978.6353500108</v>
      </c>
      <c r="D65" s="10">
        <f t="shared" si="9"/>
        <v>42540594.071650408</v>
      </c>
      <c r="E65" s="10">
        <f t="shared" si="10"/>
        <v>50449149.949871801</v>
      </c>
      <c r="F65" s="10">
        <f t="shared" si="14"/>
        <v>-2674234.3333333335</v>
      </c>
      <c r="G65" s="10">
        <f t="shared" si="11"/>
        <v>297996.03615815868</v>
      </c>
      <c r="H65" s="10">
        <f t="shared" si="12"/>
        <v>48072911.652696624</v>
      </c>
    </row>
    <row r="66" spans="1:8">
      <c r="A66" s="93" t="s">
        <v>400</v>
      </c>
      <c r="B66" s="10">
        <f t="shared" si="8"/>
        <v>42540594.071650408</v>
      </c>
      <c r="C66" s="8">
        <f t="shared" si="13"/>
        <v>2238978.6353500108</v>
      </c>
      <c r="D66" s="10">
        <f t="shared" si="9"/>
        <v>40301615.436300397</v>
      </c>
      <c r="E66" s="10">
        <f t="shared" si="10"/>
        <v>48072911.652696624</v>
      </c>
      <c r="F66" s="10">
        <f t="shared" si="14"/>
        <v>-2674234.3333333335</v>
      </c>
      <c r="G66" s="10">
        <f t="shared" si="11"/>
        <v>283174.24977952853</v>
      </c>
      <c r="H66" s="10">
        <f t="shared" si="12"/>
        <v>45681851.569142818</v>
      </c>
    </row>
    <row r="67" spans="1:8">
      <c r="A67" s="93" t="s">
        <v>401</v>
      </c>
      <c r="B67" s="10">
        <f t="shared" si="8"/>
        <v>40301615.436300397</v>
      </c>
      <c r="C67" s="8">
        <f t="shared" si="13"/>
        <v>2238978.6353500108</v>
      </c>
      <c r="D67" s="10">
        <f t="shared" si="9"/>
        <v>38062636.800950386</v>
      </c>
      <c r="E67" s="10">
        <f t="shared" si="10"/>
        <v>45681851.569142818</v>
      </c>
      <c r="F67" s="10">
        <f t="shared" si="14"/>
        <v>-2674234.3333333335</v>
      </c>
      <c r="G67" s="10">
        <f t="shared" si="11"/>
        <v>268260.01250836166</v>
      </c>
      <c r="H67" s="10">
        <f t="shared" si="12"/>
        <v>43275877.248317845</v>
      </c>
    </row>
    <row r="68" spans="1:8">
      <c r="A68" s="93" t="s">
        <v>402</v>
      </c>
      <c r="B68" s="10">
        <f t="shared" si="8"/>
        <v>38062636.800950386</v>
      </c>
      <c r="C68" s="8">
        <f t="shared" si="13"/>
        <v>2238978.6353500108</v>
      </c>
      <c r="D68" s="10">
        <f t="shared" si="9"/>
        <v>35823658.165600374</v>
      </c>
      <c r="E68" s="10">
        <f t="shared" si="10"/>
        <v>43275877.248317845</v>
      </c>
      <c r="F68" s="10">
        <f t="shared" si="14"/>
        <v>-2674234.3333333335</v>
      </c>
      <c r="G68" s="10">
        <f t="shared" si="11"/>
        <v>253252.74768221588</v>
      </c>
      <c r="H68" s="10">
        <f t="shared" si="12"/>
        <v>40854895.662666723</v>
      </c>
    </row>
    <row r="69" spans="1:8">
      <c r="A69" s="93" t="s">
        <v>403</v>
      </c>
      <c r="B69" s="10">
        <f t="shared" si="8"/>
        <v>35823658.165600374</v>
      </c>
      <c r="C69" s="8">
        <f t="shared" si="13"/>
        <v>2238978.6353500108</v>
      </c>
      <c r="D69" s="10">
        <f t="shared" si="9"/>
        <v>33584679.530250363</v>
      </c>
      <c r="E69" s="10">
        <f t="shared" si="10"/>
        <v>40854895.662666723</v>
      </c>
      <c r="F69" s="10">
        <f t="shared" si="14"/>
        <v>-2674234.3333333335</v>
      </c>
      <c r="G69" s="10">
        <f t="shared" si="11"/>
        <v>238151.87504171699</v>
      </c>
      <c r="H69" s="10">
        <f t="shared" si="12"/>
        <v>38418813.204375103</v>
      </c>
    </row>
    <row r="70" spans="1:8">
      <c r="A70" s="93" t="s">
        <v>404</v>
      </c>
      <c r="B70" s="10">
        <f t="shared" si="8"/>
        <v>33584679.530250363</v>
      </c>
      <c r="C70" s="8">
        <f t="shared" si="13"/>
        <v>2238978.6353500108</v>
      </c>
      <c r="D70" s="10">
        <f t="shared" si="9"/>
        <v>31345700.894900352</v>
      </c>
      <c r="E70" s="10">
        <f t="shared" si="10"/>
        <v>38418813.204375103</v>
      </c>
      <c r="F70" s="10">
        <f t="shared" si="14"/>
        <v>-2674234.3333333335</v>
      </c>
      <c r="G70" s="10">
        <f t="shared" si="11"/>
        <v>222956.81070812303</v>
      </c>
      <c r="H70" s="10">
        <f t="shared" si="12"/>
        <v>35967535.681749888</v>
      </c>
    </row>
    <row r="71" spans="1:8">
      <c r="A71" s="93" t="s">
        <v>405</v>
      </c>
      <c r="B71" s="10">
        <f t="shared" si="8"/>
        <v>31345700.894900352</v>
      </c>
      <c r="C71" s="8">
        <f t="shared" si="13"/>
        <v>2238978.6353500108</v>
      </c>
      <c r="D71" s="10">
        <f t="shared" si="9"/>
        <v>29106722.25955034</v>
      </c>
      <c r="E71" s="10">
        <f t="shared" si="10"/>
        <v>35967535.681749888</v>
      </c>
      <c r="F71" s="10">
        <f t="shared" si="14"/>
        <v>-2674234.3333333335</v>
      </c>
      <c r="G71" s="10">
        <f t="shared" si="11"/>
        <v>207666.96716074826</v>
      </c>
      <c r="H71" s="10">
        <f t="shared" si="12"/>
        <v>33500968.315577302</v>
      </c>
    </row>
    <row r="72" spans="1:8">
      <c r="A72" s="93" t="s">
        <v>406</v>
      </c>
      <c r="B72" s="10">
        <f t="shared" si="8"/>
        <v>29106722.25955034</v>
      </c>
      <c r="C72" s="8">
        <f t="shared" si="13"/>
        <v>2238978.6353500108</v>
      </c>
      <c r="D72" s="10">
        <f t="shared" si="9"/>
        <v>26867743.624200329</v>
      </c>
      <c r="E72" s="10">
        <f t="shared" si="10"/>
        <v>33500968.315577302</v>
      </c>
      <c r="F72" s="10">
        <f t="shared" si="14"/>
        <v>-2674234.3333333335</v>
      </c>
      <c r="G72" s="10">
        <f t="shared" si="11"/>
        <v>192281.75321424677</v>
      </c>
      <c r="H72" s="10">
        <f t="shared" si="12"/>
        <v>31019015.735458218</v>
      </c>
    </row>
    <row r="73" spans="1:8">
      <c r="A73" s="93" t="s">
        <v>407</v>
      </c>
      <c r="B73" s="10">
        <f t="shared" si="8"/>
        <v>26867743.624200329</v>
      </c>
      <c r="C73" s="8">
        <f t="shared" si="13"/>
        <v>2238978.6353500108</v>
      </c>
      <c r="D73" s="10">
        <f t="shared" si="9"/>
        <v>24628764.988850318</v>
      </c>
      <c r="E73" s="10">
        <f t="shared" si="10"/>
        <v>31019015.735458218</v>
      </c>
      <c r="F73" s="10">
        <f t="shared" si="14"/>
        <v>-2674234.3333333335</v>
      </c>
      <c r="G73" s="10">
        <f t="shared" si="11"/>
        <v>176800.57399575398</v>
      </c>
      <c r="H73" s="10">
        <f t="shared" si="12"/>
        <v>28521581.97612064</v>
      </c>
    </row>
    <row r="74" spans="1:8">
      <c r="A74" s="93" t="s">
        <v>408</v>
      </c>
      <c r="B74" s="10">
        <f t="shared" si="8"/>
        <v>24628764.988850318</v>
      </c>
      <c r="C74" s="8">
        <f t="shared" si="13"/>
        <v>2238978.6353500108</v>
      </c>
      <c r="D74" s="10">
        <f t="shared" si="9"/>
        <v>22389786.353500307</v>
      </c>
      <c r="E74" s="10">
        <f t="shared" si="10"/>
        <v>28521581.97612064</v>
      </c>
      <c r="F74" s="10">
        <f t="shared" si="14"/>
        <v>-2674234.3333333335</v>
      </c>
      <c r="G74" s="10">
        <f t="shared" si="11"/>
        <v>161222.83092188582</v>
      </c>
      <c r="H74" s="10">
        <f t="shared" si="12"/>
        <v>26008570.473709192</v>
      </c>
    </row>
    <row r="75" spans="1:8">
      <c r="A75" s="93" t="s">
        <v>409</v>
      </c>
      <c r="B75" s="10">
        <f t="shared" si="8"/>
        <v>22389786.353500307</v>
      </c>
      <c r="C75" s="8">
        <f t="shared" si="13"/>
        <v>2238978.6353500108</v>
      </c>
      <c r="D75" s="10">
        <f t="shared" si="9"/>
        <v>20150807.718150295</v>
      </c>
      <c r="E75" s="10">
        <f t="shared" si="10"/>
        <v>26008570.473709192</v>
      </c>
      <c r="F75" s="10">
        <f t="shared" si="14"/>
        <v>-2674234.3333333335</v>
      </c>
      <c r="G75" s="10">
        <f t="shared" si="11"/>
        <v>145547.92167559444</v>
      </c>
      <c r="H75" s="10">
        <f t="shared" si="12"/>
        <v>23479884.062051453</v>
      </c>
    </row>
    <row r="76" spans="1:8">
      <c r="A76" s="93" t="s">
        <v>410</v>
      </c>
      <c r="B76" s="10">
        <f t="shared" si="8"/>
        <v>20150807.718150295</v>
      </c>
      <c r="C76" s="8">
        <f t="shared" si="13"/>
        <v>2238978.6353500108</v>
      </c>
      <c r="D76" s="10">
        <f t="shared" si="9"/>
        <v>17911829.082800284</v>
      </c>
      <c r="E76" s="10">
        <f t="shared" si="10"/>
        <v>23479884.062051453</v>
      </c>
      <c r="F76" s="10">
        <f t="shared" si="14"/>
        <v>-2674234.3333333335</v>
      </c>
      <c r="G76" s="10">
        <f t="shared" si="11"/>
        <v>129775.24018287928</v>
      </c>
      <c r="H76" s="10">
        <f t="shared" si="12"/>
        <v>20935424.968901001</v>
      </c>
    </row>
    <row r="77" spans="1:8">
      <c r="A77" s="93" t="s">
        <v>411</v>
      </c>
      <c r="B77" s="10">
        <f t="shared" si="8"/>
        <v>17911829.082800284</v>
      </c>
      <c r="C77" s="8">
        <f t="shared" si="13"/>
        <v>2238978.6353500108</v>
      </c>
      <c r="D77" s="10">
        <f t="shared" si="9"/>
        <v>15672850.447450273</v>
      </c>
      <c r="E77" s="10">
        <f t="shared" si="10"/>
        <v>20935424.968901001</v>
      </c>
      <c r="F77" s="10">
        <f t="shared" si="14"/>
        <v>-2674234.3333333335</v>
      </c>
      <c r="G77" s="10">
        <f t="shared" si="11"/>
        <v>113904.17658935333</v>
      </c>
      <c r="H77" s="10">
        <f t="shared" si="12"/>
        <v>18375094.812157024</v>
      </c>
    </row>
    <row r="78" spans="1:8">
      <c r="A78" s="93" t="s">
        <v>412</v>
      </c>
      <c r="B78" s="10">
        <f t="shared" si="8"/>
        <v>15672850.447450273</v>
      </c>
      <c r="C78" s="8">
        <f t="shared" si="13"/>
        <v>2238978.6353500108</v>
      </c>
      <c r="D78" s="10">
        <f t="shared" si="9"/>
        <v>13433871.812100261</v>
      </c>
      <c r="E78" s="10">
        <f t="shared" si="10"/>
        <v>18375094.812157024</v>
      </c>
      <c r="F78" s="10">
        <f t="shared" si="14"/>
        <v>-2674234.3333333335</v>
      </c>
      <c r="G78" s="10">
        <f t="shared" si="11"/>
        <v>97934.117236662758</v>
      </c>
      <c r="H78" s="10">
        <f t="shared" si="12"/>
        <v>15798794.596060352</v>
      </c>
    </row>
    <row r="79" spans="1:8">
      <c r="A79" s="93" t="s">
        <v>413</v>
      </c>
      <c r="B79" s="10">
        <f t="shared" si="8"/>
        <v>13433871.812100261</v>
      </c>
      <c r="C79" s="8">
        <f t="shared" si="13"/>
        <v>2238978.6353500108</v>
      </c>
      <c r="D79" s="10">
        <f t="shared" si="9"/>
        <v>11194893.17675025</v>
      </c>
      <c r="E79" s="10">
        <f t="shared" si="10"/>
        <v>15798794.596060352</v>
      </c>
      <c r="F79" s="10">
        <f t="shared" si="14"/>
        <v>-2674234.3333333335</v>
      </c>
      <c r="G79" s="10">
        <f t="shared" si="11"/>
        <v>81864.444638759771</v>
      </c>
      <c r="H79" s="10">
        <f t="shared" si="12"/>
        <v>13206424.707365777</v>
      </c>
    </row>
    <row r="80" spans="1:8">
      <c r="A80" s="93" t="s">
        <v>414</v>
      </c>
      <c r="B80" s="10">
        <f t="shared" si="8"/>
        <v>11194893.17675025</v>
      </c>
      <c r="C80" s="8">
        <f t="shared" si="13"/>
        <v>2238978.6353500108</v>
      </c>
      <c r="D80" s="10">
        <f t="shared" si="9"/>
        <v>8955914.5414002389</v>
      </c>
      <c r="E80" s="10">
        <f t="shared" si="10"/>
        <v>13206424.707365777</v>
      </c>
      <c r="F80" s="10">
        <f t="shared" si="14"/>
        <v>-2674234.3333333335</v>
      </c>
      <c r="G80" s="10">
        <f t="shared" si="11"/>
        <v>65694.537458027364</v>
      </c>
      <c r="H80" s="10">
        <f t="shared" si="12"/>
        <v>10597884.91149047</v>
      </c>
    </row>
    <row r="81" spans="1:8">
      <c r="A81" s="93" t="s">
        <v>415</v>
      </c>
      <c r="B81" s="10">
        <f t="shared" si="8"/>
        <v>8955914.5414002389</v>
      </c>
      <c r="C81" s="8">
        <f t="shared" si="13"/>
        <v>2238978.6353500108</v>
      </c>
      <c r="D81" s="10">
        <f t="shared" si="9"/>
        <v>6716935.9060502276</v>
      </c>
      <c r="E81" s="10">
        <f t="shared" si="10"/>
        <v>10597884.91149047</v>
      </c>
      <c r="F81" s="10">
        <f t="shared" si="14"/>
        <v>-2674234.3333333335</v>
      </c>
      <c r="G81" s="10">
        <f t="shared" si="11"/>
        <v>49423.770481255138</v>
      </c>
      <c r="H81" s="10">
        <f t="shared" si="12"/>
        <v>7973074.3486383911</v>
      </c>
    </row>
    <row r="82" spans="1:8">
      <c r="A82" s="93" t="s">
        <v>416</v>
      </c>
      <c r="B82" s="10">
        <f t="shared" si="8"/>
        <v>6716935.9060502276</v>
      </c>
      <c r="C82" s="8">
        <f t="shared" si="13"/>
        <v>2238978.6353500108</v>
      </c>
      <c r="D82" s="10">
        <f t="shared" si="9"/>
        <v>4477957.2707002163</v>
      </c>
      <c r="E82" s="10">
        <f t="shared" si="10"/>
        <v>7973074.3486383911</v>
      </c>
      <c r="F82" s="10">
        <f t="shared" si="14"/>
        <v>-2674234.3333333335</v>
      </c>
      <c r="G82" s="10">
        <f t="shared" si="11"/>
        <v>33051.514595465291</v>
      </c>
      <c r="H82" s="10">
        <f t="shared" si="12"/>
        <v>5331891.5299005229</v>
      </c>
    </row>
    <row r="83" spans="1:8">
      <c r="A83" s="93" t="s">
        <v>417</v>
      </c>
      <c r="B83" s="10">
        <f t="shared" si="8"/>
        <v>4477957.2707002163</v>
      </c>
      <c r="C83" s="8">
        <f t="shared" si="13"/>
        <v>2238978.6353500108</v>
      </c>
      <c r="D83" s="10">
        <f t="shared" si="9"/>
        <v>2238978.6353502055</v>
      </c>
      <c r="E83" s="10">
        <f t="shared" si="10"/>
        <v>5331891.5299005229</v>
      </c>
      <c r="F83" s="10">
        <f t="shared" si="14"/>
        <v>-2674234.3333333335</v>
      </c>
      <c r="G83" s="10">
        <f t="shared" si="11"/>
        <v>16577.136763587845</v>
      </c>
      <c r="H83" s="10">
        <f t="shared" si="12"/>
        <v>2674234.3333307775</v>
      </c>
    </row>
    <row r="84" spans="1:8">
      <c r="A84" s="93" t="s">
        <v>418</v>
      </c>
      <c r="B84" s="10">
        <f t="shared" si="8"/>
        <v>2238978.6353502055</v>
      </c>
      <c r="C84" s="8">
        <f t="shared" si="13"/>
        <v>2238978.6353500108</v>
      </c>
      <c r="D84" s="10">
        <f t="shared" si="9"/>
        <v>1.9464641809463501E-7</v>
      </c>
      <c r="E84" s="10">
        <f t="shared" si="10"/>
        <v>2674234.3333307775</v>
      </c>
      <c r="F84" s="10">
        <f t="shared" si="14"/>
        <v>-2674234.3333333335</v>
      </c>
      <c r="G84" s="10">
        <f t="shared" si="11"/>
        <v>-1.5943142352625727E-8</v>
      </c>
      <c r="H84" s="10">
        <f t="shared" si="12"/>
        <v>-2.5719579483848067E-6</v>
      </c>
    </row>
  </sheetData>
  <mergeCells count="2">
    <mergeCell ref="B23:D23"/>
    <mergeCell ref="E23:H2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C029D-43D0-45DA-9921-883952861913}">
  <dimension ref="A1:O49"/>
  <sheetViews>
    <sheetView showGridLines="0" topLeftCell="A8" zoomScale="90" zoomScaleNormal="355" workbookViewId="0">
      <selection activeCell="H34" sqref="H34"/>
    </sheetView>
  </sheetViews>
  <sheetFormatPr defaultColWidth="8.796875" defaultRowHeight="13.3"/>
  <cols>
    <col min="1" max="1" width="26.5" style="2" customWidth="1"/>
    <col min="2" max="2" width="16.796875" style="2" bestFit="1" customWidth="1"/>
    <col min="3" max="4" width="19" style="2" bestFit="1" customWidth="1"/>
    <col min="5" max="6" width="13.796875" style="2" bestFit="1" customWidth="1"/>
    <col min="7" max="7" width="14.796875" style="2" bestFit="1" customWidth="1"/>
    <col min="8" max="9" width="17.5" style="2" bestFit="1" customWidth="1"/>
    <col min="10" max="11" width="11.5" style="2" bestFit="1" customWidth="1"/>
    <col min="12" max="12" width="12.79687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9" spans="1:12" ht="14.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223">
        <v>7.6399999999999996E-2</v>
      </c>
      <c r="C13" s="208">
        <v>45292</v>
      </c>
      <c r="D13" s="208">
        <v>46053</v>
      </c>
      <c r="E13" s="73">
        <v>0</v>
      </c>
      <c r="F13" s="73">
        <v>28252051.310000002</v>
      </c>
      <c r="G13" s="77">
        <v>0</v>
      </c>
      <c r="H13" s="73">
        <v>852572.3600000001</v>
      </c>
      <c r="I13" s="73">
        <v>30455813.199999999</v>
      </c>
      <c r="J13" s="73">
        <v>0</v>
      </c>
      <c r="K13" s="77">
        <v>0</v>
      </c>
      <c r="L13" s="77">
        <v>0</v>
      </c>
    </row>
    <row r="14" spans="1:12" ht="14.4">
      <c r="A14" s="74" t="s">
        <v>104</v>
      </c>
      <c r="B14" s="243">
        <v>7.6399999999999996E-2</v>
      </c>
      <c r="C14" s="85">
        <v>45292</v>
      </c>
      <c r="D14" s="85">
        <v>46053</v>
      </c>
      <c r="E14" s="73">
        <v>0</v>
      </c>
      <c r="F14" s="73">
        <f>SUM(C40:C49)</f>
        <v>28252051.36519371</v>
      </c>
      <c r="G14" s="77">
        <f>D49</f>
        <v>-3.3527612686157227E-8</v>
      </c>
      <c r="H14" s="73">
        <f>SUM(G40:G49)</f>
        <v>852572.35182961251</v>
      </c>
      <c r="I14" s="73">
        <f>-SUM(F40:F49)</f>
        <v>30455813.199999999</v>
      </c>
      <c r="J14" s="77">
        <f>H49</f>
        <v>1.560524571686983E-7</v>
      </c>
      <c r="K14" s="8">
        <v>0</v>
      </c>
      <c r="L14" s="8">
        <v>0</v>
      </c>
    </row>
    <row r="15" spans="1:12">
      <c r="A15" s="86" t="s">
        <v>32</v>
      </c>
      <c r="B15" s="92">
        <f>B13-B14</f>
        <v>0</v>
      </c>
      <c r="C15" s="87">
        <f t="shared" ref="C15:L15" si="0">C13-C14</f>
        <v>0</v>
      </c>
      <c r="D15" s="87">
        <f t="shared" si="0"/>
        <v>0</v>
      </c>
      <c r="E15" s="8">
        <f t="shared" si="0"/>
        <v>0</v>
      </c>
      <c r="F15" s="8">
        <f t="shared" si="0"/>
        <v>-5.5193707346916199E-2</v>
      </c>
      <c r="G15" s="8">
        <f t="shared" si="0"/>
        <v>3.3527612686157227E-8</v>
      </c>
      <c r="H15" s="8">
        <f t="shared" si="0"/>
        <v>8.1703875912353396E-3</v>
      </c>
      <c r="I15" s="8">
        <f t="shared" si="0"/>
        <v>0</v>
      </c>
      <c r="J15" s="8">
        <f>J13-J14</f>
        <v>-1.560524571686983E-7</v>
      </c>
      <c r="K15" s="8">
        <f t="shared" si="0"/>
        <v>0</v>
      </c>
      <c r="L15" s="8">
        <f t="shared" si="0"/>
        <v>0</v>
      </c>
    </row>
    <row r="16" spans="1:12">
      <c r="B16" s="90"/>
      <c r="C16" s="53"/>
      <c r="E16" s="53"/>
      <c r="G16" s="53"/>
      <c r="H16" s="53"/>
    </row>
    <row r="17" spans="1:15">
      <c r="A17" s="14" t="s">
        <v>373</v>
      </c>
      <c r="B17" s="7">
        <v>3045581.32</v>
      </c>
      <c r="C17" s="88" t="s">
        <v>107</v>
      </c>
      <c r="E17" s="53"/>
      <c r="F17" s="53"/>
      <c r="G17" s="53"/>
      <c r="H17" s="53"/>
      <c r="I17" s="53"/>
      <c r="J17" s="53"/>
    </row>
    <row r="18" spans="1:15">
      <c r="A18" s="14" t="s">
        <v>109</v>
      </c>
      <c r="B18" s="91">
        <f>B14/12</f>
        <v>6.3666666666666663E-3</v>
      </c>
      <c r="C18" s="88" t="s">
        <v>106</v>
      </c>
    </row>
    <row r="19" spans="1:15">
      <c r="A19" s="14" t="s">
        <v>114</v>
      </c>
      <c r="B19" s="89">
        <f>ROUND(((D14-C14)/30),0)</f>
        <v>25</v>
      </c>
      <c r="C19" s="88" t="s">
        <v>117</v>
      </c>
      <c r="E19" s="53"/>
      <c r="G19" s="53"/>
    </row>
    <row r="20" spans="1:15">
      <c r="A20" s="14" t="s">
        <v>110</v>
      </c>
      <c r="B20" s="7">
        <f>-PV(B18,B19,B17,,1)</f>
        <v>70630128.412984267</v>
      </c>
      <c r="C20" s="88" t="s">
        <v>117</v>
      </c>
      <c r="D20" s="224"/>
      <c r="E20" s="53"/>
      <c r="F20" s="222"/>
    </row>
    <row r="21" spans="1:15">
      <c r="A21" s="14"/>
      <c r="B21" s="7"/>
      <c r="C21" s="88"/>
      <c r="E21" s="53"/>
    </row>
    <row r="22" spans="1:15">
      <c r="A22" s="14"/>
      <c r="B22" s="7"/>
      <c r="C22" s="88"/>
      <c r="E22" s="53"/>
    </row>
    <row r="23" spans="1:15">
      <c r="B23" s="378" t="s">
        <v>185</v>
      </c>
      <c r="C23" s="378"/>
      <c r="D23" s="378"/>
      <c r="E23" s="379" t="s">
        <v>15</v>
      </c>
      <c r="F23" s="379"/>
      <c r="G23" s="379"/>
      <c r="H23" s="379"/>
    </row>
    <row r="24" spans="1:15" s="84" customFormat="1">
      <c r="A24" s="5" t="s">
        <v>176</v>
      </c>
      <c r="B24" s="79" t="s">
        <v>112</v>
      </c>
      <c r="C24" s="79" t="s">
        <v>133</v>
      </c>
      <c r="D24" s="79" t="s">
        <v>111</v>
      </c>
      <c r="E24" s="79" t="s">
        <v>113</v>
      </c>
      <c r="F24" s="79" t="s">
        <v>11</v>
      </c>
      <c r="G24" s="79" t="s">
        <v>10</v>
      </c>
      <c r="H24" s="79" t="s">
        <v>57</v>
      </c>
      <c r="I24" s="2"/>
      <c r="J24" s="2"/>
      <c r="K24" s="2"/>
      <c r="L24" s="2"/>
      <c r="M24" s="2"/>
      <c r="N24" s="2"/>
      <c r="O24" s="2"/>
    </row>
    <row r="25" spans="1:15">
      <c r="A25" s="93" t="s">
        <v>348</v>
      </c>
      <c r="B25" s="10">
        <f>B20</f>
        <v>70630128.412984267</v>
      </c>
      <c r="C25" s="8">
        <f>$B$20/$B$19</f>
        <v>2825205.1365193706</v>
      </c>
      <c r="D25" s="10">
        <f>B25-C25</f>
        <v>67804923.276464894</v>
      </c>
      <c r="E25" s="10">
        <f>B25</f>
        <v>70630128.412984267</v>
      </c>
      <c r="F25" s="10">
        <f t="shared" ref="F25:F49" si="1">-$B$17</f>
        <v>-3045581.32</v>
      </c>
      <c r="G25" s="10">
        <f t="shared" ref="G25:G36" si="2">(E25+F25)*$B$18</f>
        <v>430288.28315866651</v>
      </c>
      <c r="H25" s="10">
        <f>E25+F25+G25</f>
        <v>68014835.376142934</v>
      </c>
    </row>
    <row r="26" spans="1:15">
      <c r="A26" s="93" t="s">
        <v>349</v>
      </c>
      <c r="B26" s="10">
        <f t="shared" ref="B26:B36" si="3">D25</f>
        <v>67804923.276464894</v>
      </c>
      <c r="C26" s="8">
        <f t="shared" ref="C26:C49" si="4">$B$20/$B$19</f>
        <v>2825205.1365193706</v>
      </c>
      <c r="D26" s="10">
        <f t="shared" ref="D26:D36" si="5">B26-C26</f>
        <v>64979718.139945522</v>
      </c>
      <c r="E26" s="10">
        <f t="shared" ref="E26:E36" si="6">H25</f>
        <v>68014835.376142934</v>
      </c>
      <c r="F26" s="10">
        <f t="shared" si="1"/>
        <v>-3045581.32</v>
      </c>
      <c r="G26" s="10">
        <f t="shared" si="2"/>
        <v>413637.58415744331</v>
      </c>
      <c r="H26" s="10">
        <f t="shared" ref="H26:H36" si="7">E26+F26+G26</f>
        <v>65382891.640300378</v>
      </c>
    </row>
    <row r="27" spans="1:15">
      <c r="A27" s="93" t="s">
        <v>350</v>
      </c>
      <c r="B27" s="10">
        <f t="shared" si="3"/>
        <v>64979718.139945522</v>
      </c>
      <c r="C27" s="8">
        <f t="shared" si="4"/>
        <v>2825205.1365193706</v>
      </c>
      <c r="D27" s="10">
        <f t="shared" si="5"/>
        <v>62154513.003426149</v>
      </c>
      <c r="E27" s="10">
        <f t="shared" si="6"/>
        <v>65382891.640300378</v>
      </c>
      <c r="F27" s="10">
        <f t="shared" si="1"/>
        <v>-3045581.32</v>
      </c>
      <c r="G27" s="10">
        <f t="shared" si="2"/>
        <v>396880.87570591236</v>
      </c>
      <c r="H27" s="10">
        <f t="shared" si="7"/>
        <v>62734191.196006291</v>
      </c>
    </row>
    <row r="28" spans="1:15">
      <c r="A28" s="93" t="s">
        <v>351</v>
      </c>
      <c r="B28" s="10">
        <f>D27</f>
        <v>62154513.003426149</v>
      </c>
      <c r="C28" s="8">
        <f t="shared" si="4"/>
        <v>2825205.1365193706</v>
      </c>
      <c r="D28" s="10">
        <f t="shared" si="5"/>
        <v>59329307.866906777</v>
      </c>
      <c r="E28" s="10">
        <f>H27</f>
        <v>62734191.196006291</v>
      </c>
      <c r="F28" s="10">
        <f t="shared" si="1"/>
        <v>-3045581.32</v>
      </c>
      <c r="G28" s="10">
        <f t="shared" si="2"/>
        <v>380017.48287724005</v>
      </c>
      <c r="H28" s="10">
        <f t="shared" si="7"/>
        <v>60068627.35888353</v>
      </c>
    </row>
    <row r="29" spans="1:15">
      <c r="A29" s="93" t="s">
        <v>352</v>
      </c>
      <c r="B29" s="10">
        <f t="shared" si="3"/>
        <v>59329307.866906777</v>
      </c>
      <c r="C29" s="8">
        <f t="shared" si="4"/>
        <v>2825205.1365193706</v>
      </c>
      <c r="D29" s="10">
        <f t="shared" si="5"/>
        <v>56504102.730387405</v>
      </c>
      <c r="E29" s="10">
        <f t="shared" si="6"/>
        <v>60068627.35888353</v>
      </c>
      <c r="F29" s="10">
        <f t="shared" si="1"/>
        <v>-3045581.32</v>
      </c>
      <c r="G29" s="10">
        <f t="shared" si="2"/>
        <v>363046.72644755844</v>
      </c>
      <c r="H29" s="10">
        <f t="shared" si="7"/>
        <v>57386092.765331089</v>
      </c>
    </row>
    <row r="30" spans="1:15">
      <c r="A30" s="93" t="s">
        <v>353</v>
      </c>
      <c r="B30" s="10">
        <f t="shared" si="3"/>
        <v>56504102.730387405</v>
      </c>
      <c r="C30" s="8">
        <f t="shared" si="4"/>
        <v>2825205.1365193706</v>
      </c>
      <c r="D30" s="10">
        <f t="shared" si="5"/>
        <v>53678897.593868032</v>
      </c>
      <c r="E30" s="10">
        <f t="shared" si="6"/>
        <v>57386092.765331089</v>
      </c>
      <c r="F30" s="10">
        <f t="shared" si="1"/>
        <v>-3045581.32</v>
      </c>
      <c r="G30" s="10">
        <f t="shared" si="2"/>
        <v>345967.92286860792</v>
      </c>
      <c r="H30" s="10">
        <f t="shared" si="7"/>
        <v>54686479.368199699</v>
      </c>
    </row>
    <row r="31" spans="1:15">
      <c r="A31" s="93" t="s">
        <v>354</v>
      </c>
      <c r="B31" s="10">
        <f t="shared" si="3"/>
        <v>53678897.593868032</v>
      </c>
      <c r="C31" s="8">
        <f t="shared" si="4"/>
        <v>2825205.1365193706</v>
      </c>
      <c r="D31" s="10">
        <f t="shared" si="5"/>
        <v>50853692.45734866</v>
      </c>
      <c r="E31" s="10">
        <f t="shared" si="6"/>
        <v>54686479.368199699</v>
      </c>
      <c r="F31" s="10">
        <f t="shared" si="1"/>
        <v>-3045581.32</v>
      </c>
      <c r="G31" s="10">
        <f t="shared" si="2"/>
        <v>328780.3842402047</v>
      </c>
      <c r="H31" s="10">
        <f t="shared" si="7"/>
        <v>51969678.432439901</v>
      </c>
    </row>
    <row r="32" spans="1:15">
      <c r="A32" s="93" t="s">
        <v>355</v>
      </c>
      <c r="B32" s="10">
        <f t="shared" si="3"/>
        <v>50853692.45734866</v>
      </c>
      <c r="C32" s="8">
        <f t="shared" si="4"/>
        <v>2825205.1365193706</v>
      </c>
      <c r="D32" s="10">
        <f>B32-C32</f>
        <v>48028487.320829287</v>
      </c>
      <c r="E32" s="10">
        <f>H31</f>
        <v>51969678.432439901</v>
      </c>
      <c r="F32" s="10">
        <f t="shared" si="1"/>
        <v>-3045581.32</v>
      </c>
      <c r="G32" s="10">
        <f t="shared" si="2"/>
        <v>311483.418282534</v>
      </c>
      <c r="H32" s="10">
        <f t="shared" si="7"/>
        <v>49235580.530722432</v>
      </c>
    </row>
    <row r="33" spans="1:8">
      <c r="A33" s="93" t="s">
        <v>356</v>
      </c>
      <c r="B33" s="10">
        <f t="shared" si="3"/>
        <v>48028487.320829287</v>
      </c>
      <c r="C33" s="8">
        <f t="shared" si="4"/>
        <v>2825205.1365193706</v>
      </c>
      <c r="D33" s="10">
        <f t="shared" si="5"/>
        <v>45203282.184309915</v>
      </c>
      <c r="E33" s="10">
        <f t="shared" si="6"/>
        <v>49235580.530722432</v>
      </c>
      <c r="F33" s="10">
        <f t="shared" si="1"/>
        <v>-3045581.32</v>
      </c>
      <c r="G33" s="10">
        <f t="shared" si="2"/>
        <v>294076.32830826612</v>
      </c>
      <c r="H33" s="10">
        <f t="shared" si="7"/>
        <v>46484075.539030701</v>
      </c>
    </row>
    <row r="34" spans="1:8">
      <c r="A34" s="93" t="s">
        <v>357</v>
      </c>
      <c r="B34" s="10">
        <f t="shared" si="3"/>
        <v>45203282.184309915</v>
      </c>
      <c r="C34" s="8">
        <f t="shared" si="4"/>
        <v>2825205.1365193706</v>
      </c>
      <c r="D34" s="10">
        <f t="shared" si="5"/>
        <v>42378077.047790542</v>
      </c>
      <c r="E34" s="10">
        <f t="shared" si="6"/>
        <v>46484075.539030701</v>
      </c>
      <c r="F34" s="10">
        <f t="shared" si="1"/>
        <v>-3045581.32</v>
      </c>
      <c r="G34" s="10">
        <f t="shared" si="2"/>
        <v>276558.41319449543</v>
      </c>
      <c r="H34" s="10">
        <f t="shared" si="7"/>
        <v>43715052.632225193</v>
      </c>
    </row>
    <row r="35" spans="1:8">
      <c r="A35" s="93" t="s">
        <v>358</v>
      </c>
      <c r="B35" s="10">
        <f t="shared" si="3"/>
        <v>42378077.047790542</v>
      </c>
      <c r="C35" s="8">
        <f t="shared" si="4"/>
        <v>2825205.1365193706</v>
      </c>
      <c r="D35" s="10">
        <f t="shared" si="5"/>
        <v>39552871.91127117</v>
      </c>
      <c r="E35" s="10">
        <f t="shared" si="6"/>
        <v>43715052.632225193</v>
      </c>
      <c r="F35" s="10">
        <f t="shared" si="1"/>
        <v>-3045581.32</v>
      </c>
      <c r="G35" s="10">
        <f t="shared" si="2"/>
        <v>258928.96735450038</v>
      </c>
      <c r="H35" s="10">
        <f t="shared" si="7"/>
        <v>40928400.279579692</v>
      </c>
    </row>
    <row r="36" spans="1:8">
      <c r="A36" s="93" t="s">
        <v>359</v>
      </c>
      <c r="B36" s="10">
        <f t="shared" si="3"/>
        <v>39552871.91127117</v>
      </c>
      <c r="C36" s="8">
        <f t="shared" si="4"/>
        <v>2825205.1365193706</v>
      </c>
      <c r="D36" s="10">
        <f t="shared" si="5"/>
        <v>36727666.774751797</v>
      </c>
      <c r="E36" s="10">
        <f t="shared" si="6"/>
        <v>40928400.279579692</v>
      </c>
      <c r="F36" s="10">
        <f t="shared" si="1"/>
        <v>-3045581.32</v>
      </c>
      <c r="G36" s="10">
        <f t="shared" si="2"/>
        <v>241187.28070932403</v>
      </c>
      <c r="H36" s="10">
        <f t="shared" si="7"/>
        <v>38124006.240289018</v>
      </c>
    </row>
    <row r="37" spans="1:8">
      <c r="A37" s="93" t="s">
        <v>360</v>
      </c>
      <c r="B37" s="10">
        <f t="shared" ref="B37:B49" si="8">D36</f>
        <v>36727666.774751797</v>
      </c>
      <c r="C37" s="8">
        <f t="shared" si="4"/>
        <v>2825205.1365193706</v>
      </c>
      <c r="D37" s="10">
        <f t="shared" ref="D37:D49" si="9">B37-C37</f>
        <v>33902461.638232425</v>
      </c>
      <c r="E37" s="10">
        <f t="shared" ref="E37:E49" si="10">H36</f>
        <v>38124006.240289018</v>
      </c>
      <c r="F37" s="10">
        <f t="shared" si="1"/>
        <v>-3045581.32</v>
      </c>
      <c r="G37" s="10">
        <f t="shared" ref="G37:G49" si="11">(E37+F37)*$B$18</f>
        <v>223332.63865917339</v>
      </c>
      <c r="H37" s="10">
        <f t="shared" ref="H37:H49" si="12">E37+F37+G37</f>
        <v>35301757.558948189</v>
      </c>
    </row>
    <row r="38" spans="1:8">
      <c r="A38" s="93" t="s">
        <v>361</v>
      </c>
      <c r="B38" s="10">
        <f t="shared" si="8"/>
        <v>33902461.638232425</v>
      </c>
      <c r="C38" s="8">
        <f t="shared" si="4"/>
        <v>2825205.1365193706</v>
      </c>
      <c r="D38" s="10">
        <f t="shared" si="9"/>
        <v>31077256.501713052</v>
      </c>
      <c r="E38" s="10">
        <f t="shared" si="10"/>
        <v>35301757.558948189</v>
      </c>
      <c r="F38" s="10">
        <f t="shared" si="1"/>
        <v>-3045581.32</v>
      </c>
      <c r="G38" s="10">
        <f t="shared" si="11"/>
        <v>205364.32205463678</v>
      </c>
      <c r="H38" s="10">
        <f t="shared" si="12"/>
        <v>32461540.561002824</v>
      </c>
    </row>
    <row r="39" spans="1:8">
      <c r="A39" s="93" t="s">
        <v>362</v>
      </c>
      <c r="B39" s="10">
        <f t="shared" si="8"/>
        <v>31077256.501713052</v>
      </c>
      <c r="C39" s="8">
        <f t="shared" si="4"/>
        <v>2825205.1365193706</v>
      </c>
      <c r="D39" s="10">
        <f t="shared" si="9"/>
        <v>28252051.36519368</v>
      </c>
      <c r="E39" s="10">
        <f t="shared" si="10"/>
        <v>32461540.561002824</v>
      </c>
      <c r="F39" s="10">
        <f t="shared" si="1"/>
        <v>-3045581.32</v>
      </c>
      <c r="G39" s="10">
        <f t="shared" si="11"/>
        <v>187281.60716771797</v>
      </c>
      <c r="H39" s="10">
        <f t="shared" si="12"/>
        <v>29603240.848170541</v>
      </c>
    </row>
    <row r="40" spans="1:8">
      <c r="A40" s="93" t="s">
        <v>363</v>
      </c>
      <c r="B40" s="10">
        <f t="shared" si="8"/>
        <v>28252051.36519368</v>
      </c>
      <c r="C40" s="8">
        <f t="shared" si="4"/>
        <v>2825205.1365193706</v>
      </c>
      <c r="D40" s="10">
        <f t="shared" si="9"/>
        <v>25426846.228674307</v>
      </c>
      <c r="E40" s="10">
        <f t="shared" si="10"/>
        <v>29603240.848170541</v>
      </c>
      <c r="F40" s="10">
        <f t="shared" si="1"/>
        <v>-3045581.32</v>
      </c>
      <c r="G40" s="10">
        <f t="shared" si="11"/>
        <v>169083.76566268576</v>
      </c>
      <c r="H40" s="10">
        <f t="shared" si="12"/>
        <v>26726743.293833226</v>
      </c>
    </row>
    <row r="41" spans="1:8">
      <c r="A41" s="93" t="s">
        <v>364</v>
      </c>
      <c r="B41" s="10">
        <f t="shared" si="8"/>
        <v>25426846.228674307</v>
      </c>
      <c r="C41" s="8">
        <f t="shared" si="4"/>
        <v>2825205.1365193706</v>
      </c>
      <c r="D41" s="10">
        <f t="shared" si="9"/>
        <v>22601641.092154935</v>
      </c>
      <c r="E41" s="10">
        <f t="shared" si="10"/>
        <v>26726743.293833226</v>
      </c>
      <c r="F41" s="10">
        <f t="shared" si="1"/>
        <v>-3045581.32</v>
      </c>
      <c r="G41" s="10">
        <f t="shared" si="11"/>
        <v>150770.06456673821</v>
      </c>
      <c r="H41" s="10">
        <f t="shared" si="12"/>
        <v>23831932.038399965</v>
      </c>
    </row>
    <row r="42" spans="1:8">
      <c r="A42" s="93" t="s">
        <v>365</v>
      </c>
      <c r="B42" s="10">
        <f t="shared" si="8"/>
        <v>22601641.092154935</v>
      </c>
      <c r="C42" s="8">
        <f t="shared" si="4"/>
        <v>2825205.1365193706</v>
      </c>
      <c r="D42" s="10">
        <f t="shared" si="9"/>
        <v>19776435.955635563</v>
      </c>
      <c r="E42" s="10">
        <f t="shared" si="10"/>
        <v>23831932.038399965</v>
      </c>
      <c r="F42" s="10">
        <f t="shared" si="1"/>
        <v>-3045581.32</v>
      </c>
      <c r="G42" s="10">
        <f t="shared" si="11"/>
        <v>132339.76624047977</v>
      </c>
      <c r="H42" s="10">
        <f t="shared" si="12"/>
        <v>20918690.484640446</v>
      </c>
    </row>
    <row r="43" spans="1:8">
      <c r="A43" s="93" t="s">
        <v>366</v>
      </c>
      <c r="B43" s="10">
        <f t="shared" si="8"/>
        <v>19776435.955635563</v>
      </c>
      <c r="C43" s="8">
        <f t="shared" si="4"/>
        <v>2825205.1365193706</v>
      </c>
      <c r="D43" s="10">
        <f t="shared" si="9"/>
        <v>16951230.81911619</v>
      </c>
      <c r="E43" s="10">
        <f t="shared" si="10"/>
        <v>20918690.484640446</v>
      </c>
      <c r="F43" s="10">
        <f t="shared" si="1"/>
        <v>-3045581.32</v>
      </c>
      <c r="G43" s="10">
        <f t="shared" si="11"/>
        <v>113792.12834821083</v>
      </c>
      <c r="H43" s="10">
        <f t="shared" si="12"/>
        <v>17986901.292988658</v>
      </c>
    </row>
    <row r="44" spans="1:8">
      <c r="A44" s="93" t="s">
        <v>367</v>
      </c>
      <c r="B44" s="10">
        <f t="shared" si="8"/>
        <v>16951230.81911619</v>
      </c>
      <c r="C44" s="8">
        <f t="shared" si="4"/>
        <v>2825205.1365193706</v>
      </c>
      <c r="D44" s="10">
        <f t="shared" si="9"/>
        <v>14126025.682596819</v>
      </c>
      <c r="E44" s="10">
        <f t="shared" si="10"/>
        <v>17986901.292988658</v>
      </c>
      <c r="F44" s="10">
        <f t="shared" si="1"/>
        <v>-3045581.32</v>
      </c>
      <c r="G44" s="10">
        <f t="shared" si="11"/>
        <v>95126.403828027775</v>
      </c>
      <c r="H44" s="10">
        <f t="shared" si="12"/>
        <v>15036446.376816686</v>
      </c>
    </row>
    <row r="45" spans="1:8">
      <c r="A45" s="93" t="s">
        <v>368</v>
      </c>
      <c r="B45" s="10">
        <f t="shared" si="8"/>
        <v>14126025.682596819</v>
      </c>
      <c r="C45" s="8">
        <f t="shared" si="4"/>
        <v>2825205.1365193706</v>
      </c>
      <c r="D45" s="10">
        <f t="shared" si="9"/>
        <v>11300820.546077449</v>
      </c>
      <c r="E45" s="10">
        <f t="shared" si="10"/>
        <v>15036446.376816686</v>
      </c>
      <c r="F45" s="10">
        <f t="shared" si="1"/>
        <v>-3045581.32</v>
      </c>
      <c r="G45" s="10">
        <f t="shared" si="11"/>
        <v>76341.840861732897</v>
      </c>
      <c r="H45" s="10">
        <f t="shared" si="12"/>
        <v>12067206.897678418</v>
      </c>
    </row>
    <row r="46" spans="1:8">
      <c r="A46" s="93" t="s">
        <v>369</v>
      </c>
      <c r="B46" s="10">
        <f t="shared" si="8"/>
        <v>11300820.546077449</v>
      </c>
      <c r="C46" s="8">
        <f t="shared" si="4"/>
        <v>2825205.1365193706</v>
      </c>
      <c r="D46" s="10">
        <f t="shared" si="9"/>
        <v>8475615.4095580783</v>
      </c>
      <c r="E46" s="10">
        <f t="shared" si="10"/>
        <v>12067206.897678418</v>
      </c>
      <c r="F46" s="10">
        <f t="shared" si="1"/>
        <v>-3045581.32</v>
      </c>
      <c r="G46" s="10">
        <f t="shared" si="11"/>
        <v>57437.68284455259</v>
      </c>
      <c r="H46" s="10">
        <f t="shared" si="12"/>
        <v>9079063.2605229709</v>
      </c>
    </row>
    <row r="47" spans="1:8">
      <c r="A47" s="93" t="s">
        <v>370</v>
      </c>
      <c r="B47" s="10">
        <f t="shared" si="8"/>
        <v>8475615.4095580783</v>
      </c>
      <c r="C47" s="8">
        <f t="shared" si="4"/>
        <v>2825205.1365193706</v>
      </c>
      <c r="D47" s="10">
        <f t="shared" si="9"/>
        <v>5650410.2730387077</v>
      </c>
      <c r="E47" s="10">
        <f t="shared" si="10"/>
        <v>9079063.2605229709</v>
      </c>
      <c r="F47" s="10">
        <f t="shared" si="1"/>
        <v>-3045581.32</v>
      </c>
      <c r="G47" s="10">
        <f t="shared" si="11"/>
        <v>38413.168354662914</v>
      </c>
      <c r="H47" s="10">
        <f t="shared" si="12"/>
        <v>6071895.1088776337</v>
      </c>
    </row>
    <row r="48" spans="1:8">
      <c r="A48" s="93" t="s">
        <v>371</v>
      </c>
      <c r="B48" s="10">
        <f t="shared" si="8"/>
        <v>5650410.2730387077</v>
      </c>
      <c r="C48" s="8">
        <f t="shared" si="4"/>
        <v>2825205.1365193706</v>
      </c>
      <c r="D48" s="10">
        <f t="shared" si="9"/>
        <v>2825205.1365193371</v>
      </c>
      <c r="E48" s="10">
        <f t="shared" si="10"/>
        <v>6071895.1088776337</v>
      </c>
      <c r="F48" s="10">
        <f t="shared" si="1"/>
        <v>-3045581.32</v>
      </c>
      <c r="G48" s="10">
        <f t="shared" si="11"/>
        <v>19267.531122520933</v>
      </c>
      <c r="H48" s="10">
        <f t="shared" si="12"/>
        <v>3045581.3200001549</v>
      </c>
    </row>
    <row r="49" spans="1:8">
      <c r="A49" s="93" t="s">
        <v>372</v>
      </c>
      <c r="B49" s="10">
        <f t="shared" si="8"/>
        <v>2825205.1365193371</v>
      </c>
      <c r="C49" s="8">
        <f t="shared" si="4"/>
        <v>2825205.1365193706</v>
      </c>
      <c r="D49" s="10">
        <f t="shared" si="9"/>
        <v>-3.3527612686157227E-8</v>
      </c>
      <c r="E49" s="10">
        <f t="shared" si="10"/>
        <v>3045581.3200001549</v>
      </c>
      <c r="F49" s="10">
        <f t="shared" si="1"/>
        <v>-3045581.32</v>
      </c>
      <c r="G49" s="10">
        <f t="shared" si="11"/>
        <v>9.8724849522113794E-10</v>
      </c>
      <c r="H49" s="10">
        <f t="shared" si="12"/>
        <v>1.560524571686983E-7</v>
      </c>
    </row>
  </sheetData>
  <mergeCells count="2">
    <mergeCell ref="B23:D23"/>
    <mergeCell ref="E23:H2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49B90-B54D-47BD-91A0-BC5654AEAB01}">
  <dimension ref="A1:O84"/>
  <sheetViews>
    <sheetView showGridLines="0" zoomScale="86" workbookViewId="0">
      <selection activeCell="B17" sqref="B17"/>
    </sheetView>
  </sheetViews>
  <sheetFormatPr defaultColWidth="8.796875" defaultRowHeight="13.3"/>
  <cols>
    <col min="1" max="1" width="26.5" style="2" customWidth="1"/>
    <col min="2" max="2" width="16.796875" style="2" bestFit="1" customWidth="1"/>
    <col min="3" max="4" width="19" style="2" bestFit="1" customWidth="1"/>
    <col min="5" max="6" width="13.796875" style="2" bestFit="1" customWidth="1"/>
    <col min="7" max="7" width="14.796875" style="2" bestFit="1" customWidth="1"/>
    <col min="8" max="9" width="17.5" style="2" bestFit="1" customWidth="1"/>
    <col min="10" max="11" width="11.5" style="2" bestFit="1" customWidth="1"/>
    <col min="12" max="12" width="12.79687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9" spans="1:12" ht="14.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223">
        <v>7.8173000000000006E-2</v>
      </c>
      <c r="C13" s="208">
        <v>45434</v>
      </c>
      <c r="D13" s="208">
        <v>47259</v>
      </c>
      <c r="E13" s="73">
        <v>0</v>
      </c>
      <c r="F13" s="73">
        <v>4596358.3199999994</v>
      </c>
      <c r="G13" s="77">
        <v>14431576.940000001</v>
      </c>
      <c r="H13" s="73">
        <v>1332980.83</v>
      </c>
      <c r="I13" s="73">
        <v>5531736</v>
      </c>
      <c r="J13" s="73">
        <v>15211258.799999997</v>
      </c>
      <c r="K13" s="77">
        <v>4539003.8099999996</v>
      </c>
      <c r="L13" s="77">
        <v>10672254.99</v>
      </c>
    </row>
    <row r="14" spans="1:12" ht="14.4">
      <c r="A14" s="74" t="s">
        <v>104</v>
      </c>
      <c r="B14" s="243">
        <v>7.8173000000000006E-2</v>
      </c>
      <c r="C14" s="85">
        <v>45434</v>
      </c>
      <c r="D14" s="85">
        <v>47259</v>
      </c>
      <c r="E14" s="73">
        <v>0</v>
      </c>
      <c r="F14" s="73">
        <f>SUM(C37:C48)</f>
        <v>4596358.3756888527</v>
      </c>
      <c r="G14" s="77">
        <f>D48</f>
        <v>13789075.127066541</v>
      </c>
      <c r="H14" s="73">
        <f>SUM(G37:G48)</f>
        <v>1305628.3974082784</v>
      </c>
      <c r="I14" s="73">
        <f>-SUM(F37:F48)</f>
        <v>5531736</v>
      </c>
      <c r="J14" s="77">
        <f>H48</f>
        <v>14846370.294717157</v>
      </c>
      <c r="K14" s="8">
        <f>H48-H61</f>
        <v>4965599.9340324942</v>
      </c>
      <c r="L14" s="8">
        <f>J14-K14</f>
        <v>9880770.3606846631</v>
      </c>
    </row>
    <row r="15" spans="1:12">
      <c r="A15" s="86" t="s">
        <v>32</v>
      </c>
      <c r="B15" s="92">
        <f>B13-B14</f>
        <v>0</v>
      </c>
      <c r="C15" s="87">
        <f t="shared" ref="C15:L15" si="0">C13-C14</f>
        <v>0</v>
      </c>
      <c r="D15" s="87">
        <f t="shared" si="0"/>
        <v>0</v>
      </c>
      <c r="E15" s="8">
        <f t="shared" si="0"/>
        <v>0</v>
      </c>
      <c r="F15" s="8">
        <f>F13-F14</f>
        <v>-5.5688853375613689E-2</v>
      </c>
      <c r="G15" s="8">
        <f>G13-G14</f>
        <v>642501.81293345988</v>
      </c>
      <c r="H15" s="8">
        <f t="shared" si="0"/>
        <v>27352.432591721648</v>
      </c>
      <c r="I15" s="8">
        <f t="shared" si="0"/>
        <v>0</v>
      </c>
      <c r="J15" s="8">
        <f>J13-J14</f>
        <v>364888.50528283976</v>
      </c>
      <c r="K15" s="8">
        <f>K13-K14</f>
        <v>-426596.12403249461</v>
      </c>
      <c r="L15" s="8">
        <f t="shared" si="0"/>
        <v>791484.62931533717</v>
      </c>
    </row>
    <row r="16" spans="1:12">
      <c r="B16" s="90"/>
      <c r="C16" s="53"/>
      <c r="E16" s="53"/>
      <c r="G16" s="53"/>
      <c r="H16" s="53"/>
    </row>
    <row r="17" spans="1:15">
      <c r="A17" s="14" t="s">
        <v>373</v>
      </c>
      <c r="B17" s="7">
        <v>460978</v>
      </c>
      <c r="C17" s="88" t="s">
        <v>107</v>
      </c>
      <c r="E17" s="53"/>
      <c r="F17" s="53"/>
      <c r="G17" s="53"/>
      <c r="H17" s="53"/>
      <c r="I17" s="53"/>
      <c r="J17" s="53"/>
    </row>
    <row r="18" spans="1:15">
      <c r="A18" s="14" t="s">
        <v>109</v>
      </c>
      <c r="B18" s="91">
        <f>B14/12</f>
        <v>6.5144166666666675E-3</v>
      </c>
      <c r="C18" s="88" t="s">
        <v>106</v>
      </c>
    </row>
    <row r="19" spans="1:15">
      <c r="A19" s="14" t="s">
        <v>114</v>
      </c>
      <c r="B19" s="89">
        <f>ROUND(((D14-C14)/30.5),0)</f>
        <v>60</v>
      </c>
      <c r="C19" s="88" t="s">
        <v>117</v>
      </c>
      <c r="E19" s="53"/>
      <c r="G19" s="53"/>
    </row>
    <row r="20" spans="1:15">
      <c r="A20" s="14" t="s">
        <v>110</v>
      </c>
      <c r="B20" s="7">
        <f>-PV(B18,B19,B17,,1)</f>
        <v>22981791.878444258</v>
      </c>
      <c r="C20" s="88" t="s">
        <v>117</v>
      </c>
      <c r="D20" s="224"/>
      <c r="E20" s="53"/>
      <c r="F20" s="222"/>
    </row>
    <row r="21" spans="1:15">
      <c r="A21" s="14"/>
      <c r="B21" s="7"/>
      <c r="C21" s="88"/>
      <c r="E21" s="53"/>
    </row>
    <row r="22" spans="1:15">
      <c r="A22" s="14"/>
      <c r="B22" s="7"/>
      <c r="C22" s="88"/>
      <c r="E22" s="53"/>
    </row>
    <row r="23" spans="1:15">
      <c r="B23" s="378" t="s">
        <v>185</v>
      </c>
      <c r="C23" s="378"/>
      <c r="D23" s="378"/>
      <c r="E23" s="379" t="s">
        <v>15</v>
      </c>
      <c r="F23" s="379"/>
      <c r="G23" s="379"/>
      <c r="H23" s="379"/>
    </row>
    <row r="24" spans="1:15" s="84" customFormat="1">
      <c r="A24" s="5" t="s">
        <v>176</v>
      </c>
      <c r="B24" s="79" t="s">
        <v>112</v>
      </c>
      <c r="C24" s="79" t="s">
        <v>133</v>
      </c>
      <c r="D24" s="79" t="s">
        <v>111</v>
      </c>
      <c r="E24" s="79" t="s">
        <v>113</v>
      </c>
      <c r="F24" s="79" t="s">
        <v>11</v>
      </c>
      <c r="G24" s="79" t="s">
        <v>10</v>
      </c>
      <c r="H24" s="79" t="s">
        <v>57</v>
      </c>
      <c r="I24" s="2"/>
      <c r="J24" s="2"/>
      <c r="K24" s="2"/>
      <c r="L24" s="2"/>
      <c r="M24" s="2"/>
      <c r="N24" s="2"/>
      <c r="O24" s="2"/>
    </row>
    <row r="25" spans="1:15">
      <c r="A25" s="93" t="s">
        <v>352</v>
      </c>
      <c r="B25" s="10">
        <f>B20</f>
        <v>22981791.878444258</v>
      </c>
      <c r="C25" s="8">
        <f>$B$20/$B$19</f>
        <v>383029.86464073765</v>
      </c>
      <c r="D25" s="10">
        <f>B25-C25</f>
        <v>22598762.013803519</v>
      </c>
      <c r="E25" s="10">
        <f>B25</f>
        <v>22981791.878444258</v>
      </c>
      <c r="F25" s="10">
        <f t="shared" ref="F25:F84" si="1">-$B$17</f>
        <v>-460978</v>
      </c>
      <c r="G25" s="10">
        <f t="shared" ref="G25:G49" si="2">(E25+F25)*$B$18</f>
        <v>146709.96527663528</v>
      </c>
      <c r="H25" s="10">
        <f>E25+F25+G25</f>
        <v>22667523.843720894</v>
      </c>
    </row>
    <row r="26" spans="1:15">
      <c r="A26" s="93" t="s">
        <v>353</v>
      </c>
      <c r="B26" s="10">
        <f t="shared" ref="B26:B49" si="3">D25</f>
        <v>22598762.013803519</v>
      </c>
      <c r="C26" s="8">
        <f t="shared" ref="C26:C84" si="4">$B$20/$B$19</f>
        <v>383029.86464073765</v>
      </c>
      <c r="D26" s="10">
        <f t="shared" ref="D26:D49" si="5">B26-C26</f>
        <v>22215732.14916278</v>
      </c>
      <c r="E26" s="10">
        <f t="shared" ref="E26:E49" si="6">H25</f>
        <v>22667523.843720894</v>
      </c>
      <c r="F26" s="10">
        <f t="shared" si="1"/>
        <v>-460978</v>
      </c>
      <c r="G26" s="10">
        <f t="shared" si="2"/>
        <v>144662.69235343279</v>
      </c>
      <c r="H26" s="10">
        <f t="shared" ref="H26:H49" si="7">E26+F26+G26</f>
        <v>22351208.536074325</v>
      </c>
    </row>
    <row r="27" spans="1:15">
      <c r="A27" s="93" t="s">
        <v>354</v>
      </c>
      <c r="B27" s="10">
        <f t="shared" si="3"/>
        <v>22215732.14916278</v>
      </c>
      <c r="C27" s="8">
        <f t="shared" si="4"/>
        <v>383029.86464073765</v>
      </c>
      <c r="D27" s="10">
        <f t="shared" si="5"/>
        <v>21832702.284522042</v>
      </c>
      <c r="E27" s="10">
        <f t="shared" si="6"/>
        <v>22351208.536074325</v>
      </c>
      <c r="F27" s="10">
        <f t="shared" si="1"/>
        <v>-460978</v>
      </c>
      <c r="G27" s="10">
        <f t="shared" si="2"/>
        <v>142602.08264137819</v>
      </c>
      <c r="H27" s="10">
        <f t="shared" si="7"/>
        <v>22032832.618715703</v>
      </c>
    </row>
    <row r="28" spans="1:15">
      <c r="A28" s="93" t="s">
        <v>355</v>
      </c>
      <c r="B28" s="10">
        <f>D27</f>
        <v>21832702.284522042</v>
      </c>
      <c r="C28" s="8">
        <f t="shared" si="4"/>
        <v>383029.86464073765</v>
      </c>
      <c r="D28" s="10">
        <f t="shared" si="5"/>
        <v>21449672.419881303</v>
      </c>
      <c r="E28" s="10">
        <f>H27</f>
        <v>22032832.618715703</v>
      </c>
      <c r="F28" s="10">
        <f t="shared" si="1"/>
        <v>-460978</v>
      </c>
      <c r="G28" s="10">
        <f t="shared" si="2"/>
        <v>140528.04925907191</v>
      </c>
      <c r="H28" s="10">
        <f t="shared" si="7"/>
        <v>21712382.667974774</v>
      </c>
    </row>
    <row r="29" spans="1:15">
      <c r="A29" s="93" t="s">
        <v>356</v>
      </c>
      <c r="B29" s="10">
        <f t="shared" si="3"/>
        <v>21449672.419881303</v>
      </c>
      <c r="C29" s="8">
        <f t="shared" si="4"/>
        <v>383029.86464073765</v>
      </c>
      <c r="D29" s="10">
        <f t="shared" si="5"/>
        <v>21066642.555240564</v>
      </c>
      <c r="E29" s="10">
        <f t="shared" si="6"/>
        <v>21712382.667974774</v>
      </c>
      <c r="F29" s="10">
        <f t="shared" si="1"/>
        <v>-460978</v>
      </c>
      <c r="G29" s="10">
        <f t="shared" si="2"/>
        <v>138440.50475913269</v>
      </c>
      <c r="H29" s="10">
        <f t="shared" si="7"/>
        <v>21389845.172733907</v>
      </c>
    </row>
    <row r="30" spans="1:15">
      <c r="A30" s="93" t="s">
        <v>357</v>
      </c>
      <c r="B30" s="10">
        <f t="shared" si="3"/>
        <v>21066642.555240564</v>
      </c>
      <c r="C30" s="8">
        <f t="shared" si="4"/>
        <v>383029.86464073765</v>
      </c>
      <c r="D30" s="10">
        <f t="shared" si="5"/>
        <v>20683612.690599825</v>
      </c>
      <c r="E30" s="10">
        <f t="shared" si="6"/>
        <v>21389845.172733907</v>
      </c>
      <c r="F30" s="10">
        <f t="shared" si="1"/>
        <v>-460978</v>
      </c>
      <c r="G30" s="10">
        <f t="shared" si="2"/>
        <v>136339.36112451064</v>
      </c>
      <c r="H30" s="10">
        <f t="shared" si="7"/>
        <v>21065206.533858418</v>
      </c>
    </row>
    <row r="31" spans="1:15">
      <c r="A31" s="93" t="s">
        <v>358</v>
      </c>
      <c r="B31" s="10">
        <f t="shared" si="3"/>
        <v>20683612.690599825</v>
      </c>
      <c r="C31" s="8">
        <f t="shared" si="4"/>
        <v>383029.86464073765</v>
      </c>
      <c r="D31" s="10">
        <f t="shared" si="5"/>
        <v>20300582.825959086</v>
      </c>
      <c r="E31" s="10">
        <f t="shared" si="6"/>
        <v>21065206.533858418</v>
      </c>
      <c r="F31" s="10">
        <f t="shared" si="1"/>
        <v>-460978</v>
      </c>
      <c r="G31" s="10">
        <f t="shared" si="2"/>
        <v>134224.52976477621</v>
      </c>
      <c r="H31" s="10">
        <f t="shared" si="7"/>
        <v>20738453.063623194</v>
      </c>
    </row>
    <row r="32" spans="1:15">
      <c r="A32" s="93" t="s">
        <v>359</v>
      </c>
      <c r="B32" s="10">
        <f t="shared" si="3"/>
        <v>20300582.825959086</v>
      </c>
      <c r="C32" s="8">
        <f t="shared" si="4"/>
        <v>383029.86464073765</v>
      </c>
      <c r="D32" s="10">
        <f>B32-C32</f>
        <v>19917552.961318348</v>
      </c>
      <c r="E32" s="10">
        <f>H31</f>
        <v>20738453.063623194</v>
      </c>
      <c r="F32" s="10">
        <f t="shared" si="1"/>
        <v>-460978</v>
      </c>
      <c r="G32" s="10">
        <f t="shared" si="2"/>
        <v>132095.92151238467</v>
      </c>
      <c r="H32" s="10">
        <f t="shared" si="7"/>
        <v>20409570.985135578</v>
      </c>
    </row>
    <row r="33" spans="1:8">
      <c r="A33" s="93" t="s">
        <v>360</v>
      </c>
      <c r="B33" s="10">
        <f t="shared" si="3"/>
        <v>19917552.961318348</v>
      </c>
      <c r="C33" s="8">
        <f t="shared" si="4"/>
        <v>383029.86464073765</v>
      </c>
      <c r="D33" s="10">
        <f t="shared" si="5"/>
        <v>19534523.096677609</v>
      </c>
      <c r="E33" s="10">
        <f t="shared" si="6"/>
        <v>20409570.985135578</v>
      </c>
      <c r="F33" s="10">
        <f t="shared" si="1"/>
        <v>-460978</v>
      </c>
      <c r="G33" s="10">
        <f t="shared" si="2"/>
        <v>129953.44661891698</v>
      </c>
      <c r="H33" s="10">
        <f t="shared" si="7"/>
        <v>20078546.431754496</v>
      </c>
    </row>
    <row r="34" spans="1:8">
      <c r="A34" s="93" t="s">
        <v>361</v>
      </c>
      <c r="B34" s="10">
        <f t="shared" si="3"/>
        <v>19534523.096677609</v>
      </c>
      <c r="C34" s="8">
        <f t="shared" si="4"/>
        <v>383029.86464073765</v>
      </c>
      <c r="D34" s="10">
        <f t="shared" si="5"/>
        <v>19151493.23203687</v>
      </c>
      <c r="E34" s="10">
        <f t="shared" si="6"/>
        <v>20078546.431754496</v>
      </c>
      <c r="F34" s="10">
        <f t="shared" si="1"/>
        <v>-460978</v>
      </c>
      <c r="G34" s="10">
        <f t="shared" si="2"/>
        <v>127797.01475129537</v>
      </c>
      <c r="H34" s="10">
        <f t="shared" si="7"/>
        <v>19745365.446505792</v>
      </c>
    </row>
    <row r="35" spans="1:8">
      <c r="A35" s="93" t="s">
        <v>362</v>
      </c>
      <c r="B35" s="10">
        <f t="shared" si="3"/>
        <v>19151493.23203687</v>
      </c>
      <c r="C35" s="8">
        <f t="shared" si="4"/>
        <v>383029.86464073765</v>
      </c>
      <c r="D35" s="10">
        <f t="shared" si="5"/>
        <v>18768463.367396131</v>
      </c>
      <c r="E35" s="10">
        <f t="shared" si="6"/>
        <v>19745365.446505792</v>
      </c>
      <c r="F35" s="10">
        <f t="shared" si="1"/>
        <v>-460978</v>
      </c>
      <c r="G35" s="10">
        <f t="shared" si="2"/>
        <v>125626.5349879748</v>
      </c>
      <c r="H35" s="10">
        <f t="shared" si="7"/>
        <v>19410013.981493767</v>
      </c>
    </row>
    <row r="36" spans="1:8">
      <c r="A36" s="93" t="s">
        <v>363</v>
      </c>
      <c r="B36" s="10">
        <f t="shared" si="3"/>
        <v>18768463.367396131</v>
      </c>
      <c r="C36" s="8">
        <f t="shared" si="4"/>
        <v>383029.86464073765</v>
      </c>
      <c r="D36" s="10">
        <f t="shared" si="5"/>
        <v>18385433.502755392</v>
      </c>
      <c r="E36" s="10">
        <f t="shared" si="6"/>
        <v>19410013.981493767</v>
      </c>
      <c r="F36" s="10">
        <f t="shared" si="1"/>
        <v>-460978</v>
      </c>
      <c r="G36" s="10">
        <f t="shared" si="2"/>
        <v>123441.91581510937</v>
      </c>
      <c r="H36" s="10">
        <f t="shared" si="7"/>
        <v>19072477.897308875</v>
      </c>
    </row>
    <row r="37" spans="1:8">
      <c r="A37" s="93" t="s">
        <v>364</v>
      </c>
      <c r="B37" s="10">
        <f t="shared" si="3"/>
        <v>18385433.502755392</v>
      </c>
      <c r="C37" s="8">
        <f t="shared" si="4"/>
        <v>383029.86464073765</v>
      </c>
      <c r="D37" s="10">
        <f t="shared" si="5"/>
        <v>18002403.638114654</v>
      </c>
      <c r="E37" s="10">
        <f t="shared" si="6"/>
        <v>19072477.897308875</v>
      </c>
      <c r="F37" s="10">
        <f t="shared" si="1"/>
        <v>-460978</v>
      </c>
      <c r="G37" s="10">
        <f t="shared" si="2"/>
        <v>121243.06512269391</v>
      </c>
      <c r="H37" s="10">
        <f t="shared" si="7"/>
        <v>18732742.962431569</v>
      </c>
    </row>
    <row r="38" spans="1:8">
      <c r="A38" s="93" t="s">
        <v>365</v>
      </c>
      <c r="B38" s="10">
        <f t="shared" si="3"/>
        <v>18002403.638114654</v>
      </c>
      <c r="C38" s="8">
        <f t="shared" si="4"/>
        <v>383029.86464073765</v>
      </c>
      <c r="D38" s="10">
        <f t="shared" si="5"/>
        <v>17619373.773473915</v>
      </c>
      <c r="E38" s="10">
        <f t="shared" si="6"/>
        <v>18732742.962431569</v>
      </c>
      <c r="F38" s="10">
        <f t="shared" si="1"/>
        <v>-460978</v>
      </c>
      <c r="G38" s="10">
        <f t="shared" si="2"/>
        <v>119029.89020068027</v>
      </c>
      <c r="H38" s="10">
        <f t="shared" si="7"/>
        <v>18390794.852632251</v>
      </c>
    </row>
    <row r="39" spans="1:8">
      <c r="A39" s="93" t="s">
        <v>366</v>
      </c>
      <c r="B39" s="10">
        <f t="shared" si="3"/>
        <v>17619373.773473915</v>
      </c>
      <c r="C39" s="8">
        <f t="shared" si="4"/>
        <v>383029.86464073765</v>
      </c>
      <c r="D39" s="10">
        <f t="shared" si="5"/>
        <v>17236343.908833176</v>
      </c>
      <c r="E39" s="10">
        <f t="shared" si="6"/>
        <v>18390794.852632251</v>
      </c>
      <c r="F39" s="10">
        <f t="shared" si="1"/>
        <v>-460978</v>
      </c>
      <c r="G39" s="10">
        <f t="shared" si="2"/>
        <v>116802.29773506842</v>
      </c>
      <c r="H39" s="10">
        <f t="shared" si="7"/>
        <v>18046619.15036732</v>
      </c>
    </row>
    <row r="40" spans="1:8">
      <c r="A40" s="93" t="s">
        <v>367</v>
      </c>
      <c r="B40" s="10">
        <f t="shared" si="3"/>
        <v>17236343.908833176</v>
      </c>
      <c r="C40" s="8">
        <f t="shared" si="4"/>
        <v>383029.86464073765</v>
      </c>
      <c r="D40" s="10">
        <f t="shared" si="5"/>
        <v>16853314.044192437</v>
      </c>
      <c r="E40" s="10">
        <f t="shared" si="6"/>
        <v>18046619.15036732</v>
      </c>
      <c r="F40" s="10">
        <f t="shared" si="1"/>
        <v>-460978</v>
      </c>
      <c r="G40" s="10">
        <f t="shared" si="2"/>
        <v>114560.19380397206</v>
      </c>
      <c r="H40" s="10">
        <f t="shared" si="7"/>
        <v>17700201.344171293</v>
      </c>
    </row>
    <row r="41" spans="1:8">
      <c r="A41" s="93" t="s">
        <v>368</v>
      </c>
      <c r="B41" s="10">
        <f t="shared" si="3"/>
        <v>16853314.044192437</v>
      </c>
      <c r="C41" s="8">
        <f t="shared" si="4"/>
        <v>383029.86464073765</v>
      </c>
      <c r="D41" s="10">
        <f t="shared" si="5"/>
        <v>16470284.1795517</v>
      </c>
      <c r="E41" s="10">
        <f t="shared" si="6"/>
        <v>17700201.344171293</v>
      </c>
      <c r="F41" s="10">
        <f t="shared" si="1"/>
        <v>-460978</v>
      </c>
      <c r="G41" s="10">
        <f t="shared" si="2"/>
        <v>112303.48387365855</v>
      </c>
      <c r="H41" s="10">
        <f t="shared" si="7"/>
        <v>17351526.828044951</v>
      </c>
    </row>
    <row r="42" spans="1:8">
      <c r="A42" s="93" t="s">
        <v>369</v>
      </c>
      <c r="B42" s="10">
        <f t="shared" si="3"/>
        <v>16470284.1795517</v>
      </c>
      <c r="C42" s="8">
        <f t="shared" si="4"/>
        <v>383029.86464073765</v>
      </c>
      <c r="D42" s="10">
        <f t="shared" si="5"/>
        <v>16087254.314910963</v>
      </c>
      <c r="E42" s="10">
        <f t="shared" si="6"/>
        <v>17351526.828044951</v>
      </c>
      <c r="F42" s="10">
        <f t="shared" si="1"/>
        <v>-460978</v>
      </c>
      <c r="G42" s="10">
        <f t="shared" si="2"/>
        <v>110032.07279456318</v>
      </c>
      <c r="H42" s="10">
        <f t="shared" si="7"/>
        <v>17000580.900839515</v>
      </c>
    </row>
    <row r="43" spans="1:8">
      <c r="A43" s="93" t="s">
        <v>370</v>
      </c>
      <c r="B43" s="10">
        <f t="shared" si="3"/>
        <v>16087254.314910963</v>
      </c>
      <c r="C43" s="8">
        <f t="shared" si="4"/>
        <v>383029.86464073765</v>
      </c>
      <c r="D43" s="10">
        <f t="shared" si="5"/>
        <v>15704224.450270226</v>
      </c>
      <c r="E43" s="10">
        <f t="shared" si="6"/>
        <v>17000580.900839515</v>
      </c>
      <c r="F43" s="10">
        <f t="shared" si="1"/>
        <v>-460978</v>
      </c>
      <c r="G43" s="10">
        <f t="shared" si="2"/>
        <v>107745.8647972773</v>
      </c>
      <c r="H43" s="10">
        <f t="shared" si="7"/>
        <v>16647348.765636792</v>
      </c>
    </row>
    <row r="44" spans="1:8">
      <c r="A44" s="93" t="s">
        <v>371</v>
      </c>
      <c r="B44" s="10">
        <f t="shared" si="3"/>
        <v>15704224.450270226</v>
      </c>
      <c r="C44" s="8">
        <f t="shared" si="4"/>
        <v>383029.86464073765</v>
      </c>
      <c r="D44" s="10">
        <f t="shared" si="5"/>
        <v>15321194.585629489</v>
      </c>
      <c r="E44" s="10">
        <f t="shared" si="6"/>
        <v>16647348.765636792</v>
      </c>
      <c r="F44" s="10">
        <f t="shared" si="1"/>
        <v>-460978</v>
      </c>
      <c r="G44" s="10">
        <f t="shared" si="2"/>
        <v>105444.76348851043</v>
      </c>
      <c r="H44" s="10">
        <f t="shared" si="7"/>
        <v>16291815.529125303</v>
      </c>
    </row>
    <row r="45" spans="1:8">
      <c r="A45" s="93" t="s">
        <v>372</v>
      </c>
      <c r="B45" s="10">
        <f t="shared" si="3"/>
        <v>15321194.585629489</v>
      </c>
      <c r="C45" s="8">
        <f t="shared" si="4"/>
        <v>383029.86464073765</v>
      </c>
      <c r="D45" s="10">
        <f t="shared" si="5"/>
        <v>14938164.720988752</v>
      </c>
      <c r="E45" s="10">
        <f t="shared" si="6"/>
        <v>16291815.529125303</v>
      </c>
      <c r="F45" s="10">
        <f t="shared" si="1"/>
        <v>-460978</v>
      </c>
      <c r="G45" s="10">
        <f t="shared" si="2"/>
        <v>103128.67184702604</v>
      </c>
      <c r="H45" s="10">
        <f t="shared" si="7"/>
        <v>15933966.20097233</v>
      </c>
    </row>
    <row r="46" spans="1:8">
      <c r="A46" s="93" t="s">
        <v>374</v>
      </c>
      <c r="B46" s="10">
        <f t="shared" si="3"/>
        <v>14938164.720988752</v>
      </c>
      <c r="C46" s="8">
        <f t="shared" si="4"/>
        <v>383029.86464073765</v>
      </c>
      <c r="D46" s="10">
        <f t="shared" si="5"/>
        <v>14555134.856348015</v>
      </c>
      <c r="E46" s="10">
        <f t="shared" si="6"/>
        <v>15933966.20097233</v>
      </c>
      <c r="F46" s="10">
        <f t="shared" si="1"/>
        <v>-460978</v>
      </c>
      <c r="G46" s="10">
        <f t="shared" si="2"/>
        <v>100797.49221955084</v>
      </c>
      <c r="H46" s="10">
        <f t="shared" si="7"/>
        <v>15573785.69319188</v>
      </c>
    </row>
    <row r="47" spans="1:8">
      <c r="A47" s="93" t="s">
        <v>375</v>
      </c>
      <c r="B47" s="10">
        <f t="shared" si="3"/>
        <v>14555134.856348015</v>
      </c>
      <c r="C47" s="8">
        <f t="shared" si="4"/>
        <v>383029.86464073765</v>
      </c>
      <c r="D47" s="10">
        <f t="shared" si="5"/>
        <v>14172104.991707278</v>
      </c>
      <c r="E47" s="10">
        <f t="shared" si="6"/>
        <v>15573785.69319188</v>
      </c>
      <c r="F47" s="10">
        <f t="shared" si="1"/>
        <v>-460978</v>
      </c>
      <c r="G47" s="10">
        <f t="shared" si="2"/>
        <v>98451.126316657421</v>
      </c>
      <c r="H47" s="10">
        <f t="shared" si="7"/>
        <v>15211258.819508538</v>
      </c>
    </row>
    <row r="48" spans="1:8">
      <c r="A48" s="93" t="s">
        <v>376</v>
      </c>
      <c r="B48" s="10">
        <f t="shared" si="3"/>
        <v>14172104.991707278</v>
      </c>
      <c r="C48" s="8">
        <f t="shared" si="4"/>
        <v>383029.86464073765</v>
      </c>
      <c r="D48" s="10">
        <f t="shared" si="5"/>
        <v>13789075.127066541</v>
      </c>
      <c r="E48" s="10">
        <f t="shared" si="6"/>
        <v>15211258.819508538</v>
      </c>
      <c r="F48" s="10">
        <f t="shared" si="1"/>
        <v>-460978</v>
      </c>
      <c r="G48" s="10">
        <f t="shared" si="2"/>
        <v>96089.47520862009</v>
      </c>
      <c r="H48" s="10">
        <f t="shared" si="7"/>
        <v>14846370.294717157</v>
      </c>
    </row>
    <row r="49" spans="1:8">
      <c r="A49" s="93" t="s">
        <v>377</v>
      </c>
      <c r="B49" s="10">
        <f t="shared" si="3"/>
        <v>13789075.127066541</v>
      </c>
      <c r="C49" s="8">
        <f t="shared" si="4"/>
        <v>383029.86464073765</v>
      </c>
      <c r="D49" s="10">
        <f t="shared" si="5"/>
        <v>13406045.262425805</v>
      </c>
      <c r="E49" s="10">
        <f t="shared" si="6"/>
        <v>14846370.294717157</v>
      </c>
      <c r="F49" s="10">
        <f t="shared" si="1"/>
        <v>-460978</v>
      </c>
      <c r="G49" s="10">
        <f t="shared" si="2"/>
        <v>93712.439321243713</v>
      </c>
      <c r="H49" s="10">
        <f t="shared" si="7"/>
        <v>14479104.734038401</v>
      </c>
    </row>
    <row r="50" spans="1:8">
      <c r="A50" s="93" t="s">
        <v>378</v>
      </c>
      <c r="B50" s="10">
        <f t="shared" ref="B50:B84" si="8">D49</f>
        <v>13406045.262425805</v>
      </c>
      <c r="C50" s="8">
        <f t="shared" si="4"/>
        <v>383029.86464073765</v>
      </c>
      <c r="D50" s="10">
        <f t="shared" ref="D50:D84" si="9">B50-C50</f>
        <v>13023015.397785068</v>
      </c>
      <c r="E50" s="10">
        <f t="shared" ref="E50:E84" si="10">H49</f>
        <v>14479104.734038401</v>
      </c>
      <c r="F50" s="10">
        <f t="shared" si="1"/>
        <v>-460978</v>
      </c>
      <c r="G50" s="10">
        <f t="shared" ref="G50:G84" si="11">(E50+F50)*$B$18</f>
        <v>91319.918431665341</v>
      </c>
      <c r="H50" s="10">
        <f t="shared" ref="H50:H84" si="12">E50+F50+G50</f>
        <v>14109446.652470067</v>
      </c>
    </row>
    <row r="51" spans="1:8">
      <c r="A51" s="93" t="s">
        <v>379</v>
      </c>
      <c r="B51" s="10">
        <f t="shared" si="8"/>
        <v>13023015.397785068</v>
      </c>
      <c r="C51" s="8">
        <f t="shared" si="4"/>
        <v>383029.86464073765</v>
      </c>
      <c r="D51" s="10">
        <f t="shared" si="9"/>
        <v>12639985.533144331</v>
      </c>
      <c r="E51" s="10">
        <f t="shared" si="10"/>
        <v>14109446.652470067</v>
      </c>
      <c r="F51" s="10">
        <f t="shared" si="1"/>
        <v>-460978</v>
      </c>
      <c r="G51" s="10">
        <f t="shared" si="11"/>
        <v>88911.81166412856</v>
      </c>
      <c r="H51" s="10">
        <f t="shared" si="12"/>
        <v>13737380.464134196</v>
      </c>
    </row>
    <row r="52" spans="1:8">
      <c r="A52" s="93" t="s">
        <v>380</v>
      </c>
      <c r="B52" s="10">
        <f t="shared" si="8"/>
        <v>12639985.533144331</v>
      </c>
      <c r="C52" s="8">
        <f t="shared" si="4"/>
        <v>383029.86464073765</v>
      </c>
      <c r="D52" s="10">
        <f t="shared" si="9"/>
        <v>12256955.668503594</v>
      </c>
      <c r="E52" s="10">
        <f t="shared" si="10"/>
        <v>13737380.464134196</v>
      </c>
      <c r="F52" s="10">
        <f t="shared" si="1"/>
        <v>-460978</v>
      </c>
      <c r="G52" s="10">
        <f t="shared" si="11"/>
        <v>86488.017485730219</v>
      </c>
      <c r="H52" s="10">
        <f t="shared" si="12"/>
        <v>13362890.481619926</v>
      </c>
    </row>
    <row r="53" spans="1:8">
      <c r="A53" s="93" t="s">
        <v>381</v>
      </c>
      <c r="B53" s="10">
        <f t="shared" si="8"/>
        <v>12256955.668503594</v>
      </c>
      <c r="C53" s="8">
        <f t="shared" si="4"/>
        <v>383029.86464073765</v>
      </c>
      <c r="D53" s="10">
        <f t="shared" si="9"/>
        <v>11873925.803862857</v>
      </c>
      <c r="E53" s="10">
        <f t="shared" si="10"/>
        <v>13362890.481619926</v>
      </c>
      <c r="F53" s="10">
        <f t="shared" si="1"/>
        <v>-460978</v>
      </c>
      <c r="G53" s="10">
        <f t="shared" si="11"/>
        <v>84048.433702139548</v>
      </c>
      <c r="H53" s="10">
        <f t="shared" si="12"/>
        <v>12985960.915322065</v>
      </c>
    </row>
    <row r="54" spans="1:8">
      <c r="A54" s="93" t="s">
        <v>382</v>
      </c>
      <c r="B54" s="10">
        <f t="shared" si="8"/>
        <v>11873925.803862857</v>
      </c>
      <c r="C54" s="8">
        <f t="shared" si="4"/>
        <v>383029.86464073765</v>
      </c>
      <c r="D54" s="10">
        <f t="shared" si="9"/>
        <v>11490895.93922212</v>
      </c>
      <c r="E54" s="10">
        <f t="shared" si="10"/>
        <v>12985960.915322065</v>
      </c>
      <c r="F54" s="10">
        <f t="shared" si="1"/>
        <v>-460978</v>
      </c>
      <c r="G54" s="10">
        <f t="shared" si="11"/>
        <v>81592.957453289331</v>
      </c>
      <c r="H54" s="10">
        <f t="shared" si="12"/>
        <v>12606575.872775355</v>
      </c>
    </row>
    <row r="55" spans="1:8">
      <c r="A55" s="93" t="s">
        <v>383</v>
      </c>
      <c r="B55" s="10">
        <f t="shared" si="8"/>
        <v>11490895.93922212</v>
      </c>
      <c r="C55" s="8">
        <f t="shared" si="4"/>
        <v>383029.86464073765</v>
      </c>
      <c r="D55" s="10">
        <f t="shared" si="9"/>
        <v>11107866.074581383</v>
      </c>
      <c r="E55" s="10">
        <f t="shared" si="10"/>
        <v>12606575.872775355</v>
      </c>
      <c r="F55" s="10">
        <f t="shared" si="1"/>
        <v>-460978</v>
      </c>
      <c r="G55" s="10">
        <f t="shared" si="11"/>
        <v>79121.485209039005</v>
      </c>
      <c r="H55" s="10">
        <f t="shared" si="12"/>
        <v>12224719.357984394</v>
      </c>
    </row>
    <row r="56" spans="1:8">
      <c r="A56" s="93" t="s">
        <v>384</v>
      </c>
      <c r="B56" s="10">
        <f t="shared" si="8"/>
        <v>11107866.074581383</v>
      </c>
      <c r="C56" s="8">
        <f t="shared" si="4"/>
        <v>383029.86464073765</v>
      </c>
      <c r="D56" s="10">
        <f t="shared" si="9"/>
        <v>10724836.209940646</v>
      </c>
      <c r="E56" s="10">
        <f t="shared" si="10"/>
        <v>12224719.357984394</v>
      </c>
      <c r="F56" s="10">
        <f t="shared" si="1"/>
        <v>-460978</v>
      </c>
      <c r="G56" s="10">
        <f t="shared" si="11"/>
        <v>76633.912764809516</v>
      </c>
      <c r="H56" s="10">
        <f t="shared" si="12"/>
        <v>11840375.270749204</v>
      </c>
    </row>
    <row r="57" spans="1:8">
      <c r="A57" s="93" t="s">
        <v>385</v>
      </c>
      <c r="B57" s="10">
        <f t="shared" si="8"/>
        <v>10724836.209940646</v>
      </c>
      <c r="C57" s="8">
        <f t="shared" si="4"/>
        <v>383029.86464073765</v>
      </c>
      <c r="D57" s="10">
        <f t="shared" si="9"/>
        <v>10341806.345299909</v>
      </c>
      <c r="E57" s="10">
        <f t="shared" si="10"/>
        <v>11840375.270749204</v>
      </c>
      <c r="F57" s="10">
        <f t="shared" si="1"/>
        <v>-460978</v>
      </c>
      <c r="G57" s="10">
        <f t="shared" si="11"/>
        <v>74130.135237189796</v>
      </c>
      <c r="H57" s="10">
        <f t="shared" si="12"/>
        <v>11453527.405986393</v>
      </c>
    </row>
    <row r="58" spans="1:8">
      <c r="A58" s="93" t="s">
        <v>386</v>
      </c>
      <c r="B58" s="10">
        <f t="shared" si="8"/>
        <v>10341806.345299909</v>
      </c>
      <c r="C58" s="8">
        <f t="shared" si="4"/>
        <v>383029.86464073765</v>
      </c>
      <c r="D58" s="10">
        <f t="shared" si="9"/>
        <v>9958776.4806591719</v>
      </c>
      <c r="E58" s="10">
        <f t="shared" si="10"/>
        <v>11453527.405986393</v>
      </c>
      <c r="F58" s="10">
        <f t="shared" si="1"/>
        <v>-460978</v>
      </c>
      <c r="G58" s="10">
        <f t="shared" si="11"/>
        <v>71610.047059514531</v>
      </c>
      <c r="H58" s="10">
        <f t="shared" si="12"/>
        <v>11064159.453045906</v>
      </c>
    </row>
    <row r="59" spans="1:8">
      <c r="A59" s="93" t="s">
        <v>387</v>
      </c>
      <c r="B59" s="10">
        <f t="shared" si="8"/>
        <v>9958776.4806591719</v>
      </c>
      <c r="C59" s="8">
        <f t="shared" si="4"/>
        <v>383029.86464073765</v>
      </c>
      <c r="D59" s="10">
        <f t="shared" si="9"/>
        <v>9575746.616018435</v>
      </c>
      <c r="E59" s="10">
        <f t="shared" si="10"/>
        <v>11064159.453045906</v>
      </c>
      <c r="F59" s="10">
        <f t="shared" si="1"/>
        <v>-460978</v>
      </c>
      <c r="G59" s="10">
        <f t="shared" si="11"/>
        <v>69073.541977413144</v>
      </c>
      <c r="H59" s="10">
        <f t="shared" si="12"/>
        <v>10672254.995023319</v>
      </c>
    </row>
    <row r="60" spans="1:8">
      <c r="A60" s="93" t="s">
        <v>388</v>
      </c>
      <c r="B60" s="10">
        <f t="shared" si="8"/>
        <v>9575746.616018435</v>
      </c>
      <c r="C60" s="8">
        <f t="shared" si="4"/>
        <v>383029.86464073765</v>
      </c>
      <c r="D60" s="10">
        <f t="shared" si="9"/>
        <v>9192716.751377698</v>
      </c>
      <c r="E60" s="10">
        <f t="shared" si="10"/>
        <v>10672254.995023319</v>
      </c>
      <c r="F60" s="10">
        <f t="shared" si="1"/>
        <v>-460978</v>
      </c>
      <c r="G60" s="10">
        <f t="shared" si="11"/>
        <v>66520.51304432984</v>
      </c>
      <c r="H60" s="10">
        <f t="shared" si="12"/>
        <v>10277797.508067649</v>
      </c>
    </row>
    <row r="61" spans="1:8">
      <c r="A61" s="93" t="s">
        <v>389</v>
      </c>
      <c r="B61" s="10">
        <f t="shared" si="8"/>
        <v>9192716.751377698</v>
      </c>
      <c r="C61" s="8">
        <f t="shared" si="4"/>
        <v>383029.86464073765</v>
      </c>
      <c r="D61" s="10">
        <f t="shared" si="9"/>
        <v>8809686.8867369611</v>
      </c>
      <c r="E61" s="10">
        <f t="shared" si="10"/>
        <v>10277797.508067649</v>
      </c>
      <c r="F61" s="10">
        <f t="shared" si="1"/>
        <v>-460978</v>
      </c>
      <c r="G61" s="10">
        <f t="shared" si="11"/>
        <v>63950.852617014367</v>
      </c>
      <c r="H61" s="10">
        <f t="shared" si="12"/>
        <v>9880770.3606846631</v>
      </c>
    </row>
    <row r="62" spans="1:8">
      <c r="A62" s="93" t="s">
        <v>390</v>
      </c>
      <c r="B62" s="10">
        <f t="shared" si="8"/>
        <v>8809686.8867369611</v>
      </c>
      <c r="C62" s="8">
        <f t="shared" si="4"/>
        <v>383029.86464073765</v>
      </c>
      <c r="D62" s="10">
        <f t="shared" si="9"/>
        <v>8426657.0220962241</v>
      </c>
      <c r="E62" s="10">
        <f t="shared" si="10"/>
        <v>9880770.3606846631</v>
      </c>
      <c r="F62" s="10">
        <f t="shared" si="1"/>
        <v>-460978</v>
      </c>
      <c r="G62" s="10">
        <f t="shared" si="11"/>
        <v>61364.45235098352</v>
      </c>
      <c r="H62" s="10">
        <f t="shared" si="12"/>
        <v>9481156.8130356465</v>
      </c>
    </row>
    <row r="63" spans="1:8">
      <c r="A63" s="93" t="s">
        <v>391</v>
      </c>
      <c r="B63" s="10">
        <f t="shared" si="8"/>
        <v>8426657.0220962241</v>
      </c>
      <c r="C63" s="8">
        <f t="shared" si="4"/>
        <v>383029.86464073765</v>
      </c>
      <c r="D63" s="10">
        <f t="shared" si="9"/>
        <v>8043627.1574554862</v>
      </c>
      <c r="E63" s="10">
        <f t="shared" si="10"/>
        <v>9481156.8130356465</v>
      </c>
      <c r="F63" s="10">
        <f t="shared" si="1"/>
        <v>-460978</v>
      </c>
      <c r="G63" s="10">
        <f t="shared" si="11"/>
        <v>58761.20319595297</v>
      </c>
      <c r="H63" s="10">
        <f t="shared" si="12"/>
        <v>9078940.0162316002</v>
      </c>
    </row>
    <row r="64" spans="1:8">
      <c r="A64" s="93" t="s">
        <v>392</v>
      </c>
      <c r="B64" s="10">
        <f t="shared" si="8"/>
        <v>8043627.1574554862</v>
      </c>
      <c r="C64" s="8">
        <f t="shared" si="4"/>
        <v>383029.86464073765</v>
      </c>
      <c r="D64" s="10">
        <f t="shared" si="9"/>
        <v>7660597.2928147484</v>
      </c>
      <c r="E64" s="10">
        <f t="shared" si="10"/>
        <v>9078940.0162316002</v>
      </c>
      <c r="F64" s="10">
        <f t="shared" si="1"/>
        <v>-460978</v>
      </c>
      <c r="G64" s="10">
        <f t="shared" si="11"/>
        <v>56140.995391239412</v>
      </c>
      <c r="H64" s="10">
        <f t="shared" si="12"/>
        <v>8674103.0116228387</v>
      </c>
    </row>
    <row r="65" spans="1:8">
      <c r="A65" s="93" t="s">
        <v>393</v>
      </c>
      <c r="B65" s="10">
        <f t="shared" si="8"/>
        <v>7660597.2928147484</v>
      </c>
      <c r="C65" s="8">
        <f t="shared" si="4"/>
        <v>383029.86464073765</v>
      </c>
      <c r="D65" s="10">
        <f t="shared" si="9"/>
        <v>7277567.4281740105</v>
      </c>
      <c r="E65" s="10">
        <f t="shared" si="10"/>
        <v>8674103.0116228387</v>
      </c>
      <c r="F65" s="10">
        <f t="shared" si="1"/>
        <v>-460978</v>
      </c>
      <c r="G65" s="10">
        <f t="shared" si="11"/>
        <v>53503.718461132688</v>
      </c>
      <c r="H65" s="10">
        <f t="shared" si="12"/>
        <v>8266628.7300839713</v>
      </c>
    </row>
    <row r="66" spans="1:8">
      <c r="A66" s="93" t="s">
        <v>394</v>
      </c>
      <c r="B66" s="10">
        <f t="shared" si="8"/>
        <v>7277567.4281740105</v>
      </c>
      <c r="C66" s="8">
        <f t="shared" si="4"/>
        <v>383029.86464073765</v>
      </c>
      <c r="D66" s="10">
        <f t="shared" si="9"/>
        <v>6894537.5635332726</v>
      </c>
      <c r="E66" s="10">
        <f t="shared" si="10"/>
        <v>8266628.7300839713</v>
      </c>
      <c r="F66" s="10">
        <f t="shared" si="1"/>
        <v>-460978</v>
      </c>
      <c r="G66" s="10">
        <f t="shared" si="11"/>
        <v>50849.261210237863</v>
      </c>
      <c r="H66" s="10">
        <f t="shared" si="12"/>
        <v>7856499.9912942089</v>
      </c>
    </row>
    <row r="67" spans="1:8">
      <c r="A67" s="93" t="s">
        <v>395</v>
      </c>
      <c r="B67" s="10">
        <f t="shared" si="8"/>
        <v>6894537.5635332726</v>
      </c>
      <c r="C67" s="8">
        <f t="shared" si="4"/>
        <v>383029.86464073765</v>
      </c>
      <c r="D67" s="10">
        <f t="shared" si="9"/>
        <v>6511507.6988925347</v>
      </c>
      <c r="E67" s="10">
        <f t="shared" si="10"/>
        <v>7856499.9912942089</v>
      </c>
      <c r="F67" s="10">
        <f t="shared" si="1"/>
        <v>-460978</v>
      </c>
      <c r="G67" s="10">
        <f t="shared" si="11"/>
        <v>48177.511718786853</v>
      </c>
      <c r="H67" s="10">
        <f t="shared" si="12"/>
        <v>7443699.5030129962</v>
      </c>
    </row>
    <row r="68" spans="1:8">
      <c r="A68" s="93" t="s">
        <v>396</v>
      </c>
      <c r="B68" s="10">
        <f t="shared" si="8"/>
        <v>6511507.6988925347</v>
      </c>
      <c r="C68" s="8">
        <f t="shared" si="4"/>
        <v>383029.86464073765</v>
      </c>
      <c r="D68" s="10">
        <f t="shared" si="9"/>
        <v>6128477.8342517968</v>
      </c>
      <c r="E68" s="10">
        <f t="shared" si="10"/>
        <v>7443699.5030129962</v>
      </c>
      <c r="F68" s="10">
        <f t="shared" si="1"/>
        <v>-460978</v>
      </c>
      <c r="G68" s="10">
        <f t="shared" si="11"/>
        <v>45488.357337919588</v>
      </c>
      <c r="H68" s="10">
        <f t="shared" si="12"/>
        <v>7028209.8603509162</v>
      </c>
    </row>
    <row r="69" spans="1:8">
      <c r="A69" s="93" t="s">
        <v>397</v>
      </c>
      <c r="B69" s="10">
        <f t="shared" si="8"/>
        <v>6128477.8342517968</v>
      </c>
      <c r="C69" s="8">
        <f t="shared" si="4"/>
        <v>383029.86464073765</v>
      </c>
      <c r="D69" s="10">
        <f t="shared" si="9"/>
        <v>5745447.9696110589</v>
      </c>
      <c r="E69" s="10">
        <f t="shared" si="10"/>
        <v>7028209.8603509162</v>
      </c>
      <c r="F69" s="10">
        <f t="shared" si="1"/>
        <v>-460978</v>
      </c>
      <c r="G69" s="10">
        <f t="shared" si="11"/>
        <v>42781.684684934349</v>
      </c>
      <c r="H69" s="10">
        <f t="shared" si="12"/>
        <v>6610013.5450358503</v>
      </c>
    </row>
    <row r="70" spans="1:8">
      <c r="A70" s="93" t="s">
        <v>398</v>
      </c>
      <c r="B70" s="10">
        <f t="shared" si="8"/>
        <v>5745447.9696110589</v>
      </c>
      <c r="C70" s="8">
        <f t="shared" si="4"/>
        <v>383029.86464073765</v>
      </c>
      <c r="D70" s="10">
        <f t="shared" si="9"/>
        <v>5362418.1049703211</v>
      </c>
      <c r="E70" s="10">
        <f t="shared" si="10"/>
        <v>6610013.5450358503</v>
      </c>
      <c r="F70" s="10">
        <f t="shared" si="1"/>
        <v>-460978</v>
      </c>
      <c r="G70" s="10">
        <f t="shared" si="11"/>
        <v>40057.3796385073</v>
      </c>
      <c r="H70" s="10">
        <f t="shared" si="12"/>
        <v>6189092.9246743573</v>
      </c>
    </row>
    <row r="71" spans="1:8">
      <c r="A71" s="93" t="s">
        <v>399</v>
      </c>
      <c r="B71" s="10">
        <f t="shared" si="8"/>
        <v>5362418.1049703211</v>
      </c>
      <c r="C71" s="8">
        <f t="shared" si="4"/>
        <v>383029.86464073765</v>
      </c>
      <c r="D71" s="10">
        <f t="shared" si="9"/>
        <v>4979388.2403295832</v>
      </c>
      <c r="E71" s="10">
        <f t="shared" si="10"/>
        <v>6189092.9246743573</v>
      </c>
      <c r="F71" s="10">
        <f t="shared" si="1"/>
        <v>-460978</v>
      </c>
      <c r="G71" s="10">
        <f t="shared" si="11"/>
        <v>37315.327333880712</v>
      </c>
      <c r="H71" s="10">
        <f t="shared" si="12"/>
        <v>5765430.2520082379</v>
      </c>
    </row>
    <row r="72" spans="1:8">
      <c r="A72" s="93" t="s">
        <v>400</v>
      </c>
      <c r="B72" s="10">
        <f t="shared" si="8"/>
        <v>4979388.2403295832</v>
      </c>
      <c r="C72" s="8">
        <f t="shared" si="4"/>
        <v>383029.86464073765</v>
      </c>
      <c r="D72" s="10">
        <f t="shared" si="9"/>
        <v>4596358.3756888453</v>
      </c>
      <c r="E72" s="10">
        <f t="shared" si="10"/>
        <v>5765430.2520082379</v>
      </c>
      <c r="F72" s="10">
        <f t="shared" si="1"/>
        <v>-460978</v>
      </c>
      <c r="G72" s="10">
        <f t="shared" si="11"/>
        <v>34555.412158020001</v>
      </c>
      <c r="H72" s="10">
        <f t="shared" si="12"/>
        <v>5339007.6641662577</v>
      </c>
    </row>
    <row r="73" spans="1:8">
      <c r="A73" s="93" t="s">
        <v>401</v>
      </c>
      <c r="B73" s="10">
        <f t="shared" si="8"/>
        <v>4596358.3756888453</v>
      </c>
      <c r="C73" s="8">
        <f t="shared" si="4"/>
        <v>383029.86464073765</v>
      </c>
      <c r="D73" s="10">
        <f t="shared" si="9"/>
        <v>4213328.5110481074</v>
      </c>
      <c r="E73" s="10">
        <f t="shared" si="10"/>
        <v>5339007.6641662577</v>
      </c>
      <c r="F73" s="10">
        <f t="shared" si="1"/>
        <v>-460978</v>
      </c>
      <c r="G73" s="10">
        <f t="shared" si="11"/>
        <v>31777.517744739074</v>
      </c>
      <c r="H73" s="10">
        <f t="shared" si="12"/>
        <v>4909807.1819109973</v>
      </c>
    </row>
    <row r="74" spans="1:8">
      <c r="A74" s="93" t="s">
        <v>402</v>
      </c>
      <c r="B74" s="10">
        <f t="shared" si="8"/>
        <v>4213328.5110481074</v>
      </c>
      <c r="C74" s="8">
        <f t="shared" si="4"/>
        <v>383029.86464073765</v>
      </c>
      <c r="D74" s="10">
        <f t="shared" si="9"/>
        <v>3830298.6464073695</v>
      </c>
      <c r="E74" s="10">
        <f t="shared" si="10"/>
        <v>4909807.1819109973</v>
      </c>
      <c r="F74" s="10">
        <f t="shared" si="1"/>
        <v>-460978</v>
      </c>
      <c r="G74" s="10">
        <f t="shared" si="11"/>
        <v>28981.526969794035</v>
      </c>
      <c r="H74" s="10">
        <f t="shared" si="12"/>
        <v>4477810.7088807914</v>
      </c>
    </row>
    <row r="75" spans="1:8">
      <c r="A75" s="93" t="s">
        <v>403</v>
      </c>
      <c r="B75" s="10">
        <f t="shared" si="8"/>
        <v>3830298.6464073695</v>
      </c>
      <c r="C75" s="8">
        <f t="shared" si="4"/>
        <v>383029.86464073765</v>
      </c>
      <c r="D75" s="10">
        <f t="shared" si="9"/>
        <v>3447268.7817666316</v>
      </c>
      <c r="E75" s="10">
        <f t="shared" si="10"/>
        <v>4477810.7088807914</v>
      </c>
      <c r="F75" s="10">
        <f t="shared" si="1"/>
        <v>-460978</v>
      </c>
      <c r="G75" s="10">
        <f t="shared" si="11"/>
        <v>26167.321945944845</v>
      </c>
      <c r="H75" s="10">
        <f t="shared" si="12"/>
        <v>4043000.0308267362</v>
      </c>
    </row>
    <row r="76" spans="1:8">
      <c r="A76" s="93" t="s">
        <v>404</v>
      </c>
      <c r="B76" s="10">
        <f t="shared" si="8"/>
        <v>3447268.7817666316</v>
      </c>
      <c r="C76" s="8">
        <f t="shared" si="4"/>
        <v>383029.86464073765</v>
      </c>
      <c r="D76" s="10">
        <f t="shared" si="9"/>
        <v>3064238.9171258938</v>
      </c>
      <c r="E76" s="10">
        <f t="shared" si="10"/>
        <v>4043000.0308267362</v>
      </c>
      <c r="F76" s="10">
        <f t="shared" si="1"/>
        <v>-460978</v>
      </c>
      <c r="G76" s="10">
        <f t="shared" si="11"/>
        <v>23334.784017984875</v>
      </c>
      <c r="H76" s="10">
        <f t="shared" si="12"/>
        <v>3605356.814844721</v>
      </c>
    </row>
    <row r="77" spans="1:8">
      <c r="A77" s="93" t="s">
        <v>405</v>
      </c>
      <c r="B77" s="10">
        <f t="shared" si="8"/>
        <v>3064238.9171258938</v>
      </c>
      <c r="C77" s="8">
        <f t="shared" si="4"/>
        <v>383029.86464073765</v>
      </c>
      <c r="D77" s="10">
        <f t="shared" si="9"/>
        <v>2681209.0524851559</v>
      </c>
      <c r="E77" s="10">
        <f t="shared" si="10"/>
        <v>3605356.814844721</v>
      </c>
      <c r="F77" s="10">
        <f t="shared" si="1"/>
        <v>-460978</v>
      </c>
      <c r="G77" s="10">
        <f t="shared" si="11"/>
        <v>20483.793757738033</v>
      </c>
      <c r="H77" s="10">
        <f t="shared" si="12"/>
        <v>3164862.6086024591</v>
      </c>
    </row>
    <row r="78" spans="1:8">
      <c r="A78" s="93" t="s">
        <v>406</v>
      </c>
      <c r="B78" s="10">
        <f t="shared" si="8"/>
        <v>2681209.0524851559</v>
      </c>
      <c r="C78" s="8">
        <f t="shared" si="4"/>
        <v>383029.86464073765</v>
      </c>
      <c r="D78" s="10">
        <f t="shared" si="9"/>
        <v>2298179.187844418</v>
      </c>
      <c r="E78" s="10">
        <f t="shared" si="10"/>
        <v>3164862.6086024591</v>
      </c>
      <c r="F78" s="10">
        <f t="shared" si="1"/>
        <v>-460978</v>
      </c>
      <c r="G78" s="10">
        <f t="shared" si="11"/>
        <v>17614.230959023338</v>
      </c>
      <c r="H78" s="10">
        <f t="shared" si="12"/>
        <v>2721498.8395614824</v>
      </c>
    </row>
    <row r="79" spans="1:8">
      <c r="A79" s="93" t="s">
        <v>407</v>
      </c>
      <c r="B79" s="10">
        <f t="shared" si="8"/>
        <v>2298179.187844418</v>
      </c>
      <c r="C79" s="8">
        <f t="shared" si="4"/>
        <v>383029.86464073765</v>
      </c>
      <c r="D79" s="10">
        <f t="shared" si="9"/>
        <v>1915149.3232036803</v>
      </c>
      <c r="E79" s="10">
        <f t="shared" si="10"/>
        <v>2721498.8395614824</v>
      </c>
      <c r="F79" s="10">
        <f t="shared" si="1"/>
        <v>-460978</v>
      </c>
      <c r="G79" s="10">
        <f t="shared" si="11"/>
        <v>14725.974632586649</v>
      </c>
      <c r="H79" s="10">
        <f t="shared" si="12"/>
        <v>2275246.8141940692</v>
      </c>
    </row>
    <row r="80" spans="1:8">
      <c r="A80" s="93" t="s">
        <v>408</v>
      </c>
      <c r="B80" s="10">
        <f t="shared" si="8"/>
        <v>1915149.3232036803</v>
      </c>
      <c r="C80" s="8">
        <f t="shared" si="4"/>
        <v>383029.86464073765</v>
      </c>
      <c r="D80" s="10">
        <f t="shared" si="9"/>
        <v>1532119.4585629427</v>
      </c>
      <c r="E80" s="10">
        <f t="shared" si="10"/>
        <v>2275246.8141940692</v>
      </c>
      <c r="F80" s="10">
        <f t="shared" si="1"/>
        <v>-460978</v>
      </c>
      <c r="G80" s="10">
        <f t="shared" si="11"/>
        <v>11818.903000999417</v>
      </c>
      <c r="H80" s="10">
        <f t="shared" si="12"/>
        <v>1826087.7171950687</v>
      </c>
    </row>
    <row r="81" spans="1:8">
      <c r="A81" s="93" t="s">
        <v>409</v>
      </c>
      <c r="B81" s="10">
        <f t="shared" si="8"/>
        <v>1532119.4585629427</v>
      </c>
      <c r="C81" s="8">
        <f t="shared" si="4"/>
        <v>383029.86464073765</v>
      </c>
      <c r="D81" s="10">
        <f t="shared" si="9"/>
        <v>1149089.593922205</v>
      </c>
      <c r="E81" s="10">
        <f t="shared" si="10"/>
        <v>1826087.7171950687</v>
      </c>
      <c r="F81" s="10">
        <f t="shared" si="1"/>
        <v>-460978</v>
      </c>
      <c r="G81" s="10">
        <f t="shared" si="11"/>
        <v>8892.8934935241759</v>
      </c>
      <c r="H81" s="10">
        <f t="shared" si="12"/>
        <v>1374002.610688593</v>
      </c>
    </row>
    <row r="82" spans="1:8">
      <c r="A82" s="93" t="s">
        <v>410</v>
      </c>
      <c r="B82" s="10">
        <f t="shared" si="8"/>
        <v>1149089.593922205</v>
      </c>
      <c r="C82" s="8">
        <f t="shared" si="4"/>
        <v>383029.86464073765</v>
      </c>
      <c r="D82" s="10">
        <f t="shared" si="9"/>
        <v>766059.72928146739</v>
      </c>
      <c r="E82" s="10">
        <f t="shared" si="10"/>
        <v>1374002.610688593</v>
      </c>
      <c r="F82" s="10">
        <f t="shared" si="1"/>
        <v>-460978</v>
      </c>
      <c r="G82" s="10">
        <f t="shared" si="11"/>
        <v>5947.8227409466162</v>
      </c>
      <c r="H82" s="10">
        <f t="shared" si="12"/>
        <v>918972.43342953967</v>
      </c>
    </row>
    <row r="83" spans="1:8">
      <c r="A83" s="93" t="s">
        <v>411</v>
      </c>
      <c r="B83" s="10">
        <f t="shared" si="8"/>
        <v>766059.72928146739</v>
      </c>
      <c r="C83" s="8">
        <f t="shared" si="4"/>
        <v>383029.86464073765</v>
      </c>
      <c r="D83" s="10">
        <f t="shared" si="9"/>
        <v>383029.86464072973</v>
      </c>
      <c r="E83" s="10">
        <f t="shared" si="10"/>
        <v>918972.43342953967</v>
      </c>
      <c r="F83" s="10">
        <f t="shared" si="1"/>
        <v>-460978</v>
      </c>
      <c r="G83" s="10">
        <f t="shared" si="11"/>
        <v>2983.566570373951</v>
      </c>
      <c r="H83" s="10">
        <f t="shared" si="12"/>
        <v>460977.99999991362</v>
      </c>
    </row>
    <row r="84" spans="1:8">
      <c r="A84" s="93" t="s">
        <v>412</v>
      </c>
      <c r="B84" s="10">
        <f t="shared" si="8"/>
        <v>383029.86464072973</v>
      </c>
      <c r="C84" s="8">
        <f t="shared" si="4"/>
        <v>383029.86464073765</v>
      </c>
      <c r="D84" s="10">
        <f t="shared" si="9"/>
        <v>-7.9162418842315674E-9</v>
      </c>
      <c r="E84" s="10">
        <f t="shared" si="10"/>
        <v>460977.99999991362</v>
      </c>
      <c r="F84" s="10">
        <f t="shared" si="1"/>
        <v>-460978</v>
      </c>
      <c r="G84" s="10">
        <f t="shared" si="11"/>
        <v>-5.6271641127144301E-10</v>
      </c>
      <c r="H84" s="10">
        <f t="shared" si="12"/>
        <v>-8.6942885206857072E-8</v>
      </c>
    </row>
  </sheetData>
  <mergeCells count="2">
    <mergeCell ref="B23:D23"/>
    <mergeCell ref="E23:H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8B7B-07E3-4E5A-845D-2FE11539EC8F}">
  <dimension ref="A1:O85"/>
  <sheetViews>
    <sheetView showGridLines="0" workbookViewId="0">
      <selection activeCell="B17" sqref="B17"/>
    </sheetView>
  </sheetViews>
  <sheetFormatPr defaultColWidth="8.796875" defaultRowHeight="13.3"/>
  <cols>
    <col min="1" max="1" width="26.5" style="2" customWidth="1"/>
    <col min="2" max="2" width="16.796875" style="2" bestFit="1" customWidth="1"/>
    <col min="3" max="4" width="19" style="2" bestFit="1" customWidth="1"/>
    <col min="5" max="6" width="13.796875" style="2" bestFit="1" customWidth="1"/>
    <col min="7" max="7" width="14.796875" style="2" bestFit="1" customWidth="1"/>
    <col min="8" max="9" width="17.5" style="2" bestFit="1" customWidth="1"/>
    <col min="10" max="11" width="11.5" style="2" bestFit="1" customWidth="1"/>
    <col min="12" max="12" width="12.79687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9" spans="1:12" ht="14.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223">
        <v>7.8173000000000006E-2</v>
      </c>
      <c r="C13" s="208">
        <v>45434</v>
      </c>
      <c r="D13" s="208">
        <v>47259</v>
      </c>
      <c r="E13" s="73"/>
      <c r="F13" s="73">
        <v>4512463.3199999994</v>
      </c>
      <c r="G13" s="77">
        <v>14168164.57</v>
      </c>
      <c r="H13" s="73">
        <v>1308650.5999999999</v>
      </c>
      <c r="I13" s="73">
        <v>5430768</v>
      </c>
      <c r="J13" s="73">
        <v>14933615.350000001</v>
      </c>
      <c r="K13" s="73">
        <v>4456155.67</v>
      </c>
      <c r="L13" s="73">
        <v>10477459.68</v>
      </c>
    </row>
    <row r="14" spans="1:12" ht="14.4">
      <c r="A14" s="74" t="s">
        <v>104</v>
      </c>
      <c r="B14" s="244">
        <v>7.8173000000000006E-2</v>
      </c>
      <c r="C14" s="85">
        <v>45434</v>
      </c>
      <c r="D14" s="85">
        <v>47259</v>
      </c>
      <c r="E14" s="73">
        <v>0</v>
      </c>
      <c r="F14" s="73">
        <f>SUM(C36:C47)</f>
        <v>4512463.3538590772</v>
      </c>
      <c r="G14" s="77">
        <f>D47</f>
        <v>13913428.67439881</v>
      </c>
      <c r="H14" s="73">
        <f>SUM(G36:G47)</f>
        <v>1308650.6080015001</v>
      </c>
      <c r="I14" s="73">
        <f>-SUM(F36:F47)</f>
        <v>5430768</v>
      </c>
      <c r="J14" s="77">
        <f>H47</f>
        <v>14933615.349088376</v>
      </c>
      <c r="K14" s="8">
        <f>H47-H59</f>
        <v>4456155.6664837115</v>
      </c>
      <c r="L14" s="8">
        <f>J14-K14</f>
        <v>10477459.682604665</v>
      </c>
    </row>
    <row r="15" spans="1:12">
      <c r="A15" s="86" t="s">
        <v>32</v>
      </c>
      <c r="B15" s="92">
        <f>B13-B14</f>
        <v>0</v>
      </c>
      <c r="C15" s="87">
        <f t="shared" ref="C15:L15" si="0">C13-C14</f>
        <v>0</v>
      </c>
      <c r="D15" s="87">
        <f t="shared" si="0"/>
        <v>0</v>
      </c>
      <c r="E15" s="8">
        <f t="shared" si="0"/>
        <v>0</v>
      </c>
      <c r="F15" s="8">
        <f>F13-F14</f>
        <v>-3.3859077841043472E-2</v>
      </c>
      <c r="G15" s="8">
        <f t="shared" si="0"/>
        <v>254735.89560119063</v>
      </c>
      <c r="H15" s="8">
        <f t="shared" si="0"/>
        <v>-8.0015002749860287E-3</v>
      </c>
      <c r="I15" s="8">
        <f t="shared" si="0"/>
        <v>0</v>
      </c>
      <c r="J15" s="8">
        <f>J13-J14</f>
        <v>9.1162510216236115E-4</v>
      </c>
      <c r="K15" s="8">
        <f>K13-K14</f>
        <v>3.5162884742021561E-3</v>
      </c>
      <c r="L15" s="8">
        <f t="shared" si="0"/>
        <v>-2.6046652346849442E-3</v>
      </c>
    </row>
    <row r="16" spans="1:12">
      <c r="B16" s="90"/>
      <c r="C16" s="53"/>
      <c r="E16" s="53"/>
      <c r="G16" s="53"/>
      <c r="H16" s="53"/>
    </row>
    <row r="17" spans="1:15">
      <c r="A17" s="14" t="s">
        <v>373</v>
      </c>
      <c r="B17" s="7">
        <v>452564</v>
      </c>
      <c r="C17" s="88" t="s">
        <v>107</v>
      </c>
      <c r="E17" s="53"/>
      <c r="F17" s="53"/>
      <c r="G17" s="53"/>
      <c r="H17" s="53"/>
      <c r="I17" s="53"/>
      <c r="J17" s="53"/>
    </row>
    <row r="18" spans="1:15">
      <c r="A18" s="14" t="s">
        <v>109</v>
      </c>
      <c r="B18" s="91">
        <f>B14/12</f>
        <v>6.5144166666666675E-3</v>
      </c>
      <c r="C18" s="88" t="s">
        <v>106</v>
      </c>
    </row>
    <row r="19" spans="1:15">
      <c r="A19" s="14" t="s">
        <v>114</v>
      </c>
      <c r="B19" s="89">
        <f>ROUND(((D14-C14)/30.5),0)</f>
        <v>60</v>
      </c>
      <c r="C19" s="88" t="s">
        <v>117</v>
      </c>
      <c r="E19" s="53"/>
      <c r="G19" s="53"/>
    </row>
    <row r="20" spans="1:15">
      <c r="A20" s="14" t="s">
        <v>110</v>
      </c>
      <c r="B20" s="7">
        <f>-PV(B18,B19,B17,,1)</f>
        <v>22562316.769295383</v>
      </c>
      <c r="C20" s="88" t="s">
        <v>117</v>
      </c>
      <c r="D20" s="224"/>
      <c r="E20" s="53"/>
      <c r="F20" s="222"/>
    </row>
    <row r="21" spans="1:15">
      <c r="A21" s="14"/>
      <c r="B21" s="7"/>
      <c r="C21" s="88"/>
      <c r="E21" s="53"/>
    </row>
    <row r="22" spans="1:15">
      <c r="A22" s="14"/>
      <c r="B22" s="7"/>
      <c r="C22" s="88"/>
      <c r="E22" s="53"/>
    </row>
    <row r="23" spans="1:15">
      <c r="B23" s="378" t="s">
        <v>185</v>
      </c>
      <c r="C23" s="378"/>
      <c r="D23" s="378"/>
      <c r="E23" s="379" t="s">
        <v>15</v>
      </c>
      <c r="F23" s="379"/>
      <c r="G23" s="379"/>
      <c r="H23" s="379"/>
    </row>
    <row r="24" spans="1:15" s="84" customFormat="1">
      <c r="A24" s="5" t="s">
        <v>176</v>
      </c>
      <c r="B24" s="79" t="s">
        <v>112</v>
      </c>
      <c r="C24" s="79" t="s">
        <v>133</v>
      </c>
      <c r="D24" s="79" t="s">
        <v>111</v>
      </c>
      <c r="E24" s="79" t="s">
        <v>113</v>
      </c>
      <c r="F24" s="79" t="s">
        <v>11</v>
      </c>
      <c r="G24" s="79" t="s">
        <v>10</v>
      </c>
      <c r="H24" s="79" t="s">
        <v>57</v>
      </c>
      <c r="I24" s="2"/>
      <c r="J24" s="2"/>
      <c r="K24" s="2"/>
      <c r="L24" s="2"/>
      <c r="M24" s="2"/>
      <c r="N24" s="2"/>
      <c r="O24" s="2"/>
    </row>
    <row r="25" spans="1:15">
      <c r="A25" s="93" t="s">
        <v>352</v>
      </c>
      <c r="B25" s="10">
        <f>B20</f>
        <v>22562316.769295383</v>
      </c>
      <c r="C25" s="8">
        <f>$B$20/$B$19</f>
        <v>376038.61282158975</v>
      </c>
      <c r="D25" s="10">
        <f>B25-C25</f>
        <v>22186278.156473793</v>
      </c>
      <c r="E25" s="10">
        <f>B25</f>
        <v>22562316.769295383</v>
      </c>
      <c r="F25" s="10">
        <f t="shared" ref="F25:F84" si="1">-$B$17</f>
        <v>-452564</v>
      </c>
      <c r="G25" s="10">
        <f t="shared" ref="G25:G84" si="2">(E25+F25)*$B$18</f>
        <v>144032.14193617736</v>
      </c>
      <c r="H25" s="10">
        <f>E25+F25+G25</f>
        <v>22253784.911231559</v>
      </c>
    </row>
    <row r="26" spans="1:15">
      <c r="A26" s="93" t="s">
        <v>353</v>
      </c>
      <c r="B26" s="10">
        <f t="shared" ref="B26:B84" si="3">D25</f>
        <v>22186278.156473793</v>
      </c>
      <c r="C26" s="8">
        <f>$B$20/$B$19</f>
        <v>376038.61282158975</v>
      </c>
      <c r="D26" s="10">
        <f>B26-C26</f>
        <v>21810239.543652203</v>
      </c>
      <c r="E26" s="10">
        <f t="shared" ref="E26:E84" si="4">H25</f>
        <v>22253784.911231559</v>
      </c>
      <c r="F26" s="10">
        <f t="shared" si="1"/>
        <v>-452564</v>
      </c>
      <c r="G26" s="10">
        <f t="shared" si="2"/>
        <v>142022.23685780875</v>
      </c>
      <c r="H26" s="10">
        <f t="shared" ref="H26:H84" si="5">E26+F26+G26</f>
        <v>21943243.148089368</v>
      </c>
    </row>
    <row r="27" spans="1:15">
      <c r="A27" s="93" t="s">
        <v>354</v>
      </c>
      <c r="B27" s="10">
        <f t="shared" si="3"/>
        <v>21810239.543652203</v>
      </c>
      <c r="C27" s="8">
        <f t="shared" ref="C27:C84" si="6">$B$20/$B$19</f>
        <v>376038.61282158975</v>
      </c>
      <c r="D27" s="10">
        <f t="shared" ref="D27:D84" si="7">B27-C27</f>
        <v>21434200.930830613</v>
      </c>
      <c r="E27" s="10">
        <f t="shared" si="4"/>
        <v>21943243.148089368</v>
      </c>
      <c r="F27" s="10">
        <f t="shared" si="1"/>
        <v>-452564</v>
      </c>
      <c r="G27" s="10">
        <f t="shared" si="2"/>
        <v>139999.2384202992</v>
      </c>
      <c r="H27" s="10">
        <f t="shared" si="5"/>
        <v>21630678.386509668</v>
      </c>
    </row>
    <row r="28" spans="1:15">
      <c r="A28" s="93" t="s">
        <v>355</v>
      </c>
      <c r="B28" s="10">
        <f>D27</f>
        <v>21434200.930830613</v>
      </c>
      <c r="C28" s="8">
        <f t="shared" si="6"/>
        <v>376038.61282158975</v>
      </c>
      <c r="D28" s="10">
        <f t="shared" si="7"/>
        <v>21058162.318009023</v>
      </c>
      <c r="E28" s="10">
        <f>H27</f>
        <v>21630678.386509668</v>
      </c>
      <c r="F28" s="10">
        <f t="shared" si="1"/>
        <v>-452564</v>
      </c>
      <c r="G28" s="10">
        <f t="shared" si="2"/>
        <v>137963.0613280517</v>
      </c>
      <c r="H28" s="10">
        <f t="shared" si="5"/>
        <v>21316077.447837722</v>
      </c>
    </row>
    <row r="29" spans="1:15">
      <c r="A29" s="93" t="s">
        <v>356</v>
      </c>
      <c r="B29" s="10">
        <f t="shared" si="3"/>
        <v>21058162.318009023</v>
      </c>
      <c r="C29" s="8">
        <f t="shared" si="6"/>
        <v>376038.61282158975</v>
      </c>
      <c r="D29" s="10">
        <f t="shared" si="7"/>
        <v>20682123.705187432</v>
      </c>
      <c r="E29" s="10">
        <f t="shared" si="4"/>
        <v>21316077.447837722</v>
      </c>
      <c r="F29" s="10">
        <f t="shared" si="1"/>
        <v>-452564</v>
      </c>
      <c r="G29" s="10">
        <f t="shared" si="2"/>
        <v>135913.61972981819</v>
      </c>
      <c r="H29" s="10">
        <f t="shared" si="5"/>
        <v>20999427.067567538</v>
      </c>
    </row>
    <row r="30" spans="1:15">
      <c r="A30" s="93" t="s">
        <v>357</v>
      </c>
      <c r="B30" s="10">
        <f t="shared" si="3"/>
        <v>20682123.705187432</v>
      </c>
      <c r="C30" s="8">
        <f t="shared" si="6"/>
        <v>376038.61282158975</v>
      </c>
      <c r="D30" s="10">
        <f t="shared" si="7"/>
        <v>20306085.092365842</v>
      </c>
      <c r="E30" s="10">
        <f t="shared" si="4"/>
        <v>20999427.067567538</v>
      </c>
      <c r="F30" s="10">
        <f t="shared" si="1"/>
        <v>-452564</v>
      </c>
      <c r="G30" s="10">
        <f t="shared" si="2"/>
        <v>133850.82721507977</v>
      </c>
      <c r="H30" s="10">
        <f t="shared" si="5"/>
        <v>20680713.894782618</v>
      </c>
    </row>
    <row r="31" spans="1:15">
      <c r="A31" s="93" t="s">
        <v>358</v>
      </c>
      <c r="B31" s="10">
        <f t="shared" si="3"/>
        <v>20306085.092365842</v>
      </c>
      <c r="C31" s="8">
        <f t="shared" si="6"/>
        <v>376038.61282158975</v>
      </c>
      <c r="D31" s="10">
        <f t="shared" si="7"/>
        <v>19930046.479544252</v>
      </c>
      <c r="E31" s="10">
        <f t="shared" si="4"/>
        <v>20680713.894782618</v>
      </c>
      <c r="F31" s="10">
        <f t="shared" si="1"/>
        <v>-452564</v>
      </c>
      <c r="G31" s="10">
        <f t="shared" si="2"/>
        <v>131774.59681040348</v>
      </c>
      <c r="H31" s="10">
        <f t="shared" si="5"/>
        <v>20359924.491593022</v>
      </c>
    </row>
    <row r="32" spans="1:15">
      <c r="A32" s="93" t="s">
        <v>359</v>
      </c>
      <c r="B32" s="10">
        <f t="shared" si="3"/>
        <v>19930046.479544252</v>
      </c>
      <c r="C32" s="8">
        <f t="shared" si="6"/>
        <v>376038.61282158975</v>
      </c>
      <c r="D32" s="10">
        <f>B32-C32</f>
        <v>19554007.866722662</v>
      </c>
      <c r="E32" s="10">
        <f>H31</f>
        <v>20359924.491593022</v>
      </c>
      <c r="F32" s="10">
        <f t="shared" si="1"/>
        <v>-452564</v>
      </c>
      <c r="G32" s="10">
        <f t="shared" si="2"/>
        <v>129684.84097577512</v>
      </c>
      <c r="H32" s="10">
        <f t="shared" si="5"/>
        <v>20037045.332568798</v>
      </c>
    </row>
    <row r="33" spans="1:8">
      <c r="A33" s="93" t="s">
        <v>360</v>
      </c>
      <c r="B33" s="10">
        <f t="shared" si="3"/>
        <v>19554007.866722662</v>
      </c>
      <c r="C33" s="8">
        <f t="shared" si="6"/>
        <v>376038.61282158975</v>
      </c>
      <c r="D33" s="10">
        <f t="shared" si="7"/>
        <v>19177969.253901072</v>
      </c>
      <c r="E33" s="10">
        <f t="shared" si="4"/>
        <v>20037045.332568798</v>
      </c>
      <c r="F33" s="10">
        <f t="shared" si="1"/>
        <v>-452564</v>
      </c>
      <c r="G33" s="10">
        <f t="shared" si="2"/>
        <v>127581.47160090841</v>
      </c>
      <c r="H33" s="10">
        <f t="shared" si="5"/>
        <v>19712062.804169707</v>
      </c>
    </row>
    <row r="34" spans="1:8">
      <c r="A34" s="93" t="s">
        <v>361</v>
      </c>
      <c r="B34" s="10">
        <f t="shared" si="3"/>
        <v>19177969.253901072</v>
      </c>
      <c r="C34" s="8">
        <f t="shared" si="6"/>
        <v>376038.61282158975</v>
      </c>
      <c r="D34" s="10">
        <f t="shared" si="7"/>
        <v>18801930.641079482</v>
      </c>
      <c r="E34" s="10">
        <f t="shared" si="4"/>
        <v>19712062.804169707</v>
      </c>
      <c r="F34" s="10">
        <f t="shared" si="1"/>
        <v>-452564</v>
      </c>
      <c r="G34" s="10">
        <f t="shared" si="2"/>
        <v>125464.4000015299</v>
      </c>
      <c r="H34" s="10">
        <f t="shared" si="5"/>
        <v>19384963.204171237</v>
      </c>
    </row>
    <row r="35" spans="1:8">
      <c r="A35" s="93" t="s">
        <v>362</v>
      </c>
      <c r="B35" s="10">
        <f t="shared" si="3"/>
        <v>18801930.641079482</v>
      </c>
      <c r="C35" s="8">
        <f t="shared" si="6"/>
        <v>376038.61282158975</v>
      </c>
      <c r="D35" s="10">
        <f t="shared" si="7"/>
        <v>18425892.028257892</v>
      </c>
      <c r="E35" s="10">
        <f t="shared" si="4"/>
        <v>19384963.204171237</v>
      </c>
      <c r="F35" s="10">
        <f t="shared" si="1"/>
        <v>-452564</v>
      </c>
      <c r="G35" s="10">
        <f t="shared" si="2"/>
        <v>123333.53691563985</v>
      </c>
      <c r="H35" s="10">
        <f t="shared" si="5"/>
        <v>19055732.741086878</v>
      </c>
    </row>
    <row r="36" spans="1:8">
      <c r="A36" s="93" t="s">
        <v>363</v>
      </c>
      <c r="B36" s="10">
        <f t="shared" si="3"/>
        <v>18425892.028257892</v>
      </c>
      <c r="C36" s="8">
        <f t="shared" si="6"/>
        <v>376038.61282158975</v>
      </c>
      <c r="D36" s="10">
        <f t="shared" si="7"/>
        <v>18049853.415436301</v>
      </c>
      <c r="E36" s="10">
        <f t="shared" si="4"/>
        <v>19055732.741086878</v>
      </c>
      <c r="F36" s="10">
        <f t="shared" si="1"/>
        <v>-452564</v>
      </c>
      <c r="G36" s="10">
        <f t="shared" si="2"/>
        <v>121188.79249974873</v>
      </c>
      <c r="H36" s="10">
        <f t="shared" si="5"/>
        <v>18724357.533586625</v>
      </c>
    </row>
    <row r="37" spans="1:8">
      <c r="A37" s="93" t="s">
        <v>364</v>
      </c>
      <c r="B37" s="10">
        <f t="shared" si="3"/>
        <v>18049853.415436301</v>
      </c>
      <c r="C37" s="8">
        <f t="shared" si="6"/>
        <v>376038.61282158975</v>
      </c>
      <c r="D37" s="10">
        <f t="shared" si="7"/>
        <v>17673814.802614711</v>
      </c>
      <c r="E37" s="10">
        <f t="shared" si="4"/>
        <v>18724357.533586625</v>
      </c>
      <c r="F37" s="10">
        <f t="shared" si="1"/>
        <v>-452564</v>
      </c>
      <c r="G37" s="10">
        <f t="shared" si="2"/>
        <v>119030.07632508896</v>
      </c>
      <c r="H37" s="10">
        <f t="shared" si="5"/>
        <v>18390823.609911714</v>
      </c>
    </row>
    <row r="38" spans="1:8">
      <c r="A38" s="93" t="s">
        <v>365</v>
      </c>
      <c r="B38" s="10">
        <f t="shared" si="3"/>
        <v>17673814.802614711</v>
      </c>
      <c r="C38" s="8">
        <f t="shared" si="6"/>
        <v>376038.61282158975</v>
      </c>
      <c r="D38" s="10">
        <f t="shared" si="7"/>
        <v>17297776.189793121</v>
      </c>
      <c r="E38" s="10">
        <f t="shared" si="4"/>
        <v>18390823.609911714</v>
      </c>
      <c r="F38" s="10">
        <f t="shared" si="1"/>
        <v>-452564</v>
      </c>
      <c r="G38" s="10">
        <f t="shared" si="2"/>
        <v>116857.29737380239</v>
      </c>
      <c r="H38" s="10">
        <f t="shared" si="5"/>
        <v>18055116.907285515</v>
      </c>
    </row>
    <row r="39" spans="1:8">
      <c r="A39" s="93" t="s">
        <v>366</v>
      </c>
      <c r="B39" s="10">
        <f t="shared" si="3"/>
        <v>17297776.189793121</v>
      </c>
      <c r="C39" s="8">
        <f t="shared" si="6"/>
        <v>376038.61282158975</v>
      </c>
      <c r="D39" s="10">
        <f t="shared" si="7"/>
        <v>16921737.576971531</v>
      </c>
      <c r="E39" s="10">
        <f t="shared" si="4"/>
        <v>18055116.907285515</v>
      </c>
      <c r="F39" s="10">
        <f t="shared" si="1"/>
        <v>-452564</v>
      </c>
      <c r="G39" s="10">
        <f t="shared" si="2"/>
        <v>114670.36403510257</v>
      </c>
      <c r="H39" s="10">
        <f t="shared" si="5"/>
        <v>17717223.271320619</v>
      </c>
    </row>
    <row r="40" spans="1:8">
      <c r="A40" s="93" t="s">
        <v>367</v>
      </c>
      <c r="B40" s="10">
        <f t="shared" si="3"/>
        <v>16921737.576971531</v>
      </c>
      <c r="C40" s="8">
        <f t="shared" si="6"/>
        <v>376038.61282158975</v>
      </c>
      <c r="D40" s="10">
        <f t="shared" si="7"/>
        <v>16545698.964149941</v>
      </c>
      <c r="E40" s="10">
        <f t="shared" si="4"/>
        <v>17717223.271320619</v>
      </c>
      <c r="F40" s="10">
        <f t="shared" si="1"/>
        <v>-452564</v>
      </c>
      <c r="G40" s="10">
        <f t="shared" si="2"/>
        <v>112469.18410141225</v>
      </c>
      <c r="H40" s="10">
        <f t="shared" si="5"/>
        <v>17377128.455422033</v>
      </c>
    </row>
    <row r="41" spans="1:8">
      <c r="A41" s="93" t="s">
        <v>368</v>
      </c>
      <c r="B41" s="10">
        <f t="shared" si="3"/>
        <v>16545698.964149941</v>
      </c>
      <c r="C41" s="8">
        <f t="shared" si="6"/>
        <v>376038.61282158975</v>
      </c>
      <c r="D41" s="10">
        <f t="shared" si="7"/>
        <v>16169660.351328351</v>
      </c>
      <c r="E41" s="10">
        <f t="shared" si="4"/>
        <v>17377128.455422033</v>
      </c>
      <c r="F41" s="10">
        <f t="shared" si="1"/>
        <v>-452564</v>
      </c>
      <c r="G41" s="10">
        <f t="shared" si="2"/>
        <v>110253.66476447556</v>
      </c>
      <c r="H41" s="10">
        <f t="shared" si="5"/>
        <v>17034818.120186508</v>
      </c>
    </row>
    <row r="42" spans="1:8">
      <c r="A42" s="93" t="s">
        <v>369</v>
      </c>
      <c r="B42" s="10">
        <f t="shared" si="3"/>
        <v>16169660.351328351</v>
      </c>
      <c r="C42" s="8">
        <f t="shared" si="6"/>
        <v>376038.61282158975</v>
      </c>
      <c r="D42" s="10">
        <f t="shared" si="7"/>
        <v>15793621.73850676</v>
      </c>
      <c r="E42" s="10">
        <f t="shared" si="4"/>
        <v>17034818.120186508</v>
      </c>
      <c r="F42" s="10">
        <f t="shared" si="1"/>
        <v>-452564</v>
      </c>
      <c r="G42" s="10">
        <f t="shared" si="2"/>
        <v>108023.71261144501</v>
      </c>
      <c r="H42" s="10">
        <f t="shared" si="5"/>
        <v>16690277.832797952</v>
      </c>
    </row>
    <row r="43" spans="1:8">
      <c r="A43" s="93" t="s">
        <v>370</v>
      </c>
      <c r="B43" s="10">
        <f t="shared" si="3"/>
        <v>15793621.73850676</v>
      </c>
      <c r="C43" s="8">
        <f t="shared" si="6"/>
        <v>376038.61282158975</v>
      </c>
      <c r="D43" s="10">
        <f t="shared" si="7"/>
        <v>15417583.12568517</v>
      </c>
      <c r="E43" s="10">
        <f t="shared" si="4"/>
        <v>16690277.832797952</v>
      </c>
      <c r="F43" s="10">
        <f t="shared" si="1"/>
        <v>-452564</v>
      </c>
      <c r="G43" s="10">
        <f t="shared" si="2"/>
        <v>105779.23362094288</v>
      </c>
      <c r="H43" s="10">
        <f t="shared" si="5"/>
        <v>16343493.066418895</v>
      </c>
    </row>
    <row r="44" spans="1:8">
      <c r="A44" s="93" t="s">
        <v>371</v>
      </c>
      <c r="B44" s="10">
        <f t="shared" si="3"/>
        <v>15417583.12568517</v>
      </c>
      <c r="C44" s="8">
        <f t="shared" si="6"/>
        <v>376038.61282158975</v>
      </c>
      <c r="D44" s="10">
        <f t="shared" si="7"/>
        <v>15041544.51286358</v>
      </c>
      <c r="E44" s="10">
        <f t="shared" si="4"/>
        <v>16343493.066418895</v>
      </c>
      <c r="F44" s="10">
        <f t="shared" si="1"/>
        <v>-452564</v>
      </c>
      <c r="G44" s="10">
        <f t="shared" si="2"/>
        <v>103520.13315909704</v>
      </c>
      <c r="H44" s="10">
        <f t="shared" si="5"/>
        <v>15994449.199577993</v>
      </c>
    </row>
    <row r="45" spans="1:8">
      <c r="A45" s="93" t="s">
        <v>372</v>
      </c>
      <c r="B45" s="10">
        <f t="shared" si="3"/>
        <v>15041544.51286358</v>
      </c>
      <c r="C45" s="8">
        <f t="shared" si="6"/>
        <v>376038.61282158975</v>
      </c>
      <c r="D45" s="10">
        <f t="shared" si="7"/>
        <v>14665505.90004199</v>
      </c>
      <c r="E45" s="10">
        <f t="shared" si="4"/>
        <v>15994449.199577993</v>
      </c>
      <c r="F45" s="10">
        <f t="shared" si="1"/>
        <v>-452564</v>
      </c>
      <c r="G45" s="10">
        <f t="shared" si="2"/>
        <v>101246.31597555088</v>
      </c>
      <c r="H45" s="10">
        <f t="shared" si="5"/>
        <v>15643131.515553543</v>
      </c>
    </row>
    <row r="46" spans="1:8">
      <c r="A46" s="93" t="s">
        <v>374</v>
      </c>
      <c r="B46" s="10">
        <f t="shared" si="3"/>
        <v>14665505.90004199</v>
      </c>
      <c r="C46" s="8">
        <f t="shared" si="6"/>
        <v>376038.61282158975</v>
      </c>
      <c r="D46" s="10">
        <f t="shared" si="7"/>
        <v>14289467.2872204</v>
      </c>
      <c r="E46" s="10">
        <f t="shared" si="4"/>
        <v>15643131.515553543</v>
      </c>
      <c r="F46" s="10">
        <f t="shared" si="1"/>
        <v>-452564</v>
      </c>
      <c r="G46" s="10">
        <f t="shared" si="2"/>
        <v>98957.686199447271</v>
      </c>
      <c r="H46" s="10">
        <f t="shared" si="5"/>
        <v>15289525.20175299</v>
      </c>
    </row>
    <row r="47" spans="1:8">
      <c r="A47" s="93" t="s">
        <v>375</v>
      </c>
      <c r="B47" s="10">
        <f t="shared" si="3"/>
        <v>14289467.2872204</v>
      </c>
      <c r="C47" s="8">
        <f t="shared" si="6"/>
        <v>376038.61282158975</v>
      </c>
      <c r="D47" s="10">
        <f t="shared" si="7"/>
        <v>13913428.67439881</v>
      </c>
      <c r="E47" s="10">
        <f t="shared" si="4"/>
        <v>15289525.20175299</v>
      </c>
      <c r="F47" s="10">
        <f t="shared" si="1"/>
        <v>-452564</v>
      </c>
      <c r="G47" s="10">
        <f t="shared" si="2"/>
        <v>96654.147335386384</v>
      </c>
      <c r="H47" s="10">
        <f t="shared" si="5"/>
        <v>14933615.349088376</v>
      </c>
    </row>
    <row r="48" spans="1:8">
      <c r="A48" s="93" t="s">
        <v>376</v>
      </c>
      <c r="B48" s="10">
        <f t="shared" si="3"/>
        <v>13913428.67439881</v>
      </c>
      <c r="C48" s="8">
        <f t="shared" si="6"/>
        <v>376038.61282158975</v>
      </c>
      <c r="D48" s="10">
        <f t="shared" si="7"/>
        <v>13537390.06157722</v>
      </c>
      <c r="E48" s="10">
        <f t="shared" si="4"/>
        <v>14933615.349088376</v>
      </c>
      <c r="F48" s="10">
        <f t="shared" si="1"/>
        <v>-452564</v>
      </c>
      <c r="G48" s="10">
        <f t="shared" si="2"/>
        <v>94335.602259357154</v>
      </c>
      <c r="H48" s="10">
        <f t="shared" si="5"/>
        <v>14575386.951347733</v>
      </c>
    </row>
    <row r="49" spans="1:8">
      <c r="A49" s="93" t="s">
        <v>377</v>
      </c>
      <c r="B49" s="10">
        <f t="shared" si="3"/>
        <v>13537390.06157722</v>
      </c>
      <c r="C49" s="8">
        <f t="shared" si="6"/>
        <v>376038.61282158975</v>
      </c>
      <c r="D49" s="10">
        <f t="shared" si="7"/>
        <v>13161351.448755629</v>
      </c>
      <c r="E49" s="10">
        <f t="shared" si="4"/>
        <v>14575386.951347733</v>
      </c>
      <c r="F49" s="10">
        <f t="shared" si="1"/>
        <v>-452564</v>
      </c>
      <c r="G49" s="10">
        <f t="shared" si="2"/>
        <v>92001.953214642199</v>
      </c>
      <c r="H49" s="10">
        <f t="shared" si="5"/>
        <v>14214824.904562375</v>
      </c>
    </row>
    <row r="50" spans="1:8">
      <c r="A50" s="93" t="s">
        <v>378</v>
      </c>
      <c r="B50" s="10">
        <f t="shared" si="3"/>
        <v>13161351.448755629</v>
      </c>
      <c r="C50" s="8">
        <f t="shared" si="6"/>
        <v>376038.61282158975</v>
      </c>
      <c r="D50" s="10">
        <f t="shared" si="7"/>
        <v>12785312.835934039</v>
      </c>
      <c r="E50" s="10">
        <f t="shared" si="4"/>
        <v>14214824.904562375</v>
      </c>
      <c r="F50" s="10">
        <f t="shared" si="1"/>
        <v>-452564</v>
      </c>
      <c r="G50" s="10">
        <f t="shared" si="2"/>
        <v>89653.101807696221</v>
      </c>
      <c r="H50" s="10">
        <f t="shared" si="5"/>
        <v>13851914.006370071</v>
      </c>
    </row>
    <row r="51" spans="1:8">
      <c r="A51" s="93" t="s">
        <v>379</v>
      </c>
      <c r="B51" s="10">
        <f t="shared" si="3"/>
        <v>12785312.835934039</v>
      </c>
      <c r="C51" s="8">
        <f t="shared" si="6"/>
        <v>376038.61282158975</v>
      </c>
      <c r="D51" s="10">
        <f t="shared" si="7"/>
        <v>12409274.223112449</v>
      </c>
      <c r="E51" s="10">
        <f t="shared" si="4"/>
        <v>13851914.006370071</v>
      </c>
      <c r="F51" s="10">
        <f t="shared" si="1"/>
        <v>-452564</v>
      </c>
      <c r="G51" s="10">
        <f t="shared" si="2"/>
        <v>87288.949003997317</v>
      </c>
      <c r="H51" s="10">
        <f t="shared" si="5"/>
        <v>13486638.95537407</v>
      </c>
    </row>
    <row r="52" spans="1:8">
      <c r="A52" s="93" t="s">
        <v>380</v>
      </c>
      <c r="B52" s="10">
        <f t="shared" si="3"/>
        <v>12409274.223112449</v>
      </c>
      <c r="C52" s="8">
        <f t="shared" si="6"/>
        <v>376038.61282158975</v>
      </c>
      <c r="D52" s="10">
        <f t="shared" si="7"/>
        <v>12033235.610290859</v>
      </c>
      <c r="E52" s="10">
        <f t="shared" si="4"/>
        <v>13486638.95537407</v>
      </c>
      <c r="F52" s="10">
        <f t="shared" si="1"/>
        <v>-452564</v>
      </c>
      <c r="G52" s="10">
        <f t="shared" si="2"/>
        <v>84909.395123871436</v>
      </c>
      <c r="H52" s="10">
        <f t="shared" si="5"/>
        <v>13118984.350497941</v>
      </c>
    </row>
    <row r="53" spans="1:8">
      <c r="A53" s="93" t="s">
        <v>381</v>
      </c>
      <c r="B53" s="10">
        <f t="shared" si="3"/>
        <v>12033235.610290859</v>
      </c>
      <c r="C53" s="8">
        <f t="shared" si="6"/>
        <v>376038.61282158975</v>
      </c>
      <c r="D53" s="10">
        <f t="shared" si="7"/>
        <v>11657196.997469269</v>
      </c>
      <c r="E53" s="10">
        <f t="shared" si="4"/>
        <v>13118984.350497941</v>
      </c>
      <c r="F53" s="10">
        <f t="shared" si="1"/>
        <v>-452564</v>
      </c>
      <c r="G53" s="10">
        <f t="shared" si="2"/>
        <v>82514.339838289641</v>
      </c>
      <c r="H53" s="10">
        <f t="shared" si="5"/>
        <v>12748934.690336229</v>
      </c>
    </row>
    <row r="54" spans="1:8">
      <c r="A54" s="93" t="s">
        <v>382</v>
      </c>
      <c r="B54" s="10">
        <f t="shared" si="3"/>
        <v>11657196.997469269</v>
      </c>
      <c r="C54" s="8">
        <f t="shared" si="6"/>
        <v>376038.61282158975</v>
      </c>
      <c r="D54" s="10">
        <f t="shared" si="7"/>
        <v>11281158.384647679</v>
      </c>
      <c r="E54" s="10">
        <f t="shared" si="4"/>
        <v>12748934.690336229</v>
      </c>
      <c r="F54" s="10">
        <f t="shared" si="1"/>
        <v>-452564</v>
      </c>
      <c r="G54" s="10">
        <f t="shared" si="2"/>
        <v>80103.682164637852</v>
      </c>
      <c r="H54" s="10">
        <f t="shared" si="5"/>
        <v>12376474.372500867</v>
      </c>
    </row>
    <row r="55" spans="1:8">
      <c r="A55" s="93" t="s">
        <v>383</v>
      </c>
      <c r="B55" s="10">
        <f t="shared" si="3"/>
        <v>11281158.384647679</v>
      </c>
      <c r="C55" s="8">
        <f t="shared" si="6"/>
        <v>376038.61282158975</v>
      </c>
      <c r="D55" s="10">
        <f t="shared" si="7"/>
        <v>10905119.771826088</v>
      </c>
      <c r="E55" s="10">
        <f t="shared" si="4"/>
        <v>12376474.372500867</v>
      </c>
      <c r="F55" s="10">
        <f t="shared" si="1"/>
        <v>-452564</v>
      </c>
      <c r="G55" s="10">
        <f t="shared" si="2"/>
        <v>77677.320462459204</v>
      </c>
      <c r="H55" s="10">
        <f t="shared" si="5"/>
        <v>12001587.692963326</v>
      </c>
    </row>
    <row r="56" spans="1:8">
      <c r="A56" s="93" t="s">
        <v>384</v>
      </c>
      <c r="B56" s="10">
        <f t="shared" si="3"/>
        <v>10905119.771826088</v>
      </c>
      <c r="C56" s="8">
        <f t="shared" si="6"/>
        <v>376038.61282158975</v>
      </c>
      <c r="D56" s="10">
        <f t="shared" si="7"/>
        <v>10529081.159004498</v>
      </c>
      <c r="E56" s="10">
        <f t="shared" si="4"/>
        <v>12001587.692963326</v>
      </c>
      <c r="F56" s="10">
        <f t="shared" si="1"/>
        <v>-452564</v>
      </c>
      <c r="G56" s="10">
        <f t="shared" si="2"/>
        <v>75235.15242916852</v>
      </c>
      <c r="H56" s="10">
        <f t="shared" si="5"/>
        <v>11624258.845392495</v>
      </c>
    </row>
    <row r="57" spans="1:8">
      <c r="A57" s="93" t="s">
        <v>385</v>
      </c>
      <c r="B57" s="10">
        <f t="shared" si="3"/>
        <v>10529081.159004498</v>
      </c>
      <c r="C57" s="8">
        <f t="shared" si="6"/>
        <v>376038.61282158975</v>
      </c>
      <c r="D57" s="10">
        <f t="shared" si="7"/>
        <v>10153042.546182908</v>
      </c>
      <c r="E57" s="10">
        <f t="shared" si="4"/>
        <v>11624258.845392495</v>
      </c>
      <c r="F57" s="10">
        <f t="shared" si="1"/>
        <v>-452564</v>
      </c>
      <c r="G57" s="10">
        <f t="shared" si="2"/>
        <v>72777.075095738968</v>
      </c>
      <c r="H57" s="10">
        <f t="shared" si="5"/>
        <v>11244471.920488235</v>
      </c>
    </row>
    <row r="58" spans="1:8">
      <c r="A58" s="93" t="s">
        <v>386</v>
      </c>
      <c r="B58" s="10">
        <f t="shared" si="3"/>
        <v>10153042.546182908</v>
      </c>
      <c r="C58" s="8">
        <f t="shared" si="6"/>
        <v>376038.61282158975</v>
      </c>
      <c r="D58" s="10">
        <f t="shared" si="7"/>
        <v>9777003.933361318</v>
      </c>
      <c r="E58" s="10">
        <f t="shared" si="4"/>
        <v>11244471.920488235</v>
      </c>
      <c r="F58" s="10">
        <f t="shared" si="1"/>
        <v>-452564</v>
      </c>
      <c r="G58" s="10">
        <f t="shared" si="2"/>
        <v>70302.984822360566</v>
      </c>
      <c r="H58" s="10">
        <f t="shared" si="5"/>
        <v>10862210.905310595</v>
      </c>
    </row>
    <row r="59" spans="1:8">
      <c r="A59" s="93" t="s">
        <v>387</v>
      </c>
      <c r="B59" s="10">
        <f t="shared" si="3"/>
        <v>9777003.933361318</v>
      </c>
      <c r="C59" s="8">
        <f t="shared" si="6"/>
        <v>376038.61282158975</v>
      </c>
      <c r="D59" s="10">
        <f t="shared" si="7"/>
        <v>9400965.3205397278</v>
      </c>
      <c r="E59" s="10">
        <f t="shared" si="4"/>
        <v>10862210.905310595</v>
      </c>
      <c r="F59" s="10">
        <f t="shared" si="1"/>
        <v>-452564</v>
      </c>
      <c r="G59" s="10">
        <f t="shared" si="2"/>
        <v>67812.777294070445</v>
      </c>
      <c r="H59" s="10">
        <f t="shared" si="5"/>
        <v>10477459.682604665</v>
      </c>
    </row>
    <row r="60" spans="1:8">
      <c r="A60" s="93" t="s">
        <v>388</v>
      </c>
      <c r="B60" s="10">
        <f t="shared" si="3"/>
        <v>9400965.3205397278</v>
      </c>
      <c r="C60" s="8">
        <f t="shared" si="6"/>
        <v>376038.61282158975</v>
      </c>
      <c r="D60" s="10">
        <f t="shared" si="7"/>
        <v>9024926.7077181377</v>
      </c>
      <c r="E60" s="10">
        <f t="shared" si="4"/>
        <v>10477459.682604665</v>
      </c>
      <c r="F60" s="10">
        <f t="shared" si="1"/>
        <v>-452564</v>
      </c>
      <c r="G60" s="10">
        <f t="shared" si="2"/>
        <v>65306.347516354544</v>
      </c>
      <c r="H60" s="10">
        <f t="shared" si="5"/>
        <v>10090202.030121019</v>
      </c>
    </row>
    <row r="61" spans="1:8">
      <c r="A61" s="93" t="s">
        <v>389</v>
      </c>
      <c r="B61" s="10">
        <f t="shared" si="3"/>
        <v>9024926.7077181377</v>
      </c>
      <c r="C61" s="8">
        <f t="shared" si="6"/>
        <v>376038.61282158975</v>
      </c>
      <c r="D61" s="10">
        <f t="shared" si="7"/>
        <v>8648888.0948965475</v>
      </c>
      <c r="E61" s="10">
        <f t="shared" si="4"/>
        <v>10090202.030121019</v>
      </c>
      <c r="F61" s="10">
        <f t="shared" si="1"/>
        <v>-452564</v>
      </c>
      <c r="G61" s="10">
        <f t="shared" si="2"/>
        <v>62783.589810720878</v>
      </c>
      <c r="H61" s="10">
        <f t="shared" si="5"/>
        <v>9700421.6199317407</v>
      </c>
    </row>
    <row r="62" spans="1:8">
      <c r="A62" s="93" t="s">
        <v>390</v>
      </c>
      <c r="B62" s="10">
        <f t="shared" si="3"/>
        <v>8648888.0948965475</v>
      </c>
      <c r="C62" s="8">
        <f t="shared" si="6"/>
        <v>376038.61282158975</v>
      </c>
      <c r="D62" s="10">
        <f t="shared" si="7"/>
        <v>8272849.4820749573</v>
      </c>
      <c r="E62" s="10">
        <f t="shared" si="4"/>
        <v>9700421.6199317407</v>
      </c>
      <c r="F62" s="10">
        <f t="shared" si="1"/>
        <v>-452564</v>
      </c>
      <c r="G62" s="10">
        <f t="shared" si="2"/>
        <v>60244.397810243674</v>
      </c>
      <c r="H62" s="10">
        <f t="shared" si="5"/>
        <v>9308102.0177419838</v>
      </c>
    </row>
    <row r="63" spans="1:8">
      <c r="A63" s="93" t="s">
        <v>391</v>
      </c>
      <c r="B63" s="10">
        <f t="shared" si="3"/>
        <v>8272849.4820749573</v>
      </c>
      <c r="C63" s="8">
        <f t="shared" si="6"/>
        <v>376038.61282158975</v>
      </c>
      <c r="D63" s="10">
        <f t="shared" si="7"/>
        <v>7896810.8692533672</v>
      </c>
      <c r="E63" s="10">
        <f t="shared" si="4"/>
        <v>9308102.0177419838</v>
      </c>
      <c r="F63" s="10">
        <f t="shared" si="1"/>
        <v>-452564</v>
      </c>
      <c r="G63" s="10">
        <f t="shared" si="2"/>
        <v>57688.66445507868</v>
      </c>
      <c r="H63" s="10">
        <f t="shared" si="5"/>
        <v>8913226.6821970623</v>
      </c>
    </row>
    <row r="64" spans="1:8">
      <c r="A64" s="93" t="s">
        <v>392</v>
      </c>
      <c r="B64" s="10">
        <f t="shared" si="3"/>
        <v>7896810.8692533672</v>
      </c>
      <c r="C64" s="8">
        <f t="shared" si="6"/>
        <v>376038.61282158975</v>
      </c>
      <c r="D64" s="10">
        <f t="shared" si="7"/>
        <v>7520772.256431777</v>
      </c>
      <c r="E64" s="10">
        <f t="shared" si="4"/>
        <v>8913226.6821970623</v>
      </c>
      <c r="F64" s="10">
        <f t="shared" si="1"/>
        <v>-452564</v>
      </c>
      <c r="G64" s="10">
        <f t="shared" si="2"/>
        <v>55116.281987949253</v>
      </c>
      <c r="H64" s="10">
        <f t="shared" si="5"/>
        <v>8515778.9641850106</v>
      </c>
    </row>
    <row r="65" spans="1:8">
      <c r="A65" s="93" t="s">
        <v>393</v>
      </c>
      <c r="B65" s="10">
        <f t="shared" si="3"/>
        <v>7520772.256431777</v>
      </c>
      <c r="C65" s="8">
        <f t="shared" si="6"/>
        <v>376038.61282158975</v>
      </c>
      <c r="D65" s="10">
        <f t="shared" si="7"/>
        <v>7144733.6436101869</v>
      </c>
      <c r="E65" s="10">
        <f t="shared" si="4"/>
        <v>8515778.9641850106</v>
      </c>
      <c r="F65" s="10">
        <f t="shared" si="1"/>
        <v>-452564</v>
      </c>
      <c r="G65" s="10">
        <f t="shared" si="2"/>
        <v>52527.141949602912</v>
      </c>
      <c r="H65" s="10">
        <f t="shared" si="5"/>
        <v>8115742.106134614</v>
      </c>
    </row>
    <row r="66" spans="1:8">
      <c r="A66" s="93" t="s">
        <v>394</v>
      </c>
      <c r="B66" s="10">
        <f t="shared" si="3"/>
        <v>7144733.6436101869</v>
      </c>
      <c r="C66" s="8">
        <f t="shared" si="6"/>
        <v>376038.61282158975</v>
      </c>
      <c r="D66" s="10">
        <f t="shared" si="7"/>
        <v>6768695.0307885967</v>
      </c>
      <c r="E66" s="10">
        <f t="shared" si="4"/>
        <v>8115742.106134614</v>
      </c>
      <c r="F66" s="10">
        <f t="shared" si="1"/>
        <v>-452564</v>
      </c>
      <c r="G66" s="10">
        <f t="shared" si="2"/>
        <v>49921.135174238436</v>
      </c>
      <c r="H66" s="10">
        <f t="shared" si="5"/>
        <v>7713099.2413088521</v>
      </c>
    </row>
    <row r="67" spans="1:8">
      <c r="A67" s="93" t="s">
        <v>395</v>
      </c>
      <c r="B67" s="10">
        <f t="shared" si="3"/>
        <v>6768695.0307885967</v>
      </c>
      <c r="C67" s="8">
        <f t="shared" si="6"/>
        <v>376038.61282158975</v>
      </c>
      <c r="D67" s="10">
        <f t="shared" si="7"/>
        <v>6392656.4179670066</v>
      </c>
      <c r="E67" s="10">
        <f t="shared" si="4"/>
        <v>7713099.2413088521</v>
      </c>
      <c r="F67" s="10">
        <f t="shared" si="1"/>
        <v>-452564</v>
      </c>
      <c r="G67" s="10">
        <f t="shared" si="2"/>
        <v>47298.151784903079</v>
      </c>
      <c r="H67" s="10">
        <f t="shared" si="5"/>
        <v>7307833.3930937555</v>
      </c>
    </row>
    <row r="68" spans="1:8">
      <c r="A68" s="93" t="s">
        <v>396</v>
      </c>
      <c r="B68" s="10">
        <f t="shared" si="3"/>
        <v>6392656.4179670066</v>
      </c>
      <c r="C68" s="8">
        <f t="shared" si="6"/>
        <v>376038.61282158975</v>
      </c>
      <c r="D68" s="10">
        <f t="shared" si="7"/>
        <v>6016617.8051454164</v>
      </c>
      <c r="E68" s="10">
        <f t="shared" si="4"/>
        <v>7307833.3930937555</v>
      </c>
      <c r="F68" s="10">
        <f t="shared" si="1"/>
        <v>-452564</v>
      </c>
      <c r="G68" s="10">
        <f t="shared" si="2"/>
        <v>44658.081188859855</v>
      </c>
      <c r="H68" s="10">
        <f t="shared" si="5"/>
        <v>6899927.4742826149</v>
      </c>
    </row>
    <row r="69" spans="1:8">
      <c r="A69" s="93" t="s">
        <v>397</v>
      </c>
      <c r="B69" s="10">
        <f t="shared" si="3"/>
        <v>6016617.8051454164</v>
      </c>
      <c r="C69" s="8">
        <f t="shared" si="6"/>
        <v>376038.61282158975</v>
      </c>
      <c r="D69" s="10">
        <f t="shared" si="7"/>
        <v>5640579.1923238263</v>
      </c>
      <c r="E69" s="10">
        <f t="shared" si="4"/>
        <v>6899927.4742826149</v>
      </c>
      <c r="F69" s="10">
        <f t="shared" si="1"/>
        <v>-452564</v>
      </c>
      <c r="G69" s="10">
        <f t="shared" si="2"/>
        <v>42000.812072924578</v>
      </c>
      <c r="H69" s="10">
        <f t="shared" si="5"/>
        <v>6489364.2863555392</v>
      </c>
    </row>
    <row r="70" spans="1:8">
      <c r="A70" s="93" t="s">
        <v>398</v>
      </c>
      <c r="B70" s="10">
        <f t="shared" si="3"/>
        <v>5640579.1923238263</v>
      </c>
      <c r="C70" s="8">
        <f t="shared" si="6"/>
        <v>376038.61282158975</v>
      </c>
      <c r="D70" s="10">
        <f t="shared" si="7"/>
        <v>5264540.5795022361</v>
      </c>
      <c r="E70" s="10">
        <f t="shared" si="4"/>
        <v>6489364.2863555392</v>
      </c>
      <c r="F70" s="10">
        <f t="shared" si="1"/>
        <v>-452564</v>
      </c>
      <c r="G70" s="10">
        <f t="shared" si="2"/>
        <v>39326.232398772634</v>
      </c>
      <c r="H70" s="10">
        <f t="shared" si="5"/>
        <v>6076126.5187543118</v>
      </c>
    </row>
    <row r="71" spans="1:8">
      <c r="A71" s="93" t="s">
        <v>399</v>
      </c>
      <c r="B71" s="10">
        <f t="shared" si="3"/>
        <v>5264540.5795022361</v>
      </c>
      <c r="C71" s="8">
        <f t="shared" si="6"/>
        <v>376038.61282158975</v>
      </c>
      <c r="D71" s="10">
        <f t="shared" si="7"/>
        <v>4888501.9666806459</v>
      </c>
      <c r="E71" s="10">
        <f t="shared" si="4"/>
        <v>6076126.5187543118</v>
      </c>
      <c r="F71" s="10">
        <f t="shared" si="1"/>
        <v>-452564</v>
      </c>
      <c r="G71" s="10">
        <f t="shared" si="2"/>
        <v>36634.229398215073</v>
      </c>
      <c r="H71" s="10">
        <f t="shared" si="5"/>
        <v>5660196.748152527</v>
      </c>
    </row>
    <row r="72" spans="1:8">
      <c r="A72" s="93" t="s">
        <v>400</v>
      </c>
      <c r="B72" s="10">
        <f t="shared" si="3"/>
        <v>4888501.9666806459</v>
      </c>
      <c r="C72" s="8">
        <f t="shared" si="6"/>
        <v>376038.61282158975</v>
      </c>
      <c r="D72" s="10">
        <f t="shared" si="7"/>
        <v>4512463.3538590558</v>
      </c>
      <c r="E72" s="10">
        <f t="shared" si="4"/>
        <v>5660196.748152527</v>
      </c>
      <c r="F72" s="10">
        <f t="shared" si="1"/>
        <v>-452564</v>
      </c>
      <c r="G72" s="10">
        <f t="shared" si="2"/>
        <v>33924.689568443959</v>
      </c>
      <c r="H72" s="10">
        <f t="shared" si="5"/>
        <v>5241557.4377209712</v>
      </c>
    </row>
    <row r="73" spans="1:8">
      <c r="A73" s="93" t="s">
        <v>401</v>
      </c>
      <c r="B73" s="10">
        <f t="shared" si="3"/>
        <v>4512463.3538590558</v>
      </c>
      <c r="C73" s="8">
        <f t="shared" si="6"/>
        <v>376038.61282158975</v>
      </c>
      <c r="D73" s="10">
        <f t="shared" si="7"/>
        <v>4136424.7410374661</v>
      </c>
      <c r="E73" s="10">
        <f t="shared" si="4"/>
        <v>5241557.4377209712</v>
      </c>
      <c r="F73" s="10">
        <f t="shared" si="1"/>
        <v>-452564</v>
      </c>
      <c r="G73" s="10">
        <f t="shared" si="2"/>
        <v>31197.498667246793</v>
      </c>
      <c r="H73" s="10">
        <f t="shared" si="5"/>
        <v>4820190.9363882178</v>
      </c>
    </row>
    <row r="74" spans="1:8">
      <c r="A74" s="93" t="s">
        <v>402</v>
      </c>
      <c r="B74" s="10">
        <f t="shared" si="3"/>
        <v>4136424.7410374661</v>
      </c>
      <c r="C74" s="8">
        <f t="shared" si="6"/>
        <v>376038.61282158975</v>
      </c>
      <c r="D74" s="10">
        <f t="shared" si="7"/>
        <v>3760386.1282158764</v>
      </c>
      <c r="E74" s="10">
        <f t="shared" si="4"/>
        <v>4820190.9363882178</v>
      </c>
      <c r="F74" s="10">
        <f t="shared" si="1"/>
        <v>-452564</v>
      </c>
      <c r="G74" s="10">
        <f t="shared" si="2"/>
        <v>28452.541708189681</v>
      </c>
      <c r="H74" s="10">
        <f t="shared" si="5"/>
        <v>4396079.4780964078</v>
      </c>
    </row>
    <row r="75" spans="1:8">
      <c r="A75" s="93" t="s">
        <v>403</v>
      </c>
      <c r="B75" s="10">
        <f t="shared" si="3"/>
        <v>3760386.1282158764</v>
      </c>
      <c r="C75" s="8">
        <f t="shared" si="6"/>
        <v>376038.61282158975</v>
      </c>
      <c r="D75" s="10">
        <f t="shared" si="7"/>
        <v>3384347.5153942867</v>
      </c>
      <c r="E75" s="10">
        <f t="shared" si="4"/>
        <v>4396079.4780964078</v>
      </c>
      <c r="F75" s="10">
        <f t="shared" si="1"/>
        <v>-452564</v>
      </c>
      <c r="G75" s="10">
        <f t="shared" si="2"/>
        <v>25689.702955769211</v>
      </c>
      <c r="H75" s="10">
        <f t="shared" si="5"/>
        <v>3969205.1810521772</v>
      </c>
    </row>
    <row r="76" spans="1:8">
      <c r="A76" s="93" t="s">
        <v>404</v>
      </c>
      <c r="B76" s="10">
        <f t="shared" si="3"/>
        <v>3384347.5153942867</v>
      </c>
      <c r="C76" s="8">
        <f t="shared" si="6"/>
        <v>376038.61282158975</v>
      </c>
      <c r="D76" s="10">
        <f t="shared" si="7"/>
        <v>3008308.902572697</v>
      </c>
      <c r="E76" s="10">
        <f t="shared" si="4"/>
        <v>3969205.1810521772</v>
      </c>
      <c r="F76" s="10">
        <f t="shared" si="1"/>
        <v>-452564</v>
      </c>
      <c r="G76" s="10">
        <f t="shared" si="2"/>
        <v>22908.865920532658</v>
      </c>
      <c r="H76" s="10">
        <f t="shared" si="5"/>
        <v>3539550.0469727097</v>
      </c>
    </row>
    <row r="77" spans="1:8">
      <c r="A77" s="93" t="s">
        <v>405</v>
      </c>
      <c r="B77" s="10">
        <f t="shared" si="3"/>
        <v>3008308.902572697</v>
      </c>
      <c r="C77" s="8">
        <f t="shared" si="6"/>
        <v>376038.61282158975</v>
      </c>
      <c r="D77" s="10">
        <f t="shared" si="7"/>
        <v>2632270.2897511073</v>
      </c>
      <c r="E77" s="10">
        <f t="shared" si="4"/>
        <v>3539550.0469727097</v>
      </c>
      <c r="F77" s="10">
        <f t="shared" si="1"/>
        <v>-452564</v>
      </c>
      <c r="G77" s="10">
        <f t="shared" si="2"/>
        <v>20109.913354166471</v>
      </c>
      <c r="H77" s="10">
        <f t="shared" si="5"/>
        <v>3107095.960326876</v>
      </c>
    </row>
    <row r="78" spans="1:8">
      <c r="A78" s="93" t="s">
        <v>406</v>
      </c>
      <c r="B78" s="10">
        <f t="shared" si="3"/>
        <v>2632270.2897511073</v>
      </c>
      <c r="C78" s="8">
        <f t="shared" si="6"/>
        <v>376038.61282158975</v>
      </c>
      <c r="D78" s="10">
        <f t="shared" si="7"/>
        <v>2256231.6769295176</v>
      </c>
      <c r="E78" s="10">
        <f t="shared" si="4"/>
        <v>3107095.960326876</v>
      </c>
      <c r="F78" s="10">
        <f t="shared" si="1"/>
        <v>-452564</v>
      </c>
      <c r="G78" s="10">
        <f t="shared" si="2"/>
        <v>17292.727244552741</v>
      </c>
      <c r="H78" s="10">
        <f t="shared" si="5"/>
        <v>2671824.6875714287</v>
      </c>
    </row>
    <row r="79" spans="1:8">
      <c r="A79" s="93" t="s">
        <v>407</v>
      </c>
      <c r="B79" s="10">
        <f t="shared" si="3"/>
        <v>2256231.6769295176</v>
      </c>
      <c r="C79" s="8">
        <f t="shared" si="6"/>
        <v>376038.61282158975</v>
      </c>
      <c r="D79" s="10">
        <f t="shared" si="7"/>
        <v>1880193.064107928</v>
      </c>
      <c r="E79" s="10">
        <f t="shared" si="4"/>
        <v>2671824.6875714287</v>
      </c>
      <c r="F79" s="10">
        <f t="shared" si="1"/>
        <v>-452564</v>
      </c>
      <c r="G79" s="10">
        <f t="shared" si="2"/>
        <v>14457.188810793443</v>
      </c>
      <c r="H79" s="10">
        <f t="shared" si="5"/>
        <v>2233717.8763822219</v>
      </c>
    </row>
    <row r="80" spans="1:8">
      <c r="A80" s="93" t="s">
        <v>408</v>
      </c>
      <c r="B80" s="10">
        <f t="shared" si="3"/>
        <v>1880193.064107928</v>
      </c>
      <c r="C80" s="8">
        <f t="shared" si="6"/>
        <v>376038.61282158975</v>
      </c>
      <c r="D80" s="10">
        <f t="shared" si="7"/>
        <v>1504154.4512863383</v>
      </c>
      <c r="E80" s="10">
        <f t="shared" si="4"/>
        <v>2233717.8763822219</v>
      </c>
      <c r="F80" s="10">
        <f t="shared" si="1"/>
        <v>-452564</v>
      </c>
      <c r="G80" s="10">
        <f t="shared" si="2"/>
        <v>11603.178498202287</v>
      </c>
      <c r="H80" s="10">
        <f t="shared" si="5"/>
        <v>1792757.0548804242</v>
      </c>
    </row>
    <row r="81" spans="1:8">
      <c r="A81" s="93" t="s">
        <v>409</v>
      </c>
      <c r="B81" s="10">
        <f t="shared" si="3"/>
        <v>1504154.4512863383</v>
      </c>
      <c r="C81" s="8">
        <f t="shared" si="6"/>
        <v>376038.61282158975</v>
      </c>
      <c r="D81" s="10">
        <f t="shared" si="7"/>
        <v>1128115.8384647486</v>
      </c>
      <c r="E81" s="10">
        <f t="shared" si="4"/>
        <v>1792757.0548804242</v>
      </c>
      <c r="F81" s="10">
        <f t="shared" si="1"/>
        <v>-452564</v>
      </c>
      <c r="G81" s="10">
        <f t="shared" si="2"/>
        <v>8730.5759732639508</v>
      </c>
      <c r="H81" s="10">
        <f t="shared" si="5"/>
        <v>1348923.6308536881</v>
      </c>
    </row>
    <row r="82" spans="1:8">
      <c r="A82" s="93" t="s">
        <v>410</v>
      </c>
      <c r="B82" s="10">
        <f t="shared" si="3"/>
        <v>1128115.8384647486</v>
      </c>
      <c r="C82" s="8">
        <f t="shared" si="6"/>
        <v>376038.61282158975</v>
      </c>
      <c r="D82" s="10">
        <f t="shared" si="7"/>
        <v>752077.22564315889</v>
      </c>
      <c r="E82" s="10">
        <f t="shared" si="4"/>
        <v>1348923.6308536881</v>
      </c>
      <c r="F82" s="10">
        <f t="shared" si="1"/>
        <v>-452564</v>
      </c>
      <c r="G82" s="10">
        <f t="shared" si="2"/>
        <v>5839.2601185604472</v>
      </c>
      <c r="H82" s="10">
        <f t="shared" si="5"/>
        <v>902198.89097224851</v>
      </c>
    </row>
    <row r="83" spans="1:8">
      <c r="A83" s="93" t="s">
        <v>411</v>
      </c>
      <c r="B83" s="10">
        <f t="shared" si="3"/>
        <v>752077.22564315889</v>
      </c>
      <c r="C83" s="8">
        <f t="shared" si="6"/>
        <v>376038.61282158975</v>
      </c>
      <c r="D83" s="10">
        <f t="shared" si="7"/>
        <v>376038.61282156914</v>
      </c>
      <c r="E83" s="10">
        <f t="shared" si="4"/>
        <v>902198.89097224851</v>
      </c>
      <c r="F83" s="10">
        <f t="shared" si="1"/>
        <v>-452564</v>
      </c>
      <c r="G83" s="10">
        <f t="shared" si="2"/>
        <v>2929.1090276644654</v>
      </c>
      <c r="H83" s="10">
        <f t="shared" si="5"/>
        <v>452563.99999991298</v>
      </c>
    </row>
    <row r="84" spans="1:8">
      <c r="A84" s="93" t="s">
        <v>412</v>
      </c>
      <c r="B84" s="10">
        <f t="shared" si="3"/>
        <v>376038.61282156914</v>
      </c>
      <c r="C84" s="8">
        <f t="shared" si="6"/>
        <v>376038.61282158975</v>
      </c>
      <c r="D84" s="10">
        <f t="shared" si="7"/>
        <v>-2.0605511963367462E-8</v>
      </c>
      <c r="E84" s="10">
        <f t="shared" si="4"/>
        <v>452563.99999991298</v>
      </c>
      <c r="F84" s="10">
        <f t="shared" si="1"/>
        <v>-452564</v>
      </c>
      <c r="G84" s="10">
        <f t="shared" si="2"/>
        <v>-5.6688748979164911E-10</v>
      </c>
      <c r="H84" s="10">
        <f t="shared" si="5"/>
        <v>-8.7587340555425422E-8</v>
      </c>
    </row>
    <row r="85" spans="1:8" customFormat="1" ht="14.4"/>
  </sheetData>
  <mergeCells count="2">
    <mergeCell ref="B23:D23"/>
    <mergeCell ref="E23:H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BE03-B2DE-4748-BEC4-B392C3C8EAAF}">
  <dimension ref="A1:O36"/>
  <sheetViews>
    <sheetView showGridLines="0" workbookViewId="0">
      <selection activeCell="B17" sqref="B17"/>
    </sheetView>
  </sheetViews>
  <sheetFormatPr defaultColWidth="8.796875" defaultRowHeight="13.3"/>
  <cols>
    <col min="1" max="1" width="38.09765625" style="2" bestFit="1" customWidth="1"/>
    <col min="2" max="2" width="11.5" style="2" bestFit="1" customWidth="1"/>
    <col min="3" max="3" width="18.796875" style="2" bestFit="1" customWidth="1"/>
    <col min="4" max="4" width="10.8984375" style="2" bestFit="1" customWidth="1"/>
    <col min="5" max="5" width="13.59765625" style="2" bestFit="1" customWidth="1"/>
    <col min="6" max="6" width="11.09765625" style="2" bestFit="1" customWidth="1"/>
    <col min="7" max="7" width="10.8984375" style="2" bestFit="1" customWidth="1"/>
    <col min="8" max="9" width="17.296875" style="2" bestFit="1" customWidth="1"/>
    <col min="10" max="10" width="10.796875" style="2" bestFit="1" customWidth="1"/>
    <col min="11" max="11" width="10.296875" style="2" bestFit="1" customWidth="1"/>
    <col min="12" max="12" width="9.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9" spans="1:12" ht="14.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92">
        <f>7.737238%</f>
        <v>7.7372379999999991E-2</v>
      </c>
      <c r="C13" s="208">
        <v>45108</v>
      </c>
      <c r="D13" s="208">
        <v>46203</v>
      </c>
      <c r="E13" s="73">
        <v>0</v>
      </c>
      <c r="F13" s="73">
        <v>18101143.440000005</v>
      </c>
      <c r="G13" s="77">
        <v>4525285.6899999939</v>
      </c>
      <c r="H13" s="73">
        <v>940580.0399999998</v>
      </c>
      <c r="I13" s="73">
        <v>20081652</v>
      </c>
      <c r="J13" s="73">
        <v>5020413.0199999996</v>
      </c>
      <c r="K13" s="73">
        <v>5020413.0199999996</v>
      </c>
      <c r="L13" s="73">
        <v>0</v>
      </c>
    </row>
    <row r="14" spans="1:12">
      <c r="A14" s="74" t="s">
        <v>104</v>
      </c>
      <c r="B14" s="92">
        <v>7.7372380000000004E-2</v>
      </c>
      <c r="C14" s="85">
        <v>45108</v>
      </c>
      <c r="D14" s="208">
        <v>46203</v>
      </c>
      <c r="E14" s="73">
        <v>0</v>
      </c>
      <c r="F14" s="73">
        <f>SUM(C32:C35)</f>
        <v>18112845.635293312</v>
      </c>
      <c r="G14" s="77">
        <f>D35</f>
        <v>4528211.408823343</v>
      </c>
      <c r="H14" s="73">
        <f>SUM(G32:G35)</f>
        <v>934768.42636876879</v>
      </c>
      <c r="I14" s="73">
        <f>SUM(F32:F35)</f>
        <v>-20081652</v>
      </c>
      <c r="J14" s="77">
        <f>H35</f>
        <v>5020412.9999997327</v>
      </c>
      <c r="K14" s="8">
        <f>J14</f>
        <v>5020412.9999997327</v>
      </c>
      <c r="L14" s="8">
        <v>0</v>
      </c>
    </row>
    <row r="15" spans="1:12">
      <c r="A15" s="86" t="s">
        <v>32</v>
      </c>
      <c r="B15" s="92">
        <f t="shared" ref="B15:L15" si="0">B13-B14</f>
        <v>0</v>
      </c>
      <c r="C15" s="87">
        <f t="shared" si="0"/>
        <v>0</v>
      </c>
      <c r="D15" s="87">
        <f t="shared" si="0"/>
        <v>0</v>
      </c>
      <c r="E15" s="8">
        <f t="shared" si="0"/>
        <v>0</v>
      </c>
      <c r="F15" s="8">
        <f>F13-F14</f>
        <v>-11702.195293307304</v>
      </c>
      <c r="G15" s="8">
        <f t="shared" si="0"/>
        <v>-2925.7188233491033</v>
      </c>
      <c r="H15" s="8">
        <f t="shared" si="0"/>
        <v>5811.6136312310118</v>
      </c>
      <c r="I15" s="8">
        <f>I13+I14</f>
        <v>0</v>
      </c>
      <c r="J15" s="8">
        <f>J13-J14</f>
        <v>2.0000266842544079E-2</v>
      </c>
      <c r="K15" s="8">
        <f t="shared" si="0"/>
        <v>2.0000266842544079E-2</v>
      </c>
      <c r="L15" s="8">
        <f t="shared" si="0"/>
        <v>0</v>
      </c>
    </row>
    <row r="16" spans="1:12">
      <c r="B16" s="90"/>
      <c r="C16" s="53"/>
      <c r="E16" s="53"/>
      <c r="G16" s="53"/>
      <c r="H16" s="53"/>
    </row>
    <row r="17" spans="1:15">
      <c r="A17" s="14" t="s">
        <v>173</v>
      </c>
      <c r="B17" s="7">
        <v>5020413</v>
      </c>
      <c r="C17" s="88" t="s">
        <v>107</v>
      </c>
      <c r="E17" s="53"/>
      <c r="F17" s="53"/>
      <c r="G17" s="53"/>
      <c r="H17" s="53"/>
      <c r="I17" s="53"/>
      <c r="J17" s="53"/>
    </row>
    <row r="18" spans="1:15">
      <c r="A18" s="14" t="s">
        <v>174</v>
      </c>
      <c r="B18" s="91">
        <f>B14/4</f>
        <v>1.9343095000000001E-2</v>
      </c>
      <c r="C18" s="88" t="s">
        <v>106</v>
      </c>
    </row>
    <row r="19" spans="1:15">
      <c r="A19" s="14" t="s">
        <v>175</v>
      </c>
      <c r="B19" s="89">
        <f>ROUND(((D14-C14)/30.5),0)/3</f>
        <v>12</v>
      </c>
      <c r="C19" s="88" t="s">
        <v>117</v>
      </c>
      <c r="E19" s="53"/>
      <c r="G19" s="53"/>
    </row>
    <row r="20" spans="1:15">
      <c r="A20" s="14" t="s">
        <v>110</v>
      </c>
      <c r="B20" s="7">
        <f>-PV(B18,B19,B17,,1)</f>
        <v>54338536.905879937</v>
      </c>
      <c r="C20" s="88" t="s">
        <v>117</v>
      </c>
      <c r="D20" s="224"/>
      <c r="E20" s="53"/>
      <c r="F20" s="222"/>
    </row>
    <row r="21" spans="1:15">
      <c r="A21" s="14"/>
      <c r="B21" s="7"/>
      <c r="C21" s="88"/>
      <c r="E21" s="53"/>
    </row>
    <row r="22" spans="1:15">
      <c r="A22" s="14"/>
      <c r="B22" s="7"/>
      <c r="C22" s="88"/>
      <c r="E22" s="53"/>
    </row>
    <row r="23" spans="1:15">
      <c r="B23" s="378" t="s">
        <v>185</v>
      </c>
      <c r="C23" s="378"/>
      <c r="D23" s="378"/>
      <c r="E23" s="379" t="s">
        <v>15</v>
      </c>
      <c r="F23" s="379"/>
      <c r="G23" s="379"/>
      <c r="H23" s="379"/>
    </row>
    <row r="24" spans="1:15" s="84" customFormat="1">
      <c r="A24" s="5" t="s">
        <v>176</v>
      </c>
      <c r="B24" s="79" t="s">
        <v>112</v>
      </c>
      <c r="C24" s="79" t="s">
        <v>133</v>
      </c>
      <c r="D24" s="79" t="s">
        <v>111</v>
      </c>
      <c r="E24" s="79" t="s">
        <v>113</v>
      </c>
      <c r="F24" s="79" t="s">
        <v>11</v>
      </c>
      <c r="G24" s="79" t="s">
        <v>10</v>
      </c>
      <c r="H24" s="79" t="s">
        <v>57</v>
      </c>
      <c r="I24" s="2"/>
      <c r="J24" s="2"/>
      <c r="K24" s="2"/>
      <c r="L24" s="2"/>
      <c r="M24" s="2"/>
      <c r="N24" s="2"/>
      <c r="O24" s="2"/>
    </row>
    <row r="25" spans="1:15">
      <c r="A25" s="249">
        <v>45108</v>
      </c>
      <c r="B25" s="10">
        <f>B20</f>
        <v>54338536.905879937</v>
      </c>
      <c r="C25" s="8">
        <f>$B$20/$B$19</f>
        <v>4528211.4088233281</v>
      </c>
      <c r="D25" s="10">
        <f>B25-C25</f>
        <v>49810325.497056611</v>
      </c>
      <c r="E25" s="10">
        <f>B25</f>
        <v>54338536.905879937</v>
      </c>
      <c r="F25" s="10">
        <f>-$B$17</f>
        <v>-5020413</v>
      </c>
      <c r="G25" s="10">
        <f t="shared" ref="G25:G36" si="1">(E25+F25)*$B$18</f>
        <v>953965.15593320678</v>
      </c>
      <c r="H25" s="10">
        <f>E25+F25+G25</f>
        <v>50272089.061813146</v>
      </c>
    </row>
    <row r="26" spans="1:15">
      <c r="A26" s="249">
        <v>45200</v>
      </c>
      <c r="B26" s="10">
        <f t="shared" ref="B26:B36" si="2">D25</f>
        <v>49810325.497056611</v>
      </c>
      <c r="C26" s="8">
        <f t="shared" ref="C26:C36" si="3">$B$20/$B$19</f>
        <v>4528211.4088233281</v>
      </c>
      <c r="D26" s="10">
        <f t="shared" ref="D26:D36" si="4">B26-C26</f>
        <v>45282114.088233285</v>
      </c>
      <c r="E26" s="10">
        <f t="shared" ref="E26:E36" si="5">H25</f>
        <v>50272089.061813146</v>
      </c>
      <c r="F26" s="10">
        <f t="shared" ref="F26:F36" si="6">-$B$17</f>
        <v>-5020413</v>
      </c>
      <c r="G26" s="10">
        <f t="shared" si="1"/>
        <v>875307.4689728776</v>
      </c>
      <c r="H26" s="10">
        <f t="shared" ref="H26:H36" si="7">E26+F26+G26</f>
        <v>46126983.530786023</v>
      </c>
    </row>
    <row r="27" spans="1:15">
      <c r="A27" s="249">
        <v>45292</v>
      </c>
      <c r="B27" s="10">
        <f t="shared" si="2"/>
        <v>45282114.088233285</v>
      </c>
      <c r="C27" s="8">
        <f t="shared" si="3"/>
        <v>4528211.4088233281</v>
      </c>
      <c r="D27" s="10">
        <f t="shared" si="4"/>
        <v>40753902.679409958</v>
      </c>
      <c r="E27" s="10">
        <f t="shared" si="5"/>
        <v>46126983.530786023</v>
      </c>
      <c r="F27" s="10">
        <f t="shared" si="6"/>
        <v>-5020413</v>
      </c>
      <c r="G27" s="10">
        <f t="shared" si="1"/>
        <v>795128.29890119447</v>
      </c>
      <c r="H27" s="10">
        <f t="shared" si="7"/>
        <v>41901698.829687215</v>
      </c>
    </row>
    <row r="28" spans="1:15">
      <c r="A28" s="249">
        <v>45383</v>
      </c>
      <c r="B28" s="10">
        <f>D27</f>
        <v>40753902.679409958</v>
      </c>
      <c r="C28" s="8">
        <f t="shared" si="3"/>
        <v>4528211.4088233281</v>
      </c>
      <c r="D28" s="10">
        <f t="shared" si="4"/>
        <v>36225691.270586632</v>
      </c>
      <c r="E28" s="10">
        <f>H27</f>
        <v>41901698.829687215</v>
      </c>
      <c r="F28" s="10">
        <f t="shared" si="6"/>
        <v>-5020413</v>
      </c>
      <c r="G28" s="10">
        <f t="shared" si="1"/>
        <v>713398.21552579373</v>
      </c>
      <c r="H28" s="10">
        <f t="shared" si="7"/>
        <v>37594684.045213006</v>
      </c>
    </row>
    <row r="29" spans="1:15">
      <c r="A29" s="249">
        <v>45474</v>
      </c>
      <c r="B29" s="10">
        <f t="shared" si="2"/>
        <v>36225691.270586632</v>
      </c>
      <c r="C29" s="8">
        <f t="shared" si="3"/>
        <v>4528211.4088233281</v>
      </c>
      <c r="D29" s="10">
        <f t="shared" si="4"/>
        <v>31697479.861763306</v>
      </c>
      <c r="E29" s="10">
        <f t="shared" si="5"/>
        <v>37594684.045213006</v>
      </c>
      <c r="F29" s="10">
        <f t="shared" si="6"/>
        <v>-5020413</v>
      </c>
      <c r="G29" s="10">
        <f t="shared" si="1"/>
        <v>630087.21938330447</v>
      </c>
      <c r="H29" s="10">
        <f t="shared" si="7"/>
        <v>33204358.26459631</v>
      </c>
    </row>
    <row r="30" spans="1:15">
      <c r="A30" s="249">
        <v>45566</v>
      </c>
      <c r="B30" s="10">
        <f t="shared" si="2"/>
        <v>31697479.861763306</v>
      </c>
      <c r="C30" s="8">
        <f t="shared" si="3"/>
        <v>4528211.4088233281</v>
      </c>
      <c r="D30" s="10">
        <f t="shared" si="4"/>
        <v>27169268.45293998</v>
      </c>
      <c r="E30" s="10">
        <f t="shared" si="5"/>
        <v>33204358.26459631</v>
      </c>
      <c r="F30" s="10">
        <f t="shared" si="6"/>
        <v>-5020413</v>
      </c>
      <c r="G30" s="10">
        <f t="shared" si="1"/>
        <v>545164.73072788655</v>
      </c>
      <c r="H30" s="10">
        <f t="shared" si="7"/>
        <v>28729109.995324194</v>
      </c>
    </row>
    <row r="31" spans="1:15">
      <c r="A31" s="249">
        <v>45658</v>
      </c>
      <c r="B31" s="10">
        <f t="shared" si="2"/>
        <v>27169268.45293998</v>
      </c>
      <c r="C31" s="8">
        <f t="shared" si="3"/>
        <v>4528211.4088233281</v>
      </c>
      <c r="D31" s="10">
        <f t="shared" si="4"/>
        <v>22641057.044116654</v>
      </c>
      <c r="E31" s="10">
        <f t="shared" si="5"/>
        <v>28729109.995324194</v>
      </c>
      <c r="F31" s="10">
        <f t="shared" si="6"/>
        <v>-5020413</v>
      </c>
      <c r="G31" s="10">
        <f t="shared" si="1"/>
        <v>458599.57830677048</v>
      </c>
      <c r="H31" s="10">
        <f t="shared" si="7"/>
        <v>24167296.573630966</v>
      </c>
    </row>
    <row r="32" spans="1:15">
      <c r="A32" s="249">
        <v>45748</v>
      </c>
      <c r="B32" s="10">
        <f t="shared" si="2"/>
        <v>22641057.044116654</v>
      </c>
      <c r="C32" s="8">
        <f t="shared" si="3"/>
        <v>4528211.4088233281</v>
      </c>
      <c r="D32" s="10">
        <f>B32-C32</f>
        <v>18112845.635293327</v>
      </c>
      <c r="E32" s="10">
        <f>H31</f>
        <v>24167296.573630966</v>
      </c>
      <c r="F32" s="10">
        <f t="shared" si="6"/>
        <v>-5020413</v>
      </c>
      <c r="G32" s="10">
        <f t="shared" si="1"/>
        <v>370359.98791868327</v>
      </c>
      <c r="H32" s="10">
        <f t="shared" si="7"/>
        <v>19517243.561549649</v>
      </c>
    </row>
    <row r="33" spans="1:8">
      <c r="A33" s="249">
        <v>45839</v>
      </c>
      <c r="B33" s="10">
        <f t="shared" si="2"/>
        <v>18112845.635293327</v>
      </c>
      <c r="C33" s="8">
        <f t="shared" si="3"/>
        <v>4528211.4088233281</v>
      </c>
      <c r="D33" s="10">
        <f t="shared" si="4"/>
        <v>13584634.226469999</v>
      </c>
      <c r="E33" s="10">
        <f t="shared" si="5"/>
        <v>19517243.561549649</v>
      </c>
      <c r="F33" s="10">
        <f t="shared" si="6"/>
        <v>-5020413</v>
      </c>
      <c r="G33" s="10">
        <f t="shared" si="1"/>
        <v>280413.57075095823</v>
      </c>
      <c r="H33" s="10">
        <f t="shared" si="7"/>
        <v>14777244.132300606</v>
      </c>
    </row>
    <row r="34" spans="1:8">
      <c r="A34" s="249">
        <v>45931</v>
      </c>
      <c r="B34" s="10">
        <f t="shared" si="2"/>
        <v>13584634.226469999</v>
      </c>
      <c r="C34" s="8">
        <f t="shared" si="3"/>
        <v>4528211.4088233281</v>
      </c>
      <c r="D34" s="10">
        <f t="shared" si="4"/>
        <v>9056422.8176466711</v>
      </c>
      <c r="E34" s="10">
        <f t="shared" si="5"/>
        <v>14777244.132300606</v>
      </c>
      <c r="F34" s="10">
        <f t="shared" si="6"/>
        <v>-5020413</v>
      </c>
      <c r="G34" s="10">
        <f t="shared" si="1"/>
        <v>188727.3114910482</v>
      </c>
      <c r="H34" s="10">
        <f t="shared" si="7"/>
        <v>9945558.443791654</v>
      </c>
    </row>
    <row r="35" spans="1:8">
      <c r="A35" s="249">
        <v>46023</v>
      </c>
      <c r="B35" s="10">
        <f t="shared" si="2"/>
        <v>9056422.8176466711</v>
      </c>
      <c r="C35" s="8">
        <f t="shared" si="3"/>
        <v>4528211.4088233281</v>
      </c>
      <c r="D35" s="10">
        <f t="shared" si="4"/>
        <v>4528211.408823343</v>
      </c>
      <c r="E35" s="10">
        <f t="shared" si="5"/>
        <v>9945558.443791654</v>
      </c>
      <c r="F35" s="10">
        <f t="shared" si="6"/>
        <v>-5020413</v>
      </c>
      <c r="G35" s="10">
        <f t="shared" si="1"/>
        <v>95267.556208079128</v>
      </c>
      <c r="H35" s="10">
        <f t="shared" si="7"/>
        <v>5020412.9999997327</v>
      </c>
    </row>
    <row r="36" spans="1:8">
      <c r="A36" s="249">
        <v>46113</v>
      </c>
      <c r="B36" s="10">
        <f t="shared" si="2"/>
        <v>4528211.408823343</v>
      </c>
      <c r="C36" s="8">
        <f t="shared" si="3"/>
        <v>4528211.4088233281</v>
      </c>
      <c r="D36" s="10">
        <f t="shared" si="4"/>
        <v>1.4901161193847656E-8</v>
      </c>
      <c r="E36" s="10">
        <f t="shared" si="5"/>
        <v>5020412.9999997327</v>
      </c>
      <c r="F36" s="10">
        <f t="shared" si="6"/>
        <v>-5020413</v>
      </c>
      <c r="G36" s="10">
        <f t="shared" si="1"/>
        <v>-5.170207717455924E-9</v>
      </c>
      <c r="H36" s="10">
        <f t="shared" si="7"/>
        <v>-2.7245978663209824E-7</v>
      </c>
    </row>
  </sheetData>
  <mergeCells count="2">
    <mergeCell ref="B23:D23"/>
    <mergeCell ref="E23:H2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FE315-23B4-42AB-99FC-93BC3B2B6134}">
  <dimension ref="A1:O36"/>
  <sheetViews>
    <sheetView showGridLines="0" topLeftCell="A12" workbookViewId="0">
      <selection activeCell="B17" sqref="B17"/>
    </sheetView>
  </sheetViews>
  <sheetFormatPr defaultColWidth="8.796875" defaultRowHeight="13.3"/>
  <cols>
    <col min="1" max="1" width="38.09765625" style="2" bestFit="1" customWidth="1"/>
    <col min="2" max="2" width="11.5" style="2" bestFit="1" customWidth="1"/>
    <col min="3" max="3" width="18.796875" style="2" bestFit="1" customWidth="1"/>
    <col min="4" max="4" width="10.8984375" style="2" bestFit="1" customWidth="1"/>
    <col min="5" max="5" width="13.59765625" style="2" bestFit="1" customWidth="1"/>
    <col min="6" max="6" width="11.09765625" style="2" bestFit="1" customWidth="1"/>
    <col min="7" max="7" width="10.8984375" style="2" bestFit="1" customWidth="1"/>
    <col min="8" max="9" width="17.296875" style="2" bestFit="1" customWidth="1"/>
    <col min="10" max="10" width="10.796875" style="2" bestFit="1" customWidth="1"/>
    <col min="11" max="11" width="10.296875" style="2" bestFit="1" customWidth="1"/>
    <col min="12" max="12" width="9.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9" spans="1:12" ht="14.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223">
        <v>7.6386410000000002E-2</v>
      </c>
      <c r="C13" s="208">
        <v>45047</v>
      </c>
      <c r="D13" s="208">
        <v>46142</v>
      </c>
      <c r="E13" s="73">
        <v>0</v>
      </c>
      <c r="F13" s="73">
        <v>24031681.559999991</v>
      </c>
      <c r="G13" s="77">
        <v>2002640.140000008</v>
      </c>
      <c r="H13" s="73">
        <v>907404.52</v>
      </c>
      <c r="I13" s="73">
        <v>26626668</v>
      </c>
      <c r="J13" s="73">
        <v>0</v>
      </c>
      <c r="K13" s="73">
        <v>0</v>
      </c>
      <c r="L13" s="73">
        <f>'Details 25-26'!U86</f>
        <v>0</v>
      </c>
    </row>
    <row r="14" spans="1:12">
      <c r="A14" s="74" t="s">
        <v>104</v>
      </c>
      <c r="B14" s="92">
        <v>7.7372380000000004E-2</v>
      </c>
      <c r="C14" s="208">
        <v>45047</v>
      </c>
      <c r="D14" s="208">
        <v>46142</v>
      </c>
      <c r="E14" s="73">
        <v>0</v>
      </c>
      <c r="F14" s="73">
        <f>(C32*1/3)+SUM(C33:C35)+(C36*2/3)</f>
        <v>24016187.874692988</v>
      </c>
      <c r="G14" s="77">
        <f>D35*1/3</f>
        <v>2001348.9895577522</v>
      </c>
      <c r="H14" s="73">
        <f>(G32*1/3)+SUM(G33:G35)+(G36*2/3)</f>
        <v>912049.81143684709</v>
      </c>
      <c r="I14" s="73">
        <f>(F32*1/3)+SUM(F33:F35)+(F36*2/3)</f>
        <v>-26626668</v>
      </c>
      <c r="J14" s="77">
        <f>H36</f>
        <v>-3.5125477719120682E-7</v>
      </c>
      <c r="K14" s="8">
        <f>J14</f>
        <v>-3.5125477719120682E-7</v>
      </c>
      <c r="L14" s="8">
        <v>0</v>
      </c>
    </row>
    <row r="15" spans="1:12">
      <c r="A15" s="86" t="s">
        <v>32</v>
      </c>
      <c r="B15" s="92">
        <f t="shared" ref="B15:L15" si="0">B13-B14</f>
        <v>-9.8597000000000268E-4</v>
      </c>
      <c r="C15" s="87">
        <f t="shared" si="0"/>
        <v>0</v>
      </c>
      <c r="D15" s="87">
        <f t="shared" si="0"/>
        <v>0</v>
      </c>
      <c r="E15" s="8">
        <f t="shared" si="0"/>
        <v>0</v>
      </c>
      <c r="F15" s="8">
        <f>F13-F14</f>
        <v>15493.685307003558</v>
      </c>
      <c r="G15" s="8">
        <f t="shared" si="0"/>
        <v>1291.1504422558937</v>
      </c>
      <c r="H15" s="8">
        <f>H13-H14</f>
        <v>-4645.2914368470665</v>
      </c>
      <c r="I15" s="8">
        <f>I13+I14</f>
        <v>0</v>
      </c>
      <c r="J15" s="8">
        <f>J13-J14</f>
        <v>3.5125477719120682E-7</v>
      </c>
      <c r="K15" s="8">
        <f t="shared" si="0"/>
        <v>3.5125477719120682E-7</v>
      </c>
      <c r="L15" s="8">
        <f t="shared" si="0"/>
        <v>0</v>
      </c>
    </row>
    <row r="16" spans="1:12">
      <c r="B16" s="90"/>
      <c r="C16" s="53"/>
      <c r="E16" s="53"/>
      <c r="G16" s="53"/>
      <c r="H16" s="53"/>
    </row>
    <row r="17" spans="1:15">
      <c r="A17" s="14" t="s">
        <v>173</v>
      </c>
      <c r="B17" s="7">
        <v>6656667</v>
      </c>
      <c r="C17" s="88" t="s">
        <v>107</v>
      </c>
      <c r="E17" s="53"/>
      <c r="F17" s="53"/>
      <c r="G17" s="53"/>
      <c r="H17" s="53"/>
      <c r="I17" s="53"/>
      <c r="J17" s="53"/>
    </row>
    <row r="18" spans="1:15">
      <c r="A18" s="14" t="s">
        <v>174</v>
      </c>
      <c r="B18" s="91">
        <f>B14/4</f>
        <v>1.9343095000000001E-2</v>
      </c>
      <c r="C18" s="88" t="s">
        <v>106</v>
      </c>
    </row>
    <row r="19" spans="1:15">
      <c r="A19" s="14" t="s">
        <v>175</v>
      </c>
      <c r="B19" s="89">
        <f>ROUND(((D14-C14)/30.5),0)/3</f>
        <v>12</v>
      </c>
      <c r="C19" s="88" t="s">
        <v>117</v>
      </c>
      <c r="E19" s="53"/>
      <c r="G19" s="53"/>
    </row>
    <row r="20" spans="1:15">
      <c r="A20" s="14" t="s">
        <v>110</v>
      </c>
      <c r="B20" s="7">
        <f>-PV(B18,B19,B17,,1)</f>
        <v>72048563.624078959</v>
      </c>
      <c r="C20" s="88" t="s">
        <v>117</v>
      </c>
      <c r="D20" s="224"/>
      <c r="E20" s="53"/>
      <c r="F20" s="222"/>
    </row>
    <row r="21" spans="1:15">
      <c r="A21" s="14"/>
      <c r="B21" s="7"/>
      <c r="C21" s="88"/>
      <c r="E21" s="53"/>
    </row>
    <row r="22" spans="1:15">
      <c r="A22" s="14"/>
      <c r="B22" s="7"/>
      <c r="C22" s="88"/>
      <c r="E22" s="53"/>
    </row>
    <row r="23" spans="1:15">
      <c r="B23" s="378" t="s">
        <v>185</v>
      </c>
      <c r="C23" s="378"/>
      <c r="D23" s="378"/>
      <c r="E23" s="379" t="s">
        <v>15</v>
      </c>
      <c r="F23" s="379"/>
      <c r="G23" s="379"/>
      <c r="H23" s="379"/>
    </row>
    <row r="24" spans="1:15" s="84" customFormat="1">
      <c r="A24" s="5" t="s">
        <v>176</v>
      </c>
      <c r="B24" s="79" t="s">
        <v>112</v>
      </c>
      <c r="C24" s="79" t="s">
        <v>133</v>
      </c>
      <c r="D24" s="79" t="s">
        <v>111</v>
      </c>
      <c r="E24" s="79" t="s">
        <v>113</v>
      </c>
      <c r="F24" s="79" t="s">
        <v>11</v>
      </c>
      <c r="G24" s="79" t="s">
        <v>10</v>
      </c>
      <c r="H24" s="79" t="s">
        <v>57</v>
      </c>
      <c r="I24" s="2"/>
      <c r="J24" s="2"/>
      <c r="K24" s="2"/>
      <c r="L24" s="2"/>
      <c r="M24" s="2"/>
      <c r="N24" s="2"/>
      <c r="O24" s="2"/>
    </row>
    <row r="25" spans="1:15">
      <c r="A25" s="249">
        <v>45047</v>
      </c>
      <c r="B25" s="10">
        <f>B20</f>
        <v>72048563.624078959</v>
      </c>
      <c r="C25" s="8">
        <f>$B$20/$B$19</f>
        <v>6004046.9686732469</v>
      </c>
      <c r="D25" s="10">
        <f>B25-C25</f>
        <v>66044516.655405715</v>
      </c>
      <c r="E25" s="10">
        <f>B25</f>
        <v>72048563.624078959</v>
      </c>
      <c r="F25" s="10">
        <f>-$B$17</f>
        <v>-6656667</v>
      </c>
      <c r="G25" s="10">
        <f t="shared" ref="G25:G36" si="1">(E25+F25)*$B$18</f>
        <v>1264881.6686297387</v>
      </c>
      <c r="H25" s="10">
        <f>E25+F25+G25</f>
        <v>66656778.292708695</v>
      </c>
    </row>
    <row r="26" spans="1:15">
      <c r="A26" s="249">
        <v>45139</v>
      </c>
      <c r="B26" s="10">
        <f t="shared" ref="B26:B36" si="2">D25</f>
        <v>66044516.655405715</v>
      </c>
      <c r="C26" s="8">
        <f t="shared" ref="C26:C36" si="3">$B$20/$B$19</f>
        <v>6004046.9686732469</v>
      </c>
      <c r="D26" s="10">
        <f t="shared" ref="D26:D36" si="4">B26-C26</f>
        <v>60040469.686732471</v>
      </c>
      <c r="E26" s="10">
        <f t="shared" ref="E26:E36" si="5">H25</f>
        <v>66656778.292708695</v>
      </c>
      <c r="F26" s="10">
        <f t="shared" ref="F26:F36" si="6">-$B$17</f>
        <v>-6656667</v>
      </c>
      <c r="G26" s="10">
        <f t="shared" si="1"/>
        <v>1160587.8527454371</v>
      </c>
      <c r="H26" s="10">
        <f t="shared" ref="H26:H36" si="7">E26+F26+G26</f>
        <v>61160699.145454131</v>
      </c>
    </row>
    <row r="27" spans="1:15">
      <c r="A27" s="249">
        <v>45231</v>
      </c>
      <c r="B27" s="10">
        <f t="shared" si="2"/>
        <v>60040469.686732471</v>
      </c>
      <c r="C27" s="8">
        <f t="shared" si="3"/>
        <v>6004046.9686732469</v>
      </c>
      <c r="D27" s="10">
        <f t="shared" si="4"/>
        <v>54036422.718059227</v>
      </c>
      <c r="E27" s="10">
        <f t="shared" si="5"/>
        <v>61160699.145454131</v>
      </c>
      <c r="F27" s="10">
        <f t="shared" si="6"/>
        <v>-6656667</v>
      </c>
      <c r="G27" s="10">
        <f t="shared" si="1"/>
        <v>1054276.6716725731</v>
      </c>
      <c r="H27" s="10">
        <f t="shared" si="7"/>
        <v>55558308.817126706</v>
      </c>
    </row>
    <row r="28" spans="1:15">
      <c r="A28" s="249">
        <v>45323</v>
      </c>
      <c r="B28" s="10">
        <f>D27</f>
        <v>54036422.718059227</v>
      </c>
      <c r="C28" s="8">
        <f t="shared" si="3"/>
        <v>6004046.9686732469</v>
      </c>
      <c r="D28" s="10">
        <f t="shared" si="4"/>
        <v>48032375.749385983</v>
      </c>
      <c r="E28" s="10">
        <f>H27</f>
        <v>55558308.817126706</v>
      </c>
      <c r="F28" s="10">
        <f t="shared" si="6"/>
        <v>-6656667</v>
      </c>
      <c r="G28" s="10">
        <f t="shared" si="1"/>
        <v>945909.10332465451</v>
      </c>
      <c r="H28" s="10">
        <f t="shared" si="7"/>
        <v>49847550.920451358</v>
      </c>
    </row>
    <row r="29" spans="1:15">
      <c r="A29" s="249">
        <v>45778</v>
      </c>
      <c r="B29" s="10">
        <f t="shared" si="2"/>
        <v>48032375.749385983</v>
      </c>
      <c r="C29" s="8">
        <f t="shared" si="3"/>
        <v>6004046.9686732469</v>
      </c>
      <c r="D29" s="10">
        <f t="shared" si="4"/>
        <v>42028328.780712739</v>
      </c>
      <c r="E29" s="10">
        <f t="shared" si="5"/>
        <v>49847550.920451358</v>
      </c>
      <c r="F29" s="10">
        <f t="shared" si="6"/>
        <v>-6656667</v>
      </c>
      <c r="G29" s="10">
        <f t="shared" si="1"/>
        <v>835445.37080726307</v>
      </c>
      <c r="H29" s="10">
        <f t="shared" si="7"/>
        <v>44026329.291258618</v>
      </c>
    </row>
    <row r="30" spans="1:15">
      <c r="A30" s="249">
        <v>45870</v>
      </c>
      <c r="B30" s="10">
        <f t="shared" si="2"/>
        <v>42028328.780712739</v>
      </c>
      <c r="C30" s="8">
        <f t="shared" si="3"/>
        <v>6004046.9686732469</v>
      </c>
      <c r="D30" s="10">
        <f t="shared" si="4"/>
        <v>36024281.812039495</v>
      </c>
      <c r="E30" s="10">
        <f t="shared" si="5"/>
        <v>44026329.291258618</v>
      </c>
      <c r="F30" s="10">
        <f t="shared" si="6"/>
        <v>-6656667</v>
      </c>
      <c r="G30" s="10">
        <f t="shared" si="1"/>
        <v>722844.92781773314</v>
      </c>
      <c r="H30" s="10">
        <f t="shared" si="7"/>
        <v>38092507.21907635</v>
      </c>
    </row>
    <row r="31" spans="1:15">
      <c r="A31" s="249">
        <v>45962</v>
      </c>
      <c r="B31" s="10">
        <f t="shared" si="2"/>
        <v>36024281.812039495</v>
      </c>
      <c r="C31" s="8">
        <f t="shared" si="3"/>
        <v>6004046.9686732469</v>
      </c>
      <c r="D31" s="10">
        <f t="shared" si="4"/>
        <v>30020234.843366247</v>
      </c>
      <c r="E31" s="10">
        <f t="shared" si="5"/>
        <v>38092507.21907635</v>
      </c>
      <c r="F31" s="10">
        <f t="shared" si="6"/>
        <v>-6656667</v>
      </c>
      <c r="G31" s="10">
        <f t="shared" si="1"/>
        <v>608066.44376241474</v>
      </c>
      <c r="H31" s="10">
        <f t="shared" si="7"/>
        <v>32043906.662838764</v>
      </c>
    </row>
    <row r="32" spans="1:15">
      <c r="A32" s="249">
        <v>46054</v>
      </c>
      <c r="B32" s="10">
        <f t="shared" si="2"/>
        <v>30020234.843366247</v>
      </c>
      <c r="C32" s="8">
        <f t="shared" si="3"/>
        <v>6004046.9686732469</v>
      </c>
      <c r="D32" s="10">
        <f>B32-C32</f>
        <v>24016187.874692999</v>
      </c>
      <c r="E32" s="10">
        <f>H31</f>
        <v>32043906.662838764</v>
      </c>
      <c r="F32" s="10">
        <f t="shared" si="6"/>
        <v>-6656667</v>
      </c>
      <c r="G32" s="10">
        <f t="shared" si="1"/>
        <v>491067.78858605825</v>
      </c>
      <c r="H32" s="10">
        <f t="shared" si="7"/>
        <v>25878307.451424822</v>
      </c>
    </row>
    <row r="33" spans="1:8">
      <c r="A33" s="249">
        <v>46143</v>
      </c>
      <c r="B33" s="10">
        <f t="shared" si="2"/>
        <v>24016187.874692999</v>
      </c>
      <c r="C33" s="8">
        <f t="shared" si="3"/>
        <v>6004046.9686732469</v>
      </c>
      <c r="D33" s="10">
        <f t="shared" si="4"/>
        <v>18012140.906019751</v>
      </c>
      <c r="E33" s="10">
        <f t="shared" si="5"/>
        <v>25878307.451424822</v>
      </c>
      <c r="F33" s="10">
        <f t="shared" si="6"/>
        <v>-6656667</v>
      </c>
      <c r="G33" s="10">
        <f t="shared" si="1"/>
        <v>371806.01730775327</v>
      </c>
      <c r="H33" s="10">
        <f t="shared" si="7"/>
        <v>19593446.468732577</v>
      </c>
    </row>
    <row r="34" spans="1:8">
      <c r="A34" s="249">
        <v>46235</v>
      </c>
      <c r="B34" s="10">
        <f t="shared" si="2"/>
        <v>18012140.906019751</v>
      </c>
      <c r="C34" s="8">
        <f t="shared" si="3"/>
        <v>6004046.9686732469</v>
      </c>
      <c r="D34" s="10">
        <f t="shared" si="4"/>
        <v>12008093.937346503</v>
      </c>
      <c r="E34" s="10">
        <f t="shared" si="5"/>
        <v>19593446.468732577</v>
      </c>
      <c r="F34" s="10">
        <f t="shared" si="6"/>
        <v>-6656667</v>
      </c>
      <c r="G34" s="10">
        <f t="shared" si="1"/>
        <v>250237.35425774378</v>
      </c>
      <c r="H34" s="10">
        <f t="shared" si="7"/>
        <v>13187016.822990321</v>
      </c>
    </row>
    <row r="35" spans="1:8">
      <c r="A35" s="249">
        <v>46327</v>
      </c>
      <c r="B35" s="10">
        <f t="shared" si="2"/>
        <v>12008093.937346503</v>
      </c>
      <c r="C35" s="8">
        <f t="shared" si="3"/>
        <v>6004046.9686732469</v>
      </c>
      <c r="D35" s="10">
        <f t="shared" si="4"/>
        <v>6004046.9686732562</v>
      </c>
      <c r="E35" s="10">
        <f t="shared" si="5"/>
        <v>13187016.822990321</v>
      </c>
      <c r="F35" s="10">
        <f t="shared" si="6"/>
        <v>-6656667</v>
      </c>
      <c r="G35" s="10">
        <f t="shared" si="1"/>
        <v>126317.17700933496</v>
      </c>
      <c r="H35" s="10">
        <f t="shared" si="7"/>
        <v>6656666.9999996554</v>
      </c>
    </row>
    <row r="36" spans="1:8">
      <c r="A36" s="249">
        <v>46419</v>
      </c>
      <c r="B36" s="10">
        <f t="shared" si="2"/>
        <v>6004046.9686732562</v>
      </c>
      <c r="C36" s="8">
        <f t="shared" si="3"/>
        <v>6004046.9686732469</v>
      </c>
      <c r="D36" s="10">
        <f t="shared" si="4"/>
        <v>9.3132257461547852E-9</v>
      </c>
      <c r="E36" s="10">
        <f t="shared" si="5"/>
        <v>6656666.9999996554</v>
      </c>
      <c r="F36" s="10">
        <f t="shared" si="6"/>
        <v>-6656667</v>
      </c>
      <c r="G36" s="10">
        <f t="shared" si="1"/>
        <v>-6.6654245834797624E-9</v>
      </c>
      <c r="H36" s="10">
        <f t="shared" si="7"/>
        <v>-3.5125477719120682E-7</v>
      </c>
    </row>
  </sheetData>
  <mergeCells count="2">
    <mergeCell ref="B23:D23"/>
    <mergeCell ref="E23:H2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E6687-ED6C-4143-A60B-A248179C8839}">
  <dimension ref="A1:O36"/>
  <sheetViews>
    <sheetView showGridLines="0" topLeftCell="A5" workbookViewId="0">
      <selection activeCell="B17" sqref="B17"/>
    </sheetView>
  </sheetViews>
  <sheetFormatPr defaultColWidth="8.796875" defaultRowHeight="13.3"/>
  <cols>
    <col min="1" max="1" width="38.09765625" style="2" bestFit="1" customWidth="1"/>
    <col min="2" max="2" width="11.5" style="2" bestFit="1" customWidth="1"/>
    <col min="3" max="3" width="18.796875" style="2" bestFit="1" customWidth="1"/>
    <col min="4" max="4" width="11.19921875" style="2" bestFit="1" customWidth="1"/>
    <col min="5" max="5" width="13.59765625" style="2" bestFit="1" customWidth="1"/>
    <col min="6" max="6" width="11.09765625" style="2" bestFit="1" customWidth="1"/>
    <col min="7" max="7" width="10.8984375" style="2" bestFit="1" customWidth="1"/>
    <col min="8" max="9" width="17.296875" style="2" bestFit="1" customWidth="1"/>
    <col min="10" max="10" width="10.796875" style="2" bestFit="1" customWidth="1"/>
    <col min="11" max="11" width="10.296875" style="2" bestFit="1" customWidth="1"/>
    <col min="12" max="12" width="9.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9" spans="1:12" ht="14.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223">
        <v>7.3531620000000006E-2</v>
      </c>
      <c r="C13" s="208">
        <v>44896</v>
      </c>
      <c r="D13" s="208">
        <v>45991</v>
      </c>
      <c r="E13" s="73">
        <v>0</v>
      </c>
      <c r="F13" s="73">
        <v>32928959.060000002</v>
      </c>
      <c r="G13" s="77">
        <v>0</v>
      </c>
      <c r="H13" s="73">
        <v>575157.89999999991</v>
      </c>
      <c r="I13" s="73">
        <v>27241594</v>
      </c>
      <c r="J13" s="73">
        <v>0</v>
      </c>
      <c r="K13" s="73">
        <v>0</v>
      </c>
      <c r="L13" s="73">
        <f>'Details 25-26'!U86</f>
        <v>0</v>
      </c>
    </row>
    <row r="14" spans="1:12">
      <c r="A14" s="74" t="s">
        <v>104</v>
      </c>
      <c r="B14" s="92">
        <v>7.3531620000000006E-2</v>
      </c>
      <c r="C14" s="208">
        <v>44896</v>
      </c>
      <c r="D14" s="208">
        <v>45991</v>
      </c>
      <c r="E14" s="73">
        <v>0</v>
      </c>
      <c r="F14" s="73">
        <f>(C34*2/3)+C35+C36</f>
        <v>32924447.99458579</v>
      </c>
      <c r="G14" s="77">
        <f>D36*1/3</f>
        <v>0</v>
      </c>
      <c r="H14" s="73">
        <f>(G34*2/3)+G35+G36</f>
        <v>570737.88330259174</v>
      </c>
      <c r="I14" s="73">
        <f>F35+F36</f>
        <v>-27241594</v>
      </c>
      <c r="J14" s="77">
        <f>H36</f>
        <v>-4.6663395060226321E-7</v>
      </c>
      <c r="K14" s="8">
        <f>J14</f>
        <v>-4.6663395060226321E-7</v>
      </c>
      <c r="L14" s="8">
        <v>0</v>
      </c>
    </row>
    <row r="15" spans="1:12">
      <c r="A15" s="86" t="s">
        <v>32</v>
      </c>
      <c r="B15" s="92">
        <f t="shared" ref="B15:L15" si="0">B13-B14</f>
        <v>0</v>
      </c>
      <c r="C15" s="87">
        <f t="shared" si="0"/>
        <v>0</v>
      </c>
      <c r="D15" s="87">
        <f t="shared" si="0"/>
        <v>0</v>
      </c>
      <c r="E15" s="8">
        <f t="shared" si="0"/>
        <v>0</v>
      </c>
      <c r="F15" s="8">
        <f>F13-F14</f>
        <v>4511.0654142126441</v>
      </c>
      <c r="G15" s="8">
        <f t="shared" si="0"/>
        <v>0</v>
      </c>
      <c r="H15" s="8">
        <f>H13-H14</f>
        <v>4420.0166974081658</v>
      </c>
      <c r="I15" s="8">
        <f>I13+I14</f>
        <v>0</v>
      </c>
      <c r="J15" s="8">
        <f>J13-J14</f>
        <v>4.6663395060226321E-7</v>
      </c>
      <c r="K15" s="8">
        <f t="shared" si="0"/>
        <v>4.6663395060226321E-7</v>
      </c>
      <c r="L15" s="8">
        <f t="shared" si="0"/>
        <v>0</v>
      </c>
    </row>
    <row r="16" spans="1:12">
      <c r="B16" s="90"/>
      <c r="C16" s="53"/>
      <c r="E16" s="53"/>
      <c r="G16" s="53"/>
      <c r="H16" s="53"/>
    </row>
    <row r="17" spans="1:15">
      <c r="A17" s="14" t="s">
        <v>173</v>
      </c>
      <c r="B17" s="7">
        <v>13620797</v>
      </c>
      <c r="C17" s="88" t="s">
        <v>107</v>
      </c>
      <c r="E17" s="53"/>
      <c r="F17" s="53"/>
      <c r="G17" s="53"/>
      <c r="H17" s="53"/>
      <c r="I17" s="53"/>
      <c r="J17" s="53"/>
    </row>
    <row r="18" spans="1:15">
      <c r="A18" s="14" t="s">
        <v>174</v>
      </c>
      <c r="B18" s="91">
        <f>B14/4</f>
        <v>1.8382905000000001E-2</v>
      </c>
      <c r="C18" s="88" t="s">
        <v>106</v>
      </c>
    </row>
    <row r="19" spans="1:15">
      <c r="A19" s="14" t="s">
        <v>175</v>
      </c>
      <c r="B19" s="89">
        <f>ROUND(((D14-C14)/30.5),0)/3</f>
        <v>12</v>
      </c>
      <c r="C19" s="88" t="s">
        <v>117</v>
      </c>
      <c r="E19" s="53"/>
      <c r="G19" s="53"/>
    </row>
    <row r="20" spans="1:15">
      <c r="A20" s="14" t="s">
        <v>110</v>
      </c>
      <c r="B20" s="7">
        <f>-PV(B18,B19,B17,,1)</f>
        <v>148160015.97563604</v>
      </c>
      <c r="C20" s="88" t="s">
        <v>117</v>
      </c>
      <c r="D20" s="224"/>
      <c r="E20" s="53"/>
      <c r="F20" s="222"/>
    </row>
    <row r="21" spans="1:15">
      <c r="A21" s="14"/>
      <c r="B21" s="7"/>
      <c r="C21" s="88"/>
      <c r="E21" s="53"/>
    </row>
    <row r="22" spans="1:15">
      <c r="A22" s="14"/>
      <c r="B22" s="7"/>
      <c r="C22" s="88"/>
      <c r="E22" s="53"/>
    </row>
    <row r="23" spans="1:15">
      <c r="B23" s="378" t="s">
        <v>185</v>
      </c>
      <c r="C23" s="378"/>
      <c r="D23" s="378"/>
      <c r="E23" s="379" t="s">
        <v>15</v>
      </c>
      <c r="F23" s="379"/>
      <c r="G23" s="379"/>
      <c r="H23" s="379"/>
    </row>
    <row r="24" spans="1:15" s="84" customFormat="1">
      <c r="A24" s="5" t="s">
        <v>176</v>
      </c>
      <c r="B24" s="79" t="s">
        <v>112</v>
      </c>
      <c r="C24" s="79" t="s">
        <v>133</v>
      </c>
      <c r="D24" s="79" t="s">
        <v>111</v>
      </c>
      <c r="E24" s="79" t="s">
        <v>113</v>
      </c>
      <c r="F24" s="79" t="s">
        <v>11</v>
      </c>
      <c r="G24" s="79" t="s">
        <v>10</v>
      </c>
      <c r="H24" s="79" t="s">
        <v>57</v>
      </c>
      <c r="I24" s="2"/>
      <c r="J24" s="2"/>
      <c r="K24" s="2"/>
      <c r="L24" s="2"/>
      <c r="M24" s="2"/>
      <c r="N24" s="2"/>
      <c r="O24" s="2"/>
    </row>
    <row r="25" spans="1:15">
      <c r="A25" s="249">
        <v>44896</v>
      </c>
      <c r="B25" s="10">
        <f>B20</f>
        <v>148160015.97563604</v>
      </c>
      <c r="C25" s="8">
        <f>$B$20/$B$19</f>
        <v>12346667.99796967</v>
      </c>
      <c r="D25" s="10">
        <f>B25-C25</f>
        <v>135813347.97766638</v>
      </c>
      <c r="E25" s="10">
        <f>B25</f>
        <v>148160015.97563604</v>
      </c>
      <c r="F25" s="10">
        <f>-$B$17</f>
        <v>-13620797</v>
      </c>
      <c r="G25" s="10">
        <f t="shared" ref="G25:G36" si="1">(E25+F25)*$B$18</f>
        <v>2473221.6812033146</v>
      </c>
      <c r="H25" s="10">
        <f>E25+F25+G25</f>
        <v>137012440.65683934</v>
      </c>
    </row>
    <row r="26" spans="1:15">
      <c r="A26" s="249">
        <v>44986</v>
      </c>
      <c r="B26" s="10">
        <f t="shared" ref="B26:B36" si="2">D25</f>
        <v>135813347.97766638</v>
      </c>
      <c r="C26" s="8">
        <f t="shared" ref="C26:C36" si="3">$B$20/$B$19</f>
        <v>12346667.99796967</v>
      </c>
      <c r="D26" s="10">
        <f t="shared" ref="D26:D36" si="4">B26-C26</f>
        <v>123466679.97969671</v>
      </c>
      <c r="E26" s="10">
        <f t="shared" ref="E26:E36" si="5">H25</f>
        <v>137012440.65683934</v>
      </c>
      <c r="F26" s="10">
        <f t="shared" ref="F26:F36" si="6">-$B$17</f>
        <v>-13620797</v>
      </c>
      <c r="G26" s="10">
        <f t="shared" si="1"/>
        <v>2268296.8631375302</v>
      </c>
      <c r="H26" s="10">
        <f t="shared" ref="H26:H36" si="7">E26+F26+G26</f>
        <v>125659940.51997687</v>
      </c>
    </row>
    <row r="27" spans="1:15">
      <c r="A27" s="249">
        <v>45078</v>
      </c>
      <c r="B27" s="10">
        <f t="shared" si="2"/>
        <v>123466679.97969671</v>
      </c>
      <c r="C27" s="8">
        <f t="shared" si="3"/>
        <v>12346667.99796967</v>
      </c>
      <c r="D27" s="10">
        <f t="shared" si="4"/>
        <v>111120011.98172703</v>
      </c>
      <c r="E27" s="10">
        <f t="shared" si="5"/>
        <v>125659940.51997687</v>
      </c>
      <c r="F27" s="10">
        <f t="shared" si="6"/>
        <v>-13620797</v>
      </c>
      <c r="G27" s="10">
        <f t="shared" si="1"/>
        <v>2059604.9316091007</v>
      </c>
      <c r="H27" s="10">
        <f t="shared" si="7"/>
        <v>114098748.45158596</v>
      </c>
    </row>
    <row r="28" spans="1:15">
      <c r="A28" s="249">
        <v>45170</v>
      </c>
      <c r="B28" s="10">
        <f>D27</f>
        <v>111120011.98172703</v>
      </c>
      <c r="C28" s="8">
        <f t="shared" si="3"/>
        <v>12346667.99796967</v>
      </c>
      <c r="D28" s="10">
        <f t="shared" si="4"/>
        <v>98773343.983757362</v>
      </c>
      <c r="E28" s="10">
        <f>H27</f>
        <v>114098748.45158596</v>
      </c>
      <c r="F28" s="10">
        <f t="shared" si="6"/>
        <v>-13620797</v>
      </c>
      <c r="G28" s="10">
        <f t="shared" si="1"/>
        <v>1847076.6361291171</v>
      </c>
      <c r="H28" s="10">
        <f t="shared" si="7"/>
        <v>102325028.08771507</v>
      </c>
    </row>
    <row r="29" spans="1:15">
      <c r="A29" s="249">
        <v>45261</v>
      </c>
      <c r="B29" s="10">
        <f t="shared" si="2"/>
        <v>98773343.983757362</v>
      </c>
      <c r="C29" s="8">
        <f t="shared" si="3"/>
        <v>12346667.99796967</v>
      </c>
      <c r="D29" s="10">
        <f t="shared" si="4"/>
        <v>86426675.98578769</v>
      </c>
      <c r="E29" s="10">
        <f t="shared" si="5"/>
        <v>102325028.08771507</v>
      </c>
      <c r="F29" s="10">
        <f t="shared" si="6"/>
        <v>-13620797</v>
      </c>
      <c r="G29" s="10">
        <f t="shared" si="1"/>
        <v>1630641.4531835129</v>
      </c>
      <c r="H29" s="10">
        <f t="shared" si="7"/>
        <v>90334872.540898591</v>
      </c>
    </row>
    <row r="30" spans="1:15">
      <c r="A30" s="249">
        <v>45352</v>
      </c>
      <c r="B30" s="10">
        <f t="shared" si="2"/>
        <v>86426675.98578769</v>
      </c>
      <c r="C30" s="8">
        <f t="shared" si="3"/>
        <v>12346667.99796967</v>
      </c>
      <c r="D30" s="10">
        <f t="shared" si="4"/>
        <v>74080007.987818018</v>
      </c>
      <c r="E30" s="10">
        <f t="shared" si="5"/>
        <v>90334872.540898591</v>
      </c>
      <c r="F30" s="10">
        <f t="shared" si="6"/>
        <v>-13620797</v>
      </c>
      <c r="G30" s="10">
        <f t="shared" si="1"/>
        <v>1410227.5628311625</v>
      </c>
      <c r="H30" s="10">
        <f t="shared" si="7"/>
        <v>78124303.103729755</v>
      </c>
    </row>
    <row r="31" spans="1:15">
      <c r="A31" s="249">
        <v>45444</v>
      </c>
      <c r="B31" s="10">
        <f t="shared" si="2"/>
        <v>74080007.987818018</v>
      </c>
      <c r="C31" s="8">
        <f t="shared" si="3"/>
        <v>12346667.99796967</v>
      </c>
      <c r="D31" s="10">
        <f t="shared" si="4"/>
        <v>61733339.989848346</v>
      </c>
      <c r="E31" s="10">
        <f t="shared" si="5"/>
        <v>78124303.103729755</v>
      </c>
      <c r="F31" s="10">
        <f t="shared" si="6"/>
        <v>-13620797</v>
      </c>
      <c r="G31" s="10">
        <f t="shared" si="1"/>
        <v>1185761.8248717843</v>
      </c>
      <c r="H31" s="10">
        <f t="shared" si="7"/>
        <v>65689267.928601541</v>
      </c>
    </row>
    <row r="32" spans="1:15">
      <c r="A32" s="249">
        <v>45536</v>
      </c>
      <c r="B32" s="10">
        <f t="shared" si="2"/>
        <v>61733339.989848346</v>
      </c>
      <c r="C32" s="8">
        <f t="shared" si="3"/>
        <v>12346667.99796967</v>
      </c>
      <c r="D32" s="10">
        <f>B32-C32</f>
        <v>49386671.991878673</v>
      </c>
      <c r="E32" s="10">
        <f>H31</f>
        <v>65689267.928601541</v>
      </c>
      <c r="F32" s="10">
        <f t="shared" si="6"/>
        <v>-13620797</v>
      </c>
      <c r="G32" s="10">
        <f t="shared" si="1"/>
        <v>957169.75457574404</v>
      </c>
      <c r="H32" s="10">
        <f t="shared" si="7"/>
        <v>53025640.683177285</v>
      </c>
    </row>
    <row r="33" spans="1:8">
      <c r="A33" s="249">
        <v>45627</v>
      </c>
      <c r="B33" s="10">
        <f t="shared" si="2"/>
        <v>49386671.991878673</v>
      </c>
      <c r="C33" s="8">
        <f t="shared" si="3"/>
        <v>12346667.99796967</v>
      </c>
      <c r="D33" s="10">
        <f t="shared" si="4"/>
        <v>37040003.993909001</v>
      </c>
      <c r="E33" s="10">
        <f t="shared" si="5"/>
        <v>53025640.683177285</v>
      </c>
      <c r="F33" s="10">
        <f t="shared" si="6"/>
        <v>-13620797</v>
      </c>
      <c r="G33" s="10">
        <f t="shared" si="1"/>
        <v>724375.49796769815</v>
      </c>
      <c r="H33" s="10">
        <f t="shared" si="7"/>
        <v>40129219.181144983</v>
      </c>
    </row>
    <row r="34" spans="1:8">
      <c r="A34" s="249">
        <v>45717</v>
      </c>
      <c r="B34" s="10">
        <f t="shared" si="2"/>
        <v>37040003.993909001</v>
      </c>
      <c r="C34" s="8">
        <f t="shared" si="3"/>
        <v>12346667.99796967</v>
      </c>
      <c r="D34" s="10">
        <f t="shared" si="4"/>
        <v>24693335.995939329</v>
      </c>
      <c r="E34" s="10">
        <f t="shared" si="5"/>
        <v>40129219.181144983</v>
      </c>
      <c r="F34" s="10">
        <f t="shared" si="6"/>
        <v>-13620797</v>
      </c>
      <c r="G34" s="10">
        <f t="shared" si="1"/>
        <v>487301.80665588105</v>
      </c>
      <c r="H34" s="10">
        <f t="shared" si="7"/>
        <v>26995723.987800863</v>
      </c>
    </row>
    <row r="35" spans="1:8">
      <c r="A35" s="249">
        <v>45809</v>
      </c>
      <c r="B35" s="10">
        <f t="shared" si="2"/>
        <v>24693335.995939329</v>
      </c>
      <c r="C35" s="8">
        <f t="shared" si="3"/>
        <v>12346667.99796967</v>
      </c>
      <c r="D35" s="10">
        <f t="shared" si="4"/>
        <v>12346667.997969659</v>
      </c>
      <c r="E35" s="10">
        <f t="shared" si="5"/>
        <v>26995723.987800863</v>
      </c>
      <c r="F35" s="10">
        <f t="shared" si="6"/>
        <v>-13620797</v>
      </c>
      <c r="G35" s="10">
        <f t="shared" si="1"/>
        <v>245870.01219867944</v>
      </c>
      <c r="H35" s="10">
        <f t="shared" si="7"/>
        <v>13620796.999999542</v>
      </c>
    </row>
    <row r="36" spans="1:8">
      <c r="A36" s="249">
        <v>45901</v>
      </c>
      <c r="B36" s="10">
        <f t="shared" si="2"/>
        <v>12346667.997969659</v>
      </c>
      <c r="C36" s="8">
        <f t="shared" si="3"/>
        <v>12346667.99796967</v>
      </c>
      <c r="D36" s="10">
        <f t="shared" si="4"/>
        <v>0</v>
      </c>
      <c r="E36" s="10">
        <f t="shared" si="5"/>
        <v>13620796.999999542</v>
      </c>
      <c r="F36" s="10">
        <f t="shared" si="6"/>
        <v>-13620797</v>
      </c>
      <c r="G36" s="10">
        <f t="shared" si="1"/>
        <v>-8.4232438914477833E-9</v>
      </c>
      <c r="H36" s="10">
        <f t="shared" si="7"/>
        <v>-4.6663395060226321E-7</v>
      </c>
    </row>
  </sheetData>
  <mergeCells count="2">
    <mergeCell ref="B23:D23"/>
    <mergeCell ref="E23:H23"/>
  </mergeCells>
  <pageMargins left="0.7" right="0.7" top="0.75" bottom="0.75" header="0.3" footer="0.3"/>
  <ignoredErrors>
    <ignoredError sqref="I15"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B14A7-3FFF-4CA9-9B78-0F670A897C74}">
  <dimension ref="A1:O44"/>
  <sheetViews>
    <sheetView showGridLines="0" topLeftCell="A5" workbookViewId="0">
      <selection activeCell="B17" sqref="B17"/>
    </sheetView>
  </sheetViews>
  <sheetFormatPr defaultColWidth="8.796875" defaultRowHeight="13.3"/>
  <cols>
    <col min="1" max="1" width="38.09765625" style="2" bestFit="1" customWidth="1"/>
    <col min="2" max="2" width="11.5" style="2" bestFit="1" customWidth="1"/>
    <col min="3" max="3" width="18.796875" style="2" bestFit="1" customWidth="1"/>
    <col min="4" max="4" width="11.19921875" style="2" bestFit="1" customWidth="1"/>
    <col min="5" max="5" width="13.59765625" style="2" bestFit="1" customWidth="1"/>
    <col min="6" max="6" width="11.09765625" style="2" bestFit="1" customWidth="1"/>
    <col min="7" max="7" width="10.8984375" style="2" bestFit="1" customWidth="1"/>
    <col min="8" max="9" width="17.296875" style="2" bestFit="1" customWidth="1"/>
    <col min="10" max="11" width="10.796875" style="2" bestFit="1" customWidth="1"/>
    <col min="12" max="12" width="9.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9" spans="1:12" ht="14.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223">
        <v>7.9066890000000001E-2</v>
      </c>
      <c r="C13" s="208">
        <v>44562</v>
      </c>
      <c r="D13" s="208">
        <v>46387</v>
      </c>
      <c r="E13" s="73">
        <v>0</v>
      </c>
      <c r="F13" s="73">
        <v>24065685.959999993</v>
      </c>
      <c r="G13" s="77">
        <v>18049264.38000001</v>
      </c>
      <c r="H13" s="73">
        <v>2374434.6399999997</v>
      </c>
      <c r="I13" s="73">
        <v>28060000</v>
      </c>
      <c r="J13" s="73">
        <v>20637101.480000004</v>
      </c>
      <c r="K13" s="73">
        <v>20637101.48</v>
      </c>
      <c r="L13" s="73">
        <f>'Details 25-26'!U86</f>
        <v>0</v>
      </c>
    </row>
    <row r="14" spans="1:12">
      <c r="A14" s="74" t="s">
        <v>104</v>
      </c>
      <c r="B14" s="92">
        <v>7.9066890000000001E-2</v>
      </c>
      <c r="C14" s="208">
        <v>44562</v>
      </c>
      <c r="D14" s="208">
        <v>46387</v>
      </c>
      <c r="E14" s="73">
        <v>0</v>
      </c>
      <c r="F14" s="73">
        <f>SUM(C38:C41)</f>
        <v>23447281.754070453</v>
      </c>
      <c r="G14" s="77">
        <f>D41</f>
        <v>17585461.315552816</v>
      </c>
      <c r="H14" s="73">
        <f>SUM(G38:G41)</f>
        <v>2359717.5294951252</v>
      </c>
      <c r="I14" s="73">
        <f>-SUM(F38:F41)</f>
        <v>28060000</v>
      </c>
      <c r="J14" s="77">
        <f>H41</f>
        <v>20639708.406622097</v>
      </c>
      <c r="K14" s="8">
        <f>J14</f>
        <v>20639708.406622097</v>
      </c>
      <c r="L14" s="8">
        <v>0</v>
      </c>
    </row>
    <row r="15" spans="1:12">
      <c r="A15" s="86" t="s">
        <v>32</v>
      </c>
      <c r="B15" s="92">
        <f t="shared" ref="B15:L15" si="0">B13-B14</f>
        <v>0</v>
      </c>
      <c r="C15" s="87">
        <f t="shared" si="0"/>
        <v>0</v>
      </c>
      <c r="D15" s="87">
        <f t="shared" si="0"/>
        <v>0</v>
      </c>
      <c r="E15" s="8">
        <f t="shared" si="0"/>
        <v>0</v>
      </c>
      <c r="F15" s="8">
        <f>F13-F14</f>
        <v>618404.2059295401</v>
      </c>
      <c r="G15" s="8">
        <f t="shared" si="0"/>
        <v>463803.06444719434</v>
      </c>
      <c r="H15" s="8">
        <f>H13-H14</f>
        <v>14717.110504874494</v>
      </c>
      <c r="I15" s="8">
        <f>I13-I14</f>
        <v>0</v>
      </c>
      <c r="J15" s="8">
        <f>J13-J14</f>
        <v>-2606.9266220927238</v>
      </c>
      <c r="K15" s="8">
        <f t="shared" si="0"/>
        <v>-2606.9266220964491</v>
      </c>
      <c r="L15" s="8">
        <f t="shared" si="0"/>
        <v>0</v>
      </c>
    </row>
    <row r="16" spans="1:12">
      <c r="B16" s="90"/>
      <c r="C16" s="53"/>
      <c r="E16" s="53"/>
      <c r="G16" s="53"/>
      <c r="H16" s="53"/>
    </row>
    <row r="17" spans="1:15">
      <c r="A17" s="14" t="s">
        <v>173</v>
      </c>
      <c r="B17" s="251">
        <v>7015000</v>
      </c>
      <c r="C17" s="88" t="s">
        <v>107</v>
      </c>
      <c r="E17" s="53"/>
      <c r="F17" s="53"/>
      <c r="G17" s="53"/>
      <c r="H17" s="53"/>
      <c r="I17" s="53"/>
      <c r="J17" s="53"/>
    </row>
    <row r="18" spans="1:15">
      <c r="A18" s="14" t="s">
        <v>174</v>
      </c>
      <c r="B18" s="91">
        <f>B14/4</f>
        <v>1.97667225E-2</v>
      </c>
      <c r="C18" s="88" t="s">
        <v>106</v>
      </c>
    </row>
    <row r="19" spans="1:15">
      <c r="A19" s="14" t="s">
        <v>175</v>
      </c>
      <c r="B19" s="89">
        <f>ROUND(((D14-C14)/30.5),0)/3</f>
        <v>20</v>
      </c>
      <c r="C19" s="88" t="s">
        <v>117</v>
      </c>
      <c r="E19" s="53"/>
      <c r="G19" s="53"/>
    </row>
    <row r="20" spans="1:15">
      <c r="A20" s="14" t="s">
        <v>110</v>
      </c>
      <c r="B20" s="7">
        <f>-PV(B18,B19,B17,,1)</f>
        <v>117236408.77035227</v>
      </c>
      <c r="C20" s="88" t="s">
        <v>117</v>
      </c>
      <c r="D20" s="224"/>
      <c r="E20" s="53"/>
      <c r="F20" s="222"/>
    </row>
    <row r="21" spans="1:15">
      <c r="A21" s="14"/>
      <c r="B21" s="7"/>
      <c r="C21" s="88"/>
      <c r="E21" s="53"/>
    </row>
    <row r="22" spans="1:15">
      <c r="A22" s="14"/>
      <c r="B22" s="7"/>
      <c r="C22" s="88"/>
      <c r="E22" s="53"/>
    </row>
    <row r="23" spans="1:15">
      <c r="B23" s="378" t="s">
        <v>185</v>
      </c>
      <c r="C23" s="378"/>
      <c r="D23" s="378"/>
      <c r="E23" s="379" t="s">
        <v>15</v>
      </c>
      <c r="F23" s="379"/>
      <c r="G23" s="379"/>
      <c r="H23" s="379"/>
    </row>
    <row r="24" spans="1:15" s="84" customFormat="1">
      <c r="A24" s="5" t="s">
        <v>176</v>
      </c>
      <c r="B24" s="79" t="s">
        <v>112</v>
      </c>
      <c r="C24" s="79" t="s">
        <v>133</v>
      </c>
      <c r="D24" s="79" t="s">
        <v>111</v>
      </c>
      <c r="E24" s="79" t="s">
        <v>113</v>
      </c>
      <c r="F24" s="79" t="s">
        <v>11</v>
      </c>
      <c r="G24" s="79" t="s">
        <v>10</v>
      </c>
      <c r="H24" s="79" t="s">
        <v>57</v>
      </c>
      <c r="I24" s="2"/>
      <c r="J24" s="2"/>
      <c r="K24" s="2"/>
      <c r="L24" s="2"/>
      <c r="M24" s="2"/>
      <c r="N24" s="2"/>
      <c r="O24" s="2"/>
    </row>
    <row r="25" spans="1:15">
      <c r="A25" s="249">
        <v>44562</v>
      </c>
      <c r="B25" s="10">
        <f>B20</f>
        <v>117236408.77035227</v>
      </c>
      <c r="C25" s="8">
        <f>$B$20/$B$19</f>
        <v>5861820.4385176133</v>
      </c>
      <c r="D25" s="10">
        <f>B25-C25</f>
        <v>111374588.33183466</v>
      </c>
      <c r="E25" s="10">
        <f>B25</f>
        <v>117236408.77035227</v>
      </c>
      <c r="F25" s="10">
        <f>-$B$17</f>
        <v>-7015000</v>
      </c>
      <c r="G25" s="10">
        <f t="shared" ref="G25:G36" si="1">(E25+F25)*$B$18</f>
        <v>2178716.0007226197</v>
      </c>
      <c r="H25" s="10">
        <f>E25+F25+G25</f>
        <v>112400124.77107489</v>
      </c>
    </row>
    <row r="26" spans="1:15">
      <c r="A26" s="249">
        <v>44652</v>
      </c>
      <c r="B26" s="10">
        <f t="shared" ref="B26:B36" si="2">D25</f>
        <v>111374588.33183466</v>
      </c>
      <c r="C26" s="8">
        <f t="shared" ref="C26:C44" si="3">$B$20/$B$19</f>
        <v>5861820.4385176133</v>
      </c>
      <c r="D26" s="10">
        <f t="shared" ref="D26:D36" si="4">B26-C26</f>
        <v>105512767.89331704</v>
      </c>
      <c r="E26" s="10">
        <f t="shared" ref="E26:E36" si="5">H25</f>
        <v>112400124.77107489</v>
      </c>
      <c r="F26" s="10">
        <f t="shared" ref="F26:F44" si="6">-$B$17</f>
        <v>-7015000</v>
      </c>
      <c r="G26" s="10">
        <f t="shared" si="1"/>
        <v>2083118.5169777134</v>
      </c>
      <c r="H26" s="10">
        <f t="shared" ref="H26:H36" si="7">E26+F26+G26</f>
        <v>107468243.2880526</v>
      </c>
    </row>
    <row r="27" spans="1:15">
      <c r="A27" s="249">
        <v>44743</v>
      </c>
      <c r="B27" s="10">
        <f t="shared" si="2"/>
        <v>105512767.89331704</v>
      </c>
      <c r="C27" s="8">
        <f t="shared" si="3"/>
        <v>5861820.4385176133</v>
      </c>
      <c r="D27" s="10">
        <f t="shared" si="4"/>
        <v>99650947.454799429</v>
      </c>
      <c r="E27" s="10">
        <f t="shared" si="5"/>
        <v>107468243.2880526</v>
      </c>
      <c r="F27" s="10">
        <f t="shared" si="6"/>
        <v>-7015000</v>
      </c>
      <c r="G27" s="10">
        <f t="shared" si="1"/>
        <v>1985631.3842999234</v>
      </c>
      <c r="H27" s="10">
        <f t="shared" si="7"/>
        <v>102438874.67235252</v>
      </c>
    </row>
    <row r="28" spans="1:15">
      <c r="A28" s="249">
        <v>44835</v>
      </c>
      <c r="B28" s="10">
        <f>D27</f>
        <v>99650947.454799429</v>
      </c>
      <c r="C28" s="8">
        <f t="shared" si="3"/>
        <v>5861820.4385176133</v>
      </c>
      <c r="D28" s="10">
        <f t="shared" si="4"/>
        <v>93789127.016281813</v>
      </c>
      <c r="E28" s="10">
        <f>H27</f>
        <v>102438874.67235252</v>
      </c>
      <c r="F28" s="10">
        <f t="shared" si="6"/>
        <v>-7015000</v>
      </c>
      <c r="G28" s="10">
        <f t="shared" si="1"/>
        <v>1886217.2505231707</v>
      </c>
      <c r="H28" s="10">
        <f t="shared" si="7"/>
        <v>97310091.922875687</v>
      </c>
    </row>
    <row r="29" spans="1:15">
      <c r="A29" s="249">
        <v>44927</v>
      </c>
      <c r="B29" s="10">
        <f t="shared" si="2"/>
        <v>93789127.016281813</v>
      </c>
      <c r="C29" s="8">
        <f t="shared" si="3"/>
        <v>5861820.4385176133</v>
      </c>
      <c r="D29" s="10">
        <f t="shared" si="4"/>
        <v>87927306.577764198</v>
      </c>
      <c r="E29" s="10">
        <f t="shared" si="5"/>
        <v>97310091.922875687</v>
      </c>
      <c r="F29" s="10">
        <f t="shared" si="6"/>
        <v>-7015000</v>
      </c>
      <c r="G29" s="10">
        <f t="shared" si="1"/>
        <v>1784838.0251514751</v>
      </c>
      <c r="H29" s="10">
        <f t="shared" si="7"/>
        <v>92079929.948027164</v>
      </c>
    </row>
    <row r="30" spans="1:15">
      <c r="A30" s="249">
        <v>45017</v>
      </c>
      <c r="B30" s="10">
        <f t="shared" si="2"/>
        <v>87927306.577764198</v>
      </c>
      <c r="C30" s="8">
        <f t="shared" si="3"/>
        <v>5861820.4385176133</v>
      </c>
      <c r="D30" s="10">
        <f t="shared" si="4"/>
        <v>82065486.139246583</v>
      </c>
      <c r="E30" s="10">
        <f t="shared" si="5"/>
        <v>92079929.948027164</v>
      </c>
      <c r="F30" s="10">
        <f t="shared" si="6"/>
        <v>-7015000</v>
      </c>
      <c r="G30" s="10">
        <f t="shared" si="1"/>
        <v>1681454.8647645924</v>
      </c>
      <c r="H30" s="10">
        <f t="shared" si="7"/>
        <v>86746384.81279175</v>
      </c>
    </row>
    <row r="31" spans="1:15">
      <c r="A31" s="249">
        <v>45108</v>
      </c>
      <c r="B31" s="10">
        <f t="shared" si="2"/>
        <v>82065486.139246583</v>
      </c>
      <c r="C31" s="8">
        <f t="shared" si="3"/>
        <v>5861820.4385176133</v>
      </c>
      <c r="D31" s="10">
        <f t="shared" si="4"/>
        <v>76203665.700728968</v>
      </c>
      <c r="E31" s="10">
        <f t="shared" si="5"/>
        <v>86746384.81279175</v>
      </c>
      <c r="F31" s="10">
        <f t="shared" si="6"/>
        <v>-7015000</v>
      </c>
      <c r="G31" s="10">
        <f t="shared" si="1"/>
        <v>1576028.158135169</v>
      </c>
      <c r="H31" s="10">
        <f t="shared" si="7"/>
        <v>81307412.970926926</v>
      </c>
    </row>
    <row r="32" spans="1:15">
      <c r="A32" s="249">
        <v>45200</v>
      </c>
      <c r="B32" s="10">
        <f t="shared" si="2"/>
        <v>76203665.700728968</v>
      </c>
      <c r="C32" s="8">
        <f t="shared" si="3"/>
        <v>5861820.4385176133</v>
      </c>
      <c r="D32" s="10">
        <f>B32-C32</f>
        <v>70341845.262211353</v>
      </c>
      <c r="E32" s="10">
        <f>H31</f>
        <v>81307412.970926926</v>
      </c>
      <c r="F32" s="10">
        <f t="shared" si="6"/>
        <v>-7015000</v>
      </c>
      <c r="G32" s="10">
        <f t="shared" si="1"/>
        <v>1468517.511051713</v>
      </c>
      <c r="H32" s="10">
        <f t="shared" si="7"/>
        <v>75760930.48197864</v>
      </c>
    </row>
    <row r="33" spans="1:8">
      <c r="A33" s="249">
        <v>45292</v>
      </c>
      <c r="B33" s="10">
        <f t="shared" si="2"/>
        <v>70341845.262211353</v>
      </c>
      <c r="C33" s="8">
        <f t="shared" si="3"/>
        <v>5861820.4385176133</v>
      </c>
      <c r="D33" s="10">
        <f t="shared" si="4"/>
        <v>64480024.823693737</v>
      </c>
      <c r="E33" s="10">
        <f t="shared" si="5"/>
        <v>75760930.48197864</v>
      </c>
      <c r="F33" s="10">
        <f t="shared" si="6"/>
        <v>-7015000</v>
      </c>
      <c r="G33" s="10">
        <f t="shared" si="1"/>
        <v>1358881.7308415631</v>
      </c>
      <c r="H33" s="10">
        <f t="shared" si="7"/>
        <v>70104812.212820202</v>
      </c>
    </row>
    <row r="34" spans="1:8">
      <c r="A34" s="249">
        <v>45383</v>
      </c>
      <c r="B34" s="10">
        <f t="shared" si="2"/>
        <v>64480024.823693737</v>
      </c>
      <c r="C34" s="8">
        <f t="shared" si="3"/>
        <v>5861820.4385176133</v>
      </c>
      <c r="D34" s="10">
        <f t="shared" si="4"/>
        <v>58618204.385176122</v>
      </c>
      <c r="E34" s="10">
        <f t="shared" si="5"/>
        <v>70104812.212820202</v>
      </c>
      <c r="F34" s="10">
        <f t="shared" si="6"/>
        <v>-7015000</v>
      </c>
      <c r="G34" s="10">
        <f t="shared" si="1"/>
        <v>1247078.8105879279</v>
      </c>
      <c r="H34" s="10">
        <f t="shared" si="7"/>
        <v>64336891.02340813</v>
      </c>
    </row>
    <row r="35" spans="1:8">
      <c r="A35" s="249">
        <v>45474</v>
      </c>
      <c r="B35" s="10">
        <f t="shared" si="2"/>
        <v>58618204.385176122</v>
      </c>
      <c r="C35" s="8">
        <f t="shared" si="3"/>
        <v>5861820.4385176133</v>
      </c>
      <c r="D35" s="10">
        <f t="shared" si="4"/>
        <v>52756383.946658507</v>
      </c>
      <c r="E35" s="10">
        <f t="shared" si="5"/>
        <v>64336891.02340813</v>
      </c>
      <c r="F35" s="10">
        <f t="shared" si="6"/>
        <v>-7015000</v>
      </c>
      <c r="G35" s="10">
        <f t="shared" si="1"/>
        <v>1133065.9130349495</v>
      </c>
      <c r="H35" s="10">
        <f t="shared" si="7"/>
        <v>58454956.936443076</v>
      </c>
    </row>
    <row r="36" spans="1:8">
      <c r="A36" s="249">
        <v>45566</v>
      </c>
      <c r="B36" s="10">
        <f t="shared" si="2"/>
        <v>52756383.946658507</v>
      </c>
      <c r="C36" s="8">
        <f t="shared" si="3"/>
        <v>5861820.4385176133</v>
      </c>
      <c r="D36" s="10">
        <f t="shared" si="4"/>
        <v>46894563.508140892</v>
      </c>
      <c r="E36" s="10">
        <f t="shared" si="5"/>
        <v>58454956.936443076</v>
      </c>
      <c r="F36" s="10">
        <f t="shared" si="6"/>
        <v>-7015000</v>
      </c>
      <c r="G36" s="10">
        <f t="shared" si="1"/>
        <v>1016799.3541746205</v>
      </c>
      <c r="H36" s="10">
        <f t="shared" si="7"/>
        <v>52456756.290617697</v>
      </c>
    </row>
    <row r="37" spans="1:8">
      <c r="A37" s="249">
        <v>45658</v>
      </c>
      <c r="B37" s="10">
        <f t="shared" ref="B37:B41" si="8">D36</f>
        <v>46894563.508140892</v>
      </c>
      <c r="C37" s="8">
        <f t="shared" si="3"/>
        <v>5861820.4385176133</v>
      </c>
      <c r="D37" s="10">
        <f t="shared" ref="D37:D41" si="9">B37-C37</f>
        <v>41032743.069623277</v>
      </c>
      <c r="E37" s="10">
        <f t="shared" ref="E37:E41" si="10">H36</f>
        <v>52456756.290617697</v>
      </c>
      <c r="F37" s="10">
        <f t="shared" si="6"/>
        <v>-7015000</v>
      </c>
      <c r="G37" s="10">
        <f t="shared" ref="G37:G41" si="11">(E37+F37)*$B$18</f>
        <v>898234.58650926943</v>
      </c>
      <c r="H37" s="10">
        <f t="shared" ref="H37:H41" si="12">E37+F37+G37</f>
        <v>46339990.877126969</v>
      </c>
    </row>
    <row r="38" spans="1:8">
      <c r="A38" s="249">
        <v>45748</v>
      </c>
      <c r="B38" s="10">
        <f t="shared" si="8"/>
        <v>41032743.069623277</v>
      </c>
      <c r="C38" s="8">
        <f t="shared" si="3"/>
        <v>5861820.4385176133</v>
      </c>
      <c r="D38" s="10">
        <f t="shared" si="9"/>
        <v>35170922.631105661</v>
      </c>
      <c r="E38" s="10">
        <f t="shared" si="10"/>
        <v>46339990.877126969</v>
      </c>
      <c r="F38" s="10">
        <f t="shared" si="6"/>
        <v>-7015000</v>
      </c>
      <c r="G38" s="10">
        <f t="shared" si="11"/>
        <v>777326.18198320037</v>
      </c>
      <c r="H38" s="10">
        <f t="shared" si="12"/>
        <v>40102317.059110172</v>
      </c>
    </row>
    <row r="39" spans="1:8">
      <c r="A39" s="249">
        <v>45839</v>
      </c>
      <c r="B39" s="10">
        <f t="shared" si="8"/>
        <v>35170922.631105661</v>
      </c>
      <c r="C39" s="8">
        <f t="shared" si="3"/>
        <v>5861820.4385176133</v>
      </c>
      <c r="D39" s="10">
        <f t="shared" si="9"/>
        <v>29309102.192588046</v>
      </c>
      <c r="E39" s="10">
        <f t="shared" si="10"/>
        <v>40102317.059110172</v>
      </c>
      <c r="F39" s="10">
        <f t="shared" si="6"/>
        <v>-7015000</v>
      </c>
      <c r="G39" s="10">
        <f t="shared" si="11"/>
        <v>654027.8145769469</v>
      </c>
      <c r="H39" s="10">
        <f t="shared" si="12"/>
        <v>33741344.873687118</v>
      </c>
    </row>
    <row r="40" spans="1:8">
      <c r="A40" s="249">
        <v>45931</v>
      </c>
      <c r="B40" s="10">
        <f t="shared" si="8"/>
        <v>29309102.192588046</v>
      </c>
      <c r="C40" s="8">
        <f t="shared" si="3"/>
        <v>5861820.4385176133</v>
      </c>
      <c r="D40" s="10">
        <f t="shared" si="9"/>
        <v>23447281.754070431</v>
      </c>
      <c r="E40" s="10">
        <f t="shared" si="10"/>
        <v>33741344.873687118</v>
      </c>
      <c r="F40" s="10">
        <f t="shared" si="6"/>
        <v>-7015000</v>
      </c>
      <c r="G40" s="10">
        <f t="shared" si="11"/>
        <v>528292.2425574708</v>
      </c>
      <c r="H40" s="10">
        <f t="shared" si="12"/>
        <v>27254637.116244588</v>
      </c>
    </row>
    <row r="41" spans="1:8">
      <c r="A41" s="249">
        <v>46023</v>
      </c>
      <c r="B41" s="10">
        <f t="shared" si="8"/>
        <v>23447281.754070431</v>
      </c>
      <c r="C41" s="8">
        <f t="shared" si="3"/>
        <v>5861820.4385176133</v>
      </c>
      <c r="D41" s="10">
        <f t="shared" si="9"/>
        <v>17585461.315552816</v>
      </c>
      <c r="E41" s="10">
        <f t="shared" si="10"/>
        <v>27254637.116244588</v>
      </c>
      <c r="F41" s="10">
        <f t="shared" si="6"/>
        <v>-7015000</v>
      </c>
      <c r="G41" s="10">
        <f t="shared" si="11"/>
        <v>400071.29037750704</v>
      </c>
      <c r="H41" s="10">
        <f t="shared" si="12"/>
        <v>20639708.406622097</v>
      </c>
    </row>
    <row r="42" spans="1:8">
      <c r="A42" s="249">
        <v>46113</v>
      </c>
      <c r="B42" s="10">
        <f t="shared" ref="B42:B44" si="13">D41</f>
        <v>17585461.315552816</v>
      </c>
      <c r="C42" s="8">
        <f t="shared" si="3"/>
        <v>5861820.4385176133</v>
      </c>
      <c r="D42" s="10">
        <f t="shared" ref="D42:D44" si="14">B42-C42</f>
        <v>11723640.877035202</v>
      </c>
      <c r="E42" s="10">
        <f t="shared" ref="E42:E44" si="15">H41</f>
        <v>20639708.406622097</v>
      </c>
      <c r="F42" s="10">
        <f t="shared" si="6"/>
        <v>-7015000</v>
      </c>
      <c r="G42" s="10">
        <f t="shared" ref="G42:G44" si="16">(E42+F42)*$B$18</f>
        <v>269315.83021711616</v>
      </c>
      <c r="H42" s="10">
        <f t="shared" ref="H42:H44" si="17">E42+F42+G42</f>
        <v>13894024.236839212</v>
      </c>
    </row>
    <row r="43" spans="1:8">
      <c r="A43" s="249">
        <v>46204</v>
      </c>
      <c r="B43" s="10">
        <f t="shared" si="13"/>
        <v>11723640.877035202</v>
      </c>
      <c r="C43" s="8">
        <f t="shared" si="3"/>
        <v>5861820.4385176133</v>
      </c>
      <c r="D43" s="10">
        <f t="shared" si="14"/>
        <v>5861820.4385175891</v>
      </c>
      <c r="E43" s="10">
        <f t="shared" si="15"/>
        <v>13894024.236839212</v>
      </c>
      <c r="F43" s="10">
        <f t="shared" si="6"/>
        <v>-7015000</v>
      </c>
      <c r="G43" s="10">
        <f t="shared" si="16"/>
        <v>135975.76316037501</v>
      </c>
      <c r="H43" s="10">
        <f t="shared" si="17"/>
        <v>7014999.9999995874</v>
      </c>
    </row>
    <row r="44" spans="1:8">
      <c r="A44" s="249">
        <v>46296</v>
      </c>
      <c r="B44" s="10">
        <f t="shared" si="13"/>
        <v>5861820.4385175891</v>
      </c>
      <c r="C44" s="8">
        <f t="shared" si="3"/>
        <v>5861820.4385176133</v>
      </c>
      <c r="D44" s="10">
        <f t="shared" si="14"/>
        <v>-2.4214386940002441E-8</v>
      </c>
      <c r="E44" s="10">
        <f t="shared" si="15"/>
        <v>7014999.9999995874</v>
      </c>
      <c r="F44" s="10">
        <f t="shared" si="6"/>
        <v>-7015000</v>
      </c>
      <c r="G44" s="10">
        <f t="shared" si="16"/>
        <v>-8.1552733364515007E-9</v>
      </c>
      <c r="H44" s="10">
        <f t="shared" si="17"/>
        <v>-4.2073117389110847E-7</v>
      </c>
    </row>
  </sheetData>
  <mergeCells count="2">
    <mergeCell ref="B23:D23"/>
    <mergeCell ref="E23:H2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0F3D8-6C6C-41B7-A2CF-C8F5EFB0BE12}">
  <dimension ref="A1:P39"/>
  <sheetViews>
    <sheetView showGridLines="0" zoomScale="89" workbookViewId="0">
      <selection activeCell="B14" sqref="B14"/>
    </sheetView>
  </sheetViews>
  <sheetFormatPr defaultColWidth="8.796875" defaultRowHeight="13.3"/>
  <cols>
    <col min="1" max="1" width="26.5" style="2" customWidth="1"/>
    <col min="2" max="2" width="16.796875" style="2" bestFit="1" customWidth="1"/>
    <col min="3" max="4" width="19" style="2" bestFit="1" customWidth="1"/>
    <col min="5" max="6" width="13.796875" style="2" bestFit="1" customWidth="1"/>
    <col min="7" max="7" width="14.796875" style="2" bestFit="1" customWidth="1"/>
    <col min="8" max="9" width="17.5" style="2" bestFit="1" customWidth="1"/>
    <col min="10" max="11" width="11.5" style="2" bestFit="1" customWidth="1"/>
    <col min="12" max="12" width="12.79687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9" spans="1:12" ht="14.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92">
        <v>0.08</v>
      </c>
      <c r="C13" s="85">
        <v>44287</v>
      </c>
      <c r="D13" s="85">
        <v>46203</v>
      </c>
      <c r="E13" s="73">
        <v>0</v>
      </c>
      <c r="F13" s="73">
        <v>35727323.55777856</v>
      </c>
      <c r="G13" s="77">
        <v>8809477.0416440293</v>
      </c>
      <c r="H13" s="73">
        <v>2835218.9933752008</v>
      </c>
      <c r="I13" s="73">
        <v>33093224.376969598</v>
      </c>
      <c r="J13" s="77">
        <v>1957695.885486491</v>
      </c>
      <c r="K13" s="77">
        <v>1957695.8854864947</v>
      </c>
      <c r="L13" s="77">
        <v>0</v>
      </c>
    </row>
    <row r="14" spans="1:12">
      <c r="A14" s="74" t="s">
        <v>104</v>
      </c>
      <c r="B14" s="92"/>
      <c r="C14" s="85">
        <v>44281</v>
      </c>
      <c r="D14" s="85">
        <v>46106</v>
      </c>
      <c r="E14" s="73">
        <v>0</v>
      </c>
      <c r="F14" s="73">
        <f>(D27*1/3)+SUM(D28:D30)+D31*2/3</f>
        <v>5518596</v>
      </c>
      <c r="G14" s="77">
        <f>E31+(D31*1/3)</f>
        <v>11497075</v>
      </c>
      <c r="H14" s="73">
        <f>(H27*1/3)+SUM(H28:H30)+H31*2/3</f>
        <v>0</v>
      </c>
      <c r="I14" s="73">
        <f>-SUM(G28:G31)</f>
        <v>5518596</v>
      </c>
      <c r="J14" s="77">
        <f>I31-(H31*1/3)</f>
        <v>11037192</v>
      </c>
      <c r="K14" s="8">
        <f>J14-L14</f>
        <v>5518596</v>
      </c>
      <c r="L14" s="8">
        <f>I35-(H35/3)</f>
        <v>5518596</v>
      </c>
    </row>
    <row r="15" spans="1:12">
      <c r="A15" s="86" t="s">
        <v>32</v>
      </c>
      <c r="B15" s="92">
        <f t="shared" ref="B15:L15" si="0">B13-B14</f>
        <v>0.08</v>
      </c>
      <c r="C15" s="87">
        <f t="shared" si="0"/>
        <v>6</v>
      </c>
      <c r="D15" s="87">
        <f t="shared" si="0"/>
        <v>97</v>
      </c>
      <c r="E15" s="8">
        <f t="shared" si="0"/>
        <v>0</v>
      </c>
      <c r="F15" s="8">
        <f t="shared" si="0"/>
        <v>30208727.55777856</v>
      </c>
      <c r="G15" s="8">
        <f t="shared" si="0"/>
        <v>-2687597.9583559707</v>
      </c>
      <c r="H15" s="8">
        <f t="shared" si="0"/>
        <v>2835218.9933752008</v>
      </c>
      <c r="I15" s="8">
        <f t="shared" si="0"/>
        <v>27574628.376969598</v>
      </c>
      <c r="J15" s="8">
        <f>J13-J14</f>
        <v>-9079496.114513509</v>
      </c>
      <c r="K15" s="8">
        <f t="shared" si="0"/>
        <v>-3560900.1145135053</v>
      </c>
      <c r="L15" s="8">
        <f t="shared" si="0"/>
        <v>-5518596</v>
      </c>
    </row>
    <row r="16" spans="1:12">
      <c r="B16" s="90"/>
      <c r="C16" s="53"/>
      <c r="E16" s="53"/>
      <c r="G16" s="53"/>
      <c r="H16" s="53"/>
    </row>
    <row r="17" spans="1:16">
      <c r="A17" s="14" t="s">
        <v>173</v>
      </c>
      <c r="B17" s="7">
        <v>1379649</v>
      </c>
      <c r="C17" s="88" t="s">
        <v>107</v>
      </c>
      <c r="E17" s="53"/>
      <c r="F17" s="53"/>
      <c r="G17" s="53"/>
      <c r="H17" s="53"/>
      <c r="I17" s="53"/>
      <c r="J17" s="53"/>
    </row>
    <row r="18" spans="1:16">
      <c r="A18" s="14" t="s">
        <v>174</v>
      </c>
      <c r="B18" s="91">
        <f>B14/4</f>
        <v>0</v>
      </c>
      <c r="C18" s="88" t="s">
        <v>106</v>
      </c>
    </row>
    <row r="19" spans="1:16">
      <c r="A19" s="14" t="s">
        <v>175</v>
      </c>
      <c r="B19" s="89">
        <f>60/4</f>
        <v>15</v>
      </c>
      <c r="C19" s="88" t="s">
        <v>117</v>
      </c>
      <c r="E19" s="53"/>
      <c r="G19" s="53"/>
    </row>
    <row r="20" spans="1:16">
      <c r="A20" s="14" t="s">
        <v>110</v>
      </c>
      <c r="B20" s="7">
        <f>-PV(B18,B19,B17,,1)</f>
        <v>20694735</v>
      </c>
      <c r="C20" s="88" t="s">
        <v>117</v>
      </c>
      <c r="D20" s="224"/>
      <c r="E20" s="53"/>
      <c r="F20" s="222"/>
    </row>
    <row r="21" spans="1:16">
      <c r="A21" s="14"/>
      <c r="B21" s="7"/>
      <c r="C21" s="88"/>
      <c r="E21" s="53"/>
    </row>
    <row r="22" spans="1:16">
      <c r="A22" s="14"/>
      <c r="B22" s="7"/>
      <c r="C22" s="88"/>
      <c r="E22" s="53"/>
    </row>
    <row r="23" spans="1:16">
      <c r="B23" s="89"/>
      <c r="C23" s="378" t="s">
        <v>185</v>
      </c>
      <c r="D23" s="378"/>
      <c r="E23" s="378"/>
      <c r="F23" s="379" t="s">
        <v>15</v>
      </c>
      <c r="G23" s="379"/>
      <c r="H23" s="379"/>
      <c r="I23" s="379"/>
    </row>
    <row r="24" spans="1:16" s="84" customFormat="1">
      <c r="A24" s="5" t="s">
        <v>176</v>
      </c>
      <c r="B24" s="5" t="s">
        <v>177</v>
      </c>
      <c r="C24" s="79" t="s">
        <v>112</v>
      </c>
      <c r="D24" s="79" t="s">
        <v>133</v>
      </c>
      <c r="E24" s="79" t="s">
        <v>111</v>
      </c>
      <c r="F24" s="79" t="s">
        <v>113</v>
      </c>
      <c r="G24" s="79" t="s">
        <v>11</v>
      </c>
      <c r="H24" s="79" t="s">
        <v>10</v>
      </c>
      <c r="I24" s="79" t="s">
        <v>57</v>
      </c>
      <c r="J24" s="2"/>
      <c r="K24" s="2"/>
      <c r="L24" s="2"/>
      <c r="M24" s="2"/>
      <c r="N24" s="2"/>
      <c r="O24" s="2"/>
      <c r="P24" s="2"/>
    </row>
    <row r="25" spans="1:16">
      <c r="A25" s="93">
        <v>45505</v>
      </c>
      <c r="B25" s="93">
        <v>45596</v>
      </c>
      <c r="C25" s="10">
        <f>B20</f>
        <v>20694735</v>
      </c>
      <c r="D25" s="8">
        <f>$B$20/$B$19</f>
        <v>1379649</v>
      </c>
      <c r="E25" s="10">
        <f>C25-D25</f>
        <v>19315086</v>
      </c>
      <c r="F25" s="10">
        <f>C25</f>
        <v>20694735</v>
      </c>
      <c r="G25" s="10">
        <f t="shared" ref="G25:G36" si="1">-$B$17</f>
        <v>-1379649</v>
      </c>
      <c r="H25" s="10">
        <f t="shared" ref="H25:H36" si="2">(F25+G25)*$B$18</f>
        <v>0</v>
      </c>
      <c r="I25" s="10">
        <f>F25+G25+H25</f>
        <v>19315086</v>
      </c>
    </row>
    <row r="26" spans="1:16">
      <c r="A26" s="93">
        <v>45597</v>
      </c>
      <c r="B26" s="93">
        <v>45688</v>
      </c>
      <c r="C26" s="10">
        <f t="shared" ref="C26:C36" si="3">E25</f>
        <v>19315086</v>
      </c>
      <c r="D26" s="8">
        <f t="shared" ref="D26:D36" si="4">$B$20/$B$19</f>
        <v>1379649</v>
      </c>
      <c r="E26" s="10">
        <f t="shared" ref="E26:E36" si="5">C26-D26</f>
        <v>17935437</v>
      </c>
      <c r="F26" s="10">
        <f t="shared" ref="F26:F36" si="6">I25</f>
        <v>19315086</v>
      </c>
      <c r="G26" s="10">
        <f t="shared" si="1"/>
        <v>-1379649</v>
      </c>
      <c r="H26" s="10">
        <f t="shared" si="2"/>
        <v>0</v>
      </c>
      <c r="I26" s="10">
        <f t="shared" ref="I26:I36" si="7">F26+G26+H26</f>
        <v>17935437</v>
      </c>
    </row>
    <row r="27" spans="1:16">
      <c r="A27" s="93">
        <v>45689</v>
      </c>
      <c r="B27" s="93">
        <v>45777</v>
      </c>
      <c r="C27" s="10">
        <f t="shared" si="3"/>
        <v>17935437</v>
      </c>
      <c r="D27" s="8">
        <f t="shared" si="4"/>
        <v>1379649</v>
      </c>
      <c r="E27" s="10">
        <f t="shared" si="5"/>
        <v>16555788</v>
      </c>
      <c r="F27" s="10">
        <f t="shared" si="6"/>
        <v>17935437</v>
      </c>
      <c r="G27" s="10">
        <f t="shared" si="1"/>
        <v>-1379649</v>
      </c>
      <c r="H27" s="10">
        <f t="shared" si="2"/>
        <v>0</v>
      </c>
      <c r="I27" s="10">
        <f t="shared" si="7"/>
        <v>16555788</v>
      </c>
    </row>
    <row r="28" spans="1:16">
      <c r="A28" s="93">
        <v>45778</v>
      </c>
      <c r="B28" s="93">
        <v>45869</v>
      </c>
      <c r="C28" s="10">
        <f>E27</f>
        <v>16555788</v>
      </c>
      <c r="D28" s="8">
        <f t="shared" si="4"/>
        <v>1379649</v>
      </c>
      <c r="E28" s="10">
        <f t="shared" si="5"/>
        <v>15176139</v>
      </c>
      <c r="F28" s="10">
        <f>I27</f>
        <v>16555788</v>
      </c>
      <c r="G28" s="10">
        <f t="shared" si="1"/>
        <v>-1379649</v>
      </c>
      <c r="H28" s="10">
        <f t="shared" si="2"/>
        <v>0</v>
      </c>
      <c r="I28" s="10">
        <f t="shared" si="7"/>
        <v>15176139</v>
      </c>
    </row>
    <row r="29" spans="1:16">
      <c r="A29" s="93">
        <v>45870</v>
      </c>
      <c r="B29" s="93">
        <v>45961</v>
      </c>
      <c r="C29" s="10">
        <f t="shared" si="3"/>
        <v>15176139</v>
      </c>
      <c r="D29" s="8">
        <f t="shared" si="4"/>
        <v>1379649</v>
      </c>
      <c r="E29" s="10">
        <f t="shared" si="5"/>
        <v>13796490</v>
      </c>
      <c r="F29" s="10">
        <f t="shared" si="6"/>
        <v>15176139</v>
      </c>
      <c r="G29" s="10">
        <f t="shared" si="1"/>
        <v>-1379649</v>
      </c>
      <c r="H29" s="10">
        <f t="shared" si="2"/>
        <v>0</v>
      </c>
      <c r="I29" s="10">
        <f t="shared" si="7"/>
        <v>13796490</v>
      </c>
    </row>
    <row r="30" spans="1:16">
      <c r="A30" s="93">
        <v>45962</v>
      </c>
      <c r="B30" s="93">
        <v>46053</v>
      </c>
      <c r="C30" s="10">
        <f t="shared" si="3"/>
        <v>13796490</v>
      </c>
      <c r="D30" s="8">
        <f t="shared" si="4"/>
        <v>1379649</v>
      </c>
      <c r="E30" s="10">
        <f t="shared" si="5"/>
        <v>12416841</v>
      </c>
      <c r="F30" s="10">
        <f t="shared" si="6"/>
        <v>13796490</v>
      </c>
      <c r="G30" s="10">
        <f t="shared" si="1"/>
        <v>-1379649</v>
      </c>
      <c r="H30" s="10">
        <f t="shared" si="2"/>
        <v>0</v>
      </c>
      <c r="I30" s="10">
        <f t="shared" si="7"/>
        <v>12416841</v>
      </c>
    </row>
    <row r="31" spans="1:16">
      <c r="A31" s="93">
        <v>46054</v>
      </c>
      <c r="B31" s="93">
        <v>46142</v>
      </c>
      <c r="C31" s="10">
        <f t="shared" si="3"/>
        <v>12416841</v>
      </c>
      <c r="D31" s="8">
        <f t="shared" si="4"/>
        <v>1379649</v>
      </c>
      <c r="E31" s="10">
        <f t="shared" si="5"/>
        <v>11037192</v>
      </c>
      <c r="F31" s="10">
        <f t="shared" si="6"/>
        <v>12416841</v>
      </c>
      <c r="G31" s="10">
        <f t="shared" si="1"/>
        <v>-1379649</v>
      </c>
      <c r="H31" s="10">
        <f t="shared" si="2"/>
        <v>0</v>
      </c>
      <c r="I31" s="10">
        <f t="shared" si="7"/>
        <v>11037192</v>
      </c>
    </row>
    <row r="32" spans="1:16">
      <c r="A32" s="93">
        <v>46143</v>
      </c>
      <c r="B32" s="93">
        <v>46234</v>
      </c>
      <c r="C32" s="10">
        <f t="shared" si="3"/>
        <v>11037192</v>
      </c>
      <c r="D32" s="8">
        <f t="shared" si="4"/>
        <v>1379649</v>
      </c>
      <c r="E32" s="10">
        <f>C32-D32</f>
        <v>9657543</v>
      </c>
      <c r="F32" s="10">
        <f>I31</f>
        <v>11037192</v>
      </c>
      <c r="G32" s="10">
        <f t="shared" si="1"/>
        <v>-1379649</v>
      </c>
      <c r="H32" s="10">
        <f t="shared" si="2"/>
        <v>0</v>
      </c>
      <c r="I32" s="10">
        <f t="shared" si="7"/>
        <v>9657543</v>
      </c>
    </row>
    <row r="33" spans="1:9">
      <c r="A33" s="93">
        <v>46235</v>
      </c>
      <c r="B33" s="93">
        <v>46326</v>
      </c>
      <c r="C33" s="10">
        <f t="shared" si="3"/>
        <v>9657543</v>
      </c>
      <c r="D33" s="8">
        <f t="shared" si="4"/>
        <v>1379649</v>
      </c>
      <c r="E33" s="10">
        <f t="shared" si="5"/>
        <v>8277894</v>
      </c>
      <c r="F33" s="10">
        <f t="shared" si="6"/>
        <v>9657543</v>
      </c>
      <c r="G33" s="10">
        <f t="shared" si="1"/>
        <v>-1379649</v>
      </c>
      <c r="H33" s="10">
        <f t="shared" si="2"/>
        <v>0</v>
      </c>
      <c r="I33" s="10">
        <f t="shared" si="7"/>
        <v>8277894</v>
      </c>
    </row>
    <row r="34" spans="1:9">
      <c r="A34" s="93">
        <v>46327</v>
      </c>
      <c r="B34" s="93">
        <v>46418</v>
      </c>
      <c r="C34" s="10">
        <f t="shared" si="3"/>
        <v>8277894</v>
      </c>
      <c r="D34" s="8">
        <f t="shared" si="4"/>
        <v>1379649</v>
      </c>
      <c r="E34" s="10">
        <f t="shared" si="5"/>
        <v>6898245</v>
      </c>
      <c r="F34" s="10">
        <f t="shared" si="6"/>
        <v>8277894</v>
      </c>
      <c r="G34" s="10">
        <f t="shared" si="1"/>
        <v>-1379649</v>
      </c>
      <c r="H34" s="10">
        <f t="shared" si="2"/>
        <v>0</v>
      </c>
      <c r="I34" s="10">
        <f t="shared" si="7"/>
        <v>6898245</v>
      </c>
    </row>
    <row r="35" spans="1:9">
      <c r="A35" s="93">
        <v>46419</v>
      </c>
      <c r="B35" s="93">
        <v>46507</v>
      </c>
      <c r="C35" s="10">
        <f t="shared" si="3"/>
        <v>6898245</v>
      </c>
      <c r="D35" s="8">
        <f t="shared" si="4"/>
        <v>1379649</v>
      </c>
      <c r="E35" s="10">
        <f t="shared" si="5"/>
        <v>5518596</v>
      </c>
      <c r="F35" s="10">
        <f t="shared" si="6"/>
        <v>6898245</v>
      </c>
      <c r="G35" s="10">
        <f t="shared" si="1"/>
        <v>-1379649</v>
      </c>
      <c r="H35" s="10">
        <f t="shared" si="2"/>
        <v>0</v>
      </c>
      <c r="I35" s="10">
        <f t="shared" si="7"/>
        <v>5518596</v>
      </c>
    </row>
    <row r="36" spans="1:9">
      <c r="A36" s="93">
        <v>46508</v>
      </c>
      <c r="B36" s="93">
        <v>46599</v>
      </c>
      <c r="C36" s="10">
        <f t="shared" si="3"/>
        <v>5518596</v>
      </c>
      <c r="D36" s="8">
        <f t="shared" si="4"/>
        <v>1379649</v>
      </c>
      <c r="E36" s="10">
        <f t="shared" si="5"/>
        <v>4138947</v>
      </c>
      <c r="F36" s="10">
        <f t="shared" si="6"/>
        <v>5518596</v>
      </c>
      <c r="G36" s="10">
        <f t="shared" si="1"/>
        <v>-1379649</v>
      </c>
      <c r="H36" s="10">
        <f t="shared" si="2"/>
        <v>0</v>
      </c>
      <c r="I36" s="10">
        <f t="shared" si="7"/>
        <v>4138947</v>
      </c>
    </row>
    <row r="39" spans="1:9">
      <c r="A39" s="14"/>
    </row>
  </sheetData>
  <mergeCells count="2">
    <mergeCell ref="C23:E23"/>
    <mergeCell ref="F23:I2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05DA-9336-400B-94D9-0A2390E97176}">
  <dimension ref="A1:L83"/>
  <sheetViews>
    <sheetView showGridLines="0" zoomScale="80" zoomScaleNormal="80" workbookViewId="0">
      <selection activeCell="A3" sqref="A1:A3"/>
    </sheetView>
  </sheetViews>
  <sheetFormatPr defaultColWidth="8.796875" defaultRowHeight="13.3"/>
  <cols>
    <col min="1" max="1" width="24.796875" style="2" customWidth="1"/>
    <col min="2" max="2" width="16.796875" style="2" bestFit="1" customWidth="1"/>
    <col min="3" max="4" width="19" style="2" bestFit="1" customWidth="1"/>
    <col min="5" max="5" width="13.796875" style="2" bestFit="1" customWidth="1"/>
    <col min="6" max="6" width="13.8984375" style="2" bestFit="1" customWidth="1"/>
    <col min="7" max="7" width="14.8984375" style="2" bestFit="1" customWidth="1"/>
    <col min="8" max="8" width="17.5" style="2" bestFit="1" customWidth="1"/>
    <col min="9" max="9" width="14.796875" style="2" bestFit="1" customWidth="1"/>
    <col min="10" max="10" width="12" style="2" bestFit="1" customWidth="1"/>
    <col min="11" max="11" width="11.59765625" style="2" bestFit="1" customWidth="1"/>
    <col min="12" max="12" width="13.8984375" style="2" bestFit="1" customWidth="1"/>
    <col min="13" max="13" width="8.796875" style="2"/>
    <col min="14" max="14" width="10.5" style="2" bestFit="1" customWidth="1"/>
    <col min="15" max="16384" width="8.796875" style="2"/>
  </cols>
  <sheetData>
    <row r="1" spans="1:12">
      <c r="A1" s="14"/>
    </row>
    <row r="2" spans="1:12">
      <c r="A2" s="14"/>
    </row>
    <row r="3" spans="1:12">
      <c r="A3" s="14"/>
    </row>
    <row r="6" spans="1:12">
      <c r="A6" s="14" t="str">
        <f>[4]Scope!A5</f>
        <v xml:space="preserve">Purpose </v>
      </c>
    </row>
    <row r="7" spans="1:12">
      <c r="A7" s="182" t="s">
        <v>59</v>
      </c>
    </row>
    <row r="10" spans="1:12">
      <c r="A10" s="14" t="s">
        <v>78</v>
      </c>
    </row>
    <row r="11" spans="1:12">
      <c r="B11" s="88"/>
      <c r="C11" s="88"/>
      <c r="D11" s="88"/>
      <c r="E11" s="88"/>
      <c r="F11" s="88"/>
      <c r="G11" s="88"/>
      <c r="H11" s="88"/>
      <c r="I11" s="88"/>
      <c r="J11" s="88"/>
    </row>
    <row r="12" spans="1:12" ht="43.1" customHeight="1">
      <c r="A12" s="5" t="s">
        <v>24</v>
      </c>
      <c r="B12" s="6" t="s">
        <v>67</v>
      </c>
      <c r="C12" s="72" t="s">
        <v>182</v>
      </c>
      <c r="D12" s="72" t="s">
        <v>69</v>
      </c>
      <c r="E12" s="4" t="s">
        <v>201</v>
      </c>
      <c r="F12" s="4" t="s">
        <v>203</v>
      </c>
      <c r="G12" s="4" t="s">
        <v>116</v>
      </c>
      <c r="H12" s="4" t="s">
        <v>10</v>
      </c>
      <c r="I12" s="4" t="s">
        <v>11</v>
      </c>
      <c r="J12" s="4" t="s">
        <v>71</v>
      </c>
      <c r="K12" s="4" t="s">
        <v>48</v>
      </c>
      <c r="L12" s="4" t="s">
        <v>47</v>
      </c>
    </row>
    <row r="13" spans="1:12">
      <c r="A13" s="74" t="s">
        <v>105</v>
      </c>
      <c r="B13" s="92">
        <v>7.485E-2</v>
      </c>
      <c r="C13" s="85">
        <v>45383</v>
      </c>
      <c r="D13" s="85">
        <v>47162</v>
      </c>
      <c r="E13" s="73">
        <v>0</v>
      </c>
      <c r="F13" s="73">
        <v>28751659.560000002</v>
      </c>
      <c r="G13" s="77">
        <v>82575450.580000013</v>
      </c>
      <c r="H13" s="73">
        <v>8154950.2400000002</v>
      </c>
      <c r="I13" s="73">
        <v>34237687.5</v>
      </c>
      <c r="J13" s="77">
        <v>97421626.019999996</v>
      </c>
      <c r="K13" s="77">
        <v>32988175.640000001</v>
      </c>
      <c r="L13" s="77">
        <v>64433450.379999995</v>
      </c>
    </row>
    <row r="14" spans="1:12">
      <c r="A14" s="74" t="s">
        <v>104</v>
      </c>
      <c r="B14" s="92">
        <f>'G Sec 1 Apr'!C25/100</f>
        <v>7.2000000000000008E-2</v>
      </c>
      <c r="C14" s="85">
        <v>45383</v>
      </c>
      <c r="D14" s="85">
        <v>47162</v>
      </c>
      <c r="E14" s="73"/>
      <c r="F14" s="73">
        <f>SUM(G37:G48)</f>
        <v>30223484.741510723</v>
      </c>
      <c r="G14" s="77">
        <f>H48</f>
        <v>86458985.03923966</v>
      </c>
      <c r="H14" s="73">
        <f>SUM(K37:K48)</f>
        <v>7865842.3696132125</v>
      </c>
      <c r="I14" s="73">
        <f>SUM(J37:J48)</f>
        <v>-34237687.5</v>
      </c>
      <c r="J14" s="77">
        <f>L48</f>
        <v>97566640.173587531</v>
      </c>
      <c r="K14" s="8">
        <f>-(L61-L49)</f>
        <v>30444757.513557278</v>
      </c>
      <c r="L14" s="8">
        <f>J14-K14</f>
        <v>67121882.660030246</v>
      </c>
    </row>
    <row r="15" spans="1:12">
      <c r="A15" s="86" t="s">
        <v>32</v>
      </c>
      <c r="B15" s="92">
        <f t="shared" ref="B15:H15" si="0">B13-B14</f>
        <v>2.8499999999999914E-3</v>
      </c>
      <c r="C15" s="87">
        <f t="shared" si="0"/>
        <v>0</v>
      </c>
      <c r="D15" s="87">
        <f t="shared" si="0"/>
        <v>0</v>
      </c>
      <c r="E15" s="8">
        <f t="shared" si="0"/>
        <v>0</v>
      </c>
      <c r="F15" s="8">
        <f t="shared" si="0"/>
        <v>-1471825.1815107204</v>
      </c>
      <c r="G15" s="8">
        <f t="shared" si="0"/>
        <v>-3883534.4592396468</v>
      </c>
      <c r="H15" s="8">
        <f t="shared" si="0"/>
        <v>289107.87038678769</v>
      </c>
      <c r="I15" s="8">
        <f>SUM(I13:I14)</f>
        <v>0</v>
      </c>
      <c r="J15" s="8">
        <f>J13-J14</f>
        <v>-145014.15358753502</v>
      </c>
      <c r="K15" s="8">
        <f>K13-K14</f>
        <v>2543418.126442723</v>
      </c>
      <c r="L15" s="8">
        <f>L13-L14</f>
        <v>-2688432.2800302505</v>
      </c>
    </row>
    <row r="16" spans="1:12">
      <c r="A16" s="2" t="s">
        <v>442</v>
      </c>
      <c r="B16" s="90"/>
      <c r="C16" s="53"/>
      <c r="E16" s="53"/>
      <c r="G16" s="53"/>
      <c r="H16" s="53"/>
    </row>
    <row r="17" spans="1:12">
      <c r="B17" s="90"/>
      <c r="C17" s="53"/>
      <c r="E17" s="53"/>
      <c r="G17" s="53"/>
      <c r="H17" s="53"/>
    </row>
    <row r="18" spans="1:12">
      <c r="A18" s="14" t="s">
        <v>115</v>
      </c>
      <c r="B18" s="7">
        <v>2700000</v>
      </c>
      <c r="C18" s="88" t="s">
        <v>107</v>
      </c>
      <c r="E18" s="53"/>
      <c r="F18" s="53"/>
      <c r="G18" s="53"/>
      <c r="H18" s="53"/>
      <c r="I18" s="53"/>
      <c r="J18" s="53"/>
    </row>
    <row r="19" spans="1:12">
      <c r="A19" s="14" t="s">
        <v>109</v>
      </c>
      <c r="B19" s="91">
        <f>B14/365</f>
        <v>1.9726027397260276E-4</v>
      </c>
      <c r="C19" s="88" t="s">
        <v>106</v>
      </c>
    </row>
    <row r="20" spans="1:12">
      <c r="A20" s="14" t="s">
        <v>114</v>
      </c>
      <c r="B20" s="7">
        <f>(D14-C14)/30.5</f>
        <v>58.327868852459019</v>
      </c>
      <c r="C20" s="88" t="s">
        <v>117</v>
      </c>
      <c r="D20" s="53"/>
      <c r="E20" s="53"/>
      <c r="G20" s="53"/>
    </row>
    <row r="21" spans="1:12">
      <c r="A21" s="14" t="s">
        <v>110</v>
      </c>
      <c r="B21" s="7">
        <f>SUM(D25:D83)</f>
        <v>146905954.52226111</v>
      </c>
      <c r="C21" s="88" t="s">
        <v>117</v>
      </c>
      <c r="E21" s="53"/>
    </row>
    <row r="22" spans="1:12">
      <c r="B22" s="89"/>
      <c r="E22" s="53"/>
    </row>
    <row r="23" spans="1:12">
      <c r="A23" s="380" t="s">
        <v>184</v>
      </c>
      <c r="B23" s="380"/>
      <c r="C23" s="380"/>
      <c r="D23" s="380"/>
      <c r="F23" s="378" t="s">
        <v>185</v>
      </c>
      <c r="G23" s="378"/>
      <c r="H23" s="378"/>
      <c r="I23" s="379" t="s">
        <v>15</v>
      </c>
      <c r="J23" s="379"/>
      <c r="K23" s="379"/>
      <c r="L23" s="379"/>
    </row>
    <row r="24" spans="1:12" s="99" customFormat="1" ht="26.6">
      <c r="A24" s="5" t="s">
        <v>178</v>
      </c>
      <c r="B24" s="5" t="s">
        <v>183</v>
      </c>
      <c r="C24" s="5" t="s">
        <v>179</v>
      </c>
      <c r="D24" s="5" t="s">
        <v>180</v>
      </c>
      <c r="F24" s="5" t="s">
        <v>9</v>
      </c>
      <c r="G24" s="121" t="s">
        <v>133</v>
      </c>
      <c r="H24" s="5" t="s">
        <v>8</v>
      </c>
      <c r="I24" s="121" t="s">
        <v>113</v>
      </c>
      <c r="J24" s="121" t="s">
        <v>11</v>
      </c>
      <c r="K24" s="121" t="s">
        <v>10</v>
      </c>
      <c r="L24" s="98" t="s">
        <v>57</v>
      </c>
    </row>
    <row r="25" spans="1:12">
      <c r="A25" s="180">
        <v>45383</v>
      </c>
      <c r="B25" s="8">
        <v>1</v>
      </c>
      <c r="C25" s="8">
        <v>2700000</v>
      </c>
      <c r="D25" s="8">
        <f t="shared" ref="D25:D56" si="1">-PV($B$19,B25,,C25,1)</f>
        <v>2699467.5023009158</v>
      </c>
      <c r="F25" s="8">
        <f>B21</f>
        <v>146905954.52226111</v>
      </c>
      <c r="G25" s="8">
        <f t="shared" ref="G25:G56" si="2">$F$25/$B$20</f>
        <v>2518623.7284592264</v>
      </c>
      <c r="H25" s="8">
        <f t="shared" ref="H25:H56" si="3">F25-G25</f>
        <v>144387330.79380187</v>
      </c>
      <c r="I25" s="8">
        <f>F25</f>
        <v>146905954.52226111</v>
      </c>
      <c r="J25" s="8">
        <f t="shared" ref="J25:J56" si="4">-C25</f>
        <v>-2700000</v>
      </c>
      <c r="K25" s="8">
        <f t="shared" ref="K25:K56" si="5">SUM(I25:J25)*$B$14/12</f>
        <v>865235.72713356686</v>
      </c>
      <c r="L25" s="8">
        <f t="shared" ref="L25:L56" si="6">SUM(I25:K25)</f>
        <v>145071190.24939469</v>
      </c>
    </row>
    <row r="26" spans="1:12">
      <c r="A26" s="180">
        <v>45413</v>
      </c>
      <c r="B26" s="8">
        <f t="shared" ref="B26:B57" si="7">A26-$A$25+1</f>
        <v>31</v>
      </c>
      <c r="C26" s="8">
        <v>2700000</v>
      </c>
      <c r="D26" s="8">
        <f t="shared" si="1"/>
        <v>2683541.312621044</v>
      </c>
      <c r="F26" s="8">
        <f t="shared" ref="F26:F57" si="8">H25</f>
        <v>144387330.79380187</v>
      </c>
      <c r="G26" s="8">
        <f t="shared" si="2"/>
        <v>2518623.7284592264</v>
      </c>
      <c r="H26" s="8">
        <f t="shared" si="3"/>
        <v>141868707.06534263</v>
      </c>
      <c r="I26" s="8">
        <f t="shared" ref="I26:I57" si="9">L25</f>
        <v>145071190.24939469</v>
      </c>
      <c r="J26" s="8">
        <f t="shared" si="4"/>
        <v>-2700000</v>
      </c>
      <c r="K26" s="8">
        <f t="shared" si="5"/>
        <v>854227.14149636822</v>
      </c>
      <c r="L26" s="8">
        <f t="shared" si="6"/>
        <v>143225417.39089105</v>
      </c>
    </row>
    <row r="27" spans="1:12">
      <c r="A27" s="180">
        <v>45444</v>
      </c>
      <c r="B27" s="8">
        <f t="shared" si="7"/>
        <v>62</v>
      </c>
      <c r="C27" s="8">
        <v>2700000</v>
      </c>
      <c r="D27" s="8">
        <f t="shared" si="1"/>
        <v>2667182.9542755089</v>
      </c>
      <c r="F27" s="8">
        <f t="shared" si="8"/>
        <v>141868707.06534263</v>
      </c>
      <c r="G27" s="8">
        <f t="shared" si="2"/>
        <v>2518623.7284592264</v>
      </c>
      <c r="H27" s="8">
        <f t="shared" si="3"/>
        <v>139350083.3368834</v>
      </c>
      <c r="I27" s="8">
        <f t="shared" si="9"/>
        <v>143225417.39089105</v>
      </c>
      <c r="J27" s="8">
        <f t="shared" si="4"/>
        <v>-2700000</v>
      </c>
      <c r="K27" s="8">
        <f t="shared" si="5"/>
        <v>843152.50434534636</v>
      </c>
      <c r="L27" s="8">
        <f t="shared" si="6"/>
        <v>141368569.8952364</v>
      </c>
    </row>
    <row r="28" spans="1:12">
      <c r="A28" s="180">
        <v>45474</v>
      </c>
      <c r="B28" s="8">
        <f t="shared" si="7"/>
        <v>92</v>
      </c>
      <c r="C28" s="8">
        <v>2700000</v>
      </c>
      <c r="D28" s="8">
        <f t="shared" si="1"/>
        <v>2651447.2354329932</v>
      </c>
      <c r="F28" s="8">
        <f t="shared" si="8"/>
        <v>139350083.3368834</v>
      </c>
      <c r="G28" s="8">
        <f t="shared" si="2"/>
        <v>2518623.7284592264</v>
      </c>
      <c r="H28" s="8">
        <f t="shared" si="3"/>
        <v>136831459.60842416</v>
      </c>
      <c r="I28" s="8">
        <f t="shared" si="9"/>
        <v>141368569.8952364</v>
      </c>
      <c r="J28" s="8">
        <f t="shared" si="4"/>
        <v>-2700000</v>
      </c>
      <c r="K28" s="8">
        <f t="shared" si="5"/>
        <v>832011.41937141854</v>
      </c>
      <c r="L28" s="8">
        <f t="shared" si="6"/>
        <v>139500581.31460783</v>
      </c>
    </row>
    <row r="29" spans="1:12">
      <c r="A29" s="180">
        <v>45505</v>
      </c>
      <c r="B29" s="8">
        <f t="shared" si="7"/>
        <v>123</v>
      </c>
      <c r="C29" s="8">
        <v>2700000</v>
      </c>
      <c r="D29" s="8">
        <f t="shared" si="1"/>
        <v>2635284.5164886266</v>
      </c>
      <c r="F29" s="8">
        <f t="shared" si="8"/>
        <v>136831459.60842416</v>
      </c>
      <c r="G29" s="8">
        <f t="shared" si="2"/>
        <v>2518623.7284592264</v>
      </c>
      <c r="H29" s="8">
        <f t="shared" si="3"/>
        <v>134312835.87996492</v>
      </c>
      <c r="I29" s="8">
        <f t="shared" si="9"/>
        <v>139500581.31460783</v>
      </c>
      <c r="J29" s="8">
        <f t="shared" si="4"/>
        <v>-2700000</v>
      </c>
      <c r="K29" s="8">
        <f t="shared" si="5"/>
        <v>820803.487887647</v>
      </c>
      <c r="L29" s="8">
        <f t="shared" si="6"/>
        <v>137621384.80249548</v>
      </c>
    </row>
    <row r="30" spans="1:12">
      <c r="A30" s="180">
        <v>45536</v>
      </c>
      <c r="B30" s="8">
        <f t="shared" si="7"/>
        <v>154</v>
      </c>
      <c r="C30" s="8">
        <v>2700000</v>
      </c>
      <c r="D30" s="8">
        <f t="shared" si="1"/>
        <v>2619220.3224102966</v>
      </c>
      <c r="F30" s="8">
        <f t="shared" si="8"/>
        <v>134312835.87996492</v>
      </c>
      <c r="G30" s="8">
        <f t="shared" si="2"/>
        <v>2518623.7284592264</v>
      </c>
      <c r="H30" s="8">
        <f t="shared" si="3"/>
        <v>131794212.15150569</v>
      </c>
      <c r="I30" s="8">
        <f t="shared" si="9"/>
        <v>137621384.80249548</v>
      </c>
      <c r="J30" s="8">
        <f t="shared" si="4"/>
        <v>-2700000</v>
      </c>
      <c r="K30" s="8">
        <f t="shared" si="5"/>
        <v>809528.30881497299</v>
      </c>
      <c r="L30" s="8">
        <f t="shared" si="6"/>
        <v>135730913.11131045</v>
      </c>
    </row>
    <row r="31" spans="1:12">
      <c r="A31" s="180">
        <v>45566</v>
      </c>
      <c r="B31" s="8">
        <f t="shared" si="7"/>
        <v>184</v>
      </c>
      <c r="C31" s="8">
        <v>2700000</v>
      </c>
      <c r="D31" s="8">
        <f t="shared" si="1"/>
        <v>2603767.5712167644</v>
      </c>
      <c r="F31" s="8">
        <f t="shared" si="8"/>
        <v>131794212.15150569</v>
      </c>
      <c r="G31" s="8">
        <f t="shared" si="2"/>
        <v>2518623.7284592264</v>
      </c>
      <c r="H31" s="8">
        <f t="shared" si="3"/>
        <v>129275588.42304647</v>
      </c>
      <c r="I31" s="8">
        <f t="shared" si="9"/>
        <v>135730913.11131045</v>
      </c>
      <c r="J31" s="8">
        <f t="shared" si="4"/>
        <v>-2700000</v>
      </c>
      <c r="K31" s="8">
        <f t="shared" si="5"/>
        <v>798185.47866786283</v>
      </c>
      <c r="L31" s="8">
        <f t="shared" si="6"/>
        <v>133829098.58997832</v>
      </c>
    </row>
    <row r="32" spans="1:12">
      <c r="A32" s="180">
        <v>45597</v>
      </c>
      <c r="B32" s="8">
        <f t="shared" si="7"/>
        <v>215</v>
      </c>
      <c r="C32" s="8">
        <v>2700000</v>
      </c>
      <c r="D32" s="8">
        <f t="shared" si="1"/>
        <v>2587895.498453015</v>
      </c>
      <c r="F32" s="8">
        <f t="shared" si="8"/>
        <v>129275588.42304647</v>
      </c>
      <c r="G32" s="8">
        <f t="shared" si="2"/>
        <v>2518623.7284592264</v>
      </c>
      <c r="H32" s="8">
        <f t="shared" si="3"/>
        <v>126756964.69458725</v>
      </c>
      <c r="I32" s="8">
        <f t="shared" si="9"/>
        <v>133829098.58997832</v>
      </c>
      <c r="J32" s="8">
        <f t="shared" si="4"/>
        <v>-2700000</v>
      </c>
      <c r="K32" s="8">
        <f t="shared" si="5"/>
        <v>786774.59153987002</v>
      </c>
      <c r="L32" s="8">
        <f t="shared" si="6"/>
        <v>131915873.1815182</v>
      </c>
    </row>
    <row r="33" spans="1:12">
      <c r="A33" s="180">
        <v>45627</v>
      </c>
      <c r="B33" s="8">
        <f t="shared" si="7"/>
        <v>245</v>
      </c>
      <c r="C33" s="8">
        <v>2700000</v>
      </c>
      <c r="D33" s="8">
        <f t="shared" si="1"/>
        <v>2572627.5559625351</v>
      </c>
      <c r="F33" s="8">
        <f t="shared" si="8"/>
        <v>126756964.69458725</v>
      </c>
      <c r="G33" s="8">
        <f t="shared" si="2"/>
        <v>2518623.7284592264</v>
      </c>
      <c r="H33" s="8">
        <f t="shared" si="3"/>
        <v>124238340.96612802</v>
      </c>
      <c r="I33" s="8">
        <f t="shared" si="9"/>
        <v>131915873.1815182</v>
      </c>
      <c r="J33" s="8">
        <f t="shared" si="4"/>
        <v>-2700000</v>
      </c>
      <c r="K33" s="8">
        <f t="shared" si="5"/>
        <v>775295.23908910935</v>
      </c>
      <c r="L33" s="8">
        <f t="shared" si="6"/>
        <v>129991168.42060731</v>
      </c>
    </row>
    <row r="34" spans="1:12">
      <c r="A34" s="180">
        <v>45658</v>
      </c>
      <c r="B34" s="8">
        <f t="shared" si="7"/>
        <v>276</v>
      </c>
      <c r="C34" s="8">
        <v>2700000</v>
      </c>
      <c r="D34" s="8">
        <f t="shared" si="1"/>
        <v>2556945.3068195437</v>
      </c>
      <c r="F34" s="8">
        <f t="shared" si="8"/>
        <v>124238340.96612802</v>
      </c>
      <c r="G34" s="8">
        <f t="shared" si="2"/>
        <v>2518623.7284592264</v>
      </c>
      <c r="H34" s="8">
        <f t="shared" si="3"/>
        <v>121719717.2376688</v>
      </c>
      <c r="I34" s="8">
        <f t="shared" si="9"/>
        <v>129991168.42060731</v>
      </c>
      <c r="J34" s="8">
        <f t="shared" si="4"/>
        <v>-2700000</v>
      </c>
      <c r="K34" s="8">
        <f t="shared" si="5"/>
        <v>763747.01052364393</v>
      </c>
      <c r="L34" s="8">
        <f t="shared" si="6"/>
        <v>128054915.43113096</v>
      </c>
    </row>
    <row r="35" spans="1:12">
      <c r="A35" s="180">
        <v>45689</v>
      </c>
      <c r="B35" s="8">
        <f t="shared" si="7"/>
        <v>307</v>
      </c>
      <c r="C35" s="8">
        <f>C34*13/28+C36*15/28</f>
        <v>2772321.4285714286</v>
      </c>
      <c r="D35" s="8">
        <f t="shared" si="1"/>
        <v>2609430.7604851671</v>
      </c>
      <c r="F35" s="8">
        <f t="shared" si="8"/>
        <v>121719717.2376688</v>
      </c>
      <c r="G35" s="8">
        <f t="shared" si="2"/>
        <v>2518623.7284592264</v>
      </c>
      <c r="H35" s="8">
        <f t="shared" si="3"/>
        <v>119201093.50920957</v>
      </c>
      <c r="I35" s="8">
        <f t="shared" si="9"/>
        <v>128054915.43113096</v>
      </c>
      <c r="J35" s="8">
        <f t="shared" si="4"/>
        <v>-2772321.4285714286</v>
      </c>
      <c r="K35" s="8">
        <f t="shared" si="5"/>
        <v>751695.56401535729</v>
      </c>
      <c r="L35" s="8">
        <f t="shared" si="6"/>
        <v>126034289.56657489</v>
      </c>
    </row>
    <row r="36" spans="1:12">
      <c r="A36" s="180">
        <v>45717</v>
      </c>
      <c r="B36" s="8">
        <f t="shared" si="7"/>
        <v>335</v>
      </c>
      <c r="C36" s="8">
        <v>2835000</v>
      </c>
      <c r="D36" s="8">
        <f t="shared" si="1"/>
        <v>2653730.1717906562</v>
      </c>
      <c r="F36" s="8">
        <f t="shared" si="8"/>
        <v>119201093.50920957</v>
      </c>
      <c r="G36" s="8">
        <f t="shared" si="2"/>
        <v>2518623.7284592264</v>
      </c>
      <c r="H36" s="8">
        <f t="shared" si="3"/>
        <v>116682469.78075035</v>
      </c>
      <c r="I36" s="8">
        <f t="shared" si="9"/>
        <v>126034289.56657489</v>
      </c>
      <c r="J36" s="8">
        <f t="shared" si="4"/>
        <v>-2835000</v>
      </c>
      <c r="K36" s="8">
        <f t="shared" si="5"/>
        <v>739195.73739944946</v>
      </c>
      <c r="L36" s="8">
        <f t="shared" si="6"/>
        <v>123938485.30397433</v>
      </c>
    </row>
    <row r="37" spans="1:12">
      <c r="A37" s="180">
        <v>45748</v>
      </c>
      <c r="B37" s="8">
        <f t="shared" si="7"/>
        <v>366</v>
      </c>
      <c r="C37" s="8">
        <v>2835000</v>
      </c>
      <c r="D37" s="8">
        <f t="shared" si="1"/>
        <v>2637553.5364996907</v>
      </c>
      <c r="F37" s="8">
        <f t="shared" si="8"/>
        <v>116682469.78075035</v>
      </c>
      <c r="G37" s="8">
        <f t="shared" si="2"/>
        <v>2518623.7284592264</v>
      </c>
      <c r="H37" s="8">
        <f t="shared" si="3"/>
        <v>114163846.05229113</v>
      </c>
      <c r="I37" s="8">
        <f t="shared" si="9"/>
        <v>123938485.30397433</v>
      </c>
      <c r="J37" s="8">
        <f t="shared" si="4"/>
        <v>-2835000</v>
      </c>
      <c r="K37" s="8">
        <f t="shared" si="5"/>
        <v>726620.91182384605</v>
      </c>
      <c r="L37" s="8">
        <f t="shared" si="6"/>
        <v>121830106.21579817</v>
      </c>
    </row>
    <row r="38" spans="1:12">
      <c r="A38" s="180">
        <v>45778</v>
      </c>
      <c r="B38" s="8">
        <f t="shared" si="7"/>
        <v>396</v>
      </c>
      <c r="C38" s="8">
        <v>2835000</v>
      </c>
      <c r="D38" s="8">
        <f t="shared" si="1"/>
        <v>2621992.6238836623</v>
      </c>
      <c r="F38" s="8">
        <f t="shared" si="8"/>
        <v>114163846.05229113</v>
      </c>
      <c r="G38" s="8">
        <f t="shared" si="2"/>
        <v>2518623.7284592264</v>
      </c>
      <c r="H38" s="8">
        <f t="shared" si="3"/>
        <v>111645222.3238319</v>
      </c>
      <c r="I38" s="8">
        <f t="shared" si="9"/>
        <v>121830106.21579817</v>
      </c>
      <c r="J38" s="8">
        <f t="shared" si="4"/>
        <v>-2835000</v>
      </c>
      <c r="K38" s="8">
        <f t="shared" si="5"/>
        <v>713970.63729478919</v>
      </c>
      <c r="L38" s="8">
        <f t="shared" si="6"/>
        <v>119709076.85309295</v>
      </c>
    </row>
    <row r="39" spans="1:12">
      <c r="A39" s="180">
        <v>45809</v>
      </c>
      <c r="B39" s="8">
        <f t="shared" si="7"/>
        <v>427</v>
      </c>
      <c r="C39" s="8">
        <v>2835000</v>
      </c>
      <c r="D39" s="8">
        <f t="shared" si="1"/>
        <v>2606009.4546590592</v>
      </c>
      <c r="F39" s="8">
        <f t="shared" si="8"/>
        <v>111645222.3238319</v>
      </c>
      <c r="G39" s="8">
        <f t="shared" si="2"/>
        <v>2518623.7284592264</v>
      </c>
      <c r="H39" s="8">
        <f t="shared" si="3"/>
        <v>109126598.59537268</v>
      </c>
      <c r="I39" s="8">
        <f t="shared" si="9"/>
        <v>119709076.85309295</v>
      </c>
      <c r="J39" s="8">
        <f t="shared" si="4"/>
        <v>-2835000</v>
      </c>
      <c r="K39" s="8">
        <f t="shared" si="5"/>
        <v>701244.46111855784</v>
      </c>
      <c r="L39" s="8">
        <f t="shared" si="6"/>
        <v>117575321.31421152</v>
      </c>
    </row>
    <row r="40" spans="1:12">
      <c r="A40" s="180">
        <v>45839</v>
      </c>
      <c r="B40" s="8">
        <f t="shared" si="7"/>
        <v>457</v>
      </c>
      <c r="C40" s="8">
        <v>2835000</v>
      </c>
      <c r="D40" s="8">
        <f t="shared" si="1"/>
        <v>2590634.6443132902</v>
      </c>
      <c r="F40" s="8">
        <f t="shared" si="8"/>
        <v>109126598.59537268</v>
      </c>
      <c r="G40" s="8">
        <f t="shared" si="2"/>
        <v>2518623.7284592264</v>
      </c>
      <c r="H40" s="8">
        <f t="shared" si="3"/>
        <v>106607974.86691345</v>
      </c>
      <c r="I40" s="8">
        <f t="shared" si="9"/>
        <v>117575321.31421152</v>
      </c>
      <c r="J40" s="8">
        <f t="shared" si="4"/>
        <v>-2835000</v>
      </c>
      <c r="K40" s="8">
        <f t="shared" si="5"/>
        <v>688441.92788526916</v>
      </c>
      <c r="L40" s="8">
        <f t="shared" si="6"/>
        <v>115428763.24209678</v>
      </c>
    </row>
    <row r="41" spans="1:12">
      <c r="A41" s="180">
        <v>45870</v>
      </c>
      <c r="B41" s="8">
        <f t="shared" si="7"/>
        <v>488</v>
      </c>
      <c r="C41" s="8">
        <v>2835000</v>
      </c>
      <c r="D41" s="8">
        <f t="shared" si="1"/>
        <v>2574842.6273785322</v>
      </c>
      <c r="F41" s="8">
        <f t="shared" si="8"/>
        <v>106607974.86691345</v>
      </c>
      <c r="G41" s="8">
        <f t="shared" si="2"/>
        <v>2518623.7284592264</v>
      </c>
      <c r="H41" s="8">
        <f t="shared" si="3"/>
        <v>104089351.13845423</v>
      </c>
      <c r="I41" s="8">
        <f t="shared" si="9"/>
        <v>115428763.24209678</v>
      </c>
      <c r="J41" s="8">
        <f t="shared" si="4"/>
        <v>-2835000</v>
      </c>
      <c r="K41" s="8">
        <f t="shared" si="5"/>
        <v>675562.57945258077</v>
      </c>
      <c r="L41" s="8">
        <f t="shared" si="6"/>
        <v>113269325.82154936</v>
      </c>
    </row>
    <row r="42" spans="1:12">
      <c r="A42" s="180">
        <v>45901</v>
      </c>
      <c r="B42" s="8">
        <f t="shared" si="7"/>
        <v>519</v>
      </c>
      <c r="C42" s="8">
        <v>2835000</v>
      </c>
      <c r="D42" s="8">
        <f t="shared" si="1"/>
        <v>2559146.8755807425</v>
      </c>
      <c r="F42" s="8">
        <f t="shared" si="8"/>
        <v>104089351.13845423</v>
      </c>
      <c r="G42" s="8">
        <f t="shared" si="2"/>
        <v>2518623.7284592264</v>
      </c>
      <c r="H42" s="8">
        <f t="shared" si="3"/>
        <v>101570727.409995</v>
      </c>
      <c r="I42" s="8">
        <f t="shared" si="9"/>
        <v>113269325.82154936</v>
      </c>
      <c r="J42" s="8">
        <f t="shared" si="4"/>
        <v>-2835000</v>
      </c>
      <c r="K42" s="8">
        <f t="shared" si="5"/>
        <v>662605.95492929628</v>
      </c>
      <c r="L42" s="8">
        <f t="shared" si="6"/>
        <v>111096931.77647865</v>
      </c>
    </row>
    <row r="43" spans="1:12">
      <c r="A43" s="180">
        <v>45931</v>
      </c>
      <c r="B43" s="8">
        <f t="shared" si="7"/>
        <v>549</v>
      </c>
      <c r="C43" s="8">
        <v>2835000</v>
      </c>
      <c r="D43" s="8">
        <f t="shared" si="1"/>
        <v>2544048.5428449661</v>
      </c>
      <c r="F43" s="8">
        <f t="shared" si="8"/>
        <v>101570727.409995</v>
      </c>
      <c r="G43" s="8">
        <f t="shared" si="2"/>
        <v>2518623.7284592264</v>
      </c>
      <c r="H43" s="8">
        <f t="shared" si="3"/>
        <v>99052103.68153578</v>
      </c>
      <c r="I43" s="8">
        <f t="shared" si="9"/>
        <v>111096931.77647865</v>
      </c>
      <c r="J43" s="8">
        <f t="shared" si="4"/>
        <v>-2835000</v>
      </c>
      <c r="K43" s="8">
        <f t="shared" si="5"/>
        <v>649571.59065887204</v>
      </c>
      <c r="L43" s="8">
        <f t="shared" si="6"/>
        <v>108911503.36713752</v>
      </c>
    </row>
    <row r="44" spans="1:12">
      <c r="A44" s="180">
        <v>45962</v>
      </c>
      <c r="B44" s="8">
        <f t="shared" si="7"/>
        <v>580</v>
      </c>
      <c r="C44" s="8">
        <v>2835000</v>
      </c>
      <c r="D44" s="8">
        <f t="shared" si="1"/>
        <v>2528540.5059399391</v>
      </c>
      <c r="F44" s="8">
        <f t="shared" si="8"/>
        <v>99052103.68153578</v>
      </c>
      <c r="G44" s="8">
        <f t="shared" si="2"/>
        <v>2518623.7284592264</v>
      </c>
      <c r="H44" s="8">
        <f t="shared" si="3"/>
        <v>96533479.953076556</v>
      </c>
      <c r="I44" s="8">
        <f t="shared" si="9"/>
        <v>108911503.36713752</v>
      </c>
      <c r="J44" s="8">
        <f t="shared" si="4"/>
        <v>-2835000</v>
      </c>
      <c r="K44" s="8">
        <f t="shared" si="5"/>
        <v>636459.0202028252</v>
      </c>
      <c r="L44" s="8">
        <f t="shared" si="6"/>
        <v>106712962.38734035</v>
      </c>
    </row>
    <row r="45" spans="1:12">
      <c r="A45" s="180">
        <v>45992</v>
      </c>
      <c r="B45" s="8">
        <f t="shared" si="7"/>
        <v>610</v>
      </c>
      <c r="C45" s="8">
        <v>2835000</v>
      </c>
      <c r="D45" s="8">
        <f t="shared" si="1"/>
        <v>2513622.7432046905</v>
      </c>
      <c r="F45" s="8">
        <f t="shared" si="8"/>
        <v>96533479.953076556</v>
      </c>
      <c r="G45" s="8">
        <f t="shared" si="2"/>
        <v>2518623.7284592264</v>
      </c>
      <c r="H45" s="8">
        <f t="shared" si="3"/>
        <v>94014856.224617332</v>
      </c>
      <c r="I45" s="8">
        <f t="shared" si="9"/>
        <v>106712962.38734035</v>
      </c>
      <c r="J45" s="8">
        <f t="shared" si="4"/>
        <v>-2835000</v>
      </c>
      <c r="K45" s="8">
        <f t="shared" si="5"/>
        <v>623267.77432404214</v>
      </c>
      <c r="L45" s="8">
        <f t="shared" si="6"/>
        <v>104501230.1616644</v>
      </c>
    </row>
    <row r="46" spans="1:12">
      <c r="A46" s="180">
        <v>46023</v>
      </c>
      <c r="B46" s="8">
        <f t="shared" si="7"/>
        <v>641</v>
      </c>
      <c r="C46" s="8">
        <v>2835000</v>
      </c>
      <c r="D46" s="8">
        <f t="shared" si="1"/>
        <v>2498300.1761976378</v>
      </c>
      <c r="F46" s="8">
        <f t="shared" si="8"/>
        <v>94014856.224617332</v>
      </c>
      <c r="G46" s="8">
        <f t="shared" si="2"/>
        <v>2518623.7284592264</v>
      </c>
      <c r="H46" s="8">
        <f t="shared" si="3"/>
        <v>91496232.496158108</v>
      </c>
      <c r="I46" s="8">
        <f t="shared" si="9"/>
        <v>104501230.1616644</v>
      </c>
      <c r="J46" s="8">
        <f t="shared" si="4"/>
        <v>-2835000</v>
      </c>
      <c r="K46" s="8">
        <f t="shared" si="5"/>
        <v>609997.38096998644</v>
      </c>
      <c r="L46" s="8">
        <f t="shared" si="6"/>
        <v>102276227.54263438</v>
      </c>
    </row>
    <row r="47" spans="1:12">
      <c r="A47" s="180">
        <v>46054</v>
      </c>
      <c r="B47" s="8">
        <f t="shared" si="7"/>
        <v>672</v>
      </c>
      <c r="C47" s="8">
        <f>C46*13/28+C48*15/28</f>
        <v>2910937.5</v>
      </c>
      <c r="D47" s="8">
        <f t="shared" si="1"/>
        <v>2549581.8433459038</v>
      </c>
      <c r="F47" s="8">
        <f t="shared" si="8"/>
        <v>91496232.496158108</v>
      </c>
      <c r="G47" s="8">
        <f t="shared" si="2"/>
        <v>2518623.7284592264</v>
      </c>
      <c r="H47" s="8">
        <f t="shared" si="3"/>
        <v>88977608.767698884</v>
      </c>
      <c r="I47" s="8">
        <f t="shared" si="9"/>
        <v>102276227.54263438</v>
      </c>
      <c r="J47" s="8">
        <f t="shared" si="4"/>
        <v>-2910937.5</v>
      </c>
      <c r="K47" s="8">
        <f t="shared" si="5"/>
        <v>596191.74025580636</v>
      </c>
      <c r="L47" s="8">
        <f t="shared" si="6"/>
        <v>99961481.782890186</v>
      </c>
    </row>
    <row r="48" spans="1:12">
      <c r="A48" s="180">
        <v>46082</v>
      </c>
      <c r="B48" s="8">
        <f t="shared" si="7"/>
        <v>700</v>
      </c>
      <c r="C48" s="8">
        <v>2976750</v>
      </c>
      <c r="D48" s="8">
        <f t="shared" si="1"/>
        <v>2592865.2201059707</v>
      </c>
      <c r="F48" s="8">
        <f t="shared" si="8"/>
        <v>88977608.767698884</v>
      </c>
      <c r="G48" s="8">
        <f t="shared" si="2"/>
        <v>2518623.7284592264</v>
      </c>
      <c r="H48" s="8">
        <f t="shared" si="3"/>
        <v>86458985.03923966</v>
      </c>
      <c r="I48" s="8">
        <f t="shared" si="9"/>
        <v>99961481.782890186</v>
      </c>
      <c r="J48" s="8">
        <f t="shared" si="4"/>
        <v>-2976750</v>
      </c>
      <c r="K48" s="8">
        <f t="shared" si="5"/>
        <v>581908.39069734118</v>
      </c>
      <c r="L48" s="8">
        <f t="shared" si="6"/>
        <v>97566640.173587531</v>
      </c>
    </row>
    <row r="49" spans="1:12">
      <c r="A49" s="180">
        <v>46113</v>
      </c>
      <c r="B49" s="8">
        <f t="shared" si="7"/>
        <v>731</v>
      </c>
      <c r="C49" s="8">
        <v>2976750</v>
      </c>
      <c r="D49" s="8">
        <f t="shared" si="1"/>
        <v>2577059.6060046777</v>
      </c>
      <c r="F49" s="8">
        <f t="shared" si="8"/>
        <v>86458985.03923966</v>
      </c>
      <c r="G49" s="8">
        <f t="shared" si="2"/>
        <v>2518623.7284592264</v>
      </c>
      <c r="H49" s="8">
        <f t="shared" si="3"/>
        <v>83940361.310780436</v>
      </c>
      <c r="I49" s="8">
        <f t="shared" si="9"/>
        <v>97566640.173587531</v>
      </c>
      <c r="J49" s="8">
        <f t="shared" si="4"/>
        <v>-2976750</v>
      </c>
      <c r="K49" s="8">
        <f t="shared" si="5"/>
        <v>567539.34104152524</v>
      </c>
      <c r="L49" s="8">
        <f t="shared" si="6"/>
        <v>95157429.514629051</v>
      </c>
    </row>
    <row r="50" spans="1:12">
      <c r="A50" s="180">
        <v>46143</v>
      </c>
      <c r="B50" s="8">
        <f t="shared" si="7"/>
        <v>761</v>
      </c>
      <c r="C50" s="8">
        <v>2976750</v>
      </c>
      <c r="D50" s="8">
        <f t="shared" si="1"/>
        <v>2561855.5925958897</v>
      </c>
      <c r="F50" s="8">
        <f t="shared" si="8"/>
        <v>83940361.310780436</v>
      </c>
      <c r="G50" s="8">
        <f t="shared" si="2"/>
        <v>2518623.7284592264</v>
      </c>
      <c r="H50" s="8">
        <f t="shared" si="3"/>
        <v>81421737.582321212</v>
      </c>
      <c r="I50" s="8">
        <f t="shared" si="9"/>
        <v>95157429.514629051</v>
      </c>
      <c r="J50" s="8">
        <f t="shared" si="4"/>
        <v>-2976750</v>
      </c>
      <c r="K50" s="8">
        <f t="shared" si="5"/>
        <v>553084.07708777441</v>
      </c>
      <c r="L50" s="8">
        <f t="shared" si="6"/>
        <v>92733763.591716826</v>
      </c>
    </row>
    <row r="51" spans="1:12">
      <c r="A51" s="180">
        <v>46174</v>
      </c>
      <c r="B51" s="8">
        <f t="shared" si="7"/>
        <v>792</v>
      </c>
      <c r="C51" s="8">
        <v>2976750</v>
      </c>
      <c r="D51" s="8">
        <f t="shared" si="1"/>
        <v>2546239.0072964206</v>
      </c>
      <c r="F51" s="8">
        <f t="shared" si="8"/>
        <v>81421737.582321212</v>
      </c>
      <c r="G51" s="8">
        <f t="shared" si="2"/>
        <v>2518623.7284592264</v>
      </c>
      <c r="H51" s="8">
        <f t="shared" si="3"/>
        <v>78903113.853861988</v>
      </c>
      <c r="I51" s="8">
        <f t="shared" si="9"/>
        <v>92733763.591716826</v>
      </c>
      <c r="J51" s="8">
        <f t="shared" si="4"/>
        <v>-2976750</v>
      </c>
      <c r="K51" s="8">
        <f t="shared" si="5"/>
        <v>538542.08155030105</v>
      </c>
      <c r="L51" s="8">
        <f t="shared" si="6"/>
        <v>90295555.673267126</v>
      </c>
    </row>
    <row r="52" spans="1:12">
      <c r="A52" s="180">
        <v>46204</v>
      </c>
      <c r="B52" s="8">
        <f t="shared" si="7"/>
        <v>822</v>
      </c>
      <c r="C52" s="8">
        <v>2976750</v>
      </c>
      <c r="D52" s="8">
        <f t="shared" si="1"/>
        <v>2531216.8277865988</v>
      </c>
      <c r="F52" s="8">
        <f t="shared" si="8"/>
        <v>78903113.853861988</v>
      </c>
      <c r="G52" s="8">
        <f t="shared" si="2"/>
        <v>2518623.7284592264</v>
      </c>
      <c r="H52" s="8">
        <f t="shared" si="3"/>
        <v>76384490.125402763</v>
      </c>
      <c r="I52" s="8">
        <f t="shared" si="9"/>
        <v>90295555.673267126</v>
      </c>
      <c r="J52" s="8">
        <f t="shared" si="4"/>
        <v>-2976750</v>
      </c>
      <c r="K52" s="8">
        <f t="shared" si="5"/>
        <v>523912.83403960284</v>
      </c>
      <c r="L52" s="8">
        <f t="shared" si="6"/>
        <v>87842718.507306725</v>
      </c>
    </row>
    <row r="53" spans="1:12">
      <c r="A53" s="180">
        <v>46235</v>
      </c>
      <c r="B53" s="8">
        <f t="shared" si="7"/>
        <v>853</v>
      </c>
      <c r="C53" s="8">
        <v>2976750</v>
      </c>
      <c r="D53" s="8">
        <f t="shared" si="1"/>
        <v>2515787.0105803423</v>
      </c>
      <c r="F53" s="8">
        <f t="shared" si="8"/>
        <v>76384490.125402763</v>
      </c>
      <c r="G53" s="8">
        <f t="shared" si="2"/>
        <v>2518623.7284592264</v>
      </c>
      <c r="H53" s="8">
        <f t="shared" si="3"/>
        <v>73865866.396943539</v>
      </c>
      <c r="I53" s="8">
        <f t="shared" si="9"/>
        <v>87842718.507306725</v>
      </c>
      <c r="J53" s="8">
        <f t="shared" si="4"/>
        <v>-2976750</v>
      </c>
      <c r="K53" s="8">
        <f t="shared" si="5"/>
        <v>509195.81104384043</v>
      </c>
      <c r="L53" s="8">
        <f t="shared" si="6"/>
        <v>85375164.318350568</v>
      </c>
    </row>
    <row r="54" spans="1:12">
      <c r="A54" s="180">
        <v>46266</v>
      </c>
      <c r="B54" s="8">
        <f t="shared" si="7"/>
        <v>884</v>
      </c>
      <c r="C54" s="8">
        <v>2976750</v>
      </c>
      <c r="D54" s="8">
        <f t="shared" si="1"/>
        <v>2500451.2506102752</v>
      </c>
      <c r="F54" s="8">
        <f t="shared" si="8"/>
        <v>73865866.396943539</v>
      </c>
      <c r="G54" s="8">
        <f t="shared" si="2"/>
        <v>2518623.7284592264</v>
      </c>
      <c r="H54" s="8">
        <f t="shared" si="3"/>
        <v>71347242.668484315</v>
      </c>
      <c r="I54" s="8">
        <f t="shared" si="9"/>
        <v>85375164.318350568</v>
      </c>
      <c r="J54" s="8">
        <f t="shared" si="4"/>
        <v>-2976750</v>
      </c>
      <c r="K54" s="8">
        <f t="shared" si="5"/>
        <v>494390.48591010348</v>
      </c>
      <c r="L54" s="8">
        <f t="shared" si="6"/>
        <v>82892804.804260671</v>
      </c>
    </row>
    <row r="55" spans="1:12">
      <c r="A55" s="180">
        <v>46296</v>
      </c>
      <c r="B55" s="8">
        <f t="shared" si="7"/>
        <v>914</v>
      </c>
      <c r="C55" s="8">
        <v>2976750</v>
      </c>
      <c r="D55" s="8">
        <f t="shared" si="1"/>
        <v>2485699.2075245366</v>
      </c>
      <c r="F55" s="8">
        <f t="shared" si="8"/>
        <v>71347242.668484315</v>
      </c>
      <c r="G55" s="8">
        <f t="shared" si="2"/>
        <v>2518623.7284592264</v>
      </c>
      <c r="H55" s="8">
        <f t="shared" si="3"/>
        <v>68828618.940025091</v>
      </c>
      <c r="I55" s="8">
        <f t="shared" si="9"/>
        <v>82892804.804260671</v>
      </c>
      <c r="J55" s="8">
        <f t="shared" si="4"/>
        <v>-2976750</v>
      </c>
      <c r="K55" s="8">
        <f t="shared" si="5"/>
        <v>479496.32882556407</v>
      </c>
      <c r="L55" s="8">
        <f t="shared" si="6"/>
        <v>80395551.133086234</v>
      </c>
    </row>
    <row r="56" spans="1:12">
      <c r="A56" s="180">
        <v>46327</v>
      </c>
      <c r="B56" s="8">
        <f t="shared" si="7"/>
        <v>945</v>
      </c>
      <c r="C56" s="8">
        <v>2976750</v>
      </c>
      <c r="D56" s="8">
        <f t="shared" si="1"/>
        <v>2470546.8570894385</v>
      </c>
      <c r="F56" s="8">
        <f t="shared" si="8"/>
        <v>68828618.940025091</v>
      </c>
      <c r="G56" s="8">
        <f t="shared" si="2"/>
        <v>2518623.7284592264</v>
      </c>
      <c r="H56" s="8">
        <f t="shared" si="3"/>
        <v>66309995.211565867</v>
      </c>
      <c r="I56" s="8">
        <f t="shared" si="9"/>
        <v>80395551.133086234</v>
      </c>
      <c r="J56" s="8">
        <f t="shared" si="4"/>
        <v>-2976750</v>
      </c>
      <c r="K56" s="8">
        <f t="shared" si="5"/>
        <v>464512.80679851747</v>
      </c>
      <c r="L56" s="8">
        <f t="shared" si="6"/>
        <v>77883313.939884752</v>
      </c>
    </row>
    <row r="57" spans="1:12">
      <c r="A57" s="180">
        <v>46357</v>
      </c>
      <c r="B57" s="8">
        <f t="shared" si="7"/>
        <v>975</v>
      </c>
      <c r="C57" s="8">
        <v>2976750</v>
      </c>
      <c r="D57" s="8">
        <f t="shared" ref="D57:D83" si="10">-PV($B$19,B57,,C57,1)</f>
        <v>2455971.2425189787</v>
      </c>
      <c r="F57" s="8">
        <f t="shared" si="8"/>
        <v>66309995.211565867</v>
      </c>
      <c r="G57" s="8">
        <f t="shared" ref="G57:G82" si="11">$F$25/$B$20</f>
        <v>2518623.7284592264</v>
      </c>
      <c r="H57" s="8">
        <f t="shared" ref="H57:H83" si="12">F57-G57</f>
        <v>63791371.483106643</v>
      </c>
      <c r="I57" s="8">
        <f t="shared" si="9"/>
        <v>77883313.939884752</v>
      </c>
      <c r="J57" s="8">
        <f t="shared" ref="J57:J82" si="13">-C57</f>
        <v>-2976750</v>
      </c>
      <c r="K57" s="8">
        <f t="shared" ref="K57:K83" si="14">SUM(I57:J57)*$B$14/12</f>
        <v>449439.38363930857</v>
      </c>
      <c r="L57" s="8">
        <f t="shared" ref="L57:L83" si="15">SUM(I57:K57)</f>
        <v>75356003.323524058</v>
      </c>
    </row>
    <row r="58" spans="1:12">
      <c r="A58" s="180">
        <v>46388</v>
      </c>
      <c r="B58" s="8">
        <f t="shared" ref="B58:B83" si="16">A58-$A$25+1</f>
        <v>1006</v>
      </c>
      <c r="C58" s="8">
        <v>2976750</v>
      </c>
      <c r="D58" s="8">
        <f t="shared" si="10"/>
        <v>2441000.1081144135</v>
      </c>
      <c r="F58" s="8">
        <f t="shared" ref="F58:F83" si="17">H57</f>
        <v>63791371.483106643</v>
      </c>
      <c r="G58" s="8">
        <f t="shared" si="11"/>
        <v>2518623.7284592264</v>
      </c>
      <c r="H58" s="8">
        <f t="shared" si="12"/>
        <v>61272747.754647419</v>
      </c>
      <c r="I58" s="8">
        <f t="shared" ref="I58:I83" si="18">L57</f>
        <v>75356003.323524058</v>
      </c>
      <c r="J58" s="8">
        <f t="shared" si="13"/>
        <v>-2976750</v>
      </c>
      <c r="K58" s="8">
        <f t="shared" si="14"/>
        <v>434275.51994114439</v>
      </c>
      <c r="L58" s="8">
        <f t="shared" si="15"/>
        <v>72813528.843465209</v>
      </c>
    </row>
    <row r="59" spans="1:12">
      <c r="A59" s="180">
        <v>46419</v>
      </c>
      <c r="B59" s="8">
        <f t="shared" si="16"/>
        <v>1037</v>
      </c>
      <c r="C59" s="8">
        <f>C58*13/28+C60*15/28</f>
        <v>3056484.375</v>
      </c>
      <c r="D59" s="8">
        <f t="shared" si="10"/>
        <v>2491105.5983376587</v>
      </c>
      <c r="F59" s="8">
        <f t="shared" si="17"/>
        <v>61272747.754647419</v>
      </c>
      <c r="G59" s="8">
        <f t="shared" si="11"/>
        <v>2518623.7284592264</v>
      </c>
      <c r="H59" s="8">
        <f t="shared" si="12"/>
        <v>58754124.026188195</v>
      </c>
      <c r="I59" s="8">
        <f t="shared" si="18"/>
        <v>72813528.843465209</v>
      </c>
      <c r="J59" s="8">
        <f t="shared" si="13"/>
        <v>-3056484.375</v>
      </c>
      <c r="K59" s="8">
        <f t="shared" si="14"/>
        <v>418542.26681079133</v>
      </c>
      <c r="L59" s="8">
        <f t="shared" si="15"/>
        <v>70175586.735275999</v>
      </c>
    </row>
    <row r="60" spans="1:12">
      <c r="A60" s="180">
        <v>46447</v>
      </c>
      <c r="B60" s="8">
        <f t="shared" si="16"/>
        <v>1065</v>
      </c>
      <c r="C60" s="8">
        <v>3125587.5</v>
      </c>
      <c r="D60" s="8">
        <f t="shared" si="10"/>
        <v>2533396.2439364139</v>
      </c>
      <c r="F60" s="8">
        <f t="shared" si="17"/>
        <v>58754124.026188195</v>
      </c>
      <c r="G60" s="8">
        <f t="shared" si="11"/>
        <v>2518623.7284592264</v>
      </c>
      <c r="H60" s="8">
        <f t="shared" si="12"/>
        <v>56235500.297728971</v>
      </c>
      <c r="I60" s="8">
        <f t="shared" si="18"/>
        <v>70175586.735275999</v>
      </c>
      <c r="J60" s="8">
        <f t="shared" si="13"/>
        <v>-3125587.5</v>
      </c>
      <c r="K60" s="8">
        <f t="shared" si="14"/>
        <v>402299.99541165604</v>
      </c>
      <c r="L60" s="8">
        <f t="shared" si="15"/>
        <v>67452299.230687648</v>
      </c>
    </row>
    <row r="61" spans="1:12">
      <c r="A61" s="180">
        <v>46478</v>
      </c>
      <c r="B61" s="8">
        <f t="shared" si="16"/>
        <v>1096</v>
      </c>
      <c r="C61" s="8">
        <v>3125587.5</v>
      </c>
      <c r="D61" s="8">
        <f t="shared" si="10"/>
        <v>2517953.1414230908</v>
      </c>
      <c r="F61" s="8">
        <f t="shared" si="17"/>
        <v>56235500.297728971</v>
      </c>
      <c r="G61" s="8">
        <f t="shared" si="11"/>
        <v>2518623.7284592264</v>
      </c>
      <c r="H61" s="8">
        <f t="shared" si="12"/>
        <v>53716876.569269747</v>
      </c>
      <c r="I61" s="8">
        <f t="shared" si="18"/>
        <v>67452299.230687648</v>
      </c>
      <c r="J61" s="8">
        <f t="shared" si="13"/>
        <v>-3125587.5</v>
      </c>
      <c r="K61" s="8">
        <f t="shared" si="14"/>
        <v>385960.27038412594</v>
      </c>
      <c r="L61" s="8">
        <f t="shared" si="15"/>
        <v>64712672.001071773</v>
      </c>
    </row>
    <row r="62" spans="1:12">
      <c r="A62" s="180">
        <v>46508</v>
      </c>
      <c r="B62" s="8">
        <f t="shared" si="16"/>
        <v>1126</v>
      </c>
      <c r="C62" s="8">
        <v>3125587.5</v>
      </c>
      <c r="D62" s="8">
        <f t="shared" si="10"/>
        <v>2503097.8415162931</v>
      </c>
      <c r="F62" s="8">
        <f t="shared" si="17"/>
        <v>53716876.569269747</v>
      </c>
      <c r="G62" s="8">
        <f t="shared" si="11"/>
        <v>2518623.7284592264</v>
      </c>
      <c r="H62" s="8">
        <f t="shared" si="12"/>
        <v>51198252.840810522</v>
      </c>
      <c r="I62" s="8">
        <f t="shared" si="18"/>
        <v>64712672.001071773</v>
      </c>
      <c r="J62" s="8">
        <f t="shared" si="13"/>
        <v>-3125587.5</v>
      </c>
      <c r="K62" s="8">
        <f t="shared" si="14"/>
        <v>369522.50700643071</v>
      </c>
      <c r="L62" s="8">
        <f t="shared" si="15"/>
        <v>61956607.008078203</v>
      </c>
    </row>
    <row r="63" spans="1:12">
      <c r="A63" s="180">
        <v>46539</v>
      </c>
      <c r="B63" s="8">
        <f t="shared" si="16"/>
        <v>1157</v>
      </c>
      <c r="C63" s="8">
        <v>3125587.5</v>
      </c>
      <c r="D63" s="8">
        <f t="shared" si="10"/>
        <v>2487839.4323116792</v>
      </c>
      <c r="F63" s="8">
        <f t="shared" si="17"/>
        <v>51198252.840810522</v>
      </c>
      <c r="G63" s="8">
        <f t="shared" si="11"/>
        <v>2518623.7284592264</v>
      </c>
      <c r="H63" s="8">
        <f t="shared" si="12"/>
        <v>48679629.112351298</v>
      </c>
      <c r="I63" s="8">
        <f t="shared" si="18"/>
        <v>61956607.008078203</v>
      </c>
      <c r="J63" s="8">
        <f t="shared" si="13"/>
        <v>-3125587.5</v>
      </c>
      <c r="K63" s="8">
        <f t="shared" si="14"/>
        <v>352986.11704846931</v>
      </c>
      <c r="L63" s="8">
        <f t="shared" si="15"/>
        <v>59184005.625126675</v>
      </c>
    </row>
    <row r="64" spans="1:12">
      <c r="A64" s="180">
        <v>46569</v>
      </c>
      <c r="B64" s="8">
        <f t="shared" si="16"/>
        <v>1187</v>
      </c>
      <c r="C64" s="8">
        <v>3125587.5</v>
      </c>
      <c r="D64" s="8">
        <f t="shared" si="10"/>
        <v>2473161.7958303033</v>
      </c>
      <c r="F64" s="8">
        <f t="shared" si="17"/>
        <v>48679629.112351298</v>
      </c>
      <c r="G64" s="8">
        <f t="shared" si="11"/>
        <v>2518623.7284592264</v>
      </c>
      <c r="H64" s="8">
        <f t="shared" si="12"/>
        <v>46161005.383892074</v>
      </c>
      <c r="I64" s="8">
        <f t="shared" si="18"/>
        <v>59184005.625126675</v>
      </c>
      <c r="J64" s="8">
        <f t="shared" si="13"/>
        <v>-3125587.5</v>
      </c>
      <c r="K64" s="8">
        <f t="shared" si="14"/>
        <v>336350.50875076005</v>
      </c>
      <c r="L64" s="8">
        <f t="shared" si="15"/>
        <v>56394768.633877434</v>
      </c>
    </row>
    <row r="65" spans="1:12">
      <c r="A65" s="180">
        <v>46600</v>
      </c>
      <c r="B65" s="8">
        <f t="shared" si="16"/>
        <v>1218</v>
      </c>
      <c r="C65" s="8">
        <v>3125587.5</v>
      </c>
      <c r="D65" s="8">
        <f t="shared" si="10"/>
        <v>2458085.8710765429</v>
      </c>
      <c r="F65" s="8">
        <f t="shared" si="17"/>
        <v>46161005.383892074</v>
      </c>
      <c r="G65" s="8">
        <f t="shared" si="11"/>
        <v>2518623.7284592264</v>
      </c>
      <c r="H65" s="8">
        <f t="shared" si="12"/>
        <v>43642381.65543285</v>
      </c>
      <c r="I65" s="8">
        <f t="shared" si="18"/>
        <v>56394768.633877434</v>
      </c>
      <c r="J65" s="8">
        <f t="shared" si="13"/>
        <v>-3125587.5</v>
      </c>
      <c r="K65" s="8">
        <f t="shared" si="14"/>
        <v>319615.08680326462</v>
      </c>
      <c r="L65" s="8">
        <f t="shared" si="15"/>
        <v>53588796.220680699</v>
      </c>
    </row>
    <row r="66" spans="1:12">
      <c r="A66" s="180">
        <v>46631</v>
      </c>
      <c r="B66" s="8">
        <f t="shared" si="16"/>
        <v>1249</v>
      </c>
      <c r="C66" s="8">
        <v>3125587.5</v>
      </c>
      <c r="D66" s="8">
        <f t="shared" si="10"/>
        <v>2443101.8462977735</v>
      </c>
      <c r="F66" s="8">
        <f t="shared" si="17"/>
        <v>43642381.65543285</v>
      </c>
      <c r="G66" s="8">
        <f t="shared" si="11"/>
        <v>2518623.7284592264</v>
      </c>
      <c r="H66" s="8">
        <f t="shared" si="12"/>
        <v>41123757.926973626</v>
      </c>
      <c r="I66" s="8">
        <f t="shared" si="18"/>
        <v>53588796.220680699</v>
      </c>
      <c r="J66" s="8">
        <f t="shared" si="13"/>
        <v>-3125587.5</v>
      </c>
      <c r="K66" s="8">
        <f t="shared" si="14"/>
        <v>302779.25232408423</v>
      </c>
      <c r="L66" s="8">
        <f t="shared" si="15"/>
        <v>50765987.973004781</v>
      </c>
    </row>
    <row r="67" spans="1:12">
      <c r="A67" s="180">
        <v>46661</v>
      </c>
      <c r="B67" s="8">
        <f t="shared" si="16"/>
        <v>1279</v>
      </c>
      <c r="C67" s="8">
        <v>3125587.5</v>
      </c>
      <c r="D67" s="8">
        <f t="shared" si="10"/>
        <v>2428688.150493612</v>
      </c>
      <c r="F67" s="8">
        <f t="shared" si="17"/>
        <v>41123757.926973626</v>
      </c>
      <c r="G67" s="8">
        <f t="shared" si="11"/>
        <v>2518623.7284592264</v>
      </c>
      <c r="H67" s="8">
        <f t="shared" si="12"/>
        <v>38605134.198514402</v>
      </c>
      <c r="I67" s="8">
        <f t="shared" si="18"/>
        <v>50765987.973004781</v>
      </c>
      <c r="J67" s="8">
        <f t="shared" si="13"/>
        <v>-3125587.5</v>
      </c>
      <c r="K67" s="8">
        <f t="shared" si="14"/>
        <v>285842.40283802873</v>
      </c>
      <c r="L67" s="8">
        <f t="shared" si="15"/>
        <v>47926242.87584281</v>
      </c>
    </row>
    <row r="68" spans="1:12">
      <c r="A68" s="180">
        <v>46692</v>
      </c>
      <c r="B68" s="8">
        <f t="shared" si="16"/>
        <v>1310</v>
      </c>
      <c r="C68" s="8">
        <v>3125587.5</v>
      </c>
      <c r="D68" s="8">
        <f t="shared" si="10"/>
        <v>2413883.3286380749</v>
      </c>
      <c r="F68" s="8">
        <f t="shared" si="17"/>
        <v>38605134.198514402</v>
      </c>
      <c r="G68" s="8">
        <f t="shared" si="11"/>
        <v>2518623.7284592264</v>
      </c>
      <c r="H68" s="8">
        <f t="shared" si="12"/>
        <v>36086510.470055178</v>
      </c>
      <c r="I68" s="8">
        <f t="shared" si="18"/>
        <v>47926242.87584281</v>
      </c>
      <c r="J68" s="8">
        <f t="shared" si="13"/>
        <v>-3125587.5</v>
      </c>
      <c r="K68" s="8">
        <f t="shared" si="14"/>
        <v>268803.93225505686</v>
      </c>
      <c r="L68" s="8">
        <f t="shared" si="15"/>
        <v>45069459.308097869</v>
      </c>
    </row>
    <row r="69" spans="1:12">
      <c r="A69" s="180">
        <v>46722</v>
      </c>
      <c r="B69" s="8">
        <f t="shared" si="16"/>
        <v>1340</v>
      </c>
      <c r="C69" s="8">
        <v>3125587.5</v>
      </c>
      <c r="D69" s="8">
        <f t="shared" si="10"/>
        <v>2399642.014851484</v>
      </c>
      <c r="F69" s="8">
        <f t="shared" si="17"/>
        <v>36086510.470055178</v>
      </c>
      <c r="G69" s="8">
        <f t="shared" si="11"/>
        <v>2518623.7284592264</v>
      </c>
      <c r="H69" s="8">
        <f t="shared" si="12"/>
        <v>33567886.741595954</v>
      </c>
      <c r="I69" s="8">
        <f t="shared" si="18"/>
        <v>45069459.308097869</v>
      </c>
      <c r="J69" s="8">
        <f t="shared" si="13"/>
        <v>-3125587.5</v>
      </c>
      <c r="K69" s="8">
        <f t="shared" si="14"/>
        <v>251663.23084858723</v>
      </c>
      <c r="L69" s="8">
        <f t="shared" si="15"/>
        <v>42195535.038946457</v>
      </c>
    </row>
    <row r="70" spans="1:12">
      <c r="A70" s="180">
        <v>46753</v>
      </c>
      <c r="B70" s="8">
        <f t="shared" si="16"/>
        <v>1371</v>
      </c>
      <c r="C70" s="8">
        <v>3125587.5</v>
      </c>
      <c r="D70" s="8">
        <f t="shared" si="10"/>
        <v>2385014.2527241325</v>
      </c>
      <c r="F70" s="8">
        <f t="shared" si="17"/>
        <v>33567886.741595954</v>
      </c>
      <c r="G70" s="8">
        <f t="shared" si="11"/>
        <v>2518623.7284592264</v>
      </c>
      <c r="H70" s="8">
        <f t="shared" si="12"/>
        <v>31049263.013136726</v>
      </c>
      <c r="I70" s="8">
        <f t="shared" si="18"/>
        <v>42195535.038946457</v>
      </c>
      <c r="J70" s="8">
        <f t="shared" si="13"/>
        <v>-3125587.5</v>
      </c>
      <c r="K70" s="8">
        <f t="shared" si="14"/>
        <v>234419.68523367879</v>
      </c>
      <c r="L70" s="8">
        <f t="shared" si="15"/>
        <v>39304367.22418014</v>
      </c>
    </row>
    <row r="71" spans="1:12">
      <c r="A71" s="180">
        <v>46784</v>
      </c>
      <c r="B71" s="8">
        <f t="shared" si="16"/>
        <v>1402</v>
      </c>
      <c r="C71" s="8">
        <f>C70*13/28+C72*15/28</f>
        <v>3209308.59375</v>
      </c>
      <c r="D71" s="8">
        <f t="shared" si="10"/>
        <v>2433970.5423715268</v>
      </c>
      <c r="F71" s="8">
        <f t="shared" si="17"/>
        <v>31049263.013136726</v>
      </c>
      <c r="G71" s="8">
        <f t="shared" si="11"/>
        <v>2518623.7284592264</v>
      </c>
      <c r="H71" s="8">
        <f t="shared" si="12"/>
        <v>28530639.284677498</v>
      </c>
      <c r="I71" s="8">
        <f t="shared" si="18"/>
        <v>39304367.22418014</v>
      </c>
      <c r="J71" s="8">
        <f t="shared" si="13"/>
        <v>-3209308.59375</v>
      </c>
      <c r="K71" s="8">
        <f t="shared" si="14"/>
        <v>216570.35178258087</v>
      </c>
      <c r="L71" s="8">
        <f t="shared" si="15"/>
        <v>36311628.982212722</v>
      </c>
    </row>
    <row r="72" spans="1:12">
      <c r="A72" s="180">
        <v>46813</v>
      </c>
      <c r="B72" s="8">
        <f t="shared" si="16"/>
        <v>1431</v>
      </c>
      <c r="C72" s="8">
        <v>3281866.875</v>
      </c>
      <c r="D72" s="8">
        <f t="shared" si="10"/>
        <v>2474803.0453887116</v>
      </c>
      <c r="F72" s="8">
        <f t="shared" si="17"/>
        <v>28530639.284677498</v>
      </c>
      <c r="G72" s="8">
        <f t="shared" si="11"/>
        <v>2518623.7284592264</v>
      </c>
      <c r="H72" s="8">
        <f t="shared" si="12"/>
        <v>26012015.55621827</v>
      </c>
      <c r="I72" s="8">
        <f t="shared" si="18"/>
        <v>36311628.982212722</v>
      </c>
      <c r="J72" s="8">
        <f t="shared" si="13"/>
        <v>-3281866.875</v>
      </c>
      <c r="K72" s="8">
        <f t="shared" si="14"/>
        <v>198178.57264327633</v>
      </c>
      <c r="L72" s="8">
        <f t="shared" si="15"/>
        <v>33227940.679855999</v>
      </c>
    </row>
    <row r="73" spans="1:12">
      <c r="A73" s="180">
        <v>46844</v>
      </c>
      <c r="B73" s="8">
        <f t="shared" si="16"/>
        <v>1462</v>
      </c>
      <c r="C73" s="8">
        <v>3281866.875</v>
      </c>
      <c r="D73" s="8">
        <f t="shared" si="10"/>
        <v>2459717.1158892512</v>
      </c>
      <c r="F73" s="8">
        <f t="shared" si="17"/>
        <v>26012015.55621827</v>
      </c>
      <c r="G73" s="8">
        <f t="shared" si="11"/>
        <v>2518623.7284592264</v>
      </c>
      <c r="H73" s="8">
        <f t="shared" si="12"/>
        <v>23493391.827759042</v>
      </c>
      <c r="I73" s="8">
        <f t="shared" si="18"/>
        <v>33227940.679855999</v>
      </c>
      <c r="J73" s="8">
        <f t="shared" si="13"/>
        <v>-3281866.875</v>
      </c>
      <c r="K73" s="8">
        <f t="shared" si="14"/>
        <v>179676.44282913601</v>
      </c>
      <c r="L73" s="8">
        <f t="shared" si="15"/>
        <v>30125750.247685134</v>
      </c>
    </row>
    <row r="74" spans="1:12">
      <c r="A74" s="180">
        <v>46874</v>
      </c>
      <c r="B74" s="8">
        <f t="shared" si="16"/>
        <v>1492</v>
      </c>
      <c r="C74" s="8">
        <v>3281866.875</v>
      </c>
      <c r="D74" s="8">
        <f t="shared" si="10"/>
        <v>2445205.3941096454</v>
      </c>
      <c r="F74" s="8">
        <f t="shared" si="17"/>
        <v>23493391.827759042</v>
      </c>
      <c r="G74" s="8">
        <f t="shared" si="11"/>
        <v>2518623.7284592264</v>
      </c>
      <c r="H74" s="8">
        <f t="shared" si="12"/>
        <v>20974768.099299815</v>
      </c>
      <c r="I74" s="8">
        <f t="shared" si="18"/>
        <v>30125750.247685134</v>
      </c>
      <c r="J74" s="8">
        <f t="shared" si="13"/>
        <v>-3281866.875</v>
      </c>
      <c r="K74" s="8">
        <f t="shared" si="14"/>
        <v>161063.30023611084</v>
      </c>
      <c r="L74" s="8">
        <f t="shared" si="15"/>
        <v>27004946.672921244</v>
      </c>
    </row>
    <row r="75" spans="1:12">
      <c r="A75" s="180">
        <v>46905</v>
      </c>
      <c r="B75" s="8">
        <f t="shared" si="16"/>
        <v>1523</v>
      </c>
      <c r="C75" s="8">
        <v>3281866.875</v>
      </c>
      <c r="D75" s="8">
        <f t="shared" si="10"/>
        <v>2430299.8862729827</v>
      </c>
      <c r="F75" s="8">
        <f t="shared" si="17"/>
        <v>20974768.099299815</v>
      </c>
      <c r="G75" s="8">
        <f t="shared" si="11"/>
        <v>2518623.7284592264</v>
      </c>
      <c r="H75" s="8">
        <f t="shared" si="12"/>
        <v>18456144.370840587</v>
      </c>
      <c r="I75" s="8">
        <f t="shared" si="18"/>
        <v>27004946.672921244</v>
      </c>
      <c r="J75" s="8">
        <f t="shared" si="13"/>
        <v>-3281866.875</v>
      </c>
      <c r="K75" s="8">
        <f t="shared" si="14"/>
        <v>142338.47878752748</v>
      </c>
      <c r="L75" s="8">
        <f t="shared" si="15"/>
        <v>23865418.276708771</v>
      </c>
    </row>
    <row r="76" spans="1:12">
      <c r="A76" s="180">
        <v>46935</v>
      </c>
      <c r="B76" s="8">
        <f t="shared" si="16"/>
        <v>1553</v>
      </c>
      <c r="C76" s="8">
        <v>3281866.875</v>
      </c>
      <c r="D76" s="8">
        <f t="shared" si="10"/>
        <v>2415961.7188622751</v>
      </c>
      <c r="F76" s="8">
        <f t="shared" si="17"/>
        <v>18456144.370840587</v>
      </c>
      <c r="G76" s="8">
        <f t="shared" si="11"/>
        <v>2518623.7284592264</v>
      </c>
      <c r="H76" s="8">
        <f t="shared" si="12"/>
        <v>15937520.642381361</v>
      </c>
      <c r="I76" s="8">
        <f t="shared" si="18"/>
        <v>23865418.276708771</v>
      </c>
      <c r="J76" s="8">
        <f t="shared" si="13"/>
        <v>-3281866.875</v>
      </c>
      <c r="K76" s="8">
        <f t="shared" si="14"/>
        <v>123501.30841025263</v>
      </c>
      <c r="L76" s="8">
        <f t="shared" si="15"/>
        <v>20707052.710119024</v>
      </c>
    </row>
    <row r="77" spans="1:12">
      <c r="A77" s="180">
        <v>46966</v>
      </c>
      <c r="B77" s="8">
        <f t="shared" si="16"/>
        <v>1584</v>
      </c>
      <c r="C77" s="8">
        <v>3281866.875</v>
      </c>
      <c r="D77" s="8">
        <f t="shared" si="10"/>
        <v>2401234.4749177266</v>
      </c>
      <c r="F77" s="8">
        <f t="shared" si="17"/>
        <v>15937520.642381361</v>
      </c>
      <c r="G77" s="8">
        <f t="shared" si="11"/>
        <v>2518623.7284592264</v>
      </c>
      <c r="H77" s="8">
        <f t="shared" si="12"/>
        <v>13418896.913922135</v>
      </c>
      <c r="I77" s="8">
        <f t="shared" si="18"/>
        <v>20707052.710119024</v>
      </c>
      <c r="J77" s="8">
        <f t="shared" si="13"/>
        <v>-3281866.875</v>
      </c>
      <c r="K77" s="8">
        <f t="shared" si="14"/>
        <v>104551.11501071416</v>
      </c>
      <c r="L77" s="8">
        <f t="shared" si="15"/>
        <v>17529736.95012974</v>
      </c>
    </row>
    <row r="78" spans="1:12">
      <c r="A78" s="180">
        <v>46997</v>
      </c>
      <c r="B78" s="8">
        <f t="shared" si="16"/>
        <v>1615</v>
      </c>
      <c r="C78" s="8">
        <v>3281866.875</v>
      </c>
      <c r="D78" s="8">
        <f t="shared" si="10"/>
        <v>2386597.0054561542</v>
      </c>
      <c r="F78" s="8">
        <f t="shared" si="17"/>
        <v>13418896.913922135</v>
      </c>
      <c r="G78" s="8">
        <f t="shared" si="11"/>
        <v>2518623.7284592264</v>
      </c>
      <c r="H78" s="8">
        <f t="shared" si="12"/>
        <v>10900273.185462909</v>
      </c>
      <c r="I78" s="8">
        <f t="shared" si="18"/>
        <v>17529736.95012974</v>
      </c>
      <c r="J78" s="8">
        <f t="shared" si="13"/>
        <v>-3281866.875</v>
      </c>
      <c r="K78" s="8">
        <f t="shared" si="14"/>
        <v>85487.220450778448</v>
      </c>
      <c r="L78" s="8">
        <f t="shared" si="15"/>
        <v>14333357.295580518</v>
      </c>
    </row>
    <row r="79" spans="1:12">
      <c r="A79" s="180">
        <v>47027</v>
      </c>
      <c r="B79" s="8">
        <f t="shared" si="16"/>
        <v>1645</v>
      </c>
      <c r="C79" s="8">
        <v>3281866.875</v>
      </c>
      <c r="D79" s="8">
        <f t="shared" si="10"/>
        <v>2372516.6742182667</v>
      </c>
      <c r="F79" s="8">
        <f t="shared" si="17"/>
        <v>10900273.185462909</v>
      </c>
      <c r="G79" s="8">
        <f t="shared" si="11"/>
        <v>2518623.7284592264</v>
      </c>
      <c r="H79" s="8">
        <f t="shared" si="12"/>
        <v>8381649.4570036829</v>
      </c>
      <c r="I79" s="8">
        <f t="shared" si="18"/>
        <v>14333357.295580518</v>
      </c>
      <c r="J79" s="8">
        <f t="shared" si="13"/>
        <v>-3281866.875</v>
      </c>
      <c r="K79" s="8">
        <f t="shared" si="14"/>
        <v>66308.942523483114</v>
      </c>
      <c r="L79" s="8">
        <f t="shared" si="15"/>
        <v>11117799.363104001</v>
      </c>
    </row>
    <row r="80" spans="1:12">
      <c r="A80" s="180">
        <v>47058</v>
      </c>
      <c r="B80" s="8">
        <f t="shared" si="16"/>
        <v>1676</v>
      </c>
      <c r="C80" s="8">
        <v>3281866.875</v>
      </c>
      <c r="D80" s="8">
        <f t="shared" si="10"/>
        <v>2358054.2630174072</v>
      </c>
      <c r="F80" s="8">
        <f t="shared" si="17"/>
        <v>8381649.4570036829</v>
      </c>
      <c r="G80" s="8">
        <f t="shared" si="11"/>
        <v>2518623.7284592264</v>
      </c>
      <c r="H80" s="8">
        <f t="shared" si="12"/>
        <v>5863025.7285444569</v>
      </c>
      <c r="I80" s="8">
        <f t="shared" si="18"/>
        <v>11117799.363104001</v>
      </c>
      <c r="J80" s="8">
        <f t="shared" si="13"/>
        <v>-3281866.875</v>
      </c>
      <c r="K80" s="8">
        <f t="shared" si="14"/>
        <v>47015.594928624014</v>
      </c>
      <c r="L80" s="8">
        <f t="shared" si="15"/>
        <v>7882948.0830326248</v>
      </c>
    </row>
    <row r="81" spans="1:12">
      <c r="A81" s="180">
        <v>47088</v>
      </c>
      <c r="B81" s="8">
        <f t="shared" si="16"/>
        <v>1706</v>
      </c>
      <c r="C81" s="8">
        <v>3281866.875</v>
      </c>
      <c r="D81" s="8">
        <f t="shared" si="10"/>
        <v>2344142.3268906572</v>
      </c>
      <c r="F81" s="8">
        <f t="shared" si="17"/>
        <v>5863025.7285444569</v>
      </c>
      <c r="G81" s="8">
        <f t="shared" si="11"/>
        <v>2518623.7284592264</v>
      </c>
      <c r="H81" s="8">
        <f t="shared" si="12"/>
        <v>3344402.0000852305</v>
      </c>
      <c r="I81" s="8">
        <f t="shared" si="18"/>
        <v>7882948.0830326248</v>
      </c>
      <c r="J81" s="8">
        <f t="shared" si="13"/>
        <v>-3281866.875</v>
      </c>
      <c r="K81" s="8">
        <f t="shared" si="14"/>
        <v>27606.487248195754</v>
      </c>
      <c r="L81" s="8">
        <f t="shared" si="15"/>
        <v>4628687.6952808201</v>
      </c>
    </row>
    <row r="82" spans="1:12">
      <c r="A82" s="180">
        <v>47119</v>
      </c>
      <c r="B82" s="8">
        <f t="shared" si="16"/>
        <v>1737</v>
      </c>
      <c r="C82" s="8">
        <v>3281866.875</v>
      </c>
      <c r="D82" s="8">
        <f t="shared" si="10"/>
        <v>2329852.8803239642</v>
      </c>
      <c r="F82" s="8">
        <f t="shared" si="17"/>
        <v>3344402.0000852305</v>
      </c>
      <c r="G82" s="8">
        <f t="shared" si="11"/>
        <v>2518623.7284592264</v>
      </c>
      <c r="H82" s="8">
        <f t="shared" si="12"/>
        <v>825778.27162600402</v>
      </c>
      <c r="I82" s="8">
        <f t="shared" si="18"/>
        <v>4628687.6952808201</v>
      </c>
      <c r="J82" s="8">
        <f t="shared" si="13"/>
        <v>-3281866.875</v>
      </c>
      <c r="K82" s="8">
        <f t="shared" si="14"/>
        <v>8080.9249216849212</v>
      </c>
      <c r="L82" s="8">
        <f t="shared" si="15"/>
        <v>1354901.745202505</v>
      </c>
    </row>
    <row r="83" spans="1:12">
      <c r="A83" s="180">
        <v>47150</v>
      </c>
      <c r="B83" s="8">
        <f t="shared" si="16"/>
        <v>1768</v>
      </c>
      <c r="C83" s="8">
        <f>C82*13/28</f>
        <v>1523723.90625</v>
      </c>
      <c r="D83" s="8">
        <f t="shared" si="10"/>
        <v>1075123.464772756</v>
      </c>
      <c r="F83" s="8">
        <f t="shared" si="17"/>
        <v>825778.27162600402</v>
      </c>
      <c r="G83" s="8">
        <f>F83</f>
        <v>825778.27162600402</v>
      </c>
      <c r="H83" s="8">
        <f t="shared" si="12"/>
        <v>0</v>
      </c>
      <c r="I83" s="8">
        <f t="shared" si="18"/>
        <v>1354901.745202505</v>
      </c>
      <c r="J83" s="8">
        <f>-I83</f>
        <v>-1354901.745202505</v>
      </c>
      <c r="K83" s="8">
        <f t="shared" si="14"/>
        <v>0</v>
      </c>
      <c r="L83" s="8">
        <f t="shared" si="15"/>
        <v>0</v>
      </c>
    </row>
  </sheetData>
  <mergeCells count="3">
    <mergeCell ref="A23:D23"/>
    <mergeCell ref="F23:H23"/>
    <mergeCell ref="I23:L23"/>
  </mergeCells>
  <pageMargins left="0.7" right="0.7" top="0.75" bottom="0.75" header="0.3" footer="0.3"/>
  <pageSetup orientation="portrait" r:id="rId1"/>
  <ignoredErrors>
    <ignoredError sqref="I15"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A6A42-DE39-4797-AE29-BE08CB2ED391}">
  <dimension ref="A1:L76"/>
  <sheetViews>
    <sheetView showGridLines="0" zoomScale="80" zoomScaleNormal="80" workbookViewId="0">
      <selection activeCell="A3" sqref="A1:A3"/>
    </sheetView>
  </sheetViews>
  <sheetFormatPr defaultColWidth="8.796875" defaultRowHeight="13.3"/>
  <cols>
    <col min="1" max="1" width="24.796875" style="2" customWidth="1"/>
    <col min="2" max="2" width="16.796875" style="2" bestFit="1" customWidth="1"/>
    <col min="3" max="4" width="19" style="2" bestFit="1" customWidth="1"/>
    <col min="5" max="5" width="13.796875" style="2" bestFit="1" customWidth="1"/>
    <col min="6" max="6" width="13.8984375" style="2" bestFit="1" customWidth="1"/>
    <col min="7" max="7" width="14.8984375" style="2" bestFit="1" customWidth="1"/>
    <col min="8" max="8" width="17.5" style="2" bestFit="1" customWidth="1"/>
    <col min="9" max="9" width="14.796875" style="2" bestFit="1" customWidth="1"/>
    <col min="10" max="10" width="12" style="2" bestFit="1" customWidth="1"/>
    <col min="11" max="11" width="11.59765625" style="2" bestFit="1" customWidth="1"/>
    <col min="12" max="12" width="13.8984375" style="2" bestFit="1" customWidth="1"/>
    <col min="13" max="13" width="8.796875" style="2"/>
    <col min="14" max="14" width="10.5" style="2" bestFit="1" customWidth="1"/>
    <col min="15" max="16384" width="8.796875" style="2"/>
  </cols>
  <sheetData>
    <row r="1" spans="1:12">
      <c r="A1" s="14"/>
    </row>
    <row r="2" spans="1:12">
      <c r="A2" s="14"/>
    </row>
    <row r="3" spans="1:12">
      <c r="A3" s="14"/>
    </row>
    <row r="6" spans="1:12">
      <c r="A6" s="14" t="str">
        <f>[4]Scope!A5</f>
        <v xml:space="preserve">Purpose </v>
      </c>
    </row>
    <row r="7" spans="1:12">
      <c r="A7" s="182" t="s">
        <v>59</v>
      </c>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92">
        <v>7.5700000000000003E-2</v>
      </c>
      <c r="C13" s="85">
        <v>45606</v>
      </c>
      <c r="D13" s="85">
        <v>47163</v>
      </c>
      <c r="E13" s="73">
        <v>0</v>
      </c>
      <c r="F13" s="73">
        <v>10685371.08</v>
      </c>
      <c r="G13" s="77">
        <v>30720441.729999997</v>
      </c>
      <c r="H13" s="73">
        <v>2793767.6799999997</v>
      </c>
      <c r="I13" s="73">
        <v>11610540.67</v>
      </c>
      <c r="J13" s="77">
        <v>32999687.789999992</v>
      </c>
      <c r="K13" s="77">
        <v>11170343.210000001</v>
      </c>
      <c r="L13" s="77">
        <v>21829344.579999991</v>
      </c>
    </row>
    <row r="14" spans="1:12">
      <c r="A14" s="74" t="s">
        <v>104</v>
      </c>
      <c r="B14" s="92">
        <f>'G Sec 1 Apr'!C22/100</f>
        <v>7.2000000000000008E-2</v>
      </c>
      <c r="C14" s="85">
        <v>45606</v>
      </c>
      <c r="D14" s="85">
        <v>47163</v>
      </c>
      <c r="E14" s="73">
        <v>0</v>
      </c>
      <c r="F14" s="73">
        <f>SUM(G30:G41)</f>
        <v>11013564.553765692</v>
      </c>
      <c r="G14" s="77">
        <f>H41</f>
        <v>31250237.128649417</v>
      </c>
      <c r="H14" s="73">
        <f>SUM(K30:K41)</f>
        <v>2761897.9974405151</v>
      </c>
      <c r="I14" s="73">
        <f>-SUM(J30:J41)</f>
        <v>11843883.883928571</v>
      </c>
      <c r="J14" s="77">
        <f>L41</f>
        <v>34302058.978784248</v>
      </c>
      <c r="K14" s="8">
        <f>-(L54-L42)</f>
        <v>10486432.13858654</v>
      </c>
      <c r="L14" s="8">
        <f>J14-K14</f>
        <v>23815626.840197708</v>
      </c>
    </row>
    <row r="15" spans="1:12">
      <c r="A15" s="86" t="s">
        <v>32</v>
      </c>
      <c r="B15" s="92">
        <f t="shared" ref="B15:L15" si="0">B13-B14</f>
        <v>3.699999999999995E-3</v>
      </c>
      <c r="C15" s="87">
        <f t="shared" si="0"/>
        <v>0</v>
      </c>
      <c r="D15" s="181">
        <f t="shared" si="0"/>
        <v>0</v>
      </c>
      <c r="E15" s="8">
        <f t="shared" si="0"/>
        <v>0</v>
      </c>
      <c r="F15" s="8">
        <f t="shared" si="0"/>
        <v>-328193.47376569174</v>
      </c>
      <c r="G15" s="8">
        <f t="shared" si="0"/>
        <v>-529795.39864942059</v>
      </c>
      <c r="H15" s="8">
        <f t="shared" si="0"/>
        <v>31869.682559484616</v>
      </c>
      <c r="I15" s="8">
        <f t="shared" si="0"/>
        <v>-233343.21392857097</v>
      </c>
      <c r="J15" s="8">
        <f t="shared" si="0"/>
        <v>-1302371.1887842566</v>
      </c>
      <c r="K15" s="8">
        <f t="shared" si="0"/>
        <v>683911.07141346112</v>
      </c>
      <c r="L15" s="8">
        <f t="shared" si="0"/>
        <v>-1986282.2601977177</v>
      </c>
    </row>
    <row r="16" spans="1:12">
      <c r="B16" s="90"/>
      <c r="C16" s="53"/>
      <c r="E16" s="53"/>
      <c r="G16" s="53"/>
      <c r="H16" s="53"/>
    </row>
    <row r="17" spans="1:12">
      <c r="B17" s="90"/>
      <c r="C17" s="53"/>
      <c r="E17" s="53"/>
      <c r="G17" s="53"/>
      <c r="H17" s="53"/>
    </row>
    <row r="18" spans="1:12">
      <c r="A18" s="14" t="s">
        <v>115</v>
      </c>
      <c r="B18" s="7">
        <v>960825</v>
      </c>
      <c r="C18" s="88" t="s">
        <v>107</v>
      </c>
      <c r="E18" s="53"/>
      <c r="F18" s="53"/>
      <c r="G18" s="53"/>
      <c r="H18" s="53"/>
      <c r="I18" s="53"/>
      <c r="J18" s="53"/>
    </row>
    <row r="19" spans="1:12">
      <c r="A19" s="14" t="s">
        <v>109</v>
      </c>
      <c r="B19" s="91">
        <f>B14/365</f>
        <v>1.9726027397260276E-4</v>
      </c>
      <c r="C19" s="88" t="s">
        <v>106</v>
      </c>
    </row>
    <row r="20" spans="1:12">
      <c r="A20" s="14" t="s">
        <v>114</v>
      </c>
      <c r="B20" s="7">
        <f>(D14-C14)/30.5</f>
        <v>51.049180327868854</v>
      </c>
      <c r="C20" s="88" t="s">
        <v>117</v>
      </c>
      <c r="D20" s="53"/>
      <c r="E20" s="53"/>
      <c r="G20" s="53"/>
    </row>
    <row r="21" spans="1:12">
      <c r="A21" s="14" t="s">
        <v>110</v>
      </c>
      <c r="B21" s="7">
        <f>SUM(D25:D76)</f>
        <v>46852786.913150772</v>
      </c>
      <c r="C21" s="88" t="s">
        <v>117</v>
      </c>
      <c r="E21" s="53"/>
    </row>
    <row r="22" spans="1:12">
      <c r="B22" s="89"/>
      <c r="E22" s="53"/>
    </row>
    <row r="23" spans="1:12">
      <c r="A23" s="380" t="s">
        <v>184</v>
      </c>
      <c r="B23" s="380"/>
      <c r="C23" s="380"/>
      <c r="D23" s="380"/>
      <c r="F23" s="378" t="s">
        <v>185</v>
      </c>
      <c r="G23" s="378"/>
      <c r="H23" s="378"/>
      <c r="I23" s="379" t="s">
        <v>15</v>
      </c>
      <c r="J23" s="379"/>
      <c r="K23" s="379"/>
      <c r="L23" s="379"/>
    </row>
    <row r="24" spans="1:12" s="99" customFormat="1" ht="26.6">
      <c r="A24" s="5" t="s">
        <v>178</v>
      </c>
      <c r="B24" s="5" t="s">
        <v>183</v>
      </c>
      <c r="C24" s="5" t="s">
        <v>179</v>
      </c>
      <c r="D24" s="5" t="s">
        <v>180</v>
      </c>
      <c r="F24" s="5" t="s">
        <v>9</v>
      </c>
      <c r="G24" s="121" t="s">
        <v>133</v>
      </c>
      <c r="H24" s="5" t="s">
        <v>8</v>
      </c>
      <c r="I24" s="121" t="s">
        <v>113</v>
      </c>
      <c r="J24" s="121" t="s">
        <v>11</v>
      </c>
      <c r="K24" s="121" t="s">
        <v>10</v>
      </c>
      <c r="L24" s="98" t="s">
        <v>57</v>
      </c>
    </row>
    <row r="25" spans="1:12">
      <c r="A25" s="180">
        <v>45597</v>
      </c>
      <c r="B25" s="8">
        <v>1</v>
      </c>
      <c r="C25" s="8">
        <v>960825</v>
      </c>
      <c r="D25" s="8">
        <f t="shared" ref="D25:D56" si="1">-PV($B$19,B25,,C25,1)</f>
        <v>960635.50477713987</v>
      </c>
      <c r="F25" s="8">
        <f>B21</f>
        <v>46852786.913150772</v>
      </c>
      <c r="G25" s="8">
        <f t="shared" ref="G25:G56" si="2">$F$25/$B$20</f>
        <v>917797.04614714102</v>
      </c>
      <c r="H25" s="8">
        <f t="shared" ref="H25:H56" si="3">F25-G25</f>
        <v>45934989.867003635</v>
      </c>
      <c r="I25" s="8">
        <f>F25</f>
        <v>46852786.913150772</v>
      </c>
      <c r="J25" s="8">
        <f t="shared" ref="J25:J56" si="4">-C25</f>
        <v>-960825</v>
      </c>
      <c r="K25" s="8">
        <f t="shared" ref="K25:K56" si="5">SUM(I25:J25)*$B$14/12</f>
        <v>275351.7714789047</v>
      </c>
      <c r="L25" s="8">
        <f t="shared" ref="L25:L56" si="6">SUM(I25:K25)</f>
        <v>46167313.684629679</v>
      </c>
    </row>
    <row r="26" spans="1:12">
      <c r="A26" s="180">
        <v>45627</v>
      </c>
      <c r="B26" s="8">
        <f t="shared" ref="B26:B57" si="7">A26-$A$25+1</f>
        <v>31</v>
      </c>
      <c r="C26" s="8">
        <v>960825</v>
      </c>
      <c r="D26" s="8">
        <f t="shared" si="1"/>
        <v>954967.99322189426</v>
      </c>
      <c r="F26" s="8">
        <f t="shared" ref="F26:F57" si="8">H25</f>
        <v>45934989.867003635</v>
      </c>
      <c r="G26" s="8">
        <f t="shared" si="2"/>
        <v>917797.04614714102</v>
      </c>
      <c r="H26" s="8">
        <f t="shared" si="3"/>
        <v>45017192.820856497</v>
      </c>
      <c r="I26" s="8">
        <f t="shared" ref="I26:I57" si="9">L25</f>
        <v>46167313.684629679</v>
      </c>
      <c r="J26" s="8">
        <f t="shared" si="4"/>
        <v>-960825</v>
      </c>
      <c r="K26" s="8">
        <f t="shared" si="5"/>
        <v>271238.93210777809</v>
      </c>
      <c r="L26" s="8">
        <f t="shared" si="6"/>
        <v>45477727.616737455</v>
      </c>
    </row>
    <row r="27" spans="1:12">
      <c r="A27" s="180">
        <v>45658</v>
      </c>
      <c r="B27" s="8">
        <f t="shared" si="7"/>
        <v>62</v>
      </c>
      <c r="C27" s="8">
        <v>960825</v>
      </c>
      <c r="D27" s="8">
        <f t="shared" si="1"/>
        <v>949146.68964509841</v>
      </c>
      <c r="F27" s="8">
        <f t="shared" si="8"/>
        <v>45017192.820856497</v>
      </c>
      <c r="G27" s="8">
        <f t="shared" si="2"/>
        <v>917797.04614714102</v>
      </c>
      <c r="H27" s="8">
        <f t="shared" si="3"/>
        <v>44099395.774709359</v>
      </c>
      <c r="I27" s="8">
        <f t="shared" si="9"/>
        <v>45477727.616737455</v>
      </c>
      <c r="J27" s="8">
        <f t="shared" si="4"/>
        <v>-960825</v>
      </c>
      <c r="K27" s="8">
        <f t="shared" si="5"/>
        <v>267101.41570042475</v>
      </c>
      <c r="L27" s="8">
        <f t="shared" si="6"/>
        <v>44784004.032437883</v>
      </c>
    </row>
    <row r="28" spans="1:12">
      <c r="A28" s="180">
        <v>45689</v>
      </c>
      <c r="B28" s="8">
        <f t="shared" si="7"/>
        <v>93</v>
      </c>
      <c r="C28" s="8">
        <v>960825</v>
      </c>
      <c r="D28" s="8">
        <f t="shared" si="1"/>
        <v>943360.87162967585</v>
      </c>
      <c r="F28" s="8">
        <f t="shared" si="8"/>
        <v>44099395.774709359</v>
      </c>
      <c r="G28" s="8">
        <f t="shared" si="2"/>
        <v>917797.04614714102</v>
      </c>
      <c r="H28" s="8">
        <f t="shared" si="3"/>
        <v>43181598.728562221</v>
      </c>
      <c r="I28" s="8">
        <f t="shared" si="9"/>
        <v>44784004.032437883</v>
      </c>
      <c r="J28" s="8">
        <f t="shared" si="4"/>
        <v>-960825</v>
      </c>
      <c r="K28" s="8">
        <f t="shared" si="5"/>
        <v>262939.07419462735</v>
      </c>
      <c r="L28" s="8">
        <f t="shared" si="6"/>
        <v>44086118.106632508</v>
      </c>
    </row>
    <row r="29" spans="1:12">
      <c r="A29" s="180">
        <v>45717</v>
      </c>
      <c r="B29" s="8">
        <f t="shared" si="7"/>
        <v>121</v>
      </c>
      <c r="C29" s="8">
        <v>960825</v>
      </c>
      <c r="D29" s="8">
        <f t="shared" si="1"/>
        <v>938165.29212887899</v>
      </c>
      <c r="F29" s="8">
        <f t="shared" si="8"/>
        <v>43181598.728562221</v>
      </c>
      <c r="G29" s="8">
        <f t="shared" si="2"/>
        <v>917797.04614714102</v>
      </c>
      <c r="H29" s="8">
        <f t="shared" si="3"/>
        <v>42263801.682415083</v>
      </c>
      <c r="I29" s="8">
        <f t="shared" si="9"/>
        <v>44086118.106632508</v>
      </c>
      <c r="J29" s="8">
        <f t="shared" si="4"/>
        <v>-960825</v>
      </c>
      <c r="K29" s="8">
        <f t="shared" si="5"/>
        <v>258751.75863979509</v>
      </c>
      <c r="L29" s="8">
        <f t="shared" si="6"/>
        <v>43384044.865272306</v>
      </c>
    </row>
    <row r="30" spans="1:12">
      <c r="A30" s="180">
        <v>45748</v>
      </c>
      <c r="B30" s="8">
        <f t="shared" si="7"/>
        <v>152</v>
      </c>
      <c r="C30" s="8">
        <v>960825</v>
      </c>
      <c r="D30" s="8">
        <f t="shared" si="1"/>
        <v>932446.4146277915</v>
      </c>
      <c r="F30" s="8">
        <f t="shared" si="8"/>
        <v>42263801.682415083</v>
      </c>
      <c r="G30" s="8">
        <f t="shared" si="2"/>
        <v>917797.04614714102</v>
      </c>
      <c r="H30" s="8">
        <f t="shared" si="3"/>
        <v>41346004.636267945</v>
      </c>
      <c r="I30" s="8">
        <f t="shared" si="9"/>
        <v>43384044.865272306</v>
      </c>
      <c r="J30" s="8">
        <f t="shared" si="4"/>
        <v>-960825</v>
      </c>
      <c r="K30" s="8">
        <f t="shared" si="5"/>
        <v>254539.31919163387</v>
      </c>
      <c r="L30" s="8">
        <f t="shared" si="6"/>
        <v>42677759.184463941</v>
      </c>
    </row>
    <row r="31" spans="1:12">
      <c r="A31" s="180">
        <v>45778</v>
      </c>
      <c r="B31" s="8">
        <f t="shared" si="7"/>
        <v>182</v>
      </c>
      <c r="C31" s="8">
        <v>960825</v>
      </c>
      <c r="D31" s="8">
        <f t="shared" si="1"/>
        <v>926945.21172276593</v>
      </c>
      <c r="F31" s="8">
        <f t="shared" si="8"/>
        <v>41346004.636267945</v>
      </c>
      <c r="G31" s="8">
        <f t="shared" si="2"/>
        <v>917797.04614714102</v>
      </c>
      <c r="H31" s="8">
        <f t="shared" si="3"/>
        <v>40428207.590120807</v>
      </c>
      <c r="I31" s="8">
        <f t="shared" si="9"/>
        <v>42677759.184463941</v>
      </c>
      <c r="J31" s="8">
        <f t="shared" si="4"/>
        <v>-960825</v>
      </c>
      <c r="K31" s="8">
        <f t="shared" si="5"/>
        <v>250301.60510678368</v>
      </c>
      <c r="L31" s="8">
        <f t="shared" si="6"/>
        <v>41967235.789570726</v>
      </c>
    </row>
    <row r="32" spans="1:12">
      <c r="A32" s="180">
        <v>45809</v>
      </c>
      <c r="B32" s="8">
        <f t="shared" si="7"/>
        <v>213</v>
      </c>
      <c r="C32" s="8">
        <v>960825</v>
      </c>
      <c r="D32" s="8">
        <f t="shared" si="1"/>
        <v>921294.72970159363</v>
      </c>
      <c r="F32" s="8">
        <f t="shared" si="8"/>
        <v>40428207.590120807</v>
      </c>
      <c r="G32" s="8">
        <f t="shared" si="2"/>
        <v>917797.04614714102</v>
      </c>
      <c r="H32" s="8">
        <f t="shared" si="3"/>
        <v>39510410.543973669</v>
      </c>
      <c r="I32" s="8">
        <f t="shared" si="9"/>
        <v>41967235.789570726</v>
      </c>
      <c r="J32" s="8">
        <f t="shared" si="4"/>
        <v>-960825</v>
      </c>
      <c r="K32" s="8">
        <f t="shared" si="5"/>
        <v>246038.46473742439</v>
      </c>
      <c r="L32" s="8">
        <f t="shared" si="6"/>
        <v>41252449.254308149</v>
      </c>
    </row>
    <row r="33" spans="1:12">
      <c r="A33" s="180">
        <v>45839</v>
      </c>
      <c r="B33" s="8">
        <f t="shared" si="7"/>
        <v>243</v>
      </c>
      <c r="C33" s="8">
        <v>960825</v>
      </c>
      <c r="D33" s="8">
        <f t="shared" si="1"/>
        <v>915859.31897566793</v>
      </c>
      <c r="F33" s="8">
        <f t="shared" si="8"/>
        <v>39510410.543973669</v>
      </c>
      <c r="G33" s="8">
        <f t="shared" si="2"/>
        <v>917797.04614714102</v>
      </c>
      <c r="H33" s="8">
        <f t="shared" si="3"/>
        <v>38592613.497826532</v>
      </c>
      <c r="I33" s="8">
        <f t="shared" si="9"/>
        <v>41252449.254308149</v>
      </c>
      <c r="J33" s="8">
        <f t="shared" si="4"/>
        <v>-960825</v>
      </c>
      <c r="K33" s="8">
        <f t="shared" si="5"/>
        <v>241749.74552584894</v>
      </c>
      <c r="L33" s="8">
        <f t="shared" si="6"/>
        <v>40533373.999834001</v>
      </c>
    </row>
    <row r="34" spans="1:12">
      <c r="A34" s="180">
        <v>45870</v>
      </c>
      <c r="B34" s="8">
        <f t="shared" si="7"/>
        <v>274</v>
      </c>
      <c r="C34" s="8">
        <v>960825</v>
      </c>
      <c r="D34" s="8">
        <f t="shared" si="1"/>
        <v>910276.41445191822</v>
      </c>
      <c r="F34" s="8">
        <f t="shared" si="8"/>
        <v>38592613.497826532</v>
      </c>
      <c r="G34" s="8">
        <f t="shared" si="2"/>
        <v>917797.04614714102</v>
      </c>
      <c r="H34" s="8">
        <f t="shared" si="3"/>
        <v>37674816.451679394</v>
      </c>
      <c r="I34" s="8">
        <f t="shared" si="9"/>
        <v>40533373.999834001</v>
      </c>
      <c r="J34" s="8">
        <f t="shared" si="4"/>
        <v>-960825</v>
      </c>
      <c r="K34" s="8">
        <f t="shared" si="5"/>
        <v>237435.29399900403</v>
      </c>
      <c r="L34" s="8">
        <f t="shared" si="6"/>
        <v>39809984.293833002</v>
      </c>
    </row>
    <row r="35" spans="1:12">
      <c r="A35" s="180">
        <v>45901</v>
      </c>
      <c r="B35" s="8">
        <f t="shared" si="7"/>
        <v>305</v>
      </c>
      <c r="C35" s="8">
        <f>C34*13/28+C36*15/28</f>
        <v>986561.38392857136</v>
      </c>
      <c r="D35" s="8">
        <f t="shared" si="1"/>
        <v>928961.31570741371</v>
      </c>
      <c r="F35" s="8">
        <f t="shared" si="8"/>
        <v>37674816.451679394</v>
      </c>
      <c r="G35" s="8">
        <f t="shared" si="2"/>
        <v>917797.04614714102</v>
      </c>
      <c r="H35" s="8">
        <f t="shared" si="3"/>
        <v>36757019.405532256</v>
      </c>
      <c r="I35" s="8">
        <f t="shared" si="9"/>
        <v>39809984.293833002</v>
      </c>
      <c r="J35" s="8">
        <f t="shared" si="4"/>
        <v>-986561.38392857136</v>
      </c>
      <c r="K35" s="8">
        <f t="shared" si="5"/>
        <v>232940.53745942659</v>
      </c>
      <c r="L35" s="8">
        <f t="shared" si="6"/>
        <v>39056363.447363853</v>
      </c>
    </row>
    <row r="36" spans="1:12">
      <c r="A36" s="180">
        <v>45931</v>
      </c>
      <c r="B36" s="8">
        <f t="shared" si="7"/>
        <v>335</v>
      </c>
      <c r="C36" s="8">
        <v>1008866.25</v>
      </c>
      <c r="D36" s="8">
        <f t="shared" si="1"/>
        <v>944359.36752250267</v>
      </c>
      <c r="F36" s="8">
        <f t="shared" si="8"/>
        <v>36757019.405532256</v>
      </c>
      <c r="G36" s="8">
        <f t="shared" si="2"/>
        <v>917797.04614714102</v>
      </c>
      <c r="H36" s="8">
        <f t="shared" si="3"/>
        <v>35839222.359385118</v>
      </c>
      <c r="I36" s="8">
        <f t="shared" si="9"/>
        <v>39056363.447363853</v>
      </c>
      <c r="J36" s="8">
        <f t="shared" si="4"/>
        <v>-1008866.25</v>
      </c>
      <c r="K36" s="8">
        <f t="shared" si="5"/>
        <v>228284.98318418313</v>
      </c>
      <c r="L36" s="8">
        <f t="shared" si="6"/>
        <v>38275782.180548035</v>
      </c>
    </row>
    <row r="37" spans="1:12">
      <c r="A37" s="180">
        <v>45962</v>
      </c>
      <c r="B37" s="8">
        <f t="shared" si="7"/>
        <v>366</v>
      </c>
      <c r="C37" s="8">
        <v>1008866.25</v>
      </c>
      <c r="D37" s="8">
        <f t="shared" si="1"/>
        <v>938602.7321138205</v>
      </c>
      <c r="F37" s="8">
        <f t="shared" si="8"/>
        <v>35839222.359385118</v>
      </c>
      <c r="G37" s="8">
        <f t="shared" si="2"/>
        <v>917797.04614714102</v>
      </c>
      <c r="H37" s="8">
        <f t="shared" si="3"/>
        <v>34921425.31323798</v>
      </c>
      <c r="I37" s="8">
        <f t="shared" si="9"/>
        <v>38275782.180548035</v>
      </c>
      <c r="J37" s="8">
        <f t="shared" si="4"/>
        <v>-1008866.25</v>
      </c>
      <c r="K37" s="8">
        <f t="shared" si="5"/>
        <v>223601.49558328823</v>
      </c>
      <c r="L37" s="8">
        <f t="shared" si="6"/>
        <v>37490517.426131323</v>
      </c>
    </row>
    <row r="38" spans="1:12">
      <c r="A38" s="180">
        <v>45992</v>
      </c>
      <c r="B38" s="8">
        <f t="shared" si="7"/>
        <v>396</v>
      </c>
      <c r="C38" s="8">
        <v>1008866.25</v>
      </c>
      <c r="D38" s="8">
        <f t="shared" si="1"/>
        <v>933065.20846037776</v>
      </c>
      <c r="F38" s="8">
        <f t="shared" si="8"/>
        <v>34921425.31323798</v>
      </c>
      <c r="G38" s="8">
        <f t="shared" si="2"/>
        <v>917797.04614714102</v>
      </c>
      <c r="H38" s="8">
        <f t="shared" si="3"/>
        <v>34003628.267090842</v>
      </c>
      <c r="I38" s="8">
        <f t="shared" si="9"/>
        <v>37490517.426131323</v>
      </c>
      <c r="J38" s="8">
        <f t="shared" si="4"/>
        <v>-1008866.25</v>
      </c>
      <c r="K38" s="8">
        <f t="shared" si="5"/>
        <v>218889.90705678798</v>
      </c>
      <c r="L38" s="8">
        <f t="shared" si="6"/>
        <v>36700541.083188109</v>
      </c>
    </row>
    <row r="39" spans="1:12">
      <c r="A39" s="180">
        <v>46023</v>
      </c>
      <c r="B39" s="8">
        <f t="shared" si="7"/>
        <v>427</v>
      </c>
      <c r="C39" s="8">
        <v>1008866.25</v>
      </c>
      <c r="D39" s="8">
        <f t="shared" si="1"/>
        <v>927377.42010103352</v>
      </c>
      <c r="F39" s="8">
        <f t="shared" si="8"/>
        <v>34003628.267090842</v>
      </c>
      <c r="G39" s="8">
        <f t="shared" si="2"/>
        <v>917797.04614714102</v>
      </c>
      <c r="H39" s="8">
        <f t="shared" si="3"/>
        <v>33085831.220943701</v>
      </c>
      <c r="I39" s="8">
        <f t="shared" si="9"/>
        <v>36700541.083188109</v>
      </c>
      <c r="J39" s="8">
        <f t="shared" si="4"/>
        <v>-1008866.25</v>
      </c>
      <c r="K39" s="8">
        <f t="shared" si="5"/>
        <v>214150.04899912866</v>
      </c>
      <c r="L39" s="8">
        <f t="shared" si="6"/>
        <v>35905824.88218724</v>
      </c>
    </row>
    <row r="40" spans="1:12">
      <c r="A40" s="180">
        <v>46054</v>
      </c>
      <c r="B40" s="8">
        <f t="shared" si="7"/>
        <v>458</v>
      </c>
      <c r="C40" s="8">
        <v>1008866.25</v>
      </c>
      <c r="D40" s="8">
        <f t="shared" si="1"/>
        <v>921724.30341964599</v>
      </c>
      <c r="F40" s="8">
        <f t="shared" si="8"/>
        <v>33085831.220943701</v>
      </c>
      <c r="G40" s="8">
        <f t="shared" si="2"/>
        <v>917797.04614714102</v>
      </c>
      <c r="H40" s="8">
        <f t="shared" si="3"/>
        <v>32168034.174796559</v>
      </c>
      <c r="I40" s="8">
        <f t="shared" si="9"/>
        <v>35905824.88218724</v>
      </c>
      <c r="J40" s="8">
        <f t="shared" si="4"/>
        <v>-1008866.25</v>
      </c>
      <c r="K40" s="8">
        <f t="shared" si="5"/>
        <v>209381.75179312346</v>
      </c>
      <c r="L40" s="8">
        <f t="shared" si="6"/>
        <v>35106340.383980364</v>
      </c>
    </row>
    <row r="41" spans="1:12">
      <c r="A41" s="180">
        <v>46082</v>
      </c>
      <c r="B41" s="8">
        <f t="shared" si="7"/>
        <v>486</v>
      </c>
      <c r="C41" s="8">
        <v>1008866.25</v>
      </c>
      <c r="D41" s="8">
        <f t="shared" si="1"/>
        <v>916647.88776551723</v>
      </c>
      <c r="F41" s="8">
        <f t="shared" si="8"/>
        <v>32168034.174796559</v>
      </c>
      <c r="G41" s="8">
        <f t="shared" si="2"/>
        <v>917797.04614714102</v>
      </c>
      <c r="H41" s="8">
        <f t="shared" si="3"/>
        <v>31250237.128649417</v>
      </c>
      <c r="I41" s="8">
        <f t="shared" si="9"/>
        <v>35106340.383980364</v>
      </c>
      <c r="J41" s="8">
        <f t="shared" si="4"/>
        <v>-1008866.25</v>
      </c>
      <c r="K41" s="8">
        <f t="shared" si="5"/>
        <v>204584.84480388221</v>
      </c>
      <c r="L41" s="8">
        <f t="shared" si="6"/>
        <v>34302058.978784248</v>
      </c>
    </row>
    <row r="42" spans="1:12">
      <c r="A42" s="180">
        <v>46113</v>
      </c>
      <c r="B42" s="8">
        <f t="shared" si="7"/>
        <v>517</v>
      </c>
      <c r="C42" s="8">
        <v>1008866.25</v>
      </c>
      <c r="D42" s="8">
        <f t="shared" si="1"/>
        <v>911060.17627614178</v>
      </c>
      <c r="F42" s="8">
        <f t="shared" si="8"/>
        <v>31250237.128649417</v>
      </c>
      <c r="G42" s="8">
        <f t="shared" si="2"/>
        <v>917797.04614714102</v>
      </c>
      <c r="H42" s="8">
        <f t="shared" si="3"/>
        <v>30332440.082502276</v>
      </c>
      <c r="I42" s="8">
        <f t="shared" si="9"/>
        <v>34302058.978784248</v>
      </c>
      <c r="J42" s="8">
        <f t="shared" si="4"/>
        <v>-1008866.25</v>
      </c>
      <c r="K42" s="8">
        <f t="shared" si="5"/>
        <v>199759.1563727055</v>
      </c>
      <c r="L42" s="8">
        <f t="shared" si="6"/>
        <v>33492951.885156956</v>
      </c>
    </row>
    <row r="43" spans="1:12">
      <c r="A43" s="180">
        <v>46143</v>
      </c>
      <c r="B43" s="8">
        <f t="shared" si="7"/>
        <v>547</v>
      </c>
      <c r="C43" s="8">
        <v>1008866.25</v>
      </c>
      <c r="D43" s="8">
        <f t="shared" si="1"/>
        <v>905685.14688060933</v>
      </c>
      <c r="F43" s="8">
        <f t="shared" si="8"/>
        <v>30332440.082502276</v>
      </c>
      <c r="G43" s="8">
        <f t="shared" si="2"/>
        <v>917797.04614714102</v>
      </c>
      <c r="H43" s="8">
        <f t="shared" si="3"/>
        <v>29414643.036355134</v>
      </c>
      <c r="I43" s="8">
        <f t="shared" si="9"/>
        <v>33492951.885156956</v>
      </c>
      <c r="J43" s="8">
        <f t="shared" si="4"/>
        <v>-1008866.25</v>
      </c>
      <c r="K43" s="8">
        <f t="shared" si="5"/>
        <v>194904.51381094175</v>
      </c>
      <c r="L43" s="8">
        <f t="shared" si="6"/>
        <v>32678990.148967896</v>
      </c>
    </row>
    <row r="44" spans="1:12">
      <c r="A44" s="180">
        <v>46174</v>
      </c>
      <c r="B44" s="8">
        <f t="shared" si="7"/>
        <v>578</v>
      </c>
      <c r="C44" s="8">
        <v>1008866.25</v>
      </c>
      <c r="D44" s="8">
        <f t="shared" si="1"/>
        <v>900164.26217828633</v>
      </c>
      <c r="F44" s="8">
        <f t="shared" si="8"/>
        <v>29414643.036355134</v>
      </c>
      <c r="G44" s="8">
        <f t="shared" si="2"/>
        <v>917797.04614714102</v>
      </c>
      <c r="H44" s="8">
        <f t="shared" si="3"/>
        <v>28496845.990207992</v>
      </c>
      <c r="I44" s="8">
        <f t="shared" si="9"/>
        <v>32678990.148967896</v>
      </c>
      <c r="J44" s="8">
        <f t="shared" si="4"/>
        <v>-1008866.25</v>
      </c>
      <c r="K44" s="8">
        <f t="shared" si="5"/>
        <v>190020.74339380741</v>
      </c>
      <c r="L44" s="8">
        <f t="shared" si="6"/>
        <v>31860144.642361704</v>
      </c>
    </row>
    <row r="45" spans="1:12">
      <c r="A45" s="180">
        <v>46204</v>
      </c>
      <c r="B45" s="8">
        <f t="shared" si="7"/>
        <v>608</v>
      </c>
      <c r="C45" s="8">
        <v>1008866.25</v>
      </c>
      <c r="D45" s="8">
        <f t="shared" si="1"/>
        <v>894853.51597731351</v>
      </c>
      <c r="F45" s="8">
        <f t="shared" si="8"/>
        <v>28496845.990207992</v>
      </c>
      <c r="G45" s="8">
        <f t="shared" si="2"/>
        <v>917797.04614714102</v>
      </c>
      <c r="H45" s="8">
        <f t="shared" si="3"/>
        <v>27579048.944060851</v>
      </c>
      <c r="I45" s="8">
        <f t="shared" si="9"/>
        <v>31860144.642361704</v>
      </c>
      <c r="J45" s="8">
        <f t="shared" si="4"/>
        <v>-1008866.25</v>
      </c>
      <c r="K45" s="8">
        <f t="shared" si="5"/>
        <v>185107.67035417026</v>
      </c>
      <c r="L45" s="8">
        <f t="shared" si="6"/>
        <v>31036386.062715873</v>
      </c>
    </row>
    <row r="46" spans="1:12">
      <c r="A46" s="180">
        <v>46235</v>
      </c>
      <c r="B46" s="8">
        <f t="shared" si="7"/>
        <v>639</v>
      </c>
      <c r="C46" s="8">
        <v>1008866.25</v>
      </c>
      <c r="D46" s="8">
        <f t="shared" si="1"/>
        <v>889398.65884048748</v>
      </c>
      <c r="F46" s="8">
        <f t="shared" si="8"/>
        <v>27579048.944060851</v>
      </c>
      <c r="G46" s="8">
        <f t="shared" si="2"/>
        <v>917797.04614714102</v>
      </c>
      <c r="H46" s="8">
        <f t="shared" si="3"/>
        <v>26661251.897913709</v>
      </c>
      <c r="I46" s="8">
        <f t="shared" si="9"/>
        <v>31036386.062715873</v>
      </c>
      <c r="J46" s="8">
        <f t="shared" si="4"/>
        <v>-1008866.25</v>
      </c>
      <c r="K46" s="8">
        <f t="shared" si="5"/>
        <v>180165.11887629525</v>
      </c>
      <c r="L46" s="8">
        <f t="shared" si="6"/>
        <v>30207684.93159217</v>
      </c>
    </row>
    <row r="47" spans="1:12">
      <c r="A47" s="180">
        <v>46266</v>
      </c>
      <c r="B47" s="8">
        <f t="shared" si="7"/>
        <v>670</v>
      </c>
      <c r="C47" s="8">
        <f>C46*13/28+C48*15/28</f>
        <v>1035889.453125</v>
      </c>
      <c r="D47" s="8">
        <f t="shared" si="1"/>
        <v>907655.01026667573</v>
      </c>
      <c r="F47" s="8">
        <f t="shared" si="8"/>
        <v>26661251.897913709</v>
      </c>
      <c r="G47" s="8">
        <f t="shared" si="2"/>
        <v>917797.04614714102</v>
      </c>
      <c r="H47" s="8">
        <f t="shared" si="3"/>
        <v>25743454.851766568</v>
      </c>
      <c r="I47" s="8">
        <f t="shared" si="9"/>
        <v>30207684.93159217</v>
      </c>
      <c r="J47" s="8">
        <f t="shared" si="4"/>
        <v>-1035889.453125</v>
      </c>
      <c r="K47" s="8">
        <f t="shared" si="5"/>
        <v>175030.77287080305</v>
      </c>
      <c r="L47" s="8">
        <f t="shared" si="6"/>
        <v>29346826.251337972</v>
      </c>
    </row>
    <row r="48" spans="1:12">
      <c r="A48" s="180">
        <v>46296</v>
      </c>
      <c r="B48" s="8">
        <f t="shared" si="7"/>
        <v>700</v>
      </c>
      <c r="C48" s="8">
        <v>1059309.5625</v>
      </c>
      <c r="D48" s="8">
        <f t="shared" si="1"/>
        <v>922699.89818826644</v>
      </c>
      <c r="F48" s="8">
        <f t="shared" si="8"/>
        <v>25743454.851766568</v>
      </c>
      <c r="G48" s="8">
        <f t="shared" si="2"/>
        <v>917797.04614714102</v>
      </c>
      <c r="H48" s="8">
        <f t="shared" si="3"/>
        <v>24825657.805619426</v>
      </c>
      <c r="I48" s="8">
        <f t="shared" si="9"/>
        <v>29346826.251337972</v>
      </c>
      <c r="J48" s="8">
        <f t="shared" si="4"/>
        <v>-1059309.5625</v>
      </c>
      <c r="K48" s="8">
        <f t="shared" si="5"/>
        <v>169725.10013302785</v>
      </c>
      <c r="L48" s="8">
        <f t="shared" si="6"/>
        <v>28457241.788970999</v>
      </c>
    </row>
    <row r="49" spans="1:12">
      <c r="A49" s="180">
        <v>46327</v>
      </c>
      <c r="B49" s="8">
        <f t="shared" si="7"/>
        <v>731</v>
      </c>
      <c r="C49" s="8">
        <v>1059309.5625</v>
      </c>
      <c r="D49" s="8">
        <f t="shared" si="1"/>
        <v>917075.29479238682</v>
      </c>
      <c r="F49" s="8">
        <f t="shared" si="8"/>
        <v>24825657.805619426</v>
      </c>
      <c r="G49" s="8">
        <f t="shared" si="2"/>
        <v>917797.04614714102</v>
      </c>
      <c r="H49" s="8">
        <f t="shared" si="3"/>
        <v>23907860.759472284</v>
      </c>
      <c r="I49" s="8">
        <f t="shared" si="9"/>
        <v>28457241.788970999</v>
      </c>
      <c r="J49" s="8">
        <f t="shared" si="4"/>
        <v>-1059309.5625</v>
      </c>
      <c r="K49" s="8">
        <f t="shared" si="5"/>
        <v>164387.59335882601</v>
      </c>
      <c r="L49" s="8">
        <f t="shared" si="6"/>
        <v>27562319.819829825</v>
      </c>
    </row>
    <row r="50" spans="1:12">
      <c r="A50" s="180">
        <v>46357</v>
      </c>
      <c r="B50" s="8">
        <f t="shared" si="7"/>
        <v>761</v>
      </c>
      <c r="C50" s="8">
        <v>1059309.5625</v>
      </c>
      <c r="D50" s="8">
        <f t="shared" si="1"/>
        <v>911664.77768738731</v>
      </c>
      <c r="F50" s="8">
        <f t="shared" si="8"/>
        <v>23907860.759472284</v>
      </c>
      <c r="G50" s="8">
        <f t="shared" si="2"/>
        <v>917797.04614714102</v>
      </c>
      <c r="H50" s="8">
        <f t="shared" si="3"/>
        <v>22990063.713325143</v>
      </c>
      <c r="I50" s="8">
        <f t="shared" si="9"/>
        <v>27562319.819829825</v>
      </c>
      <c r="J50" s="8">
        <f t="shared" si="4"/>
        <v>-1059309.5625</v>
      </c>
      <c r="K50" s="8">
        <f t="shared" si="5"/>
        <v>159018.06154397895</v>
      </c>
      <c r="L50" s="8">
        <f t="shared" si="6"/>
        <v>26662028.318873804</v>
      </c>
    </row>
    <row r="51" spans="1:12">
      <c r="A51" s="180">
        <v>46388</v>
      </c>
      <c r="B51" s="8">
        <f t="shared" si="7"/>
        <v>792</v>
      </c>
      <c r="C51" s="8">
        <v>1059309.5625</v>
      </c>
      <c r="D51" s="8">
        <f t="shared" si="1"/>
        <v>906107.44229095685</v>
      </c>
      <c r="F51" s="8">
        <f t="shared" si="8"/>
        <v>22990063.713325143</v>
      </c>
      <c r="G51" s="8">
        <f t="shared" si="2"/>
        <v>917797.04614714102</v>
      </c>
      <c r="H51" s="8">
        <f t="shared" si="3"/>
        <v>22072266.667178001</v>
      </c>
      <c r="I51" s="8">
        <f t="shared" si="9"/>
        <v>26662028.318873804</v>
      </c>
      <c r="J51" s="8">
        <f t="shared" si="4"/>
        <v>-1059309.5625</v>
      </c>
      <c r="K51" s="8">
        <f t="shared" si="5"/>
        <v>153616.31253824284</v>
      </c>
      <c r="L51" s="8">
        <f t="shared" si="6"/>
        <v>25756335.068912048</v>
      </c>
    </row>
    <row r="52" spans="1:12">
      <c r="A52" s="180">
        <v>46419</v>
      </c>
      <c r="B52" s="8">
        <f t="shared" si="7"/>
        <v>823</v>
      </c>
      <c r="C52" s="8">
        <v>1059309.5625</v>
      </c>
      <c r="D52" s="8">
        <f t="shared" si="1"/>
        <v>900583.9833559891</v>
      </c>
      <c r="F52" s="8">
        <f t="shared" si="8"/>
        <v>22072266.667178001</v>
      </c>
      <c r="G52" s="8">
        <f t="shared" si="2"/>
        <v>917797.04614714102</v>
      </c>
      <c r="H52" s="8">
        <f t="shared" si="3"/>
        <v>21154469.62103086</v>
      </c>
      <c r="I52" s="8">
        <f t="shared" si="9"/>
        <v>25756335.068912048</v>
      </c>
      <c r="J52" s="8">
        <f t="shared" si="4"/>
        <v>-1059309.5625</v>
      </c>
      <c r="K52" s="8">
        <f t="shared" si="5"/>
        <v>148182.15303847232</v>
      </c>
      <c r="L52" s="8">
        <f t="shared" si="6"/>
        <v>24845207.65945052</v>
      </c>
    </row>
    <row r="53" spans="1:12">
      <c r="A53" s="180">
        <v>46447</v>
      </c>
      <c r="B53" s="8">
        <f t="shared" si="7"/>
        <v>851</v>
      </c>
      <c r="C53" s="8">
        <v>1059309.5625</v>
      </c>
      <c r="D53" s="8">
        <f t="shared" si="1"/>
        <v>895623.99845160416</v>
      </c>
      <c r="F53" s="8">
        <f t="shared" si="8"/>
        <v>21154469.62103086</v>
      </c>
      <c r="G53" s="8">
        <f t="shared" si="2"/>
        <v>917797.04614714102</v>
      </c>
      <c r="H53" s="8">
        <f t="shared" si="3"/>
        <v>20236672.574883718</v>
      </c>
      <c r="I53" s="8">
        <f t="shared" si="9"/>
        <v>24845207.65945052</v>
      </c>
      <c r="J53" s="8">
        <f t="shared" si="4"/>
        <v>-1059309.5625</v>
      </c>
      <c r="K53" s="8">
        <f t="shared" si="5"/>
        <v>142715.38858170316</v>
      </c>
      <c r="L53" s="8">
        <f t="shared" si="6"/>
        <v>23928613.485532224</v>
      </c>
    </row>
    <row r="54" spans="1:12">
      <c r="A54" s="180">
        <v>46478</v>
      </c>
      <c r="B54" s="8">
        <f t="shared" si="7"/>
        <v>882</v>
      </c>
      <c r="C54" s="8">
        <v>1059309.5625</v>
      </c>
      <c r="D54" s="8">
        <f t="shared" si="1"/>
        <v>890164.4445998983</v>
      </c>
      <c r="F54" s="8">
        <f t="shared" si="8"/>
        <v>20236672.574883718</v>
      </c>
      <c r="G54" s="8">
        <f t="shared" si="2"/>
        <v>917797.04614714102</v>
      </c>
      <c r="H54" s="8">
        <f t="shared" si="3"/>
        <v>19318875.528736576</v>
      </c>
      <c r="I54" s="8">
        <f t="shared" si="9"/>
        <v>23928613.485532224</v>
      </c>
      <c r="J54" s="8">
        <f t="shared" si="4"/>
        <v>-1059309.5625</v>
      </c>
      <c r="K54" s="8">
        <f t="shared" si="5"/>
        <v>137215.82353819336</v>
      </c>
      <c r="L54" s="8">
        <f t="shared" si="6"/>
        <v>23006519.746570416</v>
      </c>
    </row>
    <row r="55" spans="1:12">
      <c r="A55" s="180">
        <v>46508</v>
      </c>
      <c r="B55" s="8">
        <f t="shared" si="7"/>
        <v>912</v>
      </c>
      <c r="C55" s="8">
        <v>1059309.5625</v>
      </c>
      <c r="D55" s="8">
        <f t="shared" si="1"/>
        <v>884912.69484595896</v>
      </c>
      <c r="F55" s="8">
        <f t="shared" si="8"/>
        <v>19318875.528736576</v>
      </c>
      <c r="G55" s="8">
        <f t="shared" si="2"/>
        <v>917797.04614714102</v>
      </c>
      <c r="H55" s="8">
        <f t="shared" si="3"/>
        <v>18401078.482589435</v>
      </c>
      <c r="I55" s="8">
        <f t="shared" si="9"/>
        <v>23006519.746570416</v>
      </c>
      <c r="J55" s="8">
        <f t="shared" si="4"/>
        <v>-1059309.5625</v>
      </c>
      <c r="K55" s="8">
        <f t="shared" si="5"/>
        <v>131683.26110442251</v>
      </c>
      <c r="L55" s="8">
        <f t="shared" si="6"/>
        <v>22078893.445174839</v>
      </c>
    </row>
    <row r="56" spans="1:12">
      <c r="A56" s="180">
        <v>46539</v>
      </c>
      <c r="B56" s="8">
        <f t="shared" si="7"/>
        <v>943</v>
      </c>
      <c r="C56" s="8">
        <v>1059309.5625</v>
      </c>
      <c r="D56" s="8">
        <f t="shared" si="1"/>
        <v>879518.43506738869</v>
      </c>
      <c r="F56" s="8">
        <f t="shared" si="8"/>
        <v>18401078.482589435</v>
      </c>
      <c r="G56" s="8">
        <f t="shared" si="2"/>
        <v>917797.04614714102</v>
      </c>
      <c r="H56" s="8">
        <f t="shared" si="3"/>
        <v>17483281.436442293</v>
      </c>
      <c r="I56" s="8">
        <f t="shared" si="9"/>
        <v>22078893.445174839</v>
      </c>
      <c r="J56" s="8">
        <f t="shared" si="4"/>
        <v>-1059309.5625</v>
      </c>
      <c r="K56" s="8">
        <f t="shared" si="5"/>
        <v>126117.50329604906</v>
      </c>
      <c r="L56" s="8">
        <f t="shared" si="6"/>
        <v>21145701.385970887</v>
      </c>
    </row>
    <row r="57" spans="1:12">
      <c r="A57" s="180">
        <v>46569</v>
      </c>
      <c r="B57" s="8">
        <f t="shared" si="7"/>
        <v>973</v>
      </c>
      <c r="C57" s="8">
        <v>1059309.5625</v>
      </c>
      <c r="D57" s="8">
        <f t="shared" ref="D57:D76" si="10">-PV($B$19,B57,,C57,1)</f>
        <v>874329.4941329679</v>
      </c>
      <c r="F57" s="8">
        <f t="shared" si="8"/>
        <v>17483281.436442293</v>
      </c>
      <c r="G57" s="8">
        <f t="shared" ref="G57:G75" si="11">$F$25/$B$20</f>
        <v>917797.04614714102</v>
      </c>
      <c r="H57" s="8">
        <f t="shared" ref="H57:H76" si="12">F57-G57</f>
        <v>16565484.390295152</v>
      </c>
      <c r="I57" s="8">
        <f t="shared" si="9"/>
        <v>21145701.385970887</v>
      </c>
      <c r="J57" s="8">
        <f t="shared" ref="J57:J75" si="13">-C57</f>
        <v>-1059309.5625</v>
      </c>
      <c r="K57" s="8">
        <f t="shared" ref="K57:K76" si="14">SUM(I57:J57)*$B$14/12</f>
        <v>120518.35094082534</v>
      </c>
      <c r="L57" s="8">
        <f t="shared" ref="L57:L76" si="15">SUM(I57:K57)</f>
        <v>20206910.17441171</v>
      </c>
    </row>
    <row r="58" spans="1:12">
      <c r="A58" s="180">
        <v>46600</v>
      </c>
      <c r="B58" s="8">
        <f t="shared" ref="B58:B76" si="16">A58-$A$25+1</f>
        <v>1004</v>
      </c>
      <c r="C58" s="8">
        <v>1059309.5625</v>
      </c>
      <c r="D58" s="8">
        <f t="shared" si="10"/>
        <v>868999.74753662106</v>
      </c>
      <c r="F58" s="8">
        <f t="shared" ref="F58:F76" si="17">H57</f>
        <v>16565484.390295152</v>
      </c>
      <c r="G58" s="8">
        <f t="shared" si="11"/>
        <v>917797.04614714102</v>
      </c>
      <c r="H58" s="8">
        <f t="shared" si="12"/>
        <v>15647687.34414801</v>
      </c>
      <c r="I58" s="8">
        <f t="shared" ref="I58:I76" si="18">L57</f>
        <v>20206910.17441171</v>
      </c>
      <c r="J58" s="8">
        <f t="shared" si="13"/>
        <v>-1059309.5625</v>
      </c>
      <c r="K58" s="8">
        <f t="shared" si="14"/>
        <v>114885.60367147026</v>
      </c>
      <c r="L58" s="8">
        <f t="shared" si="15"/>
        <v>19262486.215583179</v>
      </c>
    </row>
    <row r="59" spans="1:12">
      <c r="A59" s="180">
        <v>46631</v>
      </c>
      <c r="B59" s="8">
        <f t="shared" si="16"/>
        <v>1035</v>
      </c>
      <c r="C59" s="8">
        <f>C58*13/28+C60*15/28</f>
        <v>1087683.92578125</v>
      </c>
      <c r="D59" s="8">
        <f t="shared" si="10"/>
        <v>886837.37819032662</v>
      </c>
      <c r="F59" s="8">
        <f t="shared" si="17"/>
        <v>15647687.34414801</v>
      </c>
      <c r="G59" s="8">
        <f t="shared" si="11"/>
        <v>917797.04614714102</v>
      </c>
      <c r="H59" s="8">
        <f t="shared" si="12"/>
        <v>14729890.298000868</v>
      </c>
      <c r="I59" s="8">
        <f t="shared" si="18"/>
        <v>19262486.215583179</v>
      </c>
      <c r="J59" s="8">
        <f t="shared" si="13"/>
        <v>-1087683.92578125</v>
      </c>
      <c r="K59" s="8">
        <f t="shared" si="14"/>
        <v>109048.81373881159</v>
      </c>
      <c r="L59" s="8">
        <f t="shared" si="15"/>
        <v>18283851.103540741</v>
      </c>
    </row>
    <row r="60" spans="1:12">
      <c r="A60" s="180">
        <v>46661</v>
      </c>
      <c r="B60" s="8">
        <f t="shared" si="16"/>
        <v>1065</v>
      </c>
      <c r="C60" s="8">
        <v>1112275.0406250001</v>
      </c>
      <c r="D60" s="8">
        <f t="shared" si="10"/>
        <v>901537.20225192781</v>
      </c>
      <c r="F60" s="8">
        <f t="shared" si="17"/>
        <v>14729890.298000868</v>
      </c>
      <c r="G60" s="8">
        <f t="shared" si="11"/>
        <v>917797.04614714102</v>
      </c>
      <c r="H60" s="8">
        <f t="shared" si="12"/>
        <v>13812093.251853727</v>
      </c>
      <c r="I60" s="8">
        <f t="shared" si="18"/>
        <v>18283851.103540741</v>
      </c>
      <c r="J60" s="8">
        <f t="shared" si="13"/>
        <v>-1112275.0406250001</v>
      </c>
      <c r="K60" s="8">
        <f t="shared" si="14"/>
        <v>103029.45637749445</v>
      </c>
      <c r="L60" s="8">
        <f t="shared" si="15"/>
        <v>17274605.519293237</v>
      </c>
    </row>
    <row r="61" spans="1:12">
      <c r="A61" s="180">
        <v>46692</v>
      </c>
      <c r="B61" s="8">
        <f t="shared" si="16"/>
        <v>1096</v>
      </c>
      <c r="C61" s="8">
        <v>1112275.0406250001</v>
      </c>
      <c r="D61" s="8">
        <f t="shared" si="10"/>
        <v>896041.60263253388</v>
      </c>
      <c r="F61" s="8">
        <f t="shared" si="17"/>
        <v>13812093.251853727</v>
      </c>
      <c r="G61" s="8">
        <f t="shared" si="11"/>
        <v>917797.04614714102</v>
      </c>
      <c r="H61" s="8">
        <f t="shared" si="12"/>
        <v>12894296.205706585</v>
      </c>
      <c r="I61" s="8">
        <f t="shared" si="18"/>
        <v>17274605.519293237</v>
      </c>
      <c r="J61" s="8">
        <f t="shared" si="13"/>
        <v>-1112275.0406250001</v>
      </c>
      <c r="K61" s="8">
        <f t="shared" si="14"/>
        <v>96973.982872009437</v>
      </c>
      <c r="L61" s="8">
        <f t="shared" si="15"/>
        <v>16259304.461540246</v>
      </c>
    </row>
    <row r="62" spans="1:12">
      <c r="A62" s="180">
        <v>46722</v>
      </c>
      <c r="B62" s="8">
        <f t="shared" si="16"/>
        <v>1126</v>
      </c>
      <c r="C62" s="8">
        <v>1112275.0406250001</v>
      </c>
      <c r="D62" s="8">
        <f t="shared" si="10"/>
        <v>890755.17910181207</v>
      </c>
      <c r="F62" s="8">
        <f t="shared" si="17"/>
        <v>12894296.205706585</v>
      </c>
      <c r="G62" s="8">
        <f t="shared" si="11"/>
        <v>917797.04614714102</v>
      </c>
      <c r="H62" s="8">
        <f t="shared" si="12"/>
        <v>11976499.159559444</v>
      </c>
      <c r="I62" s="8">
        <f t="shared" si="18"/>
        <v>16259304.461540246</v>
      </c>
      <c r="J62" s="8">
        <f t="shared" si="13"/>
        <v>-1112275.0406250001</v>
      </c>
      <c r="K62" s="8">
        <f t="shared" si="14"/>
        <v>90882.176525491479</v>
      </c>
      <c r="L62" s="8">
        <f t="shared" si="15"/>
        <v>15237911.597440738</v>
      </c>
    </row>
    <row r="63" spans="1:12">
      <c r="A63" s="180">
        <v>46753</v>
      </c>
      <c r="B63" s="8">
        <f t="shared" si="16"/>
        <v>1157</v>
      </c>
      <c r="C63" s="8">
        <v>1112275.0406250001</v>
      </c>
      <c r="D63" s="8">
        <f t="shared" si="10"/>
        <v>885325.30464847025</v>
      </c>
      <c r="F63" s="8">
        <f t="shared" si="17"/>
        <v>11976499.159559444</v>
      </c>
      <c r="G63" s="8">
        <f t="shared" si="11"/>
        <v>917797.04614714102</v>
      </c>
      <c r="H63" s="8">
        <f t="shared" si="12"/>
        <v>11058702.113412302</v>
      </c>
      <c r="I63" s="8">
        <f t="shared" si="18"/>
        <v>15237911.597440738</v>
      </c>
      <c r="J63" s="8">
        <f t="shared" si="13"/>
        <v>-1112275.0406250001</v>
      </c>
      <c r="K63" s="8">
        <f t="shared" si="14"/>
        <v>84753.819340894435</v>
      </c>
      <c r="L63" s="8">
        <f t="shared" si="15"/>
        <v>14210390.376156632</v>
      </c>
    </row>
    <row r="64" spans="1:12">
      <c r="A64" s="180">
        <v>46784</v>
      </c>
      <c r="B64" s="8">
        <f t="shared" si="16"/>
        <v>1188</v>
      </c>
      <c r="C64" s="8">
        <v>1112275.0406250001</v>
      </c>
      <c r="D64" s="8">
        <f t="shared" si="10"/>
        <v>879928.52967888163</v>
      </c>
      <c r="F64" s="8">
        <f t="shared" si="17"/>
        <v>11058702.113412302</v>
      </c>
      <c r="G64" s="8">
        <f t="shared" si="11"/>
        <v>917797.04614714102</v>
      </c>
      <c r="H64" s="8">
        <f t="shared" si="12"/>
        <v>10140905.06726516</v>
      </c>
      <c r="I64" s="8">
        <f t="shared" si="18"/>
        <v>14210390.376156632</v>
      </c>
      <c r="J64" s="8">
        <f t="shared" si="13"/>
        <v>-1112275.0406250001</v>
      </c>
      <c r="K64" s="8">
        <f t="shared" si="14"/>
        <v>78588.692013189793</v>
      </c>
      <c r="L64" s="8">
        <f t="shared" si="15"/>
        <v>13176704.027544821</v>
      </c>
    </row>
    <row r="65" spans="1:12">
      <c r="A65" s="180">
        <v>46813</v>
      </c>
      <c r="B65" s="8">
        <f t="shared" si="16"/>
        <v>1217</v>
      </c>
      <c r="C65" s="8">
        <v>1112275.0406250001</v>
      </c>
      <c r="D65" s="8">
        <f t="shared" si="10"/>
        <v>874909.72018148995</v>
      </c>
      <c r="F65" s="8">
        <f t="shared" si="17"/>
        <v>10140905.06726516</v>
      </c>
      <c r="G65" s="8">
        <f t="shared" si="11"/>
        <v>917797.04614714102</v>
      </c>
      <c r="H65" s="8">
        <f t="shared" si="12"/>
        <v>9223108.0211180188</v>
      </c>
      <c r="I65" s="8">
        <f t="shared" si="18"/>
        <v>13176704.027544821</v>
      </c>
      <c r="J65" s="8">
        <f t="shared" si="13"/>
        <v>-1112275.0406250001</v>
      </c>
      <c r="K65" s="8">
        <f t="shared" si="14"/>
        <v>72386.573921518939</v>
      </c>
      <c r="L65" s="8">
        <f t="shared" si="15"/>
        <v>12136815.560841339</v>
      </c>
    </row>
    <row r="66" spans="1:12">
      <c r="A66" s="180">
        <v>46844</v>
      </c>
      <c r="B66" s="8">
        <f t="shared" si="16"/>
        <v>1248</v>
      </c>
      <c r="C66" s="8">
        <v>1112275.0406250001</v>
      </c>
      <c r="D66" s="8">
        <f t="shared" si="10"/>
        <v>869576.43663731311</v>
      </c>
      <c r="F66" s="8">
        <f t="shared" si="17"/>
        <v>9223108.0211180188</v>
      </c>
      <c r="G66" s="8">
        <f t="shared" si="11"/>
        <v>917797.04614714102</v>
      </c>
      <c r="H66" s="8">
        <f t="shared" si="12"/>
        <v>8305310.9749708781</v>
      </c>
      <c r="I66" s="8">
        <f t="shared" si="18"/>
        <v>12136815.560841339</v>
      </c>
      <c r="J66" s="8">
        <f t="shared" si="13"/>
        <v>-1112275.0406250001</v>
      </c>
      <c r="K66" s="8">
        <f t="shared" si="14"/>
        <v>66147.243121298045</v>
      </c>
      <c r="L66" s="8">
        <f t="shared" si="15"/>
        <v>11090687.763337636</v>
      </c>
    </row>
    <row r="67" spans="1:12">
      <c r="A67" s="180">
        <v>46874</v>
      </c>
      <c r="B67" s="8">
        <f t="shared" si="16"/>
        <v>1278</v>
      </c>
      <c r="C67" s="8">
        <v>1112275.0406250001</v>
      </c>
      <c r="D67" s="8">
        <f t="shared" si="10"/>
        <v>864446.15103127086</v>
      </c>
      <c r="F67" s="8">
        <f t="shared" si="17"/>
        <v>8305310.9749708781</v>
      </c>
      <c r="G67" s="8">
        <f t="shared" si="11"/>
        <v>917797.04614714102</v>
      </c>
      <c r="H67" s="8">
        <f t="shared" si="12"/>
        <v>7387513.9288237374</v>
      </c>
      <c r="I67" s="8">
        <f t="shared" si="18"/>
        <v>11090687.763337636</v>
      </c>
      <c r="J67" s="8">
        <f t="shared" si="13"/>
        <v>-1112275.0406250001</v>
      </c>
      <c r="K67" s="8">
        <f t="shared" si="14"/>
        <v>59870.476336275817</v>
      </c>
      <c r="L67" s="8">
        <f t="shared" si="15"/>
        <v>10038283.199048912</v>
      </c>
    </row>
    <row r="68" spans="1:12">
      <c r="A68" s="180">
        <v>46905</v>
      </c>
      <c r="B68" s="8">
        <f t="shared" si="16"/>
        <v>1309</v>
      </c>
      <c r="C68" s="8">
        <v>1112275.0406250001</v>
      </c>
      <c r="D68" s="8">
        <f t="shared" si="10"/>
        <v>859176.65141802432</v>
      </c>
      <c r="F68" s="8">
        <f t="shared" si="17"/>
        <v>7387513.9288237374</v>
      </c>
      <c r="G68" s="8">
        <f t="shared" si="11"/>
        <v>917797.04614714102</v>
      </c>
      <c r="H68" s="8">
        <f t="shared" si="12"/>
        <v>6469716.8826765968</v>
      </c>
      <c r="I68" s="8">
        <f t="shared" si="18"/>
        <v>10038283.199048912</v>
      </c>
      <c r="J68" s="8">
        <f t="shared" si="13"/>
        <v>-1112275.0406250001</v>
      </c>
      <c r="K68" s="8">
        <f t="shared" si="14"/>
        <v>53556.048950543482</v>
      </c>
      <c r="L68" s="8">
        <f t="shared" si="15"/>
        <v>8979564.2073744554</v>
      </c>
    </row>
    <row r="69" spans="1:12">
      <c r="A69" s="180">
        <v>46935</v>
      </c>
      <c r="B69" s="8">
        <f t="shared" si="16"/>
        <v>1339</v>
      </c>
      <c r="C69" s="8">
        <v>1112275.0406250001</v>
      </c>
      <c r="D69" s="8">
        <f t="shared" si="10"/>
        <v>854107.72196903545</v>
      </c>
      <c r="F69" s="8">
        <f t="shared" si="17"/>
        <v>6469716.8826765968</v>
      </c>
      <c r="G69" s="8">
        <f t="shared" si="11"/>
        <v>917797.04614714102</v>
      </c>
      <c r="H69" s="8">
        <f t="shared" si="12"/>
        <v>5551919.8365294561</v>
      </c>
      <c r="I69" s="8">
        <f t="shared" si="18"/>
        <v>8979564.2073744554</v>
      </c>
      <c r="J69" s="8">
        <f t="shared" si="13"/>
        <v>-1112275.0406250001</v>
      </c>
      <c r="K69" s="8">
        <f t="shared" si="14"/>
        <v>47203.735000496737</v>
      </c>
      <c r="L69" s="8">
        <f t="shared" si="15"/>
        <v>7914492.9017499518</v>
      </c>
    </row>
    <row r="70" spans="1:12">
      <c r="A70" s="180">
        <v>46966</v>
      </c>
      <c r="B70" s="8">
        <f t="shared" si="16"/>
        <v>1370</v>
      </c>
      <c r="C70" s="8">
        <v>1112275.0406250001</v>
      </c>
      <c r="D70" s="8">
        <f t="shared" si="10"/>
        <v>848901.24345650186</v>
      </c>
      <c r="F70" s="8">
        <f t="shared" si="17"/>
        <v>5551919.8365294561</v>
      </c>
      <c r="G70" s="8">
        <f t="shared" si="11"/>
        <v>917797.04614714102</v>
      </c>
      <c r="H70" s="8">
        <f t="shared" si="12"/>
        <v>4634122.7903823154</v>
      </c>
      <c r="I70" s="8">
        <f t="shared" si="18"/>
        <v>7914492.9017499518</v>
      </c>
      <c r="J70" s="8">
        <f t="shared" si="13"/>
        <v>-1112275.0406250001</v>
      </c>
      <c r="K70" s="8">
        <f t="shared" si="14"/>
        <v>40813.307166749713</v>
      </c>
      <c r="L70" s="8">
        <f t="shared" si="15"/>
        <v>6843031.168291701</v>
      </c>
    </row>
    <row r="71" spans="1:12">
      <c r="A71" s="180">
        <v>46997</v>
      </c>
      <c r="B71" s="8">
        <f t="shared" si="16"/>
        <v>1401</v>
      </c>
      <c r="C71" s="8">
        <f>C70*13/28+C72*15/28</f>
        <v>1142068.1220703127</v>
      </c>
      <c r="D71" s="8">
        <f t="shared" si="10"/>
        <v>866326.31968370732</v>
      </c>
      <c r="F71" s="8">
        <f t="shared" si="17"/>
        <v>4634122.7903823154</v>
      </c>
      <c r="G71" s="8">
        <f t="shared" si="11"/>
        <v>917797.04614714102</v>
      </c>
      <c r="H71" s="8">
        <f t="shared" si="12"/>
        <v>3716325.7442351743</v>
      </c>
      <c r="I71" s="8">
        <f t="shared" si="18"/>
        <v>6843031.168291701</v>
      </c>
      <c r="J71" s="8">
        <f t="shared" si="13"/>
        <v>-1142068.1220703127</v>
      </c>
      <c r="K71" s="8">
        <f t="shared" si="14"/>
        <v>34205.778277328332</v>
      </c>
      <c r="L71" s="8">
        <f t="shared" si="15"/>
        <v>5735168.8244987167</v>
      </c>
    </row>
    <row r="72" spans="1:12">
      <c r="A72" s="180">
        <v>47027</v>
      </c>
      <c r="B72" s="8">
        <f t="shared" si="16"/>
        <v>1431</v>
      </c>
      <c r="C72" s="8">
        <v>1167888.7926562503</v>
      </c>
      <c r="D72" s="8">
        <f t="shared" si="10"/>
        <v>880686.16151318874</v>
      </c>
      <c r="F72" s="8">
        <f t="shared" si="17"/>
        <v>3716325.7442351743</v>
      </c>
      <c r="G72" s="8">
        <f t="shared" si="11"/>
        <v>917797.04614714102</v>
      </c>
      <c r="H72" s="8">
        <f t="shared" si="12"/>
        <v>2798528.6980880331</v>
      </c>
      <c r="I72" s="8">
        <f t="shared" si="18"/>
        <v>5735168.8244987167</v>
      </c>
      <c r="J72" s="8">
        <f t="shared" si="13"/>
        <v>-1167888.7926562503</v>
      </c>
      <c r="K72" s="8">
        <f t="shared" si="14"/>
        <v>27403.680191054798</v>
      </c>
      <c r="L72" s="8">
        <f t="shared" si="15"/>
        <v>4594683.7120335214</v>
      </c>
    </row>
    <row r="73" spans="1:12">
      <c r="A73" s="180">
        <v>47058</v>
      </c>
      <c r="B73" s="8">
        <f t="shared" si="16"/>
        <v>1462</v>
      </c>
      <c r="C73" s="8">
        <v>1167888.7926562503</v>
      </c>
      <c r="D73" s="8">
        <f t="shared" si="10"/>
        <v>875317.6658793668</v>
      </c>
      <c r="F73" s="8">
        <f t="shared" si="17"/>
        <v>2798528.6980880331</v>
      </c>
      <c r="G73" s="8">
        <f t="shared" si="11"/>
        <v>917797.04614714102</v>
      </c>
      <c r="H73" s="8">
        <f t="shared" si="12"/>
        <v>1880731.651940892</v>
      </c>
      <c r="I73" s="8">
        <f t="shared" si="18"/>
        <v>4594683.7120335214</v>
      </c>
      <c r="J73" s="8">
        <f t="shared" si="13"/>
        <v>-1167888.7926562503</v>
      </c>
      <c r="K73" s="8">
        <f t="shared" si="14"/>
        <v>20560.76951626363</v>
      </c>
      <c r="L73" s="8">
        <f t="shared" si="15"/>
        <v>3447355.6888935347</v>
      </c>
    </row>
    <row r="74" spans="1:12">
      <c r="A74" s="180">
        <v>47088</v>
      </c>
      <c r="B74" s="8">
        <f t="shared" si="16"/>
        <v>1492</v>
      </c>
      <c r="C74" s="8">
        <v>1167888.7926562503</v>
      </c>
      <c r="D74" s="8">
        <f t="shared" si="10"/>
        <v>870153.50844274089</v>
      </c>
      <c r="F74" s="8">
        <f t="shared" si="17"/>
        <v>1880731.651940892</v>
      </c>
      <c r="G74" s="8">
        <f t="shared" si="11"/>
        <v>917797.04614714102</v>
      </c>
      <c r="H74" s="8">
        <f t="shared" si="12"/>
        <v>962934.60579375096</v>
      </c>
      <c r="I74" s="8">
        <f t="shared" si="18"/>
        <v>3447355.6888935347</v>
      </c>
      <c r="J74" s="8">
        <f t="shared" si="13"/>
        <v>-1167888.7926562503</v>
      </c>
      <c r="K74" s="8">
        <f t="shared" si="14"/>
        <v>13676.80137742371</v>
      </c>
      <c r="L74" s="8">
        <f t="shared" si="15"/>
        <v>2293143.697614708</v>
      </c>
    </row>
    <row r="75" spans="1:12">
      <c r="A75" s="180">
        <v>47119</v>
      </c>
      <c r="B75" s="8">
        <f t="shared" si="16"/>
        <v>1523</v>
      </c>
      <c r="C75" s="8">
        <v>1167888.7926562503</v>
      </c>
      <c r="D75" s="8">
        <f t="shared" si="10"/>
        <v>864849.21786231082</v>
      </c>
      <c r="F75" s="8">
        <f t="shared" si="17"/>
        <v>962934.60579375096</v>
      </c>
      <c r="G75" s="8">
        <f t="shared" si="11"/>
        <v>917797.04614714102</v>
      </c>
      <c r="H75" s="8">
        <f t="shared" si="12"/>
        <v>45137.559646609938</v>
      </c>
      <c r="I75" s="8">
        <f t="shared" si="18"/>
        <v>2293143.697614708</v>
      </c>
      <c r="J75" s="8">
        <f t="shared" si="13"/>
        <v>-1167888.7926562503</v>
      </c>
      <c r="K75" s="8">
        <f t="shared" si="14"/>
        <v>6751.5294297507471</v>
      </c>
      <c r="L75" s="8">
        <f t="shared" si="15"/>
        <v>1132006.4343882084</v>
      </c>
    </row>
    <row r="76" spans="1:12">
      <c r="A76" s="180">
        <v>47150</v>
      </c>
      <c r="B76" s="8">
        <f t="shared" si="16"/>
        <v>1554</v>
      </c>
      <c r="C76" s="8">
        <v>1167888.7926562503</v>
      </c>
      <c r="D76" s="8">
        <f t="shared" si="10"/>
        <v>859577.26123018831</v>
      </c>
      <c r="F76" s="8">
        <f t="shared" si="17"/>
        <v>45137.559646609938</v>
      </c>
      <c r="G76" s="8">
        <f>F76</f>
        <v>45137.559646609938</v>
      </c>
      <c r="H76" s="8">
        <f t="shared" si="12"/>
        <v>0</v>
      </c>
      <c r="I76" s="8">
        <f t="shared" si="18"/>
        <v>1132006.4343882084</v>
      </c>
      <c r="J76" s="8">
        <f>-I76</f>
        <v>-1132006.4343882084</v>
      </c>
      <c r="K76" s="8">
        <f t="shared" si="14"/>
        <v>0</v>
      </c>
      <c r="L76" s="8">
        <f t="shared" si="15"/>
        <v>0</v>
      </c>
    </row>
  </sheetData>
  <mergeCells count="3">
    <mergeCell ref="A23:D23"/>
    <mergeCell ref="F23:H23"/>
    <mergeCell ref="I23:L23"/>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6ED8-8A18-4D87-BAED-EE526D251BD8}">
  <dimension ref="A1:P39"/>
  <sheetViews>
    <sheetView showGridLines="0" zoomScale="80" zoomScaleNormal="80" workbookViewId="0">
      <selection activeCell="A3" sqref="A1:A3"/>
    </sheetView>
  </sheetViews>
  <sheetFormatPr defaultColWidth="8.796875" defaultRowHeight="13.3"/>
  <cols>
    <col min="1" max="1" width="26.5" style="2" customWidth="1"/>
    <col min="2" max="2" width="16.796875" style="2" bestFit="1" customWidth="1"/>
    <col min="3" max="4" width="19" style="2" bestFit="1" customWidth="1"/>
    <col min="5" max="6" width="13.796875" style="2" bestFit="1" customWidth="1"/>
    <col min="7" max="7" width="14.796875" style="2" bestFit="1" customWidth="1"/>
    <col min="8" max="9" width="17.5" style="2" bestFit="1" customWidth="1"/>
    <col min="10" max="11" width="11.5" style="2" bestFit="1" customWidth="1"/>
    <col min="12" max="12" width="12.796875" style="2" bestFit="1" customWidth="1"/>
    <col min="13" max="13" width="8.796875" style="2"/>
    <col min="14" max="14" width="10.5" style="2" bestFit="1" customWidth="1"/>
    <col min="15"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9" spans="1:12" ht="14.4">
      <c r="F9"/>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92">
        <v>7.4999999999999997E-2</v>
      </c>
      <c r="C13" s="85">
        <v>45505</v>
      </c>
      <c r="D13" s="85">
        <v>46599</v>
      </c>
      <c r="E13" s="73">
        <v>0</v>
      </c>
      <c r="F13" s="73">
        <v>13304137.92</v>
      </c>
      <c r="G13" s="77">
        <v>17738850.649999999</v>
      </c>
      <c r="H13" s="73">
        <v>1762214.31</v>
      </c>
      <c r="I13" s="73">
        <v>14714582.32</v>
      </c>
      <c r="J13" s="77">
        <v>17614111.43</v>
      </c>
      <c r="K13" s="77">
        <v>13958324.01</v>
      </c>
      <c r="L13" s="77">
        <v>3655787.42</v>
      </c>
    </row>
    <row r="14" spans="1:12">
      <c r="A14" s="74" t="s">
        <v>104</v>
      </c>
      <c r="B14" s="92">
        <f>'G Sec 1 Aug'!C17/100</f>
        <v>6.9400000000000003E-2</v>
      </c>
      <c r="C14" s="85">
        <v>45505</v>
      </c>
      <c r="D14" s="85">
        <v>46599</v>
      </c>
      <c r="E14" s="73">
        <v>0</v>
      </c>
      <c r="F14" s="73">
        <f>(D27*1/3)+SUM(D28:D30)+D31*2/3</f>
        <v>13409919.406370722</v>
      </c>
      <c r="G14" s="77">
        <f>E31+(D31*1/3)</f>
        <v>17879892.541827619</v>
      </c>
      <c r="H14" s="73">
        <f>(H27*1/3)+SUM(H28:H30)+H31*2/3</f>
        <v>1628946.2670523031</v>
      </c>
      <c r="I14" s="73">
        <f>-SUM(G28:G31)</f>
        <v>14714582.32</v>
      </c>
      <c r="J14" s="77">
        <f>I31-(H31*1/3)</f>
        <v>17675421.747335769</v>
      </c>
      <c r="K14" s="8">
        <f>J14-L14</f>
        <v>14017688.177562706</v>
      </c>
      <c r="L14" s="8">
        <f>I35-(H35/3)</f>
        <v>3657733.5697730631</v>
      </c>
    </row>
    <row r="15" spans="1:12">
      <c r="A15" s="86" t="s">
        <v>32</v>
      </c>
      <c r="B15" s="92">
        <f t="shared" ref="B15:L15" si="0">B13-B14</f>
        <v>5.5999999999999939E-3</v>
      </c>
      <c r="C15" s="87">
        <f t="shared" si="0"/>
        <v>0</v>
      </c>
      <c r="D15" s="87">
        <f t="shared" si="0"/>
        <v>0</v>
      </c>
      <c r="E15" s="8">
        <f t="shared" si="0"/>
        <v>0</v>
      </c>
      <c r="F15" s="8">
        <f t="shared" si="0"/>
        <v>-105781.48637072183</v>
      </c>
      <c r="G15" s="8">
        <f t="shared" si="0"/>
        <v>-141041.89182762057</v>
      </c>
      <c r="H15" s="8">
        <f t="shared" si="0"/>
        <v>133268.04294769699</v>
      </c>
      <c r="I15" s="8">
        <f t="shared" si="0"/>
        <v>0</v>
      </c>
      <c r="J15" s="8">
        <f>J13-J14</f>
        <v>-61310.317335769534</v>
      </c>
      <c r="K15" s="8">
        <f t="shared" si="0"/>
        <v>-59364.167562706396</v>
      </c>
      <c r="L15" s="8">
        <f t="shared" si="0"/>
        <v>-1946.1497730631381</v>
      </c>
    </row>
    <row r="16" spans="1:12">
      <c r="B16" s="90"/>
      <c r="C16" s="53"/>
      <c r="E16" s="53"/>
      <c r="G16" s="53"/>
      <c r="H16" s="53"/>
    </row>
    <row r="17" spans="1:16">
      <c r="A17" s="14" t="s">
        <v>173</v>
      </c>
      <c r="B17" s="7">
        <f>3678645.58</f>
        <v>3678645.58</v>
      </c>
      <c r="C17" s="88" t="s">
        <v>107</v>
      </c>
      <c r="E17" s="53"/>
      <c r="F17" s="53"/>
      <c r="G17" s="53"/>
      <c r="H17" s="53"/>
      <c r="I17" s="53"/>
      <c r="J17" s="53"/>
    </row>
    <row r="18" spans="1:16">
      <c r="A18" s="14" t="s">
        <v>174</v>
      </c>
      <c r="B18" s="91">
        <f>B14/4</f>
        <v>1.7350000000000001E-2</v>
      </c>
      <c r="C18" s="88" t="s">
        <v>106</v>
      </c>
    </row>
    <row r="19" spans="1:16">
      <c r="A19" s="14" t="s">
        <v>175</v>
      </c>
      <c r="B19" s="89">
        <f>ROUND(((D14-C14)/30.5),0)/3</f>
        <v>12</v>
      </c>
      <c r="C19" s="88" t="s">
        <v>117</v>
      </c>
      <c r="E19" s="53"/>
      <c r="G19" s="53"/>
    </row>
    <row r="20" spans="1:16">
      <c r="A20" s="14" t="s">
        <v>110</v>
      </c>
      <c r="B20" s="7">
        <f>-PV(B18,B19,B17,,1)</f>
        <v>40229758.219112165</v>
      </c>
      <c r="C20" s="88" t="s">
        <v>117</v>
      </c>
      <c r="D20" s="224"/>
      <c r="E20" s="53"/>
      <c r="F20" s="222"/>
    </row>
    <row r="21" spans="1:16">
      <c r="A21" s="14"/>
      <c r="B21" s="7"/>
      <c r="C21" s="88"/>
      <c r="E21" s="53"/>
    </row>
    <row r="22" spans="1:16">
      <c r="A22" s="14"/>
      <c r="B22" s="7"/>
      <c r="C22" s="88"/>
      <c r="E22" s="53"/>
    </row>
    <row r="23" spans="1:16">
      <c r="B23" s="89"/>
      <c r="C23" s="378" t="s">
        <v>185</v>
      </c>
      <c r="D23" s="378"/>
      <c r="E23" s="378"/>
      <c r="F23" s="379" t="s">
        <v>15</v>
      </c>
      <c r="G23" s="379"/>
      <c r="H23" s="379"/>
      <c r="I23" s="379"/>
    </row>
    <row r="24" spans="1:16" s="84" customFormat="1">
      <c r="A24" s="5" t="s">
        <v>176</v>
      </c>
      <c r="B24" s="5" t="s">
        <v>177</v>
      </c>
      <c r="C24" s="79" t="s">
        <v>112</v>
      </c>
      <c r="D24" s="79" t="s">
        <v>133</v>
      </c>
      <c r="E24" s="79" t="s">
        <v>111</v>
      </c>
      <c r="F24" s="79" t="s">
        <v>113</v>
      </c>
      <c r="G24" s="79" t="s">
        <v>11</v>
      </c>
      <c r="H24" s="79" t="s">
        <v>10</v>
      </c>
      <c r="I24" s="79" t="s">
        <v>57</v>
      </c>
      <c r="J24" s="2"/>
      <c r="K24" s="2"/>
      <c r="L24" s="2"/>
      <c r="M24" s="2"/>
      <c r="N24" s="2"/>
      <c r="O24" s="2"/>
      <c r="P24" s="2"/>
    </row>
    <row r="25" spans="1:16">
      <c r="A25" s="93">
        <v>45505</v>
      </c>
      <c r="B25" s="93">
        <v>45596</v>
      </c>
      <c r="C25" s="10">
        <f>B20</f>
        <v>40229758.219112165</v>
      </c>
      <c r="D25" s="8">
        <f>$B$20/$B$19</f>
        <v>3352479.8515926804</v>
      </c>
      <c r="E25" s="10">
        <f>C25-D25</f>
        <v>36877278.367519483</v>
      </c>
      <c r="F25" s="10">
        <f>C25</f>
        <v>40229758.219112165</v>
      </c>
      <c r="G25" s="10">
        <f t="shared" ref="G25:G36" si="1">-$B$17</f>
        <v>-3678645.58</v>
      </c>
      <c r="H25" s="10">
        <f t="shared" ref="H25:H36" si="2">(F25+G25)*$B$18</f>
        <v>634161.80428859615</v>
      </c>
      <c r="I25" s="10">
        <f>F25+G25+H25</f>
        <v>37185274.443400763</v>
      </c>
    </row>
    <row r="26" spans="1:16">
      <c r="A26" s="93">
        <v>45597</v>
      </c>
      <c r="B26" s="93">
        <v>45688</v>
      </c>
      <c r="C26" s="10">
        <f t="shared" ref="C26:C36" si="3">E25</f>
        <v>36877278.367519483</v>
      </c>
      <c r="D26" s="8">
        <f t="shared" ref="D26:D36" si="4">$B$20/$B$19</f>
        <v>3352479.8515926804</v>
      </c>
      <c r="E26" s="10">
        <f t="shared" ref="E26:E36" si="5">C26-D26</f>
        <v>33524798.515926801</v>
      </c>
      <c r="F26" s="10">
        <f t="shared" ref="F26:F36" si="6">I25</f>
        <v>37185274.443400763</v>
      </c>
      <c r="G26" s="10">
        <f t="shared" si="1"/>
        <v>-3678645.58</v>
      </c>
      <c r="H26" s="10">
        <f t="shared" si="2"/>
        <v>581340.01078000327</v>
      </c>
      <c r="I26" s="10">
        <f t="shared" ref="I26:I36" si="7">F26+G26+H26</f>
        <v>34087968.874180771</v>
      </c>
    </row>
    <row r="27" spans="1:16">
      <c r="A27" s="93">
        <v>45689</v>
      </c>
      <c r="B27" s="93">
        <v>45777</v>
      </c>
      <c r="C27" s="10">
        <f t="shared" si="3"/>
        <v>33524798.515926801</v>
      </c>
      <c r="D27" s="8">
        <f t="shared" si="4"/>
        <v>3352479.8515926804</v>
      </c>
      <c r="E27" s="10">
        <f t="shared" si="5"/>
        <v>30172318.664334118</v>
      </c>
      <c r="F27" s="10">
        <f t="shared" si="6"/>
        <v>34087968.874180771</v>
      </c>
      <c r="G27" s="10">
        <f t="shared" si="1"/>
        <v>-3678645.58</v>
      </c>
      <c r="H27" s="10">
        <f t="shared" si="2"/>
        <v>527601.75915403641</v>
      </c>
      <c r="I27" s="10">
        <f t="shared" si="7"/>
        <v>30936925.05333481</v>
      </c>
    </row>
    <row r="28" spans="1:16">
      <c r="A28" s="93">
        <v>45778</v>
      </c>
      <c r="B28" s="93">
        <v>45869</v>
      </c>
      <c r="C28" s="10">
        <f>E27</f>
        <v>30172318.664334118</v>
      </c>
      <c r="D28" s="8">
        <f t="shared" si="4"/>
        <v>3352479.8515926804</v>
      </c>
      <c r="E28" s="10">
        <f t="shared" si="5"/>
        <v>26819838.812741436</v>
      </c>
      <c r="F28" s="10">
        <f>I27</f>
        <v>30936925.05333481</v>
      </c>
      <c r="G28" s="10">
        <f t="shared" si="1"/>
        <v>-3678645.58</v>
      </c>
      <c r="H28" s="10">
        <f t="shared" si="2"/>
        <v>472931.148862359</v>
      </c>
      <c r="I28" s="10">
        <f t="shared" si="7"/>
        <v>27731210.62219717</v>
      </c>
    </row>
    <row r="29" spans="1:16">
      <c r="A29" s="93">
        <v>45870</v>
      </c>
      <c r="B29" s="93">
        <v>45961</v>
      </c>
      <c r="C29" s="10">
        <f t="shared" si="3"/>
        <v>26819838.812741436</v>
      </c>
      <c r="D29" s="8">
        <f t="shared" si="4"/>
        <v>3352479.8515926804</v>
      </c>
      <c r="E29" s="10">
        <f t="shared" si="5"/>
        <v>23467358.961148754</v>
      </c>
      <c r="F29" s="10">
        <f t="shared" si="6"/>
        <v>27731210.62219717</v>
      </c>
      <c r="G29" s="10">
        <f t="shared" si="1"/>
        <v>-3678645.58</v>
      </c>
      <c r="H29" s="10">
        <f t="shared" si="2"/>
        <v>417312.00348212087</v>
      </c>
      <c r="I29" s="10">
        <f t="shared" si="7"/>
        <v>24469877.04567929</v>
      </c>
    </row>
    <row r="30" spans="1:16">
      <c r="A30" s="93">
        <v>45962</v>
      </c>
      <c r="B30" s="93">
        <v>46053</v>
      </c>
      <c r="C30" s="10">
        <f t="shared" si="3"/>
        <v>23467358.961148754</v>
      </c>
      <c r="D30" s="8">
        <f t="shared" si="4"/>
        <v>3352479.8515926804</v>
      </c>
      <c r="E30" s="10">
        <f t="shared" si="5"/>
        <v>20114879.109556071</v>
      </c>
      <c r="F30" s="10">
        <f t="shared" si="6"/>
        <v>24469877.04567929</v>
      </c>
      <c r="G30" s="10">
        <f t="shared" si="1"/>
        <v>-3678645.58</v>
      </c>
      <c r="H30" s="10">
        <f t="shared" si="2"/>
        <v>360727.86592953565</v>
      </c>
      <c r="I30" s="10">
        <f t="shared" si="7"/>
        <v>21151959.331608824</v>
      </c>
    </row>
    <row r="31" spans="1:16">
      <c r="A31" s="93">
        <v>46054</v>
      </c>
      <c r="B31" s="93">
        <v>46142</v>
      </c>
      <c r="C31" s="10">
        <f t="shared" si="3"/>
        <v>20114879.109556071</v>
      </c>
      <c r="D31" s="8">
        <f t="shared" si="4"/>
        <v>3352479.8515926804</v>
      </c>
      <c r="E31" s="10">
        <f t="shared" si="5"/>
        <v>16762399.257963391</v>
      </c>
      <c r="F31" s="10">
        <f t="shared" si="6"/>
        <v>21151959.331608824</v>
      </c>
      <c r="G31" s="10">
        <f t="shared" si="1"/>
        <v>-3678645.58</v>
      </c>
      <c r="H31" s="10">
        <f t="shared" si="2"/>
        <v>303161.99359041313</v>
      </c>
      <c r="I31" s="10">
        <f t="shared" si="7"/>
        <v>17776475.745199241</v>
      </c>
    </row>
    <row r="32" spans="1:16">
      <c r="A32" s="93">
        <v>46143</v>
      </c>
      <c r="B32" s="93">
        <v>46234</v>
      </c>
      <c r="C32" s="10">
        <f t="shared" si="3"/>
        <v>16762399.257963391</v>
      </c>
      <c r="D32" s="8">
        <f t="shared" si="4"/>
        <v>3352479.8515926804</v>
      </c>
      <c r="E32" s="10">
        <f>C32-D32</f>
        <v>13409919.406370711</v>
      </c>
      <c r="F32" s="10">
        <f>I31</f>
        <v>17776475.745199241</v>
      </c>
      <c r="G32" s="10">
        <f t="shared" si="1"/>
        <v>-3678645.58</v>
      </c>
      <c r="H32" s="10">
        <f t="shared" si="2"/>
        <v>244597.35336620684</v>
      </c>
      <c r="I32" s="10">
        <f t="shared" si="7"/>
        <v>14342427.518565448</v>
      </c>
    </row>
    <row r="33" spans="1:9">
      <c r="A33" s="93">
        <v>46235</v>
      </c>
      <c r="B33" s="93">
        <v>46326</v>
      </c>
      <c r="C33" s="10">
        <f t="shared" si="3"/>
        <v>13409919.406370711</v>
      </c>
      <c r="D33" s="8">
        <f t="shared" si="4"/>
        <v>3352479.8515926804</v>
      </c>
      <c r="E33" s="10">
        <f t="shared" si="5"/>
        <v>10057439.55477803</v>
      </c>
      <c r="F33" s="10">
        <f t="shared" si="6"/>
        <v>14342427.518565448</v>
      </c>
      <c r="G33" s="10">
        <f t="shared" si="1"/>
        <v>-3678645.58</v>
      </c>
      <c r="H33" s="10">
        <f t="shared" si="2"/>
        <v>185016.61663411054</v>
      </c>
      <c r="I33" s="10">
        <f t="shared" si="7"/>
        <v>10848798.555199558</v>
      </c>
    </row>
    <row r="34" spans="1:9">
      <c r="A34" s="93">
        <v>46327</v>
      </c>
      <c r="B34" s="93">
        <v>46418</v>
      </c>
      <c r="C34" s="10">
        <f t="shared" si="3"/>
        <v>10057439.55477803</v>
      </c>
      <c r="D34" s="8">
        <f t="shared" si="4"/>
        <v>3352479.8515926804</v>
      </c>
      <c r="E34" s="10">
        <f t="shared" si="5"/>
        <v>6704959.7031853497</v>
      </c>
      <c r="F34" s="10">
        <f t="shared" si="6"/>
        <v>10848798.555199558</v>
      </c>
      <c r="G34" s="10">
        <f t="shared" si="1"/>
        <v>-3678645.58</v>
      </c>
      <c r="H34" s="10">
        <f t="shared" si="2"/>
        <v>124402.15411971233</v>
      </c>
      <c r="I34" s="10">
        <f t="shared" si="7"/>
        <v>7294555.1293192701</v>
      </c>
    </row>
    <row r="35" spans="1:9">
      <c r="A35" s="93">
        <v>46419</v>
      </c>
      <c r="B35" s="93">
        <v>46507</v>
      </c>
      <c r="C35" s="10">
        <f t="shared" si="3"/>
        <v>6704959.7031853497</v>
      </c>
      <c r="D35" s="8">
        <f t="shared" si="4"/>
        <v>3352479.8515926804</v>
      </c>
      <c r="E35" s="10">
        <f t="shared" si="5"/>
        <v>3352479.8515926693</v>
      </c>
      <c r="F35" s="10">
        <f t="shared" si="6"/>
        <v>7294555.1293192701</v>
      </c>
      <c r="G35" s="10">
        <f t="shared" si="1"/>
        <v>-3678645.58</v>
      </c>
      <c r="H35" s="10">
        <f t="shared" si="2"/>
        <v>62736.030680689342</v>
      </c>
      <c r="I35" s="10">
        <f t="shared" si="7"/>
        <v>3678645.5799999596</v>
      </c>
    </row>
    <row r="36" spans="1:9">
      <c r="A36" s="93">
        <v>46508</v>
      </c>
      <c r="B36" s="93">
        <v>46599</v>
      </c>
      <c r="C36" s="10">
        <f t="shared" si="3"/>
        <v>3352479.8515926693</v>
      </c>
      <c r="D36" s="8">
        <f t="shared" si="4"/>
        <v>3352479.8515926804</v>
      </c>
      <c r="E36" s="10">
        <f t="shared" si="5"/>
        <v>-1.1175870895385742E-8</v>
      </c>
      <c r="F36" s="10">
        <f t="shared" si="6"/>
        <v>3678645.5799999596</v>
      </c>
      <c r="G36" s="10">
        <f t="shared" si="1"/>
        <v>-3678645.58</v>
      </c>
      <c r="H36" s="10">
        <f t="shared" si="2"/>
        <v>-7.0289243012666711E-10</v>
      </c>
      <c r="I36" s="10">
        <f t="shared" si="7"/>
        <v>-4.1215424425899983E-8</v>
      </c>
    </row>
    <row r="39" spans="1:9">
      <c r="A39" s="14"/>
    </row>
  </sheetData>
  <mergeCells count="2">
    <mergeCell ref="C23:E23"/>
    <mergeCell ref="F23:I23"/>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CC21-2F94-41D0-909C-512AE997F242}">
  <dimension ref="A1:N36"/>
  <sheetViews>
    <sheetView showGridLines="0" zoomScale="80" zoomScaleNormal="80" workbookViewId="0">
      <selection activeCell="G35" sqref="G35"/>
    </sheetView>
  </sheetViews>
  <sheetFormatPr defaultColWidth="8.796875" defaultRowHeight="13.3"/>
  <cols>
    <col min="1" max="1" width="26.5" style="2" customWidth="1"/>
    <col min="2" max="2" width="16.796875" style="2" bestFit="1" customWidth="1"/>
    <col min="3" max="4" width="19" style="2" bestFit="1" customWidth="1"/>
    <col min="5" max="6" width="13.796875" style="2" bestFit="1" customWidth="1"/>
    <col min="7" max="7" width="14.796875" style="2" bestFit="1" customWidth="1"/>
    <col min="8" max="9" width="17.5" style="2" bestFit="1" customWidth="1"/>
    <col min="10" max="11" width="11.5" style="2" bestFit="1" customWidth="1"/>
    <col min="12" max="12" width="12.796875" style="2" bestFit="1" customWidth="1"/>
    <col min="13"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149</v>
      </c>
      <c r="F12" s="4" t="s">
        <v>150</v>
      </c>
      <c r="G12" s="4" t="s">
        <v>116</v>
      </c>
      <c r="H12" s="4" t="s">
        <v>10</v>
      </c>
      <c r="I12" s="4" t="s">
        <v>11</v>
      </c>
      <c r="J12" s="4" t="s">
        <v>71</v>
      </c>
      <c r="K12" s="4" t="s">
        <v>48</v>
      </c>
      <c r="L12" s="4" t="s">
        <v>47</v>
      </c>
    </row>
    <row r="13" spans="1:12">
      <c r="A13" s="74" t="s">
        <v>105</v>
      </c>
      <c r="B13" s="92">
        <v>7.4999999999999997E-2</v>
      </c>
      <c r="C13" s="85">
        <v>45505</v>
      </c>
      <c r="D13" s="85">
        <v>46599</v>
      </c>
      <c r="E13" s="73">
        <v>0</v>
      </c>
      <c r="F13" s="73">
        <v>108529643.40000002</v>
      </c>
      <c r="G13" s="73">
        <v>144706191.21999997</v>
      </c>
      <c r="H13" s="73">
        <v>14375414.15</v>
      </c>
      <c r="I13" s="73">
        <v>120035464</v>
      </c>
      <c r="J13" s="77">
        <v>143688620.93000001</v>
      </c>
      <c r="K13" s="77">
        <v>113866221.95999999</v>
      </c>
      <c r="L13" s="77">
        <v>29822398.969999999</v>
      </c>
    </row>
    <row r="14" spans="1:12">
      <c r="A14" s="74" t="s">
        <v>104</v>
      </c>
      <c r="B14" s="92">
        <f>'G Sec 1 Aug'!C17/100</f>
        <v>6.9400000000000003E-2</v>
      </c>
      <c r="C14" s="85">
        <v>45505</v>
      </c>
      <c r="D14" s="85">
        <v>46599</v>
      </c>
      <c r="E14" s="73">
        <v>0</v>
      </c>
      <c r="F14" s="73">
        <f>D27*1/3+SUM(D28:D30)+D31*2/3</f>
        <v>109392564.67772537</v>
      </c>
      <c r="G14" s="77">
        <f>E31+(D31/3)</f>
        <v>145856752.90363395</v>
      </c>
      <c r="H14" s="73">
        <f>(H27*1/3)+SUM(H28:H30)+(H31*2/3)</f>
        <v>13288268.517885529</v>
      </c>
      <c r="I14" s="73">
        <f>-SUM(G28:G31)</f>
        <v>120035464</v>
      </c>
      <c r="J14" s="77">
        <f>I31-(H31/3)</f>
        <v>144188764.90658948</v>
      </c>
      <c r="K14" s="8">
        <f>J14-L14</f>
        <v>114350490.41888498</v>
      </c>
      <c r="L14" s="8">
        <f>I35-H35*1/3</f>
        <v>29838274.487704504</v>
      </c>
    </row>
    <row r="15" spans="1:12">
      <c r="A15" s="86" t="s">
        <v>32</v>
      </c>
      <c r="B15" s="92">
        <f>B13-B14</f>
        <v>5.5999999999999939E-3</v>
      </c>
      <c r="C15" s="87">
        <f t="shared" ref="C15:I15" si="0">C13-C14</f>
        <v>0</v>
      </c>
      <c r="D15" s="87">
        <f t="shared" si="0"/>
        <v>0</v>
      </c>
      <c r="E15" s="8">
        <f t="shared" si="0"/>
        <v>0</v>
      </c>
      <c r="F15" s="8">
        <f>F13-F14</f>
        <v>-862921.27772535384</v>
      </c>
      <c r="G15" s="8">
        <f t="shared" si="0"/>
        <v>-1150561.6836339831</v>
      </c>
      <c r="H15" s="8">
        <f>H13-H14</f>
        <v>1087145.6321144719</v>
      </c>
      <c r="I15" s="8">
        <f t="shared" si="0"/>
        <v>0</v>
      </c>
      <c r="J15" s="8">
        <f>J13-J14</f>
        <v>-500143.9765894711</v>
      </c>
      <c r="K15" s="8">
        <f>K13-K14</f>
        <v>-484268.45888498425</v>
      </c>
      <c r="L15" s="8">
        <f>L13-L14</f>
        <v>-15875.517704505473</v>
      </c>
    </row>
    <row r="16" spans="1:12">
      <c r="B16" s="90"/>
      <c r="C16" s="53"/>
    </row>
    <row r="17" spans="1:14">
      <c r="A17" s="14" t="s">
        <v>173</v>
      </c>
      <c r="B17" s="7">
        <v>30008866</v>
      </c>
      <c r="C17" s="88" t="s">
        <v>107</v>
      </c>
    </row>
    <row r="18" spans="1:14">
      <c r="A18" s="14" t="s">
        <v>174</v>
      </c>
      <c r="B18" s="91">
        <f>B14/4</f>
        <v>1.7350000000000001E-2</v>
      </c>
      <c r="C18" s="88" t="s">
        <v>106</v>
      </c>
      <c r="D18" s="175"/>
    </row>
    <row r="19" spans="1:14">
      <c r="A19" s="14" t="s">
        <v>175</v>
      </c>
      <c r="B19" s="89">
        <f>ROUND(((D14-C14)/30.5),0)/3</f>
        <v>12</v>
      </c>
      <c r="C19" s="88" t="s">
        <v>117</v>
      </c>
      <c r="E19" s="53"/>
      <c r="G19" s="53"/>
    </row>
    <row r="20" spans="1:14">
      <c r="A20" s="14" t="s">
        <v>110</v>
      </c>
      <c r="B20" s="7">
        <f>-PV(B18,B19,B17,,1)</f>
        <v>328177694.03317612</v>
      </c>
      <c r="C20" s="88" t="s">
        <v>117</v>
      </c>
      <c r="D20" s="224"/>
      <c r="E20" s="53"/>
    </row>
    <row r="21" spans="1:14">
      <c r="A21" s="14"/>
      <c r="B21" s="7"/>
      <c r="C21" s="88"/>
      <c r="E21" s="53"/>
    </row>
    <row r="22" spans="1:14">
      <c r="A22" s="14"/>
      <c r="B22" s="7"/>
      <c r="C22" s="88"/>
      <c r="E22" s="53"/>
    </row>
    <row r="23" spans="1:14">
      <c r="B23" s="89"/>
      <c r="C23" s="378" t="s">
        <v>185</v>
      </c>
      <c r="D23" s="378"/>
      <c r="E23" s="378"/>
      <c r="F23" s="379" t="s">
        <v>15</v>
      </c>
      <c r="G23" s="379"/>
      <c r="H23" s="379"/>
      <c r="I23" s="379"/>
    </row>
    <row r="24" spans="1:14" s="84" customFormat="1">
      <c r="A24" s="5" t="s">
        <v>176</v>
      </c>
      <c r="B24" s="5" t="s">
        <v>177</v>
      </c>
      <c r="C24" s="79" t="s">
        <v>112</v>
      </c>
      <c r="D24" s="79" t="s">
        <v>55</v>
      </c>
      <c r="E24" s="79" t="s">
        <v>111</v>
      </c>
      <c r="F24" s="79" t="s">
        <v>113</v>
      </c>
      <c r="G24" s="79" t="s">
        <v>11</v>
      </c>
      <c r="H24" s="79" t="s">
        <v>10</v>
      </c>
      <c r="I24" s="79" t="s">
        <v>57</v>
      </c>
      <c r="J24" s="2"/>
      <c r="K24" s="2"/>
      <c r="L24" s="2"/>
      <c r="M24" s="2"/>
      <c r="N24" s="2"/>
    </row>
    <row r="25" spans="1:14">
      <c r="A25" s="93">
        <v>45505</v>
      </c>
      <c r="B25" s="93">
        <v>45596</v>
      </c>
      <c r="C25" s="10">
        <f>B20</f>
        <v>328177694.03317612</v>
      </c>
      <c r="D25" s="8">
        <f>$B$20/12</f>
        <v>27348141.169431344</v>
      </c>
      <c r="E25" s="10">
        <f>C25-D25</f>
        <v>300829552.8637448</v>
      </c>
      <c r="F25" s="10">
        <f>C25</f>
        <v>328177694.03317612</v>
      </c>
      <c r="G25" s="10">
        <f>-$B$17</f>
        <v>-30008866</v>
      </c>
      <c r="H25" s="10">
        <f>(F25+G25)*$B$18</f>
        <v>5173229.1663756063</v>
      </c>
      <c r="I25" s="10">
        <f>F25+G25+H25</f>
        <v>303342057.1995517</v>
      </c>
    </row>
    <row r="26" spans="1:14">
      <c r="A26" s="93">
        <v>45597</v>
      </c>
      <c r="B26" s="93">
        <v>45688</v>
      </c>
      <c r="C26" s="10">
        <f t="shared" ref="C26:C36" si="1">E25</f>
        <v>300829552.8637448</v>
      </c>
      <c r="D26" s="8">
        <f t="shared" ref="D26:D36" si="2">$B$20/12</f>
        <v>27348141.169431344</v>
      </c>
      <c r="E26" s="10">
        <f t="shared" ref="E26:E36" si="3">C26-D26</f>
        <v>273481411.69431347</v>
      </c>
      <c r="F26" s="10">
        <f t="shared" ref="F26:F36" si="4">I25</f>
        <v>303342057.1995517</v>
      </c>
      <c r="G26" s="10">
        <f t="shared" ref="G26:G36" si="5">-$B$17</f>
        <v>-30008866</v>
      </c>
      <c r="H26" s="10">
        <f t="shared" ref="H26:H36" si="6">(F26+G26)*$B$18</f>
        <v>4742330.8673122218</v>
      </c>
      <c r="I26" s="10">
        <f t="shared" ref="I26:I36" si="7">F26+G26+H26</f>
        <v>278075522.06686389</v>
      </c>
    </row>
    <row r="27" spans="1:14">
      <c r="A27" s="93">
        <v>45689</v>
      </c>
      <c r="B27" s="93">
        <v>45777</v>
      </c>
      <c r="C27" s="10">
        <f t="shared" si="1"/>
        <v>273481411.69431347</v>
      </c>
      <c r="D27" s="8">
        <f t="shared" si="2"/>
        <v>27348141.169431344</v>
      </c>
      <c r="E27" s="10">
        <f t="shared" si="3"/>
        <v>246133270.52488214</v>
      </c>
      <c r="F27" s="10">
        <f t="shared" si="4"/>
        <v>278075522.06686389</v>
      </c>
      <c r="G27" s="10">
        <f t="shared" si="5"/>
        <v>-30008866</v>
      </c>
      <c r="H27" s="10">
        <f t="shared" si="6"/>
        <v>4303956.4827600885</v>
      </c>
      <c r="I27" s="10">
        <f t="shared" si="7"/>
        <v>252370612.549624</v>
      </c>
    </row>
    <row r="28" spans="1:14">
      <c r="A28" s="93">
        <v>45778</v>
      </c>
      <c r="B28" s="93">
        <v>45869</v>
      </c>
      <c r="C28" s="10">
        <f t="shared" si="1"/>
        <v>246133270.52488214</v>
      </c>
      <c r="D28" s="8">
        <f t="shared" si="2"/>
        <v>27348141.169431344</v>
      </c>
      <c r="E28" s="10">
        <f t="shared" si="3"/>
        <v>218785129.35545081</v>
      </c>
      <c r="F28" s="10">
        <f t="shared" si="4"/>
        <v>252370612.549624</v>
      </c>
      <c r="G28" s="10">
        <f t="shared" si="5"/>
        <v>-30008866</v>
      </c>
      <c r="H28" s="10">
        <f t="shared" si="6"/>
        <v>3857976.3026359766</v>
      </c>
      <c r="I28" s="10">
        <f t="shared" si="7"/>
        <v>226219722.85225996</v>
      </c>
    </row>
    <row r="29" spans="1:14">
      <c r="A29" s="93">
        <v>45870</v>
      </c>
      <c r="B29" s="93">
        <v>45961</v>
      </c>
      <c r="C29" s="10">
        <f t="shared" si="1"/>
        <v>218785129.35545081</v>
      </c>
      <c r="D29" s="8">
        <f t="shared" si="2"/>
        <v>27348141.169431344</v>
      </c>
      <c r="E29" s="10">
        <f t="shared" si="3"/>
        <v>191436988.18601948</v>
      </c>
      <c r="F29" s="10">
        <f t="shared" si="4"/>
        <v>226219722.85225996</v>
      </c>
      <c r="G29" s="10">
        <f t="shared" si="5"/>
        <v>-30008866</v>
      </c>
      <c r="H29" s="10">
        <f t="shared" si="6"/>
        <v>3404258.3663867107</v>
      </c>
      <c r="I29" s="10">
        <f t="shared" si="7"/>
        <v>199615115.21864668</v>
      </c>
    </row>
    <row r="30" spans="1:14">
      <c r="A30" s="93">
        <v>45962</v>
      </c>
      <c r="B30" s="93">
        <v>46053</v>
      </c>
      <c r="C30" s="10">
        <f t="shared" si="1"/>
        <v>191436988.18601948</v>
      </c>
      <c r="D30" s="8">
        <f t="shared" si="2"/>
        <v>27348141.169431344</v>
      </c>
      <c r="E30" s="10">
        <f t="shared" si="3"/>
        <v>164088847.01658815</v>
      </c>
      <c r="F30" s="10">
        <f t="shared" si="4"/>
        <v>199615115.21864668</v>
      </c>
      <c r="G30" s="10">
        <f t="shared" si="5"/>
        <v>-30008866</v>
      </c>
      <c r="H30" s="10">
        <f t="shared" si="6"/>
        <v>2942668.4239435201</v>
      </c>
      <c r="I30" s="10">
        <f t="shared" si="7"/>
        <v>172548917.64259019</v>
      </c>
    </row>
    <row r="31" spans="1:14">
      <c r="A31" s="93">
        <v>46054</v>
      </c>
      <c r="B31" s="93">
        <v>46142</v>
      </c>
      <c r="C31" s="10">
        <f t="shared" si="1"/>
        <v>164088847.01658815</v>
      </c>
      <c r="D31" s="8">
        <f t="shared" si="2"/>
        <v>27348141.169431344</v>
      </c>
      <c r="E31" s="10">
        <f t="shared" si="3"/>
        <v>136740705.84715682</v>
      </c>
      <c r="F31" s="10">
        <f t="shared" si="4"/>
        <v>172548917.64259019</v>
      </c>
      <c r="G31" s="10">
        <f t="shared" si="5"/>
        <v>-30008866</v>
      </c>
      <c r="H31" s="10">
        <f t="shared" si="6"/>
        <v>2473069.8959989399</v>
      </c>
      <c r="I31" s="10">
        <f>F31+G31+H31</f>
        <v>145013121.53858912</v>
      </c>
    </row>
    <row r="32" spans="1:14">
      <c r="A32" s="93">
        <v>46143</v>
      </c>
      <c r="B32" s="93">
        <v>46234</v>
      </c>
      <c r="C32" s="10">
        <f t="shared" si="1"/>
        <v>136740705.84715682</v>
      </c>
      <c r="D32" s="8">
        <f t="shared" si="2"/>
        <v>27348141.169431344</v>
      </c>
      <c r="E32" s="10">
        <f>C32-D32</f>
        <v>109392564.67772548</v>
      </c>
      <c r="F32" s="10">
        <f>I31</f>
        <v>145013121.53858912</v>
      </c>
      <c r="G32" s="10">
        <f t="shared" si="5"/>
        <v>-30008866</v>
      </c>
      <c r="H32" s="10">
        <f t="shared" si="6"/>
        <v>1995323.8335945213</v>
      </c>
      <c r="I32" s="10">
        <f t="shared" si="7"/>
        <v>116999579.37218364</v>
      </c>
    </row>
    <row r="33" spans="1:9">
      <c r="A33" s="93">
        <v>46235</v>
      </c>
      <c r="B33" s="93">
        <v>46326</v>
      </c>
      <c r="C33" s="10">
        <f t="shared" si="1"/>
        <v>109392564.67772548</v>
      </c>
      <c r="D33" s="8">
        <f t="shared" si="2"/>
        <v>27348141.169431344</v>
      </c>
      <c r="E33" s="10">
        <f t="shared" si="3"/>
        <v>82044423.508294135</v>
      </c>
      <c r="F33" s="10">
        <f t="shared" si="4"/>
        <v>116999579.37218364</v>
      </c>
      <c r="G33" s="10">
        <f t="shared" si="5"/>
        <v>-30008866</v>
      </c>
      <c r="H33" s="10">
        <f t="shared" si="6"/>
        <v>1509288.8770073862</v>
      </c>
      <c r="I33" s="10">
        <f t="shared" si="7"/>
        <v>88500002.249191016</v>
      </c>
    </row>
    <row r="34" spans="1:9">
      <c r="A34" s="93">
        <v>46327</v>
      </c>
      <c r="B34" s="93">
        <v>46418</v>
      </c>
      <c r="C34" s="10">
        <f t="shared" si="1"/>
        <v>82044423.508294135</v>
      </c>
      <c r="D34" s="8">
        <f t="shared" si="2"/>
        <v>27348141.169431344</v>
      </c>
      <c r="E34" s="10">
        <f t="shared" si="3"/>
        <v>54696282.338862792</v>
      </c>
      <c r="F34" s="10">
        <f t="shared" si="4"/>
        <v>88500002.249191016</v>
      </c>
      <c r="G34" s="10">
        <f t="shared" si="5"/>
        <v>-30008866</v>
      </c>
      <c r="H34" s="10">
        <f t="shared" si="6"/>
        <v>1014821.2139234642</v>
      </c>
      <c r="I34" s="10">
        <f t="shared" si="7"/>
        <v>59505957.463114478</v>
      </c>
    </row>
    <row r="35" spans="1:9">
      <c r="A35" s="93">
        <v>46419</v>
      </c>
      <c r="B35" s="93">
        <v>46507</v>
      </c>
      <c r="C35" s="10">
        <f t="shared" si="1"/>
        <v>54696282.338862792</v>
      </c>
      <c r="D35" s="8">
        <f t="shared" si="2"/>
        <v>27348141.169431344</v>
      </c>
      <c r="E35" s="10">
        <f t="shared" si="3"/>
        <v>27348141.169431448</v>
      </c>
      <c r="F35" s="10">
        <f t="shared" si="4"/>
        <v>59505957.463114478</v>
      </c>
      <c r="G35" s="10">
        <f t="shared" si="5"/>
        <v>-30008866</v>
      </c>
      <c r="H35" s="10">
        <f t="shared" si="6"/>
        <v>511774.53688503621</v>
      </c>
      <c r="I35" s="10">
        <f t="shared" si="7"/>
        <v>30008865.999999516</v>
      </c>
    </row>
    <row r="36" spans="1:9">
      <c r="A36" s="93">
        <v>46508</v>
      </c>
      <c r="B36" s="93">
        <v>46599</v>
      </c>
      <c r="C36" s="10">
        <f t="shared" si="1"/>
        <v>27348141.169431448</v>
      </c>
      <c r="D36" s="8">
        <f t="shared" si="2"/>
        <v>27348141.169431344</v>
      </c>
      <c r="E36" s="10">
        <f t="shared" si="3"/>
        <v>1.0430812835693359E-7</v>
      </c>
      <c r="F36" s="10">
        <f t="shared" si="4"/>
        <v>30008865.999999516</v>
      </c>
      <c r="G36" s="10">
        <f t="shared" si="5"/>
        <v>-30008866</v>
      </c>
      <c r="H36" s="10">
        <f t="shared" si="6"/>
        <v>-8.4023922681808474E-9</v>
      </c>
      <c r="I36" s="10">
        <f t="shared" si="7"/>
        <v>-4.9269013106822972E-7</v>
      </c>
    </row>
  </sheetData>
  <mergeCells count="2">
    <mergeCell ref="C23:E23"/>
    <mergeCell ref="F23:I2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7384E-097C-45D5-912F-C6AE12BE8D16}">
  <dimension ref="A1:N36"/>
  <sheetViews>
    <sheetView showGridLines="0" zoomScale="80" zoomScaleNormal="80" workbookViewId="0">
      <selection activeCell="B14" sqref="B14"/>
    </sheetView>
  </sheetViews>
  <sheetFormatPr defaultColWidth="8.796875" defaultRowHeight="13.3"/>
  <cols>
    <col min="1" max="1" width="26.5" style="2" customWidth="1"/>
    <col min="2" max="2" width="16.796875" style="2" bestFit="1" customWidth="1"/>
    <col min="3" max="4" width="19" style="2" bestFit="1" customWidth="1"/>
    <col min="5" max="5" width="13.796875" style="2" bestFit="1" customWidth="1"/>
    <col min="6" max="6" width="15.8984375" style="2" bestFit="1" customWidth="1"/>
    <col min="7" max="7" width="14.796875" style="2" bestFit="1" customWidth="1"/>
    <col min="8" max="9" width="17.5" style="2" bestFit="1" customWidth="1"/>
    <col min="10" max="10" width="10.5" style="2" bestFit="1" customWidth="1"/>
    <col min="11" max="11" width="11.5" style="2" bestFit="1" customWidth="1"/>
    <col min="12" max="12" width="12.796875" style="2" bestFit="1" customWidth="1"/>
    <col min="13" max="16384" width="8.796875" style="2"/>
  </cols>
  <sheetData>
    <row r="1" spans="1:12">
      <c r="A1" s="14" t="e">
        <f>Scope!#REF!</f>
        <v>#REF!</v>
      </c>
    </row>
    <row r="2" spans="1:12">
      <c r="A2" s="14" t="e">
        <f>Scope!#REF!</f>
        <v>#REF!</v>
      </c>
    </row>
    <row r="3" spans="1:12">
      <c r="A3" s="14" t="e">
        <f>Scope!#REF!</f>
        <v>#REF!</v>
      </c>
    </row>
    <row r="6" spans="1:12">
      <c r="A6" s="14" t="str">
        <f>Scope!A2</f>
        <v xml:space="preserve">Purpose </v>
      </c>
    </row>
    <row r="7" spans="1:12">
      <c r="A7" s="182" t="s">
        <v>59</v>
      </c>
    </row>
    <row r="10" spans="1:12">
      <c r="A10" s="14" t="s">
        <v>78</v>
      </c>
    </row>
    <row r="11" spans="1:12">
      <c r="B11" s="88"/>
      <c r="C11" s="88"/>
      <c r="D11" s="88"/>
      <c r="E11" s="88"/>
      <c r="F11" s="88"/>
      <c r="G11" s="88"/>
      <c r="H11" s="88"/>
      <c r="I11" s="88"/>
      <c r="J11" s="88"/>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223">
        <f>7.5031/100</f>
        <v>7.5031E-2</v>
      </c>
      <c r="C13" s="208">
        <v>45474</v>
      </c>
      <c r="D13" s="208">
        <v>46568</v>
      </c>
      <c r="E13" s="73">
        <v>0</v>
      </c>
      <c r="F13" s="73">
        <v>8256104.4000000013</v>
      </c>
      <c r="G13" s="77">
        <v>10320130.319999997</v>
      </c>
      <c r="H13" s="73">
        <v>1043314.38</v>
      </c>
      <c r="I13" s="73">
        <v>9131379.0800000001</v>
      </c>
      <c r="J13" s="77">
        <v>10999075.470000001</v>
      </c>
      <c r="K13" s="77">
        <v>8716230.6999999993</v>
      </c>
      <c r="L13" s="77">
        <v>2282844.77</v>
      </c>
    </row>
    <row r="14" spans="1:12">
      <c r="A14" s="74" t="s">
        <v>104</v>
      </c>
      <c r="B14" s="92">
        <f>'G Sec 1 July'!C17/100</f>
        <v>7.0900000000000005E-2</v>
      </c>
      <c r="C14" s="85">
        <v>45474</v>
      </c>
      <c r="D14" s="85">
        <v>46568</v>
      </c>
      <c r="E14" s="73">
        <v>0</v>
      </c>
      <c r="F14" s="73">
        <f>(D27*1/3)+SUM(D28:D30)+D31*2/3</f>
        <v>8305531.7391874958</v>
      </c>
      <c r="G14" s="77">
        <f>E31+(D31/3)</f>
        <v>11074042.318916662</v>
      </c>
      <c r="H14" s="73">
        <f>(H27*1/3)+SUM(H28:H30)+H31*2/3</f>
        <v>1031217.7950519663</v>
      </c>
      <c r="I14" s="73">
        <f>-SUM(G28:G31)</f>
        <v>9131379.0800000001</v>
      </c>
      <c r="J14" s="77">
        <f>I31-H31/3</f>
        <v>10959505.060312619</v>
      </c>
      <c r="K14" s="8">
        <f>J14-L14</f>
        <v>8689913.1905060932</v>
      </c>
      <c r="L14" s="8">
        <f>I35-H35/3</f>
        <v>2269591.8698065253</v>
      </c>
    </row>
    <row r="15" spans="1:12">
      <c r="A15" s="86" t="s">
        <v>32</v>
      </c>
      <c r="B15" s="92">
        <f>B13-B14</f>
        <v>4.1309999999999958E-3</v>
      </c>
      <c r="C15" s="87">
        <f t="shared" ref="C15:J15" si="0">C13-C14</f>
        <v>0</v>
      </c>
      <c r="D15" s="87">
        <f t="shared" si="0"/>
        <v>0</v>
      </c>
      <c r="E15" s="8">
        <f t="shared" si="0"/>
        <v>0</v>
      </c>
      <c r="F15" s="8">
        <f>F13-F14</f>
        <v>-49427.339187494479</v>
      </c>
      <c r="G15" s="8">
        <f>G13-G14</f>
        <v>-753911.99891666509</v>
      </c>
      <c r="H15" s="8">
        <f>H13-H14</f>
        <v>12096.584948033676</v>
      </c>
      <c r="I15" s="8">
        <f t="shared" si="0"/>
        <v>0</v>
      </c>
      <c r="J15" s="8">
        <f t="shared" si="0"/>
        <v>39570.409687381238</v>
      </c>
      <c r="K15" s="8">
        <f>K13-K14</f>
        <v>26317.509493906051</v>
      </c>
      <c r="L15" s="8">
        <f>L13-L14</f>
        <v>13252.900193474721</v>
      </c>
    </row>
    <row r="16" spans="1:12">
      <c r="A16" s="84" t="str">
        <f>'ITC-60014'!A16</f>
        <v>*Lease was started in FY 23-24. Hence, no addition during the year</v>
      </c>
      <c r="B16" s="219"/>
      <c r="C16" s="220"/>
      <c r="D16" s="220"/>
      <c r="E16" s="221"/>
      <c r="F16" s="221"/>
      <c r="G16" s="221"/>
      <c r="H16" s="221"/>
      <c r="I16" s="221"/>
      <c r="J16" s="221"/>
      <c r="K16" s="221"/>
      <c r="L16" s="221"/>
    </row>
    <row r="17" spans="1:14">
      <c r="B17" s="90"/>
      <c r="C17" s="53"/>
    </row>
    <row r="18" spans="1:14">
      <c r="A18" s="14" t="s">
        <v>173</v>
      </c>
      <c r="B18" s="7">
        <f>2282844.77</f>
        <v>2282844.77</v>
      </c>
      <c r="C18" s="88" t="s">
        <v>107</v>
      </c>
      <c r="D18" s="242"/>
    </row>
    <row r="19" spans="1:14">
      <c r="A19" s="14" t="s">
        <v>174</v>
      </c>
      <c r="B19" s="91">
        <f>B14/4</f>
        <v>1.7725000000000001E-2</v>
      </c>
      <c r="C19" s="88" t="s">
        <v>106</v>
      </c>
      <c r="D19" s="225"/>
    </row>
    <row r="20" spans="1:14">
      <c r="A20" s="14" t="s">
        <v>175</v>
      </c>
      <c r="B20" s="89">
        <f>ROUND(((D14-C14)/30.5),0)/3</f>
        <v>12</v>
      </c>
      <c r="C20" s="88" t="s">
        <v>117</v>
      </c>
      <c r="D20" s="53"/>
      <c r="E20" s="53"/>
      <c r="G20" s="53"/>
    </row>
    <row r="21" spans="1:14">
      <c r="A21" s="14" t="s">
        <v>110</v>
      </c>
      <c r="B21" s="7">
        <f>-PV(B19,B20,B18,,1)</f>
        <v>24916595.217562485</v>
      </c>
      <c r="C21" s="88" t="s">
        <v>117</v>
      </c>
      <c r="D21" s="7"/>
      <c r="E21" s="53"/>
      <c r="F21" s="222"/>
    </row>
    <row r="22" spans="1:14">
      <c r="A22" s="14"/>
      <c r="B22" s="7"/>
      <c r="C22" s="88"/>
      <c r="E22" s="53"/>
    </row>
    <row r="23" spans="1:14">
      <c r="B23" s="89"/>
      <c r="C23" s="378" t="s">
        <v>185</v>
      </c>
      <c r="D23" s="378"/>
      <c r="E23" s="378"/>
      <c r="F23" s="379" t="s">
        <v>15</v>
      </c>
      <c r="G23" s="379"/>
      <c r="H23" s="379"/>
      <c r="I23" s="379"/>
    </row>
    <row r="24" spans="1:14" s="84" customFormat="1">
      <c r="A24" s="5" t="s">
        <v>176</v>
      </c>
      <c r="B24" s="5" t="s">
        <v>177</v>
      </c>
      <c r="C24" s="79" t="s">
        <v>112</v>
      </c>
      <c r="D24" s="79" t="s">
        <v>55</v>
      </c>
      <c r="E24" s="79" t="s">
        <v>111</v>
      </c>
      <c r="F24" s="79" t="s">
        <v>113</v>
      </c>
      <c r="G24" s="79" t="s">
        <v>11</v>
      </c>
      <c r="H24" s="79" t="s">
        <v>10</v>
      </c>
      <c r="I24" s="79" t="s">
        <v>57</v>
      </c>
      <c r="J24" s="2"/>
      <c r="K24" s="2"/>
      <c r="L24" s="2"/>
      <c r="M24" s="2"/>
      <c r="N24" s="2"/>
    </row>
    <row r="25" spans="1:14">
      <c r="A25" s="93">
        <v>45505</v>
      </c>
      <c r="B25" s="93">
        <v>45596</v>
      </c>
      <c r="C25" s="10">
        <f>B21</f>
        <v>24916595.217562485</v>
      </c>
      <c r="D25" s="8">
        <f>$B$21/$B$20</f>
        <v>2076382.9347968737</v>
      </c>
      <c r="E25" s="10">
        <f>C25-D25</f>
        <v>22840212.282765612</v>
      </c>
      <c r="F25" s="10">
        <f>B21</f>
        <v>24916595.217562485</v>
      </c>
      <c r="G25" s="10">
        <f>-$B$18</f>
        <v>-2282844.77</v>
      </c>
      <c r="H25" s="10">
        <f>(F25+G25)*$B$19</f>
        <v>401183.2266830451</v>
      </c>
      <c r="I25" s="10">
        <f>F25+G25+H25</f>
        <v>23034933.674245533</v>
      </c>
      <c r="K25" s="224"/>
    </row>
    <row r="26" spans="1:14">
      <c r="A26" s="93">
        <v>45597</v>
      </c>
      <c r="B26" s="93">
        <v>45688</v>
      </c>
      <c r="C26" s="10">
        <f>E25</f>
        <v>22840212.282765612</v>
      </c>
      <c r="D26" s="8">
        <f t="shared" ref="D26:D36" si="1">$B$21/$B$20</f>
        <v>2076382.9347968737</v>
      </c>
      <c r="E26" s="10">
        <f t="shared" ref="E26:E36" si="2">C26-D26</f>
        <v>20763829.347968739</v>
      </c>
      <c r="F26" s="10">
        <f>I25</f>
        <v>23034933.674245533</v>
      </c>
      <c r="G26" s="10">
        <f t="shared" ref="G26:G36" si="3">-$B$18</f>
        <v>-2282844.77</v>
      </c>
      <c r="H26" s="10">
        <f t="shared" ref="H26:H36" si="4">(F26+G26)*$B$19</f>
        <v>367830.77582775208</v>
      </c>
      <c r="I26" s="10">
        <f t="shared" ref="I26:I36" si="5">F26+G26+H26</f>
        <v>21119919.680073284</v>
      </c>
    </row>
    <row r="27" spans="1:14">
      <c r="A27" s="93">
        <v>45689</v>
      </c>
      <c r="B27" s="93">
        <v>45777</v>
      </c>
      <c r="C27" s="10">
        <f t="shared" ref="C27:C36" si="6">E26</f>
        <v>20763829.347968739</v>
      </c>
      <c r="D27" s="8">
        <f t="shared" si="1"/>
        <v>2076382.9347968737</v>
      </c>
      <c r="E27" s="10">
        <f t="shared" si="2"/>
        <v>18687446.413171865</v>
      </c>
      <c r="F27" s="10">
        <f t="shared" ref="F27:F36" si="7">I26</f>
        <v>21119919.680073284</v>
      </c>
      <c r="G27" s="10">
        <f t="shared" si="3"/>
        <v>-2282844.77</v>
      </c>
      <c r="H27" s="10">
        <f t="shared" si="4"/>
        <v>333887.15278104896</v>
      </c>
      <c r="I27" s="10">
        <f t="shared" si="5"/>
        <v>19170962.062854335</v>
      </c>
    </row>
    <row r="28" spans="1:14">
      <c r="A28" s="93">
        <v>45778</v>
      </c>
      <c r="B28" s="93">
        <v>45869</v>
      </c>
      <c r="C28" s="10">
        <f t="shared" si="6"/>
        <v>18687446.413171865</v>
      </c>
      <c r="D28" s="8">
        <f t="shared" si="1"/>
        <v>2076382.9347968737</v>
      </c>
      <c r="E28" s="10">
        <f t="shared" si="2"/>
        <v>16611063.478374992</v>
      </c>
      <c r="F28" s="10">
        <f t="shared" si="7"/>
        <v>19170962.062854335</v>
      </c>
      <c r="G28" s="10">
        <f t="shared" si="3"/>
        <v>-2282844.77</v>
      </c>
      <c r="H28" s="10">
        <f t="shared" si="4"/>
        <v>299341.87901584309</v>
      </c>
      <c r="I28" s="10">
        <f t="shared" si="5"/>
        <v>17187459.171870179</v>
      </c>
    </row>
    <row r="29" spans="1:14">
      <c r="A29" s="93">
        <v>45870</v>
      </c>
      <c r="B29" s="93">
        <v>45961</v>
      </c>
      <c r="C29" s="10">
        <f t="shared" si="6"/>
        <v>16611063.478374992</v>
      </c>
      <c r="D29" s="8">
        <f t="shared" si="1"/>
        <v>2076382.9347968737</v>
      </c>
      <c r="E29" s="10">
        <f t="shared" si="2"/>
        <v>14534680.543578118</v>
      </c>
      <c r="F29" s="10">
        <f t="shared" si="7"/>
        <v>17187459.171870179</v>
      </c>
      <c r="G29" s="10">
        <f t="shared" si="3"/>
        <v>-2282844.77</v>
      </c>
      <c r="H29" s="10">
        <f t="shared" si="4"/>
        <v>264184.29027314897</v>
      </c>
      <c r="I29" s="10">
        <f t="shared" si="5"/>
        <v>15168798.692143328</v>
      </c>
    </row>
    <row r="30" spans="1:14">
      <c r="A30" s="93">
        <v>45962</v>
      </c>
      <c r="B30" s="93">
        <v>46053</v>
      </c>
      <c r="C30" s="10">
        <f t="shared" si="6"/>
        <v>14534680.543578118</v>
      </c>
      <c r="D30" s="8">
        <f t="shared" si="1"/>
        <v>2076382.9347968737</v>
      </c>
      <c r="E30" s="10">
        <f t="shared" si="2"/>
        <v>12458297.608781245</v>
      </c>
      <c r="F30" s="10">
        <f t="shared" si="7"/>
        <v>15168798.692143328</v>
      </c>
      <c r="G30" s="10">
        <f t="shared" si="3"/>
        <v>-2282844.77</v>
      </c>
      <c r="H30" s="10">
        <f t="shared" si="4"/>
        <v>228403.53326999053</v>
      </c>
      <c r="I30" s="10">
        <f t="shared" si="5"/>
        <v>13114357.455413319</v>
      </c>
    </row>
    <row r="31" spans="1:14">
      <c r="A31" s="93">
        <v>46054</v>
      </c>
      <c r="B31" s="93">
        <v>46142</v>
      </c>
      <c r="C31" s="10">
        <f t="shared" si="6"/>
        <v>12458297.608781245</v>
      </c>
      <c r="D31" s="8">
        <f t="shared" si="1"/>
        <v>2076382.9347968737</v>
      </c>
      <c r="E31" s="10">
        <f t="shared" si="2"/>
        <v>10381914.673984371</v>
      </c>
      <c r="F31" s="10">
        <f t="shared" si="7"/>
        <v>13114357.455413319</v>
      </c>
      <c r="G31" s="10">
        <f t="shared" si="3"/>
        <v>-2282844.77</v>
      </c>
      <c r="H31" s="10">
        <f t="shared" si="4"/>
        <v>191988.56234895109</v>
      </c>
      <c r="I31" s="10">
        <f t="shared" si="5"/>
        <v>11023501.24776227</v>
      </c>
    </row>
    <row r="32" spans="1:14">
      <c r="A32" s="93">
        <v>46143</v>
      </c>
      <c r="B32" s="93">
        <v>46234</v>
      </c>
      <c r="C32" s="10">
        <f t="shared" si="6"/>
        <v>10381914.673984371</v>
      </c>
      <c r="D32" s="8">
        <f t="shared" si="1"/>
        <v>2076382.9347968737</v>
      </c>
      <c r="E32" s="10">
        <f t="shared" si="2"/>
        <v>8305531.7391874976</v>
      </c>
      <c r="F32" s="10">
        <f t="shared" si="7"/>
        <v>11023501.24776227</v>
      </c>
      <c r="G32" s="10">
        <f t="shared" si="3"/>
        <v>-2282844.77</v>
      </c>
      <c r="H32" s="10">
        <f t="shared" si="4"/>
        <v>154928.13606833626</v>
      </c>
      <c r="I32" s="10">
        <f t="shared" si="5"/>
        <v>8895584.6138306074</v>
      </c>
    </row>
    <row r="33" spans="1:9">
      <c r="A33" s="93">
        <v>46235</v>
      </c>
      <c r="B33" s="93">
        <v>46326</v>
      </c>
      <c r="C33" s="10">
        <f t="shared" si="6"/>
        <v>8305531.7391874976</v>
      </c>
      <c r="D33" s="8">
        <f t="shared" si="1"/>
        <v>2076382.9347968737</v>
      </c>
      <c r="E33" s="10">
        <f t="shared" si="2"/>
        <v>6229148.8043906242</v>
      </c>
      <c r="F33" s="10">
        <f t="shared" si="7"/>
        <v>8895584.6138306074</v>
      </c>
      <c r="G33" s="10">
        <f t="shared" si="3"/>
        <v>-2282844.77</v>
      </c>
      <c r="H33" s="10">
        <f t="shared" si="4"/>
        <v>117210.81373189754</v>
      </c>
      <c r="I33" s="10">
        <f t="shared" si="5"/>
        <v>6729950.6575625055</v>
      </c>
    </row>
    <row r="34" spans="1:9">
      <c r="A34" s="93">
        <v>46327</v>
      </c>
      <c r="B34" s="93">
        <v>46418</v>
      </c>
      <c r="C34" s="10">
        <f t="shared" si="6"/>
        <v>6229148.8043906242</v>
      </c>
      <c r="D34" s="8">
        <f t="shared" si="1"/>
        <v>2076382.9347968737</v>
      </c>
      <c r="E34" s="10">
        <f t="shared" si="2"/>
        <v>4152765.8695937507</v>
      </c>
      <c r="F34" s="10">
        <f t="shared" si="7"/>
        <v>6729950.6575625055</v>
      </c>
      <c r="G34" s="10">
        <f t="shared" si="3"/>
        <v>-2282844.77</v>
      </c>
      <c r="H34" s="10">
        <f t="shared" si="4"/>
        <v>78824.951857045424</v>
      </c>
      <c r="I34" s="10">
        <f t="shared" si="5"/>
        <v>4525930.8394195512</v>
      </c>
    </row>
    <row r="35" spans="1:9">
      <c r="A35" s="93">
        <v>46419</v>
      </c>
      <c r="B35" s="93">
        <v>46507</v>
      </c>
      <c r="C35" s="10">
        <f t="shared" si="6"/>
        <v>4152765.8695937507</v>
      </c>
      <c r="D35" s="8">
        <f t="shared" si="1"/>
        <v>2076382.9347968737</v>
      </c>
      <c r="E35" s="10">
        <f t="shared" si="2"/>
        <v>2076382.934796877</v>
      </c>
      <c r="F35" s="10">
        <f t="shared" si="7"/>
        <v>4525930.8394195512</v>
      </c>
      <c r="G35" s="10">
        <f t="shared" si="3"/>
        <v>-2282844.77</v>
      </c>
      <c r="H35" s="10">
        <f t="shared" si="4"/>
        <v>39758.700580461547</v>
      </c>
      <c r="I35" s="10">
        <f t="shared" si="5"/>
        <v>2282844.7700000126</v>
      </c>
    </row>
    <row r="36" spans="1:9">
      <c r="A36" s="93">
        <v>46508</v>
      </c>
      <c r="B36" s="93">
        <v>46599</v>
      </c>
      <c r="C36" s="10">
        <f t="shared" si="6"/>
        <v>2076382.934796877</v>
      </c>
      <c r="D36" s="8">
        <f t="shared" si="1"/>
        <v>2076382.9347968737</v>
      </c>
      <c r="E36" s="10">
        <f t="shared" si="2"/>
        <v>3.2596290111541748E-9</v>
      </c>
      <c r="F36" s="10">
        <f t="shared" si="7"/>
        <v>2282844.7700000126</v>
      </c>
      <c r="G36" s="10">
        <f t="shared" si="3"/>
        <v>-2282844.77</v>
      </c>
      <c r="H36" s="10">
        <f t="shared" si="4"/>
        <v>2.2285385057330133E-10</v>
      </c>
      <c r="I36" s="10">
        <f t="shared" si="5"/>
        <v>1.2795708607882261E-8</v>
      </c>
    </row>
  </sheetData>
  <mergeCells count="2">
    <mergeCell ref="C23:E23"/>
    <mergeCell ref="F23:I2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12EC-B29E-445B-8D60-095CCCF4601F}">
  <dimension ref="A1:L59"/>
  <sheetViews>
    <sheetView showGridLines="0" topLeftCell="A6" zoomScale="82" workbookViewId="0">
      <selection activeCell="B14" sqref="B14"/>
    </sheetView>
  </sheetViews>
  <sheetFormatPr defaultColWidth="8.796875" defaultRowHeight="13.3"/>
  <cols>
    <col min="1" max="1" width="19.19921875" style="2" customWidth="1"/>
    <col min="2" max="2" width="16.19921875" style="2" bestFit="1" customWidth="1"/>
    <col min="3" max="3" width="19.59765625" style="2" customWidth="1"/>
    <col min="4" max="4" width="19.19921875" style="2" bestFit="1" customWidth="1"/>
    <col min="5" max="5" width="19.796875" style="2" bestFit="1" customWidth="1"/>
    <col min="6" max="6" width="16.796875" style="2" bestFit="1" customWidth="1"/>
    <col min="7" max="7" width="13.796875" style="2" bestFit="1" customWidth="1"/>
    <col min="8" max="8" width="17.3984375" style="2" bestFit="1" customWidth="1"/>
    <col min="9" max="9" width="12.796875" style="2" bestFit="1" customWidth="1"/>
    <col min="10" max="10" width="13.796875" style="2" bestFit="1" customWidth="1"/>
    <col min="11" max="12" width="12.796875" style="2" bestFit="1" customWidth="1"/>
    <col min="13" max="16384" width="8.796875" style="2"/>
  </cols>
  <sheetData>
    <row r="1" spans="1:12">
      <c r="A1" s="14" t="str">
        <f>[3]Scope!A1</f>
        <v xml:space="preserve">Deloitte Haskins &amp; Sells </v>
      </c>
    </row>
    <row r="2" spans="1:12">
      <c r="A2" s="14" t="str">
        <f>[3]Scope!A2</f>
        <v>GE India Industrial Private Limited</v>
      </c>
    </row>
    <row r="3" spans="1:12">
      <c r="A3" s="14" t="str">
        <f>[3]Scope!A3</f>
        <v>Audit for the year ended March 31, 2024</v>
      </c>
    </row>
    <row r="6" spans="1:12">
      <c r="A6" s="14" t="str">
        <f>[3]Scope!A6</f>
        <v xml:space="preserve">Purpose </v>
      </c>
    </row>
    <row r="7" spans="1:12">
      <c r="A7" s="182" t="s">
        <v>59</v>
      </c>
    </row>
    <row r="10" spans="1:12">
      <c r="A10" s="14" t="s">
        <v>78</v>
      </c>
    </row>
    <row r="11" spans="1:12">
      <c r="B11" s="88" t="s">
        <v>106</v>
      </c>
      <c r="C11" s="88" t="s">
        <v>107</v>
      </c>
      <c r="D11" s="88" t="s">
        <v>107</v>
      </c>
      <c r="E11" s="88" t="s">
        <v>106</v>
      </c>
      <c r="F11" s="88" t="s">
        <v>106</v>
      </c>
      <c r="G11" s="88" t="s">
        <v>106</v>
      </c>
      <c r="H11" s="88" t="s">
        <v>106</v>
      </c>
      <c r="I11" s="88" t="s">
        <v>106</v>
      </c>
      <c r="J11" s="88" t="s">
        <v>106</v>
      </c>
    </row>
    <row r="12" spans="1:12" ht="34.1" customHeight="1">
      <c r="A12" s="5" t="s">
        <v>24</v>
      </c>
      <c r="B12" s="6" t="s">
        <v>67</v>
      </c>
      <c r="C12" s="72" t="s">
        <v>68</v>
      </c>
      <c r="D12" s="72" t="s">
        <v>69</v>
      </c>
      <c r="E12" s="4" t="s">
        <v>201</v>
      </c>
      <c r="F12" s="4" t="s">
        <v>203</v>
      </c>
      <c r="G12" s="4" t="s">
        <v>71</v>
      </c>
      <c r="H12" s="4" t="s">
        <v>10</v>
      </c>
      <c r="I12" s="4" t="s">
        <v>11</v>
      </c>
      <c r="J12" s="4" t="s">
        <v>71</v>
      </c>
      <c r="K12" s="4" t="s">
        <v>48</v>
      </c>
      <c r="L12" s="4" t="s">
        <v>47</v>
      </c>
    </row>
    <row r="13" spans="1:12">
      <c r="A13" s="74" t="s">
        <v>105</v>
      </c>
      <c r="B13" s="92">
        <v>8.0900420000000001E-2</v>
      </c>
      <c r="C13" s="85">
        <v>45017</v>
      </c>
      <c r="D13" s="85">
        <v>46112</v>
      </c>
      <c r="E13" s="73">
        <v>0</v>
      </c>
      <c r="F13" s="73">
        <v>46481790.979999989</v>
      </c>
      <c r="G13" s="77">
        <v>0</v>
      </c>
      <c r="H13" s="73">
        <v>1530189.2000000002</v>
      </c>
      <c r="I13" s="73">
        <v>51805984</v>
      </c>
      <c r="J13" s="73">
        <f>'Details 25-26'!S84</f>
        <v>0</v>
      </c>
      <c r="K13" s="8">
        <v>0</v>
      </c>
      <c r="L13" s="8">
        <v>0</v>
      </c>
    </row>
    <row r="14" spans="1:12">
      <c r="A14" s="74" t="s">
        <v>104</v>
      </c>
      <c r="B14" s="226">
        <f>'G-Sec 1 March'!E27/100</f>
        <v>7.4172000000000002E-2</v>
      </c>
      <c r="C14" s="85">
        <v>45017</v>
      </c>
      <c r="D14" s="85">
        <v>46112</v>
      </c>
      <c r="E14" s="73">
        <v>0</v>
      </c>
      <c r="F14" s="73">
        <f>SUM(C48:C59)</f>
        <v>46319223.222557612</v>
      </c>
      <c r="G14" s="77">
        <f>D59</f>
        <v>6.9849193096160889E-8</v>
      </c>
      <c r="H14" s="73">
        <f>SUM(F48:F59)</f>
        <v>2022710.8421909125</v>
      </c>
      <c r="I14" s="73">
        <f>-SUM(G48:G59)</f>
        <v>51805984.000000007</v>
      </c>
      <c r="J14" s="77">
        <f>H59</f>
        <v>-1.1259689927101135E-6</v>
      </c>
      <c r="K14" s="8">
        <v>-1.1259689927101135E-6</v>
      </c>
      <c r="L14" s="8">
        <v>0</v>
      </c>
    </row>
    <row r="15" spans="1:12">
      <c r="A15" s="86" t="s">
        <v>32</v>
      </c>
      <c r="B15" s="216">
        <f>B13-B14</f>
        <v>6.7284199999999988E-3</v>
      </c>
      <c r="C15" s="8">
        <f t="shared" ref="C15:L15" si="0">C13-C14</f>
        <v>0</v>
      </c>
      <c r="D15" s="8">
        <f>D13-D14</f>
        <v>0</v>
      </c>
      <c r="E15" s="8">
        <f t="shared" si="0"/>
        <v>0</v>
      </c>
      <c r="F15" s="8">
        <f t="shared" si="0"/>
        <v>162567.75744237751</v>
      </c>
      <c r="G15" s="8">
        <f t="shared" si="0"/>
        <v>-6.9849193096160889E-8</v>
      </c>
      <c r="H15" s="8">
        <f>H13-H14</f>
        <v>-492521.64219091227</v>
      </c>
      <c r="I15" s="8">
        <f>I13-I14</f>
        <v>0</v>
      </c>
      <c r="J15" s="8">
        <f t="shared" si="0"/>
        <v>1.1259689927101135E-6</v>
      </c>
      <c r="K15" s="8">
        <f t="shared" si="0"/>
        <v>1.1259689927101135E-6</v>
      </c>
      <c r="L15" s="8">
        <f t="shared" si="0"/>
        <v>0</v>
      </c>
    </row>
    <row r="16" spans="1:12">
      <c r="A16" s="2" t="s">
        <v>211</v>
      </c>
      <c r="D16" s="217"/>
      <c r="E16" s="217"/>
      <c r="F16" s="217"/>
    </row>
    <row r="18" spans="1:8">
      <c r="A18" s="14" t="s">
        <v>115</v>
      </c>
      <c r="B18" s="7">
        <f>12951496/3</f>
        <v>4317165.333333333</v>
      </c>
      <c r="C18" s="88" t="s">
        <v>107</v>
      </c>
      <c r="D18" s="89"/>
    </row>
    <row r="19" spans="1:8">
      <c r="A19" s="14" t="s">
        <v>109</v>
      </c>
      <c r="B19" s="91">
        <f>B14/12</f>
        <v>6.1809999999999999E-3</v>
      </c>
      <c r="C19" s="88" t="s">
        <v>106</v>
      </c>
      <c r="D19" s="53"/>
    </row>
    <row r="20" spans="1:8">
      <c r="A20" s="14" t="s">
        <v>114</v>
      </c>
      <c r="B20" s="7">
        <f>ROUND(((D14-C14)/30.5),0)</f>
        <v>36</v>
      </c>
      <c r="C20" s="88" t="s">
        <v>117</v>
      </c>
    </row>
    <row r="21" spans="1:8">
      <c r="A21" s="14" t="s">
        <v>110</v>
      </c>
      <c r="B21" s="7">
        <f>-PV(B19,B20,B18)</f>
        <v>138957669.66767281</v>
      </c>
      <c r="C21" s="88" t="s">
        <v>117</v>
      </c>
    </row>
    <row r="23" spans="1:8">
      <c r="A23" s="5" t="s">
        <v>210</v>
      </c>
      <c r="B23" s="79" t="s">
        <v>112</v>
      </c>
      <c r="C23" s="79" t="s">
        <v>55</v>
      </c>
      <c r="D23" s="79" t="s">
        <v>111</v>
      </c>
      <c r="E23" s="79" t="s">
        <v>113</v>
      </c>
      <c r="F23" s="79" t="s">
        <v>10</v>
      </c>
      <c r="G23" s="79" t="s">
        <v>11</v>
      </c>
      <c r="H23" s="79" t="s">
        <v>57</v>
      </c>
    </row>
    <row r="24" spans="1:8">
      <c r="A24" s="93">
        <v>45017</v>
      </c>
      <c r="B24" s="10">
        <f>$B$21</f>
        <v>138957669.66767281</v>
      </c>
      <c r="C24" s="8">
        <f t="shared" ref="C24:C29" si="1">$B$21/$B$20</f>
        <v>3859935.2685464672</v>
      </c>
      <c r="D24" s="10">
        <f t="shared" ref="D24:D29" si="2">B24-C24</f>
        <v>135097734.39912635</v>
      </c>
      <c r="E24" s="10">
        <f>$B$21</f>
        <v>138957669.66767281</v>
      </c>
      <c r="F24" s="10">
        <f t="shared" ref="F24:F29" si="3">E24*$B$19</f>
        <v>858897.35621588561</v>
      </c>
      <c r="G24" s="10">
        <f t="shared" ref="G24:G29" si="4">-$B$18</f>
        <v>-4317165.333333333</v>
      </c>
      <c r="H24" s="10">
        <f t="shared" ref="H24:H29" si="5">SUM(E24:G24)</f>
        <v>135499401.69055536</v>
      </c>
    </row>
    <row r="25" spans="1:8">
      <c r="A25" s="93">
        <v>45047</v>
      </c>
      <c r="B25" s="10">
        <f>D24</f>
        <v>135097734.39912635</v>
      </c>
      <c r="C25" s="8">
        <f t="shared" si="1"/>
        <v>3859935.2685464672</v>
      </c>
      <c r="D25" s="10">
        <f t="shared" si="2"/>
        <v>131237799.13057989</v>
      </c>
      <c r="E25" s="10">
        <f>H24</f>
        <v>135499401.69055536</v>
      </c>
      <c r="F25" s="10">
        <f t="shared" si="3"/>
        <v>837521.80184932274</v>
      </c>
      <c r="G25" s="10">
        <f t="shared" si="4"/>
        <v>-4317165.333333333</v>
      </c>
      <c r="H25" s="10">
        <f t="shared" si="5"/>
        <v>132019758.15907137</v>
      </c>
    </row>
    <row r="26" spans="1:8">
      <c r="A26" s="93">
        <v>45078</v>
      </c>
      <c r="B26" s="10">
        <f t="shared" ref="B26:B59" si="6">D25</f>
        <v>131237799.13057989</v>
      </c>
      <c r="C26" s="8">
        <f t="shared" si="1"/>
        <v>3859935.2685464672</v>
      </c>
      <c r="D26" s="10">
        <f t="shared" si="2"/>
        <v>127377863.86203343</v>
      </c>
      <c r="E26" s="10">
        <f t="shared" ref="E26:E59" si="7">H25</f>
        <v>132019758.15907137</v>
      </c>
      <c r="F26" s="10">
        <f t="shared" si="3"/>
        <v>816014.12518122012</v>
      </c>
      <c r="G26" s="10">
        <f t="shared" si="4"/>
        <v>-4317165.333333333</v>
      </c>
      <c r="H26" s="10">
        <f t="shared" si="5"/>
        <v>128518606.95091926</v>
      </c>
    </row>
    <row r="27" spans="1:8">
      <c r="A27" s="93">
        <v>45108</v>
      </c>
      <c r="B27" s="10">
        <f t="shared" si="6"/>
        <v>127377863.86203343</v>
      </c>
      <c r="C27" s="8">
        <f t="shared" si="1"/>
        <v>3859935.2685464672</v>
      </c>
      <c r="D27" s="10">
        <f t="shared" si="2"/>
        <v>123517928.59348696</v>
      </c>
      <c r="E27" s="10">
        <f t="shared" si="7"/>
        <v>128518606.95091926</v>
      </c>
      <c r="F27" s="10">
        <f t="shared" si="3"/>
        <v>794373.50956363184</v>
      </c>
      <c r="G27" s="10">
        <f t="shared" si="4"/>
        <v>-4317165.333333333</v>
      </c>
      <c r="H27" s="10">
        <f t="shared" si="5"/>
        <v>124995815.12714955</v>
      </c>
    </row>
    <row r="28" spans="1:8">
      <c r="A28" s="93">
        <v>45139</v>
      </c>
      <c r="B28" s="10">
        <f t="shared" si="6"/>
        <v>123517928.59348696</v>
      </c>
      <c r="C28" s="8">
        <f t="shared" si="1"/>
        <v>3859935.2685464672</v>
      </c>
      <c r="D28" s="10">
        <f t="shared" si="2"/>
        <v>119657993.3249405</v>
      </c>
      <c r="E28" s="10">
        <f t="shared" si="7"/>
        <v>124995815.12714955</v>
      </c>
      <c r="F28" s="10">
        <f t="shared" si="3"/>
        <v>772599.1333009114</v>
      </c>
      <c r="G28" s="10">
        <f t="shared" si="4"/>
        <v>-4317165.333333333</v>
      </c>
      <c r="H28" s="10">
        <f t="shared" si="5"/>
        <v>121451248.92711714</v>
      </c>
    </row>
    <row r="29" spans="1:8">
      <c r="A29" s="93">
        <v>45170</v>
      </c>
      <c r="B29" s="10">
        <f t="shared" si="6"/>
        <v>119657993.3249405</v>
      </c>
      <c r="C29" s="8">
        <f t="shared" si="1"/>
        <v>3859935.2685464672</v>
      </c>
      <c r="D29" s="10">
        <f t="shared" si="2"/>
        <v>115798058.05639404</v>
      </c>
      <c r="E29" s="10">
        <f t="shared" si="7"/>
        <v>121451248.92711714</v>
      </c>
      <c r="F29" s="10">
        <f t="shared" si="3"/>
        <v>750690.16961851099</v>
      </c>
      <c r="G29" s="10">
        <f t="shared" si="4"/>
        <v>-4317165.333333333</v>
      </c>
      <c r="H29" s="10">
        <f t="shared" si="5"/>
        <v>117884773.76340233</v>
      </c>
    </row>
    <row r="30" spans="1:8">
      <c r="A30" s="93">
        <v>45200</v>
      </c>
      <c r="B30" s="10">
        <f t="shared" si="6"/>
        <v>115798058.05639404</v>
      </c>
      <c r="C30" s="8">
        <f t="shared" ref="C30:C59" si="8">$B$21/$B$20</f>
        <v>3859935.2685464672</v>
      </c>
      <c r="D30" s="10">
        <f t="shared" ref="D30:D59" si="9">B30-C30</f>
        <v>111938122.78784758</v>
      </c>
      <c r="E30" s="10">
        <f t="shared" si="7"/>
        <v>117884773.76340233</v>
      </c>
      <c r="F30" s="10">
        <f t="shared" ref="F30:F59" si="10">E30*$B$19</f>
        <v>728645.78663158976</v>
      </c>
      <c r="G30" s="10">
        <f t="shared" ref="G30:G59" si="11">-$B$18</f>
        <v>-4317165.333333333</v>
      </c>
      <c r="H30" s="10">
        <f t="shared" ref="H30:H59" si="12">SUM(E30:G30)</f>
        <v>114296254.21670058</v>
      </c>
    </row>
    <row r="31" spans="1:8">
      <c r="A31" s="93">
        <v>45231</v>
      </c>
      <c r="B31" s="10">
        <f t="shared" si="6"/>
        <v>111938122.78784758</v>
      </c>
      <c r="C31" s="8">
        <f t="shared" si="8"/>
        <v>3859935.2685464672</v>
      </c>
      <c r="D31" s="10">
        <f t="shared" si="9"/>
        <v>108078187.51930112</v>
      </c>
      <c r="E31" s="10">
        <f t="shared" si="7"/>
        <v>114296254.21670058</v>
      </c>
      <c r="F31" s="10">
        <f t="shared" si="10"/>
        <v>706465.14731342625</v>
      </c>
      <c r="G31" s="10">
        <f t="shared" si="11"/>
        <v>-4317165.333333333</v>
      </c>
      <c r="H31" s="10">
        <f t="shared" si="12"/>
        <v>110685554.03068069</v>
      </c>
    </row>
    <row r="32" spans="1:8">
      <c r="A32" s="93">
        <v>45261</v>
      </c>
      <c r="B32" s="10">
        <f t="shared" si="6"/>
        <v>108078187.51930112</v>
      </c>
      <c r="C32" s="8">
        <f t="shared" si="8"/>
        <v>3859935.2685464672</v>
      </c>
      <c r="D32" s="10">
        <f t="shared" si="9"/>
        <v>104218252.25075465</v>
      </c>
      <c r="E32" s="10">
        <f t="shared" si="7"/>
        <v>110685554.03068069</v>
      </c>
      <c r="F32" s="10">
        <f t="shared" si="10"/>
        <v>684147.40946363728</v>
      </c>
      <c r="G32" s="10">
        <f t="shared" si="11"/>
        <v>-4317165.333333333</v>
      </c>
      <c r="H32" s="10">
        <f t="shared" si="12"/>
        <v>107052536.106811</v>
      </c>
    </row>
    <row r="33" spans="1:8">
      <c r="A33" s="93">
        <v>45292</v>
      </c>
      <c r="B33" s="10">
        <f t="shared" si="6"/>
        <v>104218252.25075465</v>
      </c>
      <c r="C33" s="8">
        <f t="shared" si="8"/>
        <v>3859935.2685464672</v>
      </c>
      <c r="D33" s="10">
        <f t="shared" si="9"/>
        <v>100358316.98220819</v>
      </c>
      <c r="E33" s="10">
        <f t="shared" si="7"/>
        <v>107052536.106811</v>
      </c>
      <c r="F33" s="10">
        <f t="shared" si="10"/>
        <v>661691.72567619884</v>
      </c>
      <c r="G33" s="10">
        <f t="shared" si="11"/>
        <v>-4317165.333333333</v>
      </c>
      <c r="H33" s="10">
        <f t="shared" si="12"/>
        <v>103397062.49915387</v>
      </c>
    </row>
    <row r="34" spans="1:8">
      <c r="A34" s="93">
        <v>45323</v>
      </c>
      <c r="B34" s="10">
        <f t="shared" si="6"/>
        <v>100358316.98220819</v>
      </c>
      <c r="C34" s="8">
        <f t="shared" si="8"/>
        <v>3859935.2685464672</v>
      </c>
      <c r="D34" s="10">
        <f t="shared" si="9"/>
        <v>96498381.71366173</v>
      </c>
      <c r="E34" s="10">
        <f t="shared" si="7"/>
        <v>103397062.49915387</v>
      </c>
      <c r="F34" s="10">
        <f t="shared" si="10"/>
        <v>639097.24330726999</v>
      </c>
      <c r="G34" s="10">
        <f t="shared" si="11"/>
        <v>-4317165.333333333</v>
      </c>
      <c r="H34" s="10">
        <f t="shared" si="12"/>
        <v>99718994.409127802</v>
      </c>
    </row>
    <row r="35" spans="1:8">
      <c r="A35" s="93">
        <v>45352</v>
      </c>
      <c r="B35" s="10">
        <f t="shared" si="6"/>
        <v>96498381.71366173</v>
      </c>
      <c r="C35" s="8">
        <f t="shared" si="8"/>
        <v>3859935.2685464672</v>
      </c>
      <c r="D35" s="10">
        <f t="shared" si="9"/>
        <v>92638446.445115268</v>
      </c>
      <c r="E35" s="10">
        <f t="shared" si="7"/>
        <v>99718994.409127802</v>
      </c>
      <c r="F35" s="10">
        <f t="shared" si="10"/>
        <v>616363.10444281891</v>
      </c>
      <c r="G35" s="10">
        <f t="shared" si="11"/>
        <v>-4317165.333333333</v>
      </c>
      <c r="H35" s="10">
        <f t="shared" si="12"/>
        <v>96018192.180237293</v>
      </c>
    </row>
    <row r="36" spans="1:8">
      <c r="A36" s="93">
        <v>45383</v>
      </c>
      <c r="B36" s="10">
        <f t="shared" si="6"/>
        <v>92638446.445115268</v>
      </c>
      <c r="C36" s="8">
        <f t="shared" si="8"/>
        <v>3859935.2685464672</v>
      </c>
      <c r="D36" s="10">
        <f t="shared" si="9"/>
        <v>88778511.176568806</v>
      </c>
      <c r="E36" s="10">
        <f t="shared" si="7"/>
        <v>96018192.180237293</v>
      </c>
      <c r="F36" s="10">
        <f t="shared" si="10"/>
        <v>593488.44586604671</v>
      </c>
      <c r="G36" s="10">
        <f t="shared" si="11"/>
        <v>-4317165.333333333</v>
      </c>
      <c r="H36" s="10">
        <f t="shared" si="12"/>
        <v>92294515.292770013</v>
      </c>
    </row>
    <row r="37" spans="1:8">
      <c r="A37" s="93">
        <v>45413</v>
      </c>
      <c r="B37" s="10">
        <f t="shared" si="6"/>
        <v>88778511.176568806</v>
      </c>
      <c r="C37" s="8">
        <f t="shared" si="8"/>
        <v>3859935.2685464672</v>
      </c>
      <c r="D37" s="10">
        <f t="shared" si="9"/>
        <v>84918575.908022344</v>
      </c>
      <c r="E37" s="10">
        <f t="shared" si="7"/>
        <v>92294515.292770013</v>
      </c>
      <c r="F37" s="10">
        <f t="shared" si="10"/>
        <v>570472.39902461146</v>
      </c>
      <c r="G37" s="10">
        <f t="shared" si="11"/>
        <v>-4317165.333333333</v>
      </c>
      <c r="H37" s="10">
        <f t="shared" si="12"/>
        <v>88547822.358461291</v>
      </c>
    </row>
    <row r="38" spans="1:8">
      <c r="A38" s="93">
        <v>45444</v>
      </c>
      <c r="B38" s="10">
        <f t="shared" si="6"/>
        <v>84918575.908022344</v>
      </c>
      <c r="C38" s="8">
        <f t="shared" si="8"/>
        <v>3859935.2685464672</v>
      </c>
      <c r="D38" s="10">
        <f t="shared" si="9"/>
        <v>81058640.639475882</v>
      </c>
      <c r="E38" s="10">
        <f t="shared" si="7"/>
        <v>88547822.358461291</v>
      </c>
      <c r="F38" s="10">
        <f t="shared" si="10"/>
        <v>547314.08999764919</v>
      </c>
      <c r="G38" s="10">
        <f t="shared" si="11"/>
        <v>-4317165.333333333</v>
      </c>
      <c r="H38" s="10">
        <f t="shared" si="12"/>
        <v>84777971.115125611</v>
      </c>
    </row>
    <row r="39" spans="1:8">
      <c r="A39" s="93">
        <v>45474</v>
      </c>
      <c r="B39" s="10">
        <f t="shared" si="6"/>
        <v>81058640.639475882</v>
      </c>
      <c r="C39" s="8">
        <f t="shared" si="8"/>
        <v>3859935.2685464672</v>
      </c>
      <c r="D39" s="10">
        <f t="shared" si="9"/>
        <v>77198705.37092942</v>
      </c>
      <c r="E39" s="10">
        <f t="shared" si="7"/>
        <v>84777971.115125611</v>
      </c>
      <c r="F39" s="10">
        <f t="shared" si="10"/>
        <v>524012.63946259138</v>
      </c>
      <c r="G39" s="10">
        <f t="shared" si="11"/>
        <v>-4317165.333333333</v>
      </c>
      <c r="H39" s="10">
        <f t="shared" si="12"/>
        <v>80984818.421254873</v>
      </c>
    </row>
    <row r="40" spans="1:8">
      <c r="A40" s="93">
        <v>45505</v>
      </c>
      <c r="B40" s="10">
        <f t="shared" si="6"/>
        <v>77198705.37092942</v>
      </c>
      <c r="C40" s="8">
        <f t="shared" si="8"/>
        <v>3859935.2685464672</v>
      </c>
      <c r="D40" s="10">
        <f t="shared" si="9"/>
        <v>73338770.102382958</v>
      </c>
      <c r="E40" s="10">
        <f t="shared" si="7"/>
        <v>80984818.421254873</v>
      </c>
      <c r="F40" s="10">
        <f t="shared" si="10"/>
        <v>500567.16266177635</v>
      </c>
      <c r="G40" s="10">
        <f t="shared" si="11"/>
        <v>-4317165.333333333</v>
      </c>
      <c r="H40" s="10">
        <f t="shared" si="12"/>
        <v>77168220.250583321</v>
      </c>
    </row>
    <row r="41" spans="1:8">
      <c r="A41" s="93">
        <v>45536</v>
      </c>
      <c r="B41" s="10">
        <f t="shared" si="6"/>
        <v>73338770.102382958</v>
      </c>
      <c r="C41" s="8">
        <f t="shared" si="8"/>
        <v>3859935.2685464672</v>
      </c>
      <c r="D41" s="10">
        <f t="shared" si="9"/>
        <v>69478834.833836496</v>
      </c>
      <c r="E41" s="10">
        <f t="shared" si="7"/>
        <v>77168220.250583321</v>
      </c>
      <c r="F41" s="10">
        <f t="shared" si="10"/>
        <v>476976.76936885552</v>
      </c>
      <c r="G41" s="10">
        <f t="shared" si="11"/>
        <v>-4317165.333333333</v>
      </c>
      <c r="H41" s="10">
        <f t="shared" si="12"/>
        <v>73328031.68661885</v>
      </c>
    </row>
    <row r="42" spans="1:8">
      <c r="A42" s="93">
        <v>45566</v>
      </c>
      <c r="B42" s="10">
        <f t="shared" si="6"/>
        <v>69478834.833836496</v>
      </c>
      <c r="C42" s="8">
        <f t="shared" si="8"/>
        <v>3859935.2685464672</v>
      </c>
      <c r="D42" s="10">
        <f t="shared" si="9"/>
        <v>65618899.565290026</v>
      </c>
      <c r="E42" s="10">
        <f t="shared" si="7"/>
        <v>73328031.68661885</v>
      </c>
      <c r="F42" s="10">
        <f t="shared" si="10"/>
        <v>453240.56385499111</v>
      </c>
      <c r="G42" s="10">
        <f t="shared" si="11"/>
        <v>-4317165.333333333</v>
      </c>
      <c r="H42" s="10">
        <f t="shared" si="12"/>
        <v>69464106.917140514</v>
      </c>
    </row>
    <row r="43" spans="1:8">
      <c r="A43" s="93">
        <v>45597</v>
      </c>
      <c r="B43" s="10">
        <f t="shared" si="6"/>
        <v>65618899.565290026</v>
      </c>
      <c r="C43" s="8">
        <f t="shared" si="8"/>
        <v>3859935.2685464672</v>
      </c>
      <c r="D43" s="10">
        <f t="shared" si="9"/>
        <v>61758964.296743557</v>
      </c>
      <c r="E43" s="10">
        <f t="shared" si="7"/>
        <v>69464106.917140514</v>
      </c>
      <c r="F43" s="10">
        <f t="shared" si="10"/>
        <v>429357.64485484548</v>
      </c>
      <c r="G43" s="10">
        <f t="shared" si="11"/>
        <v>-4317165.333333333</v>
      </c>
      <c r="H43" s="10">
        <f t="shared" si="12"/>
        <v>65576299.228662021</v>
      </c>
    </row>
    <row r="44" spans="1:8">
      <c r="A44" s="93">
        <v>45627</v>
      </c>
      <c r="B44" s="10">
        <f t="shared" si="6"/>
        <v>61758964.296743557</v>
      </c>
      <c r="C44" s="8">
        <f t="shared" si="8"/>
        <v>3859935.2685464672</v>
      </c>
      <c r="D44" s="10">
        <f t="shared" si="9"/>
        <v>57899029.028197087</v>
      </c>
      <c r="E44" s="10">
        <f t="shared" si="7"/>
        <v>65576299.228662021</v>
      </c>
      <c r="F44" s="10">
        <f t="shared" si="10"/>
        <v>405327.10553235997</v>
      </c>
      <c r="G44" s="10">
        <f t="shared" si="11"/>
        <v>-4317165.333333333</v>
      </c>
      <c r="H44" s="10">
        <f t="shared" si="12"/>
        <v>61664461.000861049</v>
      </c>
    </row>
    <row r="45" spans="1:8">
      <c r="A45" s="93">
        <v>45658</v>
      </c>
      <c r="B45" s="10">
        <f t="shared" si="6"/>
        <v>57899029.028197087</v>
      </c>
      <c r="C45" s="8">
        <f t="shared" si="8"/>
        <v>3859935.2685464672</v>
      </c>
      <c r="D45" s="10">
        <f t="shared" si="9"/>
        <v>54039093.759650618</v>
      </c>
      <c r="E45" s="10">
        <f t="shared" si="7"/>
        <v>61664461.000861049</v>
      </c>
      <c r="F45" s="10">
        <f t="shared" si="10"/>
        <v>381148.03344632214</v>
      </c>
      <c r="G45" s="10">
        <f t="shared" si="11"/>
        <v>-4317165.333333333</v>
      </c>
      <c r="H45" s="10">
        <f t="shared" si="12"/>
        <v>57728443.700974032</v>
      </c>
    </row>
    <row r="46" spans="1:8">
      <c r="A46" s="93">
        <v>45689</v>
      </c>
      <c r="B46" s="10">
        <f t="shared" si="6"/>
        <v>54039093.759650618</v>
      </c>
      <c r="C46" s="8">
        <f t="shared" si="8"/>
        <v>3859935.2685464672</v>
      </c>
      <c r="D46" s="10">
        <f t="shared" si="9"/>
        <v>50179158.491104148</v>
      </c>
      <c r="E46" s="10">
        <f t="shared" si="7"/>
        <v>57728443.700974032</v>
      </c>
      <c r="F46" s="10">
        <f t="shared" si="10"/>
        <v>356819.51051572047</v>
      </c>
      <c r="G46" s="10">
        <f t="shared" si="11"/>
        <v>-4317165.333333333</v>
      </c>
      <c r="H46" s="10">
        <f t="shared" si="12"/>
        <v>53768097.878156416</v>
      </c>
    </row>
    <row r="47" spans="1:8">
      <c r="A47" s="93">
        <v>45717</v>
      </c>
      <c r="B47" s="10">
        <f t="shared" si="6"/>
        <v>50179158.491104148</v>
      </c>
      <c r="C47" s="8">
        <f t="shared" si="8"/>
        <v>3859935.2685464672</v>
      </c>
      <c r="D47" s="10">
        <f t="shared" si="9"/>
        <v>46319223.222557679</v>
      </c>
      <c r="E47" s="10">
        <f t="shared" si="7"/>
        <v>53768097.878156416</v>
      </c>
      <c r="F47" s="10">
        <f t="shared" si="10"/>
        <v>332340.61298488482</v>
      </c>
      <c r="G47" s="10">
        <f t="shared" si="11"/>
        <v>-4317165.333333333</v>
      </c>
      <c r="H47" s="10">
        <f t="shared" si="12"/>
        <v>49783273.157807969</v>
      </c>
    </row>
    <row r="48" spans="1:8">
      <c r="A48" s="93">
        <v>45748</v>
      </c>
      <c r="B48" s="10">
        <f t="shared" si="6"/>
        <v>46319223.222557679</v>
      </c>
      <c r="C48" s="8">
        <f t="shared" si="8"/>
        <v>3859935.2685464672</v>
      </c>
      <c r="D48" s="10">
        <f t="shared" si="9"/>
        <v>42459287.954011209</v>
      </c>
      <c r="E48" s="10">
        <f t="shared" si="7"/>
        <v>49783273.157807969</v>
      </c>
      <c r="F48" s="10">
        <f t="shared" si="10"/>
        <v>307710.41138841107</v>
      </c>
      <c r="G48" s="10">
        <f t="shared" si="11"/>
        <v>-4317165.333333333</v>
      </c>
      <c r="H48" s="10">
        <f t="shared" si="12"/>
        <v>45773818.235863045</v>
      </c>
    </row>
    <row r="49" spans="1:8">
      <c r="A49" s="93">
        <v>45778</v>
      </c>
      <c r="B49" s="10">
        <f t="shared" si="6"/>
        <v>42459287.954011209</v>
      </c>
      <c r="C49" s="8">
        <f t="shared" si="8"/>
        <v>3859935.2685464672</v>
      </c>
      <c r="D49" s="10">
        <f t="shared" si="9"/>
        <v>38599352.68546474</v>
      </c>
      <c r="E49" s="10">
        <f t="shared" si="7"/>
        <v>45773818.235863045</v>
      </c>
      <c r="F49" s="10">
        <f t="shared" si="10"/>
        <v>282927.9705158695</v>
      </c>
      <c r="G49" s="10">
        <f t="shared" si="11"/>
        <v>-4317165.333333333</v>
      </c>
      <c r="H49" s="10">
        <f t="shared" si="12"/>
        <v>41739580.873045579</v>
      </c>
    </row>
    <row r="50" spans="1:8">
      <c r="A50" s="93">
        <v>45809</v>
      </c>
      <c r="B50" s="10">
        <f t="shared" si="6"/>
        <v>38599352.68546474</v>
      </c>
      <c r="C50" s="8">
        <f t="shared" si="8"/>
        <v>3859935.2685464672</v>
      </c>
      <c r="D50" s="10">
        <f t="shared" si="9"/>
        <v>34739417.41691827</v>
      </c>
      <c r="E50" s="10">
        <f t="shared" si="7"/>
        <v>41739580.873045579</v>
      </c>
      <c r="F50" s="10">
        <f t="shared" si="10"/>
        <v>257992.3493762947</v>
      </c>
      <c r="G50" s="10">
        <f t="shared" si="11"/>
        <v>-4317165.333333333</v>
      </c>
      <c r="H50" s="10">
        <f t="shared" si="12"/>
        <v>37680407.889088534</v>
      </c>
    </row>
    <row r="51" spans="1:8">
      <c r="A51" s="93">
        <v>45839</v>
      </c>
      <c r="B51" s="10">
        <f t="shared" si="6"/>
        <v>34739417.41691827</v>
      </c>
      <c r="C51" s="8">
        <f t="shared" si="8"/>
        <v>3859935.2685464672</v>
      </c>
      <c r="D51" s="10">
        <f t="shared" si="9"/>
        <v>30879482.148371805</v>
      </c>
      <c r="E51" s="10">
        <f t="shared" si="7"/>
        <v>37680407.889088534</v>
      </c>
      <c r="F51" s="10">
        <f t="shared" si="10"/>
        <v>232902.60116245621</v>
      </c>
      <c r="G51" s="10">
        <f t="shared" si="11"/>
        <v>-4317165.333333333</v>
      </c>
      <c r="H51" s="10">
        <f t="shared" si="12"/>
        <v>33596145.156917654</v>
      </c>
    </row>
    <row r="52" spans="1:8">
      <c r="A52" s="93">
        <v>45870</v>
      </c>
      <c r="B52" s="10">
        <f t="shared" si="6"/>
        <v>30879482.148371805</v>
      </c>
      <c r="C52" s="8">
        <f t="shared" si="8"/>
        <v>3859935.2685464672</v>
      </c>
      <c r="D52" s="10">
        <f t="shared" si="9"/>
        <v>27019546.879825339</v>
      </c>
      <c r="E52" s="10">
        <f t="shared" si="7"/>
        <v>33596145.156917654</v>
      </c>
      <c r="F52" s="10">
        <f t="shared" si="10"/>
        <v>207657.77321490803</v>
      </c>
      <c r="G52" s="10">
        <f t="shared" si="11"/>
        <v>-4317165.333333333</v>
      </c>
      <c r="H52" s="10">
        <f t="shared" si="12"/>
        <v>29486637.596799228</v>
      </c>
    </row>
    <row r="53" spans="1:8">
      <c r="A53" s="93">
        <v>45901</v>
      </c>
      <c r="B53" s="10">
        <f t="shared" si="6"/>
        <v>27019546.879825339</v>
      </c>
      <c r="C53" s="8">
        <f t="shared" si="8"/>
        <v>3859935.2685464672</v>
      </c>
      <c r="D53" s="10">
        <f t="shared" si="9"/>
        <v>23159611.611278873</v>
      </c>
      <c r="E53" s="10">
        <f t="shared" si="7"/>
        <v>29486637.596799228</v>
      </c>
      <c r="F53" s="10">
        <f t="shared" si="10"/>
        <v>182256.90698581602</v>
      </c>
      <c r="G53" s="10">
        <f t="shared" si="11"/>
        <v>-4317165.333333333</v>
      </c>
      <c r="H53" s="10">
        <f t="shared" si="12"/>
        <v>25351729.170451712</v>
      </c>
    </row>
    <row r="54" spans="1:8">
      <c r="A54" s="93">
        <v>45931</v>
      </c>
      <c r="B54" s="10">
        <f t="shared" si="6"/>
        <v>23159611.611278873</v>
      </c>
      <c r="C54" s="8">
        <f t="shared" si="8"/>
        <v>3859935.2685464672</v>
      </c>
      <c r="D54" s="10">
        <f t="shared" si="9"/>
        <v>19299676.342732407</v>
      </c>
      <c r="E54" s="10">
        <f t="shared" si="7"/>
        <v>25351729.170451712</v>
      </c>
      <c r="F54" s="10">
        <f t="shared" si="10"/>
        <v>156699.03800256204</v>
      </c>
      <c r="G54" s="10">
        <f t="shared" si="11"/>
        <v>-4317165.333333333</v>
      </c>
      <c r="H54" s="10">
        <f t="shared" si="12"/>
        <v>21191262.875120942</v>
      </c>
    </row>
    <row r="55" spans="1:8">
      <c r="A55" s="93">
        <v>45962</v>
      </c>
      <c r="B55" s="10">
        <f t="shared" si="6"/>
        <v>19299676.342732407</v>
      </c>
      <c r="C55" s="8">
        <f t="shared" si="8"/>
        <v>3859935.2685464672</v>
      </c>
      <c r="D55" s="10">
        <f t="shared" si="9"/>
        <v>15439741.07418594</v>
      </c>
      <c r="E55" s="10">
        <f t="shared" si="7"/>
        <v>21191262.875120942</v>
      </c>
      <c r="F55" s="10">
        <f t="shared" si="10"/>
        <v>130983.19583112253</v>
      </c>
      <c r="G55" s="10">
        <f t="shared" si="11"/>
        <v>-4317165.333333333</v>
      </c>
      <c r="H55" s="10">
        <f t="shared" si="12"/>
        <v>17005080.737618733</v>
      </c>
    </row>
    <row r="56" spans="1:8">
      <c r="A56" s="93">
        <v>45992</v>
      </c>
      <c r="B56" s="10">
        <f t="shared" si="6"/>
        <v>15439741.07418594</v>
      </c>
      <c r="C56" s="8">
        <f t="shared" si="8"/>
        <v>3859935.2685464672</v>
      </c>
      <c r="D56" s="10">
        <f t="shared" si="9"/>
        <v>11579805.805639472</v>
      </c>
      <c r="E56" s="10">
        <f t="shared" si="7"/>
        <v>17005080.737618733</v>
      </c>
      <c r="F56" s="10">
        <f t="shared" si="10"/>
        <v>105108.40403922139</v>
      </c>
      <c r="G56" s="10">
        <f t="shared" si="11"/>
        <v>-4317165.333333333</v>
      </c>
      <c r="H56" s="10">
        <f t="shared" si="12"/>
        <v>12793023.808324624</v>
      </c>
    </row>
    <row r="57" spans="1:8">
      <c r="A57" s="93">
        <v>46023</v>
      </c>
      <c r="B57" s="10">
        <f t="shared" si="6"/>
        <v>11579805.805639472</v>
      </c>
      <c r="C57" s="8">
        <f t="shared" si="8"/>
        <v>3859935.2685464672</v>
      </c>
      <c r="D57" s="10">
        <f t="shared" si="9"/>
        <v>7719870.5370930042</v>
      </c>
      <c r="E57" s="10">
        <f t="shared" si="7"/>
        <v>12793023.808324624</v>
      </c>
      <c r="F57" s="10">
        <f t="shared" si="10"/>
        <v>79073.680159254494</v>
      </c>
      <c r="G57" s="10">
        <f t="shared" si="11"/>
        <v>-4317165.333333333</v>
      </c>
      <c r="H57" s="10">
        <f t="shared" si="12"/>
        <v>8554932.1551505439</v>
      </c>
    </row>
    <row r="58" spans="1:8">
      <c r="A58" s="93">
        <v>46054</v>
      </c>
      <c r="B58" s="10">
        <f t="shared" si="6"/>
        <v>7719870.5370930042</v>
      </c>
      <c r="C58" s="8">
        <f t="shared" si="8"/>
        <v>3859935.2685464672</v>
      </c>
      <c r="D58" s="10">
        <f t="shared" si="9"/>
        <v>3859935.268546537</v>
      </c>
      <c r="E58" s="10">
        <f t="shared" si="7"/>
        <v>8554932.1551505439</v>
      </c>
      <c r="F58" s="10">
        <f t="shared" si="10"/>
        <v>52878.035650985512</v>
      </c>
      <c r="G58" s="10">
        <f t="shared" si="11"/>
        <v>-4317165.333333333</v>
      </c>
      <c r="H58" s="10">
        <f t="shared" si="12"/>
        <v>4290644.8574681962</v>
      </c>
    </row>
    <row r="59" spans="1:8">
      <c r="A59" s="93">
        <v>46082</v>
      </c>
      <c r="B59" s="10">
        <f t="shared" si="6"/>
        <v>3859935.268546537</v>
      </c>
      <c r="C59" s="8">
        <f t="shared" si="8"/>
        <v>3859935.2685464672</v>
      </c>
      <c r="D59" s="10">
        <f t="shared" si="9"/>
        <v>6.9849193096160889E-8</v>
      </c>
      <c r="E59" s="10">
        <f t="shared" si="7"/>
        <v>4290644.8574681962</v>
      </c>
      <c r="F59" s="10">
        <f t="shared" si="10"/>
        <v>26520.475864010921</v>
      </c>
      <c r="G59" s="10">
        <f t="shared" si="11"/>
        <v>-4317165.333333333</v>
      </c>
      <c r="H59" s="10">
        <f t="shared" si="12"/>
        <v>-1.1259689927101135E-6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1CF65-90C3-4282-8935-43AB5AF69FBA}">
  <dimension ref="A1:L59"/>
  <sheetViews>
    <sheetView showGridLines="0" zoomScale="89" workbookViewId="0">
      <selection activeCell="G35" sqref="G35"/>
    </sheetView>
  </sheetViews>
  <sheetFormatPr defaultColWidth="8.796875" defaultRowHeight="13.3"/>
  <cols>
    <col min="1" max="1" width="26.59765625" style="2" customWidth="1"/>
    <col min="2" max="2" width="16.796875" style="2" bestFit="1" customWidth="1"/>
    <col min="3" max="4" width="19" style="2" bestFit="1" customWidth="1"/>
    <col min="5" max="6" width="13.796875" style="2" bestFit="1" customWidth="1"/>
    <col min="7" max="7" width="14.796875" style="2" bestFit="1" customWidth="1"/>
    <col min="8" max="8" width="17.3984375" style="2" bestFit="1" customWidth="1"/>
    <col min="9" max="9" width="9.19921875" style="2" bestFit="1" customWidth="1"/>
    <col min="10" max="10" width="10.59765625" style="2" bestFit="1" customWidth="1"/>
    <col min="11" max="11" width="11.59765625" style="2" bestFit="1" customWidth="1"/>
    <col min="12" max="12" width="12.796875" style="2" bestFit="1" customWidth="1"/>
    <col min="13" max="16384" width="8.796875" style="2"/>
  </cols>
  <sheetData>
    <row r="1" spans="1:12">
      <c r="A1" s="14" t="e">
        <f>Summary!A1</f>
        <v>#REF!</v>
      </c>
    </row>
    <row r="2" spans="1:12">
      <c r="A2" s="14" t="e">
        <f>Summary!A2</f>
        <v>#REF!</v>
      </c>
    </row>
    <row r="3" spans="1:12">
      <c r="A3" s="14" t="e">
        <f>Summary!A3</f>
        <v>#REF!</v>
      </c>
    </row>
    <row r="6" spans="1:12">
      <c r="A6" s="14" t="s">
        <v>21</v>
      </c>
    </row>
    <row r="7" spans="1:12">
      <c r="A7" s="182" t="s">
        <v>59</v>
      </c>
    </row>
    <row r="10" spans="1:12">
      <c r="A10" s="14" t="s">
        <v>78</v>
      </c>
    </row>
    <row r="11" spans="1:12">
      <c r="B11" s="88" t="s">
        <v>106</v>
      </c>
      <c r="C11" s="88" t="s">
        <v>107</v>
      </c>
      <c r="D11" s="88" t="s">
        <v>107</v>
      </c>
      <c r="E11" s="88" t="s">
        <v>106</v>
      </c>
      <c r="F11" s="88" t="s">
        <v>106</v>
      </c>
      <c r="G11" s="88" t="s">
        <v>106</v>
      </c>
      <c r="H11" s="88" t="s">
        <v>106</v>
      </c>
      <c r="I11" s="88" t="s">
        <v>106</v>
      </c>
      <c r="J11" s="88" t="s">
        <v>106</v>
      </c>
    </row>
    <row r="12" spans="1:12" ht="43.1" customHeight="1">
      <c r="A12" s="5" t="s">
        <v>24</v>
      </c>
      <c r="B12" s="6" t="s">
        <v>67</v>
      </c>
      <c r="C12" s="72" t="s">
        <v>68</v>
      </c>
      <c r="D12" s="72" t="s">
        <v>69</v>
      </c>
      <c r="E12" s="4" t="s">
        <v>201</v>
      </c>
      <c r="F12" s="4" t="s">
        <v>203</v>
      </c>
      <c r="G12" s="4" t="s">
        <v>116</v>
      </c>
      <c r="H12" s="4" t="s">
        <v>10</v>
      </c>
      <c r="I12" s="4" t="s">
        <v>11</v>
      </c>
      <c r="J12" s="4" t="s">
        <v>71</v>
      </c>
      <c r="K12" s="4" t="s">
        <v>48</v>
      </c>
      <c r="L12" s="4" t="s">
        <v>47</v>
      </c>
    </row>
    <row r="13" spans="1:12">
      <c r="A13" s="74" t="s">
        <v>105</v>
      </c>
      <c r="B13" s="92">
        <v>8.0051650000000002E-2</v>
      </c>
      <c r="C13" s="85">
        <v>45200</v>
      </c>
      <c r="D13" s="85">
        <v>46295</v>
      </c>
      <c r="E13" s="73">
        <v>0</v>
      </c>
      <c r="F13" s="73">
        <v>7256635.0799999991</v>
      </c>
      <c r="G13" s="77">
        <f>'Details 25-26'!M118</f>
        <v>3628317.6900000004</v>
      </c>
      <c r="H13" s="73">
        <v>542896.30999999994</v>
      </c>
      <c r="I13" s="73">
        <v>8078872.2800000003</v>
      </c>
      <c r="J13" s="77">
        <f>'Details 25-26'!S118</f>
        <v>3999549.0699999994</v>
      </c>
      <c r="K13" s="8">
        <v>3999549.0699999994</v>
      </c>
      <c r="L13" s="8">
        <v>0</v>
      </c>
    </row>
    <row r="14" spans="1:12">
      <c r="A14" s="74" t="s">
        <v>104</v>
      </c>
      <c r="B14" s="226">
        <f>'G-Sec 29 Sept'!E26/100</f>
        <v>7.3143E-2</v>
      </c>
      <c r="C14" s="85">
        <v>45200</v>
      </c>
      <c r="D14" s="85">
        <v>46295</v>
      </c>
      <c r="E14" s="73">
        <v>0</v>
      </c>
      <c r="F14" s="73">
        <f>SUM(C42:C53)</f>
        <v>7234231.6347154677</v>
      </c>
      <c r="G14" s="77">
        <f>D53</f>
        <v>3617115.8173577338</v>
      </c>
      <c r="H14" s="73">
        <f>SUM(F42:F53)</f>
        <v>589290.62228814035</v>
      </c>
      <c r="I14" s="73">
        <f>-SUM(G42:G53)</f>
        <v>8078872.2799999984</v>
      </c>
      <c r="J14" s="77">
        <f>H53</f>
        <v>3954643.0414801398</v>
      </c>
      <c r="K14" s="8">
        <f>H53-H59</f>
        <v>3954643.0414799945</v>
      </c>
      <c r="L14" s="8">
        <f>J14-K14</f>
        <v>1.4528632164001465E-7</v>
      </c>
    </row>
    <row r="15" spans="1:12">
      <c r="A15" s="86" t="s">
        <v>32</v>
      </c>
      <c r="B15" s="92">
        <f>B13-B14</f>
        <v>6.9086500000000023E-3</v>
      </c>
      <c r="C15" s="87">
        <f t="shared" ref="C15:L15" si="0">C13-C14</f>
        <v>0</v>
      </c>
      <c r="D15" s="87">
        <f t="shared" si="0"/>
        <v>0</v>
      </c>
      <c r="E15" s="8">
        <f t="shared" si="0"/>
        <v>0</v>
      </c>
      <c r="F15" s="8">
        <f t="shared" si="0"/>
        <v>22403.445284531452</v>
      </c>
      <c r="G15" s="8">
        <f t="shared" si="0"/>
        <v>11201.872642266564</v>
      </c>
      <c r="H15" s="8">
        <f t="shared" si="0"/>
        <v>-46394.312288140412</v>
      </c>
      <c r="I15" s="8">
        <f t="shared" si="0"/>
        <v>0</v>
      </c>
      <c r="J15" s="8">
        <f t="shared" si="0"/>
        <v>44906.028519859537</v>
      </c>
      <c r="K15" s="8">
        <f>K13-K14</f>
        <v>44906.028520004824</v>
      </c>
      <c r="L15" s="8">
        <f t="shared" si="0"/>
        <v>-1.4528632164001465E-7</v>
      </c>
    </row>
    <row r="16" spans="1:12">
      <c r="A16" s="218" t="s">
        <v>211</v>
      </c>
      <c r="B16" s="219"/>
      <c r="C16" s="220"/>
      <c r="D16" s="220"/>
      <c r="E16" s="221"/>
      <c r="F16" s="221"/>
      <c r="G16" s="221"/>
      <c r="H16" s="221"/>
      <c r="I16" s="221"/>
      <c r="J16" s="221"/>
      <c r="K16" s="221"/>
      <c r="L16" s="221"/>
    </row>
    <row r="17" spans="1:10">
      <c r="B17" s="90"/>
      <c r="C17" s="53"/>
      <c r="J17" s="222"/>
    </row>
    <row r="18" spans="1:10">
      <c r="A18" s="14" t="s">
        <v>115</v>
      </c>
      <c r="B18" s="7">
        <f>2019718.07/3</f>
        <v>673239.35666666669</v>
      </c>
      <c r="C18" s="88" t="s">
        <v>107</v>
      </c>
    </row>
    <row r="19" spans="1:10">
      <c r="A19" s="14" t="s">
        <v>109</v>
      </c>
      <c r="B19" s="91">
        <f>B14/12</f>
        <v>6.09525E-3</v>
      </c>
      <c r="C19" s="88" t="s">
        <v>106</v>
      </c>
    </row>
    <row r="20" spans="1:10">
      <c r="A20" s="14" t="s">
        <v>114</v>
      </c>
      <c r="B20" s="89">
        <f>ROUND(((D14-C14)/30.5),0)</f>
        <v>36</v>
      </c>
      <c r="C20" s="88" t="s">
        <v>117</v>
      </c>
      <c r="D20" s="53"/>
      <c r="E20" s="53"/>
      <c r="G20" s="53"/>
    </row>
    <row r="21" spans="1:10">
      <c r="A21" s="14" t="s">
        <v>110</v>
      </c>
      <c r="B21" s="7">
        <f>-PV(B19,B20,B18,)</f>
        <v>21702694.904146403</v>
      </c>
      <c r="C21" s="88" t="s">
        <v>117</v>
      </c>
      <c r="E21" s="53"/>
    </row>
    <row r="22" spans="1:10">
      <c r="B22" s="89"/>
      <c r="E22" s="53"/>
    </row>
    <row r="23" spans="1:10" s="84" customFormat="1">
      <c r="A23" s="5" t="s">
        <v>210</v>
      </c>
      <c r="B23" s="79" t="s">
        <v>112</v>
      </c>
      <c r="C23" s="79" t="s">
        <v>55</v>
      </c>
      <c r="D23" s="79" t="s">
        <v>111</v>
      </c>
      <c r="E23" s="79" t="s">
        <v>113</v>
      </c>
      <c r="F23" s="79" t="s">
        <v>10</v>
      </c>
      <c r="G23" s="79" t="s">
        <v>11</v>
      </c>
      <c r="H23" s="79" t="s">
        <v>57</v>
      </c>
      <c r="I23" s="2"/>
      <c r="J23" s="2"/>
    </row>
    <row r="24" spans="1:10">
      <c r="A24" s="93">
        <v>45200</v>
      </c>
      <c r="B24" s="10">
        <f>B21</f>
        <v>21702694.904146403</v>
      </c>
      <c r="C24" s="8">
        <f>$B$21/36</f>
        <v>602852.63622628897</v>
      </c>
      <c r="D24" s="10">
        <f>B24-C24</f>
        <v>21099842.267920114</v>
      </c>
      <c r="E24" s="10">
        <f>B21</f>
        <v>21702694.904146403</v>
      </c>
      <c r="F24" s="10">
        <f>E24*$B$19</f>
        <v>132283.35111449836</v>
      </c>
      <c r="G24" s="10">
        <f>-$B$18</f>
        <v>-673239.35666666669</v>
      </c>
      <c r="H24" s="10">
        <f>SUM(E24:G24)</f>
        <v>21161738.898594234</v>
      </c>
    </row>
    <row r="25" spans="1:10">
      <c r="A25" s="93">
        <v>45231</v>
      </c>
      <c r="B25" s="10">
        <f>D24</f>
        <v>21099842.267920114</v>
      </c>
      <c r="C25" s="8">
        <f t="shared" ref="C25:C59" si="1">$B$21/36</f>
        <v>602852.63622628897</v>
      </c>
      <c r="D25" s="10">
        <f t="shared" ref="D25:D59" si="2">B25-C25</f>
        <v>20496989.631693825</v>
      </c>
      <c r="E25" s="10">
        <f>H24</f>
        <v>21161738.898594234</v>
      </c>
      <c r="F25" s="10">
        <f t="shared" ref="F25:F59" si="3">E25*$B$19</f>
        <v>128986.0890216565</v>
      </c>
      <c r="G25" s="10">
        <f t="shared" ref="G25:G59" si="4">-$B$18</f>
        <v>-673239.35666666669</v>
      </c>
      <c r="H25" s="10">
        <f t="shared" ref="H25:H59" si="5">SUM(E25:G25)</f>
        <v>20617485.630949225</v>
      </c>
    </row>
    <row r="26" spans="1:10">
      <c r="A26" s="93">
        <v>45261</v>
      </c>
      <c r="B26" s="10">
        <f t="shared" ref="B26:B59" si="6">D25</f>
        <v>20496989.631693825</v>
      </c>
      <c r="C26" s="8">
        <f t="shared" si="1"/>
        <v>602852.63622628897</v>
      </c>
      <c r="D26" s="10">
        <f t="shared" si="2"/>
        <v>19894136.995467536</v>
      </c>
      <c r="E26" s="10">
        <f t="shared" ref="E26:E59" si="7">H25</f>
        <v>20617485.630949225</v>
      </c>
      <c r="F26" s="10">
        <f t="shared" si="3"/>
        <v>125668.72929204327</v>
      </c>
      <c r="G26" s="10">
        <f t="shared" si="4"/>
        <v>-673239.35666666669</v>
      </c>
      <c r="H26" s="10">
        <f t="shared" si="5"/>
        <v>20069915.003574602</v>
      </c>
    </row>
    <row r="27" spans="1:10">
      <c r="A27" s="93">
        <v>45292</v>
      </c>
      <c r="B27" s="10">
        <f t="shared" si="6"/>
        <v>19894136.995467536</v>
      </c>
      <c r="C27" s="8">
        <f t="shared" si="1"/>
        <v>602852.63622628897</v>
      </c>
      <c r="D27" s="10">
        <f t="shared" si="2"/>
        <v>19291284.359241247</v>
      </c>
      <c r="E27" s="10">
        <f t="shared" si="7"/>
        <v>20069915.003574602</v>
      </c>
      <c r="F27" s="10">
        <f t="shared" si="3"/>
        <v>122331.1494255381</v>
      </c>
      <c r="G27" s="10">
        <f t="shared" si="4"/>
        <v>-673239.35666666669</v>
      </c>
      <c r="H27" s="10">
        <f t="shared" si="5"/>
        <v>19519006.796333473</v>
      </c>
    </row>
    <row r="28" spans="1:10">
      <c r="A28" s="93">
        <v>45323</v>
      </c>
      <c r="B28" s="10">
        <f t="shared" si="6"/>
        <v>19291284.359241247</v>
      </c>
      <c r="C28" s="8">
        <f t="shared" si="1"/>
        <v>602852.63622628897</v>
      </c>
      <c r="D28" s="10">
        <f t="shared" si="2"/>
        <v>18688431.723014958</v>
      </c>
      <c r="E28" s="10">
        <f t="shared" si="7"/>
        <v>19519006.796333473</v>
      </c>
      <c r="F28" s="10">
        <f t="shared" si="3"/>
        <v>118973.22617535161</v>
      </c>
      <c r="G28" s="10">
        <f t="shared" si="4"/>
        <v>-673239.35666666669</v>
      </c>
      <c r="H28" s="10">
        <f t="shared" si="5"/>
        <v>18964740.665842161</v>
      </c>
    </row>
    <row r="29" spans="1:10">
      <c r="A29" s="93">
        <v>45352</v>
      </c>
      <c r="B29" s="10">
        <f t="shared" si="6"/>
        <v>18688431.723014958</v>
      </c>
      <c r="C29" s="8">
        <f t="shared" si="1"/>
        <v>602852.63622628897</v>
      </c>
      <c r="D29" s="10">
        <f t="shared" si="2"/>
        <v>18085579.086788669</v>
      </c>
      <c r="E29" s="10">
        <f t="shared" si="7"/>
        <v>18964740.665842161</v>
      </c>
      <c r="F29" s="10">
        <f t="shared" si="3"/>
        <v>115594.83554347443</v>
      </c>
      <c r="G29" s="10">
        <f t="shared" si="4"/>
        <v>-673239.35666666669</v>
      </c>
      <c r="H29" s="10">
        <f t="shared" si="5"/>
        <v>18407096.144718971</v>
      </c>
    </row>
    <row r="30" spans="1:10">
      <c r="A30" s="93">
        <v>45383</v>
      </c>
      <c r="B30" s="10">
        <f t="shared" si="6"/>
        <v>18085579.086788669</v>
      </c>
      <c r="C30" s="8">
        <f t="shared" si="1"/>
        <v>602852.63622628897</v>
      </c>
      <c r="D30" s="10">
        <f t="shared" si="2"/>
        <v>17482726.45056238</v>
      </c>
      <c r="E30" s="10">
        <f t="shared" si="7"/>
        <v>18407096.144718971</v>
      </c>
      <c r="F30" s="10">
        <f t="shared" si="3"/>
        <v>112195.85277609831</v>
      </c>
      <c r="G30" s="10">
        <f t="shared" si="4"/>
        <v>-673239.35666666669</v>
      </c>
      <c r="H30" s="10">
        <f t="shared" si="5"/>
        <v>17846052.640828405</v>
      </c>
    </row>
    <row r="31" spans="1:10">
      <c r="A31" s="93">
        <v>45413</v>
      </c>
      <c r="B31" s="10">
        <f t="shared" si="6"/>
        <v>17482726.45056238</v>
      </c>
      <c r="C31" s="8">
        <f t="shared" si="1"/>
        <v>602852.63622628897</v>
      </c>
      <c r="D31" s="10">
        <f t="shared" si="2"/>
        <v>16879873.814336091</v>
      </c>
      <c r="E31" s="10">
        <f t="shared" si="7"/>
        <v>17846052.640828405</v>
      </c>
      <c r="F31" s="10">
        <f t="shared" si="3"/>
        <v>108776.15235900933</v>
      </c>
      <c r="G31" s="10">
        <f t="shared" si="4"/>
        <v>-673239.35666666669</v>
      </c>
      <c r="H31" s="10">
        <f t="shared" si="5"/>
        <v>17281589.436520748</v>
      </c>
    </row>
    <row r="32" spans="1:10">
      <c r="A32" s="93">
        <v>45444</v>
      </c>
      <c r="B32" s="10">
        <f t="shared" si="6"/>
        <v>16879873.814336091</v>
      </c>
      <c r="C32" s="8">
        <f t="shared" si="1"/>
        <v>602852.63622628897</v>
      </c>
      <c r="D32" s="10">
        <f t="shared" si="2"/>
        <v>16277021.178109802</v>
      </c>
      <c r="E32" s="10">
        <f t="shared" si="7"/>
        <v>17281589.436520748</v>
      </c>
      <c r="F32" s="10">
        <f t="shared" si="3"/>
        <v>105335.60801295309</v>
      </c>
      <c r="G32" s="10">
        <f t="shared" si="4"/>
        <v>-673239.35666666669</v>
      </c>
      <c r="H32" s="10">
        <f t="shared" si="5"/>
        <v>16713685.687867032</v>
      </c>
    </row>
    <row r="33" spans="1:8">
      <c r="A33" s="93">
        <v>45474</v>
      </c>
      <c r="B33" s="10">
        <f t="shared" si="6"/>
        <v>16277021.178109802</v>
      </c>
      <c r="C33" s="8">
        <f t="shared" si="1"/>
        <v>602852.63622628897</v>
      </c>
      <c r="D33" s="10">
        <f t="shared" si="2"/>
        <v>15674168.541883513</v>
      </c>
      <c r="E33" s="10">
        <f t="shared" si="7"/>
        <v>16713685.687867032</v>
      </c>
      <c r="F33" s="10">
        <f t="shared" si="3"/>
        <v>101874.09268897153</v>
      </c>
      <c r="G33" s="10">
        <f t="shared" si="4"/>
        <v>-673239.35666666669</v>
      </c>
      <c r="H33" s="10">
        <f t="shared" si="5"/>
        <v>16142320.423889337</v>
      </c>
    </row>
    <row r="34" spans="1:8">
      <c r="A34" s="93">
        <v>45505</v>
      </c>
      <c r="B34" s="10">
        <f t="shared" si="6"/>
        <v>15674168.541883513</v>
      </c>
      <c r="C34" s="8">
        <f t="shared" si="1"/>
        <v>602852.63622628897</v>
      </c>
      <c r="D34" s="10">
        <f t="shared" si="2"/>
        <v>15071315.905657224</v>
      </c>
      <c r="E34" s="10">
        <f t="shared" si="7"/>
        <v>16142320.423889337</v>
      </c>
      <c r="F34" s="10">
        <f t="shared" si="3"/>
        <v>98391.478563711484</v>
      </c>
      <c r="G34" s="10">
        <f t="shared" si="4"/>
        <v>-673239.35666666669</v>
      </c>
      <c r="H34" s="10">
        <f t="shared" si="5"/>
        <v>15567472.545786381</v>
      </c>
    </row>
    <row r="35" spans="1:8">
      <c r="A35" s="93">
        <v>45536</v>
      </c>
      <c r="B35" s="10">
        <f t="shared" si="6"/>
        <v>15071315.905657224</v>
      </c>
      <c r="C35" s="8">
        <f t="shared" si="1"/>
        <v>602852.63622628897</v>
      </c>
      <c r="D35" s="10">
        <f t="shared" si="2"/>
        <v>14468463.269430935</v>
      </c>
      <c r="E35" s="10">
        <f t="shared" si="7"/>
        <v>15567472.545786381</v>
      </c>
      <c r="F35" s="10">
        <f t="shared" si="3"/>
        <v>94887.637034704443</v>
      </c>
      <c r="G35" s="10">
        <f t="shared" si="4"/>
        <v>-673239.35666666669</v>
      </c>
      <c r="H35" s="10">
        <f t="shared" si="5"/>
        <v>14989120.826154418</v>
      </c>
    </row>
    <row r="36" spans="1:8">
      <c r="A36" s="93">
        <v>45566</v>
      </c>
      <c r="B36" s="10">
        <f t="shared" si="6"/>
        <v>14468463.269430935</v>
      </c>
      <c r="C36" s="8">
        <f t="shared" si="1"/>
        <v>602852.63622628897</v>
      </c>
      <c r="D36" s="10">
        <f t="shared" si="2"/>
        <v>13865610.633204646</v>
      </c>
      <c r="E36" s="10">
        <f t="shared" si="7"/>
        <v>14989120.826154418</v>
      </c>
      <c r="F36" s="10">
        <f t="shared" si="3"/>
        <v>91362.438715617711</v>
      </c>
      <c r="G36" s="10">
        <f t="shared" si="4"/>
        <v>-673239.35666666669</v>
      </c>
      <c r="H36" s="10">
        <f t="shared" si="5"/>
        <v>14407243.908203369</v>
      </c>
    </row>
    <row r="37" spans="1:8">
      <c r="A37" s="93">
        <v>45597</v>
      </c>
      <c r="B37" s="10">
        <f t="shared" si="6"/>
        <v>13865610.633204646</v>
      </c>
      <c r="C37" s="8">
        <f t="shared" si="1"/>
        <v>602852.63622628897</v>
      </c>
      <c r="D37" s="10">
        <f t="shared" si="2"/>
        <v>13262757.996978357</v>
      </c>
      <c r="E37" s="10">
        <f t="shared" si="7"/>
        <v>14407243.908203369</v>
      </c>
      <c r="F37" s="10">
        <f t="shared" si="3"/>
        <v>87815.75343147658</v>
      </c>
      <c r="G37" s="10">
        <f t="shared" si="4"/>
        <v>-673239.35666666669</v>
      </c>
      <c r="H37" s="10">
        <f t="shared" si="5"/>
        <v>13821820.304968178</v>
      </c>
    </row>
    <row r="38" spans="1:8">
      <c r="A38" s="93">
        <v>45627</v>
      </c>
      <c r="B38" s="10">
        <f t="shared" si="6"/>
        <v>13262757.996978357</v>
      </c>
      <c r="C38" s="8">
        <f t="shared" si="1"/>
        <v>602852.63622628897</v>
      </c>
      <c r="D38" s="10">
        <f t="shared" si="2"/>
        <v>12659905.360752068</v>
      </c>
      <c r="E38" s="10">
        <f t="shared" si="7"/>
        <v>13821820.304968178</v>
      </c>
      <c r="F38" s="10">
        <f t="shared" si="3"/>
        <v>84247.450213857286</v>
      </c>
      <c r="G38" s="10">
        <f t="shared" si="4"/>
        <v>-673239.35666666669</v>
      </c>
      <c r="H38" s="10">
        <f t="shared" si="5"/>
        <v>13232828.398515368</v>
      </c>
    </row>
    <row r="39" spans="1:8">
      <c r="A39" s="93">
        <v>45658</v>
      </c>
      <c r="B39" s="10">
        <f t="shared" si="6"/>
        <v>12659905.360752068</v>
      </c>
      <c r="C39" s="8">
        <f t="shared" si="1"/>
        <v>602852.63622628897</v>
      </c>
      <c r="D39" s="10">
        <f t="shared" si="2"/>
        <v>12057052.724525779</v>
      </c>
      <c r="E39" s="10">
        <f t="shared" si="7"/>
        <v>13232828.398515368</v>
      </c>
      <c r="F39" s="10">
        <f t="shared" si="3"/>
        <v>80657.397296050796</v>
      </c>
      <c r="G39" s="10">
        <f t="shared" si="4"/>
        <v>-673239.35666666669</v>
      </c>
      <c r="H39" s="10">
        <f t="shared" si="5"/>
        <v>12640246.439144751</v>
      </c>
    </row>
    <row r="40" spans="1:8">
      <c r="A40" s="93">
        <v>45689</v>
      </c>
      <c r="B40" s="10">
        <f t="shared" si="6"/>
        <v>12057052.724525779</v>
      </c>
      <c r="C40" s="8">
        <f t="shared" si="1"/>
        <v>602852.63622628897</v>
      </c>
      <c r="D40" s="10">
        <f t="shared" si="2"/>
        <v>11454200.088299491</v>
      </c>
      <c r="E40" s="10">
        <f t="shared" si="7"/>
        <v>12640246.439144751</v>
      </c>
      <c r="F40" s="10">
        <f t="shared" si="3"/>
        <v>77045.46210819704</v>
      </c>
      <c r="G40" s="10">
        <f t="shared" si="4"/>
        <v>-673239.35666666669</v>
      </c>
      <c r="H40" s="10">
        <f t="shared" si="5"/>
        <v>12044052.54458628</v>
      </c>
    </row>
    <row r="41" spans="1:8">
      <c r="A41" s="93">
        <v>45717</v>
      </c>
      <c r="B41" s="10">
        <f t="shared" si="6"/>
        <v>11454200.088299491</v>
      </c>
      <c r="C41" s="8">
        <f t="shared" si="1"/>
        <v>602852.63622628897</v>
      </c>
      <c r="D41" s="10">
        <f t="shared" si="2"/>
        <v>10851347.452073202</v>
      </c>
      <c r="E41" s="10">
        <f t="shared" si="7"/>
        <v>12044052.54458628</v>
      </c>
      <c r="F41" s="10">
        <f t="shared" si="3"/>
        <v>73411.511272389529</v>
      </c>
      <c r="G41" s="10">
        <f t="shared" si="4"/>
        <v>-673239.35666666669</v>
      </c>
      <c r="H41" s="10">
        <f t="shared" si="5"/>
        <v>11444224.699192002</v>
      </c>
    </row>
    <row r="42" spans="1:8">
      <c r="A42" s="93">
        <v>45748</v>
      </c>
      <c r="B42" s="10">
        <f t="shared" si="6"/>
        <v>10851347.452073202</v>
      </c>
      <c r="C42" s="8">
        <f t="shared" si="1"/>
        <v>602852.63622628897</v>
      </c>
      <c r="D42" s="10">
        <f t="shared" si="2"/>
        <v>10248494.815846913</v>
      </c>
      <c r="E42" s="10">
        <f t="shared" si="7"/>
        <v>11444224.699192002</v>
      </c>
      <c r="F42" s="10">
        <f t="shared" si="3"/>
        <v>69755.410597750059</v>
      </c>
      <c r="G42" s="10">
        <f t="shared" si="4"/>
        <v>-673239.35666666669</v>
      </c>
      <c r="H42" s="10">
        <f t="shared" si="5"/>
        <v>10840740.753123086</v>
      </c>
    </row>
    <row r="43" spans="1:8">
      <c r="A43" s="93">
        <v>45778</v>
      </c>
      <c r="B43" s="10">
        <f t="shared" si="6"/>
        <v>10248494.815846913</v>
      </c>
      <c r="C43" s="8">
        <f t="shared" si="1"/>
        <v>602852.63622628897</v>
      </c>
      <c r="D43" s="10">
        <f t="shared" si="2"/>
        <v>9645642.1796206236</v>
      </c>
      <c r="E43" s="10">
        <f t="shared" si="7"/>
        <v>10840740.753123086</v>
      </c>
      <c r="F43" s="10">
        <f t="shared" si="3"/>
        <v>66077.025075473488</v>
      </c>
      <c r="G43" s="10">
        <f t="shared" si="4"/>
        <v>-673239.35666666669</v>
      </c>
      <c r="H43" s="10">
        <f t="shared" si="5"/>
        <v>10233578.421531891</v>
      </c>
    </row>
    <row r="44" spans="1:8">
      <c r="A44" s="93">
        <v>45809</v>
      </c>
      <c r="B44" s="10">
        <f t="shared" si="6"/>
        <v>9645642.1796206236</v>
      </c>
      <c r="C44" s="8">
        <f t="shared" si="1"/>
        <v>602852.63622628897</v>
      </c>
      <c r="D44" s="10">
        <f t="shared" si="2"/>
        <v>9042789.5433943346</v>
      </c>
      <c r="E44" s="10">
        <f t="shared" si="7"/>
        <v>10233578.421531891</v>
      </c>
      <c r="F44" s="10">
        <f t="shared" si="3"/>
        <v>62376.218873842263</v>
      </c>
      <c r="G44" s="10">
        <f t="shared" si="4"/>
        <v>-673239.35666666669</v>
      </c>
      <c r="H44" s="10">
        <f t="shared" si="5"/>
        <v>9622715.2837390658</v>
      </c>
    </row>
    <row r="45" spans="1:8">
      <c r="A45" s="93">
        <v>45839</v>
      </c>
      <c r="B45" s="10">
        <f t="shared" si="6"/>
        <v>9042789.5433943346</v>
      </c>
      <c r="C45" s="8">
        <f t="shared" si="1"/>
        <v>602852.63622628897</v>
      </c>
      <c r="D45" s="10">
        <f t="shared" si="2"/>
        <v>8439936.9071680456</v>
      </c>
      <c r="E45" s="10">
        <f t="shared" si="7"/>
        <v>9622715.2837390658</v>
      </c>
      <c r="F45" s="10">
        <f t="shared" si="3"/>
        <v>58652.855333210537</v>
      </c>
      <c r="G45" s="10">
        <f t="shared" si="4"/>
        <v>-673239.35666666669</v>
      </c>
      <c r="H45" s="10">
        <f t="shared" si="5"/>
        <v>9008128.7824056093</v>
      </c>
    </row>
    <row r="46" spans="1:8">
      <c r="A46" s="93">
        <v>45870</v>
      </c>
      <c r="B46" s="10">
        <f t="shared" si="6"/>
        <v>8439936.9071680456</v>
      </c>
      <c r="C46" s="8">
        <f t="shared" si="1"/>
        <v>602852.63622628897</v>
      </c>
      <c r="D46" s="10">
        <f t="shared" si="2"/>
        <v>7837084.2709417567</v>
      </c>
      <c r="E46" s="10">
        <f t="shared" si="7"/>
        <v>9008128.7824056093</v>
      </c>
      <c r="F46" s="10">
        <f t="shared" si="3"/>
        <v>54906.796960957792</v>
      </c>
      <c r="G46" s="10">
        <f t="shared" si="4"/>
        <v>-673239.35666666669</v>
      </c>
      <c r="H46" s="10">
        <f t="shared" si="5"/>
        <v>8389796.2226998992</v>
      </c>
    </row>
    <row r="47" spans="1:8">
      <c r="A47" s="93">
        <v>45901</v>
      </c>
      <c r="B47" s="10">
        <f t="shared" si="6"/>
        <v>7837084.2709417567</v>
      </c>
      <c r="C47" s="8">
        <f t="shared" si="1"/>
        <v>602852.63622628897</v>
      </c>
      <c r="D47" s="10">
        <f t="shared" si="2"/>
        <v>7234231.6347154677</v>
      </c>
      <c r="E47" s="10">
        <f t="shared" si="7"/>
        <v>8389796.2226998992</v>
      </c>
      <c r="F47" s="10">
        <f t="shared" si="3"/>
        <v>51137.905426411562</v>
      </c>
      <c r="G47" s="10">
        <f t="shared" si="4"/>
        <v>-673239.35666666669</v>
      </c>
      <c r="H47" s="10">
        <f t="shared" si="5"/>
        <v>7767694.7714596437</v>
      </c>
    </row>
    <row r="48" spans="1:8">
      <c r="A48" s="93">
        <v>45931</v>
      </c>
      <c r="B48" s="10">
        <f t="shared" si="6"/>
        <v>7234231.6347154677</v>
      </c>
      <c r="C48" s="8">
        <f t="shared" si="1"/>
        <v>602852.63622628897</v>
      </c>
      <c r="D48" s="10">
        <f t="shared" si="2"/>
        <v>6631378.9984891787</v>
      </c>
      <c r="E48" s="10">
        <f t="shared" si="7"/>
        <v>7767694.7714596437</v>
      </c>
      <c r="F48" s="10">
        <f t="shared" si="3"/>
        <v>47346.041555739394</v>
      </c>
      <c r="G48" s="10">
        <f t="shared" si="4"/>
        <v>-673239.35666666669</v>
      </c>
      <c r="H48" s="10">
        <f t="shared" si="5"/>
        <v>7141801.4563487163</v>
      </c>
    </row>
    <row r="49" spans="1:8">
      <c r="A49" s="93">
        <v>45962</v>
      </c>
      <c r="B49" s="10">
        <f t="shared" si="6"/>
        <v>6631378.9984891787</v>
      </c>
      <c r="C49" s="8">
        <f t="shared" si="1"/>
        <v>602852.63622628897</v>
      </c>
      <c r="D49" s="10">
        <f t="shared" si="2"/>
        <v>6028526.3622628897</v>
      </c>
      <c r="E49" s="10">
        <f t="shared" si="7"/>
        <v>7141801.4563487163</v>
      </c>
      <c r="F49" s="10">
        <f t="shared" si="3"/>
        <v>43531.065326809512</v>
      </c>
      <c r="G49" s="10">
        <f t="shared" si="4"/>
        <v>-673239.35666666669</v>
      </c>
      <c r="H49" s="10">
        <f t="shared" si="5"/>
        <v>6512093.1650088597</v>
      </c>
    </row>
    <row r="50" spans="1:8">
      <c r="A50" s="93">
        <v>45992</v>
      </c>
      <c r="B50" s="10">
        <f t="shared" si="6"/>
        <v>6028526.3622628897</v>
      </c>
      <c r="C50" s="8">
        <f t="shared" si="1"/>
        <v>602852.63622628897</v>
      </c>
      <c r="D50" s="10">
        <f t="shared" si="2"/>
        <v>5425673.7260366008</v>
      </c>
      <c r="E50" s="10">
        <f t="shared" si="7"/>
        <v>6512093.1650088597</v>
      </c>
      <c r="F50" s="10">
        <f t="shared" si="3"/>
        <v>39692.83586402025</v>
      </c>
      <c r="G50" s="10">
        <f t="shared" si="4"/>
        <v>-673239.35666666669</v>
      </c>
      <c r="H50" s="10">
        <f t="shared" si="5"/>
        <v>5878546.6442062138</v>
      </c>
    </row>
    <row r="51" spans="1:8">
      <c r="A51" s="93">
        <v>46023</v>
      </c>
      <c r="B51" s="10">
        <f t="shared" si="6"/>
        <v>5425673.7260366008</v>
      </c>
      <c r="C51" s="8">
        <f t="shared" si="1"/>
        <v>602852.63622628897</v>
      </c>
      <c r="D51" s="10">
        <f t="shared" si="2"/>
        <v>4822821.0898103118</v>
      </c>
      <c r="E51" s="10">
        <f t="shared" si="7"/>
        <v>5878546.6442062138</v>
      </c>
      <c r="F51" s="10">
        <f t="shared" si="3"/>
        <v>35831.211433097924</v>
      </c>
      <c r="G51" s="10">
        <f t="shared" si="4"/>
        <v>-673239.35666666669</v>
      </c>
      <c r="H51" s="10">
        <f t="shared" si="5"/>
        <v>5241138.498972645</v>
      </c>
    </row>
    <row r="52" spans="1:8">
      <c r="A52" s="93">
        <v>46054</v>
      </c>
      <c r="B52" s="10">
        <f t="shared" si="6"/>
        <v>4822821.0898103118</v>
      </c>
      <c r="C52" s="8">
        <f t="shared" si="1"/>
        <v>602852.63622628897</v>
      </c>
      <c r="D52" s="10">
        <f t="shared" si="2"/>
        <v>4219968.4535840228</v>
      </c>
      <c r="E52" s="10">
        <f t="shared" si="7"/>
        <v>5241138.498972645</v>
      </c>
      <c r="F52" s="10">
        <f t="shared" si="3"/>
        <v>31946.049435863013</v>
      </c>
      <c r="G52" s="10">
        <f t="shared" si="4"/>
        <v>-673239.35666666669</v>
      </c>
      <c r="H52" s="10">
        <f t="shared" si="5"/>
        <v>4599845.1917418418</v>
      </c>
    </row>
    <row r="53" spans="1:8">
      <c r="A53" s="93">
        <v>46082</v>
      </c>
      <c r="B53" s="10">
        <f t="shared" si="6"/>
        <v>4219968.4535840228</v>
      </c>
      <c r="C53" s="8">
        <f t="shared" si="1"/>
        <v>602852.63622628897</v>
      </c>
      <c r="D53" s="10">
        <f t="shared" si="2"/>
        <v>3617115.8173577338</v>
      </c>
      <c r="E53" s="10">
        <f t="shared" si="7"/>
        <v>4599845.1917418418</v>
      </c>
      <c r="F53" s="10">
        <f t="shared" si="3"/>
        <v>28037.206404964461</v>
      </c>
      <c r="G53" s="10">
        <f t="shared" si="4"/>
        <v>-673239.35666666669</v>
      </c>
      <c r="H53" s="10">
        <f t="shared" si="5"/>
        <v>3954643.0414801398</v>
      </c>
    </row>
    <row r="54" spans="1:8">
      <c r="A54" s="93">
        <v>46113</v>
      </c>
      <c r="B54" s="10">
        <f t="shared" si="6"/>
        <v>3617115.8173577338</v>
      </c>
      <c r="C54" s="8">
        <f t="shared" si="1"/>
        <v>602852.63622628897</v>
      </c>
      <c r="D54" s="10">
        <f t="shared" si="2"/>
        <v>3014263.1811314449</v>
      </c>
      <c r="E54" s="10">
        <f t="shared" si="7"/>
        <v>3954643.0414801398</v>
      </c>
      <c r="F54" s="10">
        <f t="shared" si="3"/>
        <v>24104.537998581822</v>
      </c>
      <c r="G54" s="10">
        <f t="shared" si="4"/>
        <v>-673239.35666666669</v>
      </c>
      <c r="H54" s="10">
        <f t="shared" si="5"/>
        <v>3305508.2228120547</v>
      </c>
    </row>
    <row r="55" spans="1:8">
      <c r="A55" s="93">
        <v>46143</v>
      </c>
      <c r="B55" s="10">
        <f t="shared" si="6"/>
        <v>3014263.1811314449</v>
      </c>
      <c r="C55" s="8">
        <f t="shared" si="1"/>
        <v>602852.63622628897</v>
      </c>
      <c r="D55" s="10">
        <f t="shared" si="2"/>
        <v>2411410.5449051559</v>
      </c>
      <c r="E55" s="10">
        <f t="shared" si="7"/>
        <v>3305508.2228120547</v>
      </c>
      <c r="F55" s="10">
        <f t="shared" si="3"/>
        <v>20147.898995095176</v>
      </c>
      <c r="G55" s="10">
        <f t="shared" si="4"/>
        <v>-673239.35666666669</v>
      </c>
      <c r="H55" s="10">
        <f t="shared" si="5"/>
        <v>2652416.7651404832</v>
      </c>
    </row>
    <row r="56" spans="1:8">
      <c r="A56" s="93">
        <v>46174</v>
      </c>
      <c r="B56" s="10">
        <f t="shared" si="6"/>
        <v>2411410.5449051559</v>
      </c>
      <c r="C56" s="8">
        <f t="shared" si="1"/>
        <v>602852.63622628897</v>
      </c>
      <c r="D56" s="10">
        <f t="shared" si="2"/>
        <v>1808557.9086788669</v>
      </c>
      <c r="E56" s="10">
        <f t="shared" si="7"/>
        <v>2652416.7651404832</v>
      </c>
      <c r="F56" s="10">
        <f t="shared" si="3"/>
        <v>16167.143287722531</v>
      </c>
      <c r="G56" s="10">
        <f t="shared" si="4"/>
        <v>-673239.35666666669</v>
      </c>
      <c r="H56" s="10">
        <f t="shared" si="5"/>
        <v>1995344.551761539</v>
      </c>
    </row>
    <row r="57" spans="1:8">
      <c r="A57" s="93">
        <v>46204</v>
      </c>
      <c r="B57" s="10">
        <f t="shared" si="6"/>
        <v>1808557.9086788669</v>
      </c>
      <c r="C57" s="8">
        <f t="shared" si="1"/>
        <v>602852.63622628897</v>
      </c>
      <c r="D57" s="10">
        <f t="shared" si="2"/>
        <v>1205705.2724525779</v>
      </c>
      <c r="E57" s="10">
        <f t="shared" si="7"/>
        <v>1995344.551761539</v>
      </c>
      <c r="F57" s="10">
        <f t="shared" si="3"/>
        <v>12162.12387912452</v>
      </c>
      <c r="G57" s="10">
        <f t="shared" si="4"/>
        <v>-673239.35666666669</v>
      </c>
      <c r="H57" s="10">
        <f t="shared" si="5"/>
        <v>1334267.3189739967</v>
      </c>
    </row>
    <row r="58" spans="1:8">
      <c r="A58" s="93">
        <v>46235</v>
      </c>
      <c r="B58" s="10">
        <f t="shared" si="6"/>
        <v>1205705.2724525779</v>
      </c>
      <c r="C58" s="8">
        <f t="shared" si="1"/>
        <v>602852.63622628897</v>
      </c>
      <c r="D58" s="10">
        <f t="shared" si="2"/>
        <v>602852.63622628897</v>
      </c>
      <c r="E58" s="10">
        <f t="shared" si="7"/>
        <v>1334267.3189739967</v>
      </c>
      <c r="F58" s="10">
        <f t="shared" si="3"/>
        <v>8132.6928759762532</v>
      </c>
      <c r="G58" s="10">
        <f t="shared" si="4"/>
        <v>-673239.35666666669</v>
      </c>
      <c r="H58" s="10">
        <f t="shared" si="5"/>
        <v>669160.6551833062</v>
      </c>
    </row>
    <row r="59" spans="1:8">
      <c r="A59" s="93">
        <v>46266</v>
      </c>
      <c r="B59" s="10">
        <f t="shared" si="6"/>
        <v>602852.63622628897</v>
      </c>
      <c r="C59" s="8">
        <f t="shared" si="1"/>
        <v>602852.63622628897</v>
      </c>
      <c r="D59" s="10">
        <f t="shared" si="2"/>
        <v>0</v>
      </c>
      <c r="E59" s="10">
        <f t="shared" si="7"/>
        <v>669160.6551833062</v>
      </c>
      <c r="F59" s="10">
        <f t="shared" si="3"/>
        <v>4078.7014835060472</v>
      </c>
      <c r="G59" s="10">
        <f t="shared" si="4"/>
        <v>-673239.35666666669</v>
      </c>
      <c r="H59" s="10">
        <f t="shared" si="5"/>
        <v>1.4551915228366852E-7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C4C2-AA6D-48D9-9E05-A00758AC4A3E}">
  <dimension ref="A1:L59"/>
  <sheetViews>
    <sheetView showGridLines="0" workbookViewId="0">
      <selection activeCell="A3" sqref="A1:A3"/>
    </sheetView>
  </sheetViews>
  <sheetFormatPr defaultColWidth="8.796875" defaultRowHeight="13.3"/>
  <cols>
    <col min="1" max="1" width="19.19921875" style="2" customWidth="1"/>
    <col min="2" max="2" width="16.19921875" style="2" bestFit="1" customWidth="1"/>
    <col min="3" max="3" width="19.59765625" style="2" customWidth="1"/>
    <col min="4" max="4" width="19.19921875" style="2" bestFit="1" customWidth="1"/>
    <col min="5" max="5" width="19.796875" style="2" bestFit="1" customWidth="1"/>
    <col min="6" max="6" width="16.796875" style="2" bestFit="1" customWidth="1"/>
    <col min="7" max="7" width="13.796875" style="2" bestFit="1" customWidth="1"/>
    <col min="8" max="8" width="17.3984375" style="2" bestFit="1" customWidth="1"/>
    <col min="9" max="9" width="12.796875" style="2" bestFit="1" customWidth="1"/>
    <col min="10" max="10" width="13.796875" style="2" bestFit="1" customWidth="1"/>
    <col min="11" max="12" width="12.796875" style="2" bestFit="1" customWidth="1"/>
    <col min="13" max="16384" width="8.796875" style="2"/>
  </cols>
  <sheetData>
    <row r="1" spans="1:12">
      <c r="A1" s="14"/>
    </row>
    <row r="2" spans="1:12">
      <c r="A2" s="14"/>
    </row>
    <row r="3" spans="1:12">
      <c r="A3" s="14"/>
    </row>
    <row r="6" spans="1:12">
      <c r="A6" s="14" t="str">
        <f>[3]Scope!A6</f>
        <v xml:space="preserve">Purpose </v>
      </c>
    </row>
    <row r="7" spans="1:12">
      <c r="A7" s="182" t="s">
        <v>59</v>
      </c>
    </row>
    <row r="10" spans="1:12">
      <c r="A10" s="14" t="s">
        <v>78</v>
      </c>
    </row>
    <row r="11" spans="1:12">
      <c r="B11" s="88" t="s">
        <v>106</v>
      </c>
      <c r="C11" s="88" t="s">
        <v>107</v>
      </c>
      <c r="D11" s="88" t="s">
        <v>107</v>
      </c>
      <c r="E11" s="88" t="s">
        <v>106</v>
      </c>
      <c r="F11" s="88" t="s">
        <v>106</v>
      </c>
      <c r="G11" s="88" t="s">
        <v>106</v>
      </c>
      <c r="H11" s="88" t="s">
        <v>106</v>
      </c>
      <c r="I11" s="88" t="s">
        <v>106</v>
      </c>
      <c r="J11" s="88" t="s">
        <v>106</v>
      </c>
    </row>
    <row r="12" spans="1:12" ht="34.1" customHeight="1">
      <c r="A12" s="5" t="s">
        <v>24</v>
      </c>
      <c r="B12" s="6" t="s">
        <v>67</v>
      </c>
      <c r="C12" s="72" t="s">
        <v>68</v>
      </c>
      <c r="D12" s="72" t="s">
        <v>69</v>
      </c>
      <c r="E12" s="4" t="s">
        <v>201</v>
      </c>
      <c r="F12" s="4" t="s">
        <v>203</v>
      </c>
      <c r="G12" s="4" t="s">
        <v>71</v>
      </c>
      <c r="H12" s="4" t="s">
        <v>10</v>
      </c>
      <c r="I12" s="4" t="s">
        <v>11</v>
      </c>
      <c r="J12" s="4" t="s">
        <v>71</v>
      </c>
      <c r="K12" s="4" t="s">
        <v>48</v>
      </c>
      <c r="L12" s="4" t="s">
        <v>47</v>
      </c>
    </row>
    <row r="13" spans="1:12">
      <c r="A13" s="74" t="s">
        <v>105</v>
      </c>
      <c r="B13" s="226">
        <v>7.5628879999999996E-2</v>
      </c>
      <c r="C13" s="85">
        <v>45139</v>
      </c>
      <c r="D13" s="85">
        <v>46234</v>
      </c>
      <c r="E13" s="73">
        <v>0</v>
      </c>
      <c r="F13" s="73">
        <v>62458473</v>
      </c>
      <c r="G13" s="77">
        <v>20819490.900000006</v>
      </c>
      <c r="H13" s="73">
        <v>3580529.27</v>
      </c>
      <c r="I13" s="73">
        <v>69134200</v>
      </c>
      <c r="J13" s="77">
        <v>17175304.25</v>
      </c>
      <c r="K13" s="77">
        <v>17175304.25</v>
      </c>
      <c r="L13" s="77">
        <v>0</v>
      </c>
    </row>
    <row r="14" spans="1:12">
      <c r="A14" s="74" t="s">
        <v>104</v>
      </c>
      <c r="B14" s="226">
        <f>'G-Sec 1 Aug'!E27/100</f>
        <v>7.1232000000000004E-2</v>
      </c>
      <c r="C14" s="85">
        <v>45139</v>
      </c>
      <c r="D14" s="85">
        <v>46234</v>
      </c>
      <c r="E14" s="73">
        <v>0</v>
      </c>
      <c r="F14" s="73">
        <f>SUM(C44:C55)</f>
        <v>62081468.71531444</v>
      </c>
      <c r="G14" s="77">
        <f>D55</f>
        <v>20693822.905104905</v>
      </c>
      <c r="H14" s="73">
        <f>SUM(F44:F55)</f>
        <v>4151927.3682010267</v>
      </c>
      <c r="I14" s="73">
        <f>-SUM(G44:G55)</f>
        <v>69134200.000000015</v>
      </c>
      <c r="J14" s="77">
        <f>H55</f>
        <v>22706767.744261708</v>
      </c>
      <c r="K14" s="8">
        <f>H55-H59</f>
        <v>22706767.744263008</v>
      </c>
      <c r="L14" s="8">
        <f>J14-K14</f>
        <v>-1.300126314163208E-6</v>
      </c>
    </row>
    <row r="15" spans="1:12">
      <c r="A15" s="86" t="s">
        <v>32</v>
      </c>
      <c r="B15" s="216">
        <f>B13-B14</f>
        <v>4.3968799999999919E-3</v>
      </c>
      <c r="C15" s="8">
        <f t="shared" ref="C15:L15" si="0">C13-C14</f>
        <v>0</v>
      </c>
      <c r="D15" s="8">
        <f t="shared" si="0"/>
        <v>0</v>
      </c>
      <c r="E15" s="8">
        <f t="shared" si="0"/>
        <v>0</v>
      </c>
      <c r="F15" s="8">
        <f t="shared" si="0"/>
        <v>377004.28468555957</v>
      </c>
      <c r="G15" s="8">
        <f t="shared" si="0"/>
        <v>125667.99489510059</v>
      </c>
      <c r="H15" s="8">
        <f t="shared" si="0"/>
        <v>-571398.09820102667</v>
      </c>
      <c r="I15" s="8">
        <f t="shared" si="0"/>
        <v>0</v>
      </c>
      <c r="J15" s="8">
        <f t="shared" si="0"/>
        <v>-5531463.4942617081</v>
      </c>
      <c r="K15" s="8">
        <f t="shared" si="0"/>
        <v>-5531463.4942630082</v>
      </c>
      <c r="L15" s="8">
        <f t="shared" si="0"/>
        <v>1.300126314163208E-6</v>
      </c>
    </row>
    <row r="16" spans="1:12">
      <c r="A16" s="218" t="s">
        <v>211</v>
      </c>
      <c r="D16" s="217"/>
      <c r="E16" s="217"/>
      <c r="F16" s="217"/>
    </row>
    <row r="18" spans="1:8">
      <c r="A18" s="14" t="s">
        <v>115</v>
      </c>
      <c r="B18" s="7">
        <f>17283550/3</f>
        <v>5761183.333333333</v>
      </c>
      <c r="C18" s="88" t="s">
        <v>107</v>
      </c>
      <c r="D18" s="89"/>
    </row>
    <row r="19" spans="1:8">
      <c r="A19" s="14" t="s">
        <v>109</v>
      </c>
      <c r="B19" s="91">
        <f>B14/12</f>
        <v>5.9360000000000003E-3</v>
      </c>
      <c r="C19" s="88" t="s">
        <v>106</v>
      </c>
      <c r="D19" s="53"/>
    </row>
    <row r="20" spans="1:8">
      <c r="A20" s="14" t="s">
        <v>114</v>
      </c>
      <c r="B20" s="7">
        <f>ROUND(((D14-C14)/30.5),0)</f>
        <v>36</v>
      </c>
      <c r="C20" s="88" t="s">
        <v>117</v>
      </c>
    </row>
    <row r="21" spans="1:8">
      <c r="A21" s="14" t="s">
        <v>110</v>
      </c>
      <c r="B21" s="7">
        <f>-PV(B19,B20,B18)</f>
        <v>186244406.14594328</v>
      </c>
      <c r="C21" s="88" t="s">
        <v>117</v>
      </c>
    </row>
    <row r="23" spans="1:8">
      <c r="A23" s="5" t="s">
        <v>210</v>
      </c>
      <c r="B23" s="79" t="s">
        <v>112</v>
      </c>
      <c r="C23" s="79" t="s">
        <v>55</v>
      </c>
      <c r="D23" s="79" t="s">
        <v>111</v>
      </c>
      <c r="E23" s="79" t="s">
        <v>113</v>
      </c>
      <c r="F23" s="79" t="s">
        <v>10</v>
      </c>
      <c r="G23" s="79" t="s">
        <v>11</v>
      </c>
      <c r="H23" s="79" t="s">
        <v>57</v>
      </c>
    </row>
    <row r="24" spans="1:8">
      <c r="A24" s="93">
        <v>45139</v>
      </c>
      <c r="B24" s="10">
        <f>B21</f>
        <v>186244406.14594328</v>
      </c>
      <c r="C24" s="8">
        <f>$B$21/$B$20</f>
        <v>5173455.7262762021</v>
      </c>
      <c r="D24" s="10">
        <f>B24-C24</f>
        <v>181070950.41966709</v>
      </c>
      <c r="E24" s="10">
        <f>B21</f>
        <v>186244406.14594328</v>
      </c>
      <c r="F24" s="10">
        <f>E24*$B$19</f>
        <v>1105546.7948823194</v>
      </c>
      <c r="G24" s="10">
        <f>-$B$18</f>
        <v>-5761183.333333333</v>
      </c>
      <c r="H24" s="10">
        <f>SUM(E24:G24)</f>
        <v>181588769.60749227</v>
      </c>
    </row>
    <row r="25" spans="1:8">
      <c r="A25" s="93">
        <v>45170</v>
      </c>
      <c r="B25" s="10">
        <f>D24</f>
        <v>181070950.41966709</v>
      </c>
      <c r="C25" s="8">
        <f t="shared" ref="C25:C59" si="1">$B$21/$B$20</f>
        <v>5173455.7262762021</v>
      </c>
      <c r="D25" s="10">
        <f t="shared" ref="D25:D59" si="2">B25-C25</f>
        <v>175897494.69339091</v>
      </c>
      <c r="E25" s="10">
        <f>H24</f>
        <v>181588769.60749227</v>
      </c>
      <c r="F25" s="10">
        <f t="shared" ref="F25:F59" si="3">E25*$B$19</f>
        <v>1077910.9363900742</v>
      </c>
      <c r="G25" s="10">
        <f t="shared" ref="G25:G59" si="4">-$B$18</f>
        <v>-5761183.333333333</v>
      </c>
      <c r="H25" s="10">
        <f t="shared" ref="H25:H59" si="5">SUM(E25:G25)</f>
        <v>176905497.210549</v>
      </c>
    </row>
    <row r="26" spans="1:8">
      <c r="A26" s="93">
        <v>45200</v>
      </c>
      <c r="B26" s="10">
        <f t="shared" ref="B26:B59" si="6">D25</f>
        <v>175897494.69339091</v>
      </c>
      <c r="C26" s="8">
        <f t="shared" si="1"/>
        <v>5173455.7262762021</v>
      </c>
      <c r="D26" s="10">
        <f t="shared" si="2"/>
        <v>170724038.96711472</v>
      </c>
      <c r="E26" s="10">
        <f t="shared" ref="E26:E59" si="7">H25</f>
        <v>176905497.210549</v>
      </c>
      <c r="F26" s="10">
        <f t="shared" si="3"/>
        <v>1050111.0314418189</v>
      </c>
      <c r="G26" s="10">
        <f t="shared" si="4"/>
        <v>-5761183.333333333</v>
      </c>
      <c r="H26" s="10">
        <f t="shared" si="5"/>
        <v>172194424.90865746</v>
      </c>
    </row>
    <row r="27" spans="1:8">
      <c r="A27" s="93">
        <v>45231</v>
      </c>
      <c r="B27" s="10">
        <f t="shared" si="6"/>
        <v>170724038.96711472</v>
      </c>
      <c r="C27" s="8">
        <f t="shared" si="1"/>
        <v>5173455.7262762021</v>
      </c>
      <c r="D27" s="10">
        <f t="shared" si="2"/>
        <v>165550583.24083853</v>
      </c>
      <c r="E27" s="10">
        <f t="shared" si="7"/>
        <v>172194424.90865746</v>
      </c>
      <c r="F27" s="10">
        <f t="shared" si="3"/>
        <v>1022146.1062577907</v>
      </c>
      <c r="G27" s="10">
        <f t="shared" si="4"/>
        <v>-5761183.333333333</v>
      </c>
      <c r="H27" s="10">
        <f t="shared" si="5"/>
        <v>167455387.68158191</v>
      </c>
    </row>
    <row r="28" spans="1:8">
      <c r="A28" s="93">
        <v>45261</v>
      </c>
      <c r="B28" s="10">
        <f t="shared" si="6"/>
        <v>165550583.24083853</v>
      </c>
      <c r="C28" s="8">
        <f t="shared" si="1"/>
        <v>5173455.7262762021</v>
      </c>
      <c r="D28" s="10">
        <f t="shared" si="2"/>
        <v>160377127.51456234</v>
      </c>
      <c r="E28" s="10">
        <f t="shared" si="7"/>
        <v>167455387.68158191</v>
      </c>
      <c r="F28" s="10">
        <f t="shared" si="3"/>
        <v>994015.18127787032</v>
      </c>
      <c r="G28" s="10">
        <f t="shared" si="4"/>
        <v>-5761183.333333333</v>
      </c>
      <c r="H28" s="10">
        <f t="shared" si="5"/>
        <v>162688219.52952644</v>
      </c>
    </row>
    <row r="29" spans="1:8">
      <c r="A29" s="93">
        <v>45292</v>
      </c>
      <c r="B29" s="10">
        <f t="shared" si="6"/>
        <v>160377127.51456234</v>
      </c>
      <c r="C29" s="8">
        <f t="shared" si="1"/>
        <v>5173455.7262762021</v>
      </c>
      <c r="D29" s="10">
        <f t="shared" si="2"/>
        <v>155203671.78828615</v>
      </c>
      <c r="E29" s="10">
        <f t="shared" si="7"/>
        <v>162688219.52952644</v>
      </c>
      <c r="F29" s="10">
        <f t="shared" si="3"/>
        <v>965717.27112726902</v>
      </c>
      <c r="G29" s="10">
        <f t="shared" si="4"/>
        <v>-5761183.333333333</v>
      </c>
      <c r="H29" s="10">
        <f t="shared" si="5"/>
        <v>157892753.46732038</v>
      </c>
    </row>
    <row r="30" spans="1:8">
      <c r="A30" s="93">
        <v>45323</v>
      </c>
      <c r="B30" s="10">
        <f t="shared" si="6"/>
        <v>155203671.78828615</v>
      </c>
      <c r="C30" s="8">
        <f t="shared" si="1"/>
        <v>5173455.7262762021</v>
      </c>
      <c r="D30" s="10">
        <f t="shared" si="2"/>
        <v>150030216.06200996</v>
      </c>
      <c r="E30" s="10">
        <f t="shared" si="7"/>
        <v>157892753.46732038</v>
      </c>
      <c r="F30" s="10">
        <f t="shared" si="3"/>
        <v>937251.38458201382</v>
      </c>
      <c r="G30" s="10">
        <f t="shared" si="4"/>
        <v>-5761183.333333333</v>
      </c>
      <c r="H30" s="10">
        <f t="shared" si="5"/>
        <v>153068821.51856905</v>
      </c>
    </row>
    <row r="31" spans="1:8">
      <c r="A31" s="93">
        <v>45352</v>
      </c>
      <c r="B31" s="10">
        <f t="shared" si="6"/>
        <v>150030216.06200996</v>
      </c>
      <c r="C31" s="8">
        <f t="shared" si="1"/>
        <v>5173455.7262762021</v>
      </c>
      <c r="D31" s="10">
        <f t="shared" si="2"/>
        <v>144856760.33573377</v>
      </c>
      <c r="E31" s="10">
        <f t="shared" si="7"/>
        <v>153068821.51856905</v>
      </c>
      <c r="F31" s="10">
        <f t="shared" si="3"/>
        <v>908616.52453422593</v>
      </c>
      <c r="G31" s="10">
        <f t="shared" si="4"/>
        <v>-5761183.333333333</v>
      </c>
      <c r="H31" s="10">
        <f t="shared" si="5"/>
        <v>148216254.70976993</v>
      </c>
    </row>
    <row r="32" spans="1:8">
      <c r="A32" s="93">
        <v>45383</v>
      </c>
      <c r="B32" s="10">
        <f t="shared" si="6"/>
        <v>144856760.33573377</v>
      </c>
      <c r="C32" s="8">
        <f t="shared" si="1"/>
        <v>5173455.7262762021</v>
      </c>
      <c r="D32" s="10">
        <f t="shared" si="2"/>
        <v>139683304.60945758</v>
      </c>
      <c r="E32" s="10">
        <f t="shared" si="7"/>
        <v>148216254.70976993</v>
      </c>
      <c r="F32" s="10">
        <f t="shared" si="3"/>
        <v>879811.6879571944</v>
      </c>
      <c r="G32" s="10">
        <f t="shared" si="4"/>
        <v>-5761183.333333333</v>
      </c>
      <c r="H32" s="10">
        <f t="shared" si="5"/>
        <v>143334883.06439379</v>
      </c>
    </row>
    <row r="33" spans="1:8">
      <c r="A33" s="93">
        <v>45413</v>
      </c>
      <c r="B33" s="10">
        <f t="shared" si="6"/>
        <v>139683304.60945758</v>
      </c>
      <c r="C33" s="8">
        <f t="shared" si="1"/>
        <v>5173455.7262762021</v>
      </c>
      <c r="D33" s="10">
        <f t="shared" si="2"/>
        <v>134509848.88318139</v>
      </c>
      <c r="E33" s="10">
        <f t="shared" si="7"/>
        <v>143334883.06439379</v>
      </c>
      <c r="F33" s="10">
        <f t="shared" si="3"/>
        <v>850835.86587024154</v>
      </c>
      <c r="G33" s="10">
        <f t="shared" si="4"/>
        <v>-5761183.333333333</v>
      </c>
      <c r="H33" s="10">
        <f t="shared" si="5"/>
        <v>138424535.59693068</v>
      </c>
    </row>
    <row r="34" spans="1:8">
      <c r="A34" s="93">
        <v>45444</v>
      </c>
      <c r="B34" s="10">
        <f t="shared" si="6"/>
        <v>134509848.88318139</v>
      </c>
      <c r="C34" s="8">
        <f t="shared" si="1"/>
        <v>5173455.7262762021</v>
      </c>
      <c r="D34" s="10">
        <f t="shared" si="2"/>
        <v>129336393.15690519</v>
      </c>
      <c r="E34" s="10">
        <f t="shared" si="7"/>
        <v>138424535.59693068</v>
      </c>
      <c r="F34" s="10">
        <f t="shared" si="3"/>
        <v>821688.0433033806</v>
      </c>
      <c r="G34" s="10">
        <f t="shared" si="4"/>
        <v>-5761183.333333333</v>
      </c>
      <c r="H34" s="10">
        <f t="shared" si="5"/>
        <v>133485040.30690072</v>
      </c>
    </row>
    <row r="35" spans="1:8">
      <c r="A35" s="93">
        <v>45474</v>
      </c>
      <c r="B35" s="10">
        <f t="shared" si="6"/>
        <v>129336393.15690519</v>
      </c>
      <c r="C35" s="8">
        <f t="shared" si="1"/>
        <v>5173455.7262762021</v>
      </c>
      <c r="D35" s="10">
        <f t="shared" si="2"/>
        <v>124162937.43062899</v>
      </c>
      <c r="E35" s="10">
        <f t="shared" si="7"/>
        <v>133485040.30690072</v>
      </c>
      <c r="F35" s="10">
        <f t="shared" si="3"/>
        <v>792367.19926176278</v>
      </c>
      <c r="G35" s="10">
        <f t="shared" si="4"/>
        <v>-5761183.333333333</v>
      </c>
      <c r="H35" s="10">
        <f t="shared" si="5"/>
        <v>128516224.17282917</v>
      </c>
    </row>
    <row r="36" spans="1:8">
      <c r="A36" s="93">
        <v>45505</v>
      </c>
      <c r="B36" s="10">
        <f t="shared" si="6"/>
        <v>124162937.43062899</v>
      </c>
      <c r="C36" s="8">
        <f t="shared" si="1"/>
        <v>5173455.7262762021</v>
      </c>
      <c r="D36" s="10">
        <f t="shared" si="2"/>
        <v>118989481.70435278</v>
      </c>
      <c r="E36" s="10">
        <f t="shared" si="7"/>
        <v>128516224.17282917</v>
      </c>
      <c r="F36" s="10">
        <f t="shared" si="3"/>
        <v>762872.30668991397</v>
      </c>
      <c r="G36" s="10">
        <f t="shared" si="4"/>
        <v>-5761183.333333333</v>
      </c>
      <c r="H36" s="10">
        <f t="shared" si="5"/>
        <v>123517913.14618576</v>
      </c>
    </row>
    <row r="37" spans="1:8">
      <c r="A37" s="93">
        <v>45536</v>
      </c>
      <c r="B37" s="10">
        <f t="shared" si="6"/>
        <v>118989481.70435278</v>
      </c>
      <c r="C37" s="8">
        <f t="shared" si="1"/>
        <v>5173455.7262762021</v>
      </c>
      <c r="D37" s="10">
        <f t="shared" si="2"/>
        <v>113816025.97807658</v>
      </c>
      <c r="E37" s="10">
        <f t="shared" si="7"/>
        <v>123517913.14618576</v>
      </c>
      <c r="F37" s="10">
        <f t="shared" si="3"/>
        <v>733202.33243575867</v>
      </c>
      <c r="G37" s="10">
        <f t="shared" si="4"/>
        <v>-5761183.333333333</v>
      </c>
      <c r="H37" s="10">
        <f t="shared" si="5"/>
        <v>118489932.14528818</v>
      </c>
    </row>
    <row r="38" spans="1:8">
      <c r="A38" s="93">
        <v>45566</v>
      </c>
      <c r="B38" s="10">
        <f t="shared" si="6"/>
        <v>113816025.97807658</v>
      </c>
      <c r="C38" s="8">
        <f t="shared" si="1"/>
        <v>5173455.7262762021</v>
      </c>
      <c r="D38" s="10">
        <f t="shared" si="2"/>
        <v>108642570.25180037</v>
      </c>
      <c r="E38" s="10">
        <f t="shared" si="7"/>
        <v>118489932.14528818</v>
      </c>
      <c r="F38" s="10">
        <f t="shared" si="3"/>
        <v>703356.2372144307</v>
      </c>
      <c r="G38" s="10">
        <f t="shared" si="4"/>
        <v>-5761183.333333333</v>
      </c>
      <c r="H38" s="10">
        <f t="shared" si="5"/>
        <v>113432105.04916929</v>
      </c>
    </row>
    <row r="39" spans="1:8">
      <c r="A39" s="93">
        <v>45597</v>
      </c>
      <c r="B39" s="10">
        <f t="shared" si="6"/>
        <v>108642570.25180037</v>
      </c>
      <c r="C39" s="8">
        <f t="shared" si="1"/>
        <v>5173455.7262762021</v>
      </c>
      <c r="D39" s="10">
        <f t="shared" si="2"/>
        <v>103469114.52552417</v>
      </c>
      <c r="E39" s="10">
        <f t="shared" si="7"/>
        <v>113432105.04916929</v>
      </c>
      <c r="F39" s="10">
        <f t="shared" si="3"/>
        <v>673332.97557186894</v>
      </c>
      <c r="G39" s="10">
        <f t="shared" si="4"/>
        <v>-5761183.333333333</v>
      </c>
      <c r="H39" s="10">
        <f t="shared" si="5"/>
        <v>108344254.69140783</v>
      </c>
    </row>
    <row r="40" spans="1:8">
      <c r="A40" s="93">
        <v>45627</v>
      </c>
      <c r="B40" s="10">
        <f t="shared" si="6"/>
        <v>103469114.52552417</v>
      </c>
      <c r="C40" s="8">
        <f t="shared" si="1"/>
        <v>5173455.7262762021</v>
      </c>
      <c r="D40" s="10">
        <f t="shared" si="2"/>
        <v>98295658.799247965</v>
      </c>
      <c r="E40" s="10">
        <f t="shared" si="7"/>
        <v>108344254.69140783</v>
      </c>
      <c r="F40" s="10">
        <f t="shared" si="3"/>
        <v>643131.49584819691</v>
      </c>
      <c r="G40" s="10">
        <f t="shared" si="4"/>
        <v>-5761183.333333333</v>
      </c>
      <c r="H40" s="10">
        <f t="shared" si="5"/>
        <v>103226202.85392269</v>
      </c>
    </row>
    <row r="41" spans="1:8">
      <c r="A41" s="93">
        <v>45658</v>
      </c>
      <c r="B41" s="10">
        <f t="shared" si="6"/>
        <v>98295658.799247965</v>
      </c>
      <c r="C41" s="8">
        <f t="shared" si="1"/>
        <v>5173455.7262762021</v>
      </c>
      <c r="D41" s="10">
        <f t="shared" si="2"/>
        <v>93122203.072971761</v>
      </c>
      <c r="E41" s="10">
        <f t="shared" si="7"/>
        <v>103226202.85392269</v>
      </c>
      <c r="F41" s="10">
        <f t="shared" si="3"/>
        <v>612750.74014088511</v>
      </c>
      <c r="G41" s="10">
        <f t="shared" si="4"/>
        <v>-5761183.333333333</v>
      </c>
      <c r="H41" s="10">
        <f t="shared" si="5"/>
        <v>98077770.260730252</v>
      </c>
    </row>
    <row r="42" spans="1:8">
      <c r="A42" s="93">
        <v>45689</v>
      </c>
      <c r="B42" s="10">
        <f t="shared" si="6"/>
        <v>93122203.072971761</v>
      </c>
      <c r="C42" s="8">
        <f t="shared" si="1"/>
        <v>5173455.7262762021</v>
      </c>
      <c r="D42" s="10">
        <f t="shared" si="2"/>
        <v>87948747.346695557</v>
      </c>
      <c r="E42" s="10">
        <f t="shared" si="7"/>
        <v>98077770.260730252</v>
      </c>
      <c r="F42" s="10">
        <f t="shared" si="3"/>
        <v>582189.64426769479</v>
      </c>
      <c r="G42" s="10">
        <f t="shared" si="4"/>
        <v>-5761183.333333333</v>
      </c>
      <c r="H42" s="10">
        <f t="shared" si="5"/>
        <v>92898776.571664616</v>
      </c>
    </row>
    <row r="43" spans="1:8">
      <c r="A43" s="93">
        <v>45717</v>
      </c>
      <c r="B43" s="10">
        <f t="shared" si="6"/>
        <v>87948747.346695557</v>
      </c>
      <c r="C43" s="8">
        <f t="shared" si="1"/>
        <v>5173455.7262762021</v>
      </c>
      <c r="D43" s="10">
        <f t="shared" si="2"/>
        <v>82775291.620419353</v>
      </c>
      <c r="E43" s="10">
        <f t="shared" si="7"/>
        <v>92898776.571664616</v>
      </c>
      <c r="F43" s="10">
        <f t="shared" si="3"/>
        <v>551447.13772940123</v>
      </c>
      <c r="G43" s="10">
        <f t="shared" si="4"/>
        <v>-5761183.333333333</v>
      </c>
      <c r="H43" s="10">
        <f t="shared" si="5"/>
        <v>87689040.376060694</v>
      </c>
    </row>
    <row r="44" spans="1:8">
      <c r="A44" s="93">
        <v>45748</v>
      </c>
      <c r="B44" s="10">
        <f t="shared" si="6"/>
        <v>82775291.620419353</v>
      </c>
      <c r="C44" s="8">
        <f t="shared" si="1"/>
        <v>5173455.7262762021</v>
      </c>
      <c r="D44" s="10">
        <f t="shared" si="2"/>
        <v>77601835.894143149</v>
      </c>
      <c r="E44" s="10">
        <f t="shared" si="7"/>
        <v>87689040.376060694</v>
      </c>
      <c r="F44" s="10">
        <f t="shared" si="3"/>
        <v>520522.14367229631</v>
      </c>
      <c r="G44" s="10">
        <f t="shared" si="4"/>
        <v>-5761183.333333333</v>
      </c>
      <c r="H44" s="10">
        <f t="shared" si="5"/>
        <v>82448379.186399668</v>
      </c>
    </row>
    <row r="45" spans="1:8">
      <c r="A45" s="93">
        <v>45778</v>
      </c>
      <c r="B45" s="10">
        <f t="shared" si="6"/>
        <v>77601835.894143149</v>
      </c>
      <c r="C45" s="8">
        <f t="shared" si="1"/>
        <v>5173455.7262762021</v>
      </c>
      <c r="D45" s="10">
        <f t="shared" si="2"/>
        <v>72428380.167866945</v>
      </c>
      <c r="E45" s="10">
        <f t="shared" si="7"/>
        <v>82448379.186399668</v>
      </c>
      <c r="F45" s="10">
        <f t="shared" si="3"/>
        <v>489413.57885046845</v>
      </c>
      <c r="G45" s="10">
        <f t="shared" si="4"/>
        <v>-5761183.333333333</v>
      </c>
      <c r="H45" s="10">
        <f t="shared" si="5"/>
        <v>77176609.431916803</v>
      </c>
    </row>
    <row r="46" spans="1:8">
      <c r="A46" s="93">
        <v>45809</v>
      </c>
      <c r="B46" s="10">
        <f t="shared" si="6"/>
        <v>72428380.167866945</v>
      </c>
      <c r="C46" s="8">
        <f t="shared" si="1"/>
        <v>5173455.7262762021</v>
      </c>
      <c r="D46" s="10">
        <f t="shared" si="2"/>
        <v>67254924.441590741</v>
      </c>
      <c r="E46" s="10">
        <f t="shared" si="7"/>
        <v>77176609.431916803</v>
      </c>
      <c r="F46" s="10">
        <f t="shared" si="3"/>
        <v>458120.35358785815</v>
      </c>
      <c r="G46" s="10">
        <f t="shared" si="4"/>
        <v>-5761183.333333333</v>
      </c>
      <c r="H46" s="10">
        <f t="shared" si="5"/>
        <v>71873546.452171326</v>
      </c>
    </row>
    <row r="47" spans="1:8">
      <c r="A47" s="93">
        <v>45839</v>
      </c>
      <c r="B47" s="10">
        <f t="shared" si="6"/>
        <v>67254924.441590741</v>
      </c>
      <c r="C47" s="8">
        <f t="shared" si="1"/>
        <v>5173455.7262762021</v>
      </c>
      <c r="D47" s="10">
        <f t="shared" si="2"/>
        <v>62081468.715314537</v>
      </c>
      <c r="E47" s="10">
        <f t="shared" si="7"/>
        <v>71873546.452171326</v>
      </c>
      <c r="F47" s="10">
        <f t="shared" si="3"/>
        <v>426641.37174008903</v>
      </c>
      <c r="G47" s="10">
        <f t="shared" si="4"/>
        <v>-5761183.333333333</v>
      </c>
      <c r="H47" s="10">
        <f t="shared" si="5"/>
        <v>66539004.490578078</v>
      </c>
    </row>
    <row r="48" spans="1:8">
      <c r="A48" s="93">
        <v>45870</v>
      </c>
      <c r="B48" s="10">
        <f t="shared" si="6"/>
        <v>62081468.715314537</v>
      </c>
      <c r="C48" s="8">
        <f t="shared" si="1"/>
        <v>5173455.7262762021</v>
      </c>
      <c r="D48" s="10">
        <f t="shared" si="2"/>
        <v>56908012.989038333</v>
      </c>
      <c r="E48" s="10">
        <f t="shared" si="7"/>
        <v>66539004.490578078</v>
      </c>
      <c r="F48" s="10">
        <f t="shared" si="3"/>
        <v>394975.5306560715</v>
      </c>
      <c r="G48" s="10">
        <f t="shared" si="4"/>
        <v>-5761183.333333333</v>
      </c>
      <c r="H48" s="10">
        <f t="shared" si="5"/>
        <v>61172796.687900811</v>
      </c>
    </row>
    <row r="49" spans="1:8">
      <c r="A49" s="93">
        <v>45901</v>
      </c>
      <c r="B49" s="10">
        <f t="shared" si="6"/>
        <v>56908012.989038333</v>
      </c>
      <c r="C49" s="8">
        <f t="shared" si="1"/>
        <v>5173455.7262762021</v>
      </c>
      <c r="D49" s="10">
        <f t="shared" si="2"/>
        <v>51734557.262762129</v>
      </c>
      <c r="E49" s="10">
        <f t="shared" si="7"/>
        <v>61172796.687900811</v>
      </c>
      <c r="F49" s="10">
        <f t="shared" si="3"/>
        <v>363121.72113937925</v>
      </c>
      <c r="G49" s="10">
        <f t="shared" si="4"/>
        <v>-5761183.333333333</v>
      </c>
      <c r="H49" s="10">
        <f t="shared" si="5"/>
        <v>55774735.075706854</v>
      </c>
    </row>
    <row r="50" spans="1:8">
      <c r="A50" s="93">
        <v>45931</v>
      </c>
      <c r="B50" s="10">
        <f t="shared" si="6"/>
        <v>51734557.262762129</v>
      </c>
      <c r="C50" s="8">
        <f t="shared" si="1"/>
        <v>5173455.7262762021</v>
      </c>
      <c r="D50" s="10">
        <f t="shared" si="2"/>
        <v>46561101.536485925</v>
      </c>
      <c r="E50" s="10">
        <f t="shared" si="7"/>
        <v>55774735.075706854</v>
      </c>
      <c r="F50" s="10">
        <f t="shared" si="3"/>
        <v>331078.82740939589</v>
      </c>
      <c r="G50" s="10">
        <f t="shared" si="4"/>
        <v>-5761183.333333333</v>
      </c>
      <c r="H50" s="10">
        <f t="shared" si="5"/>
        <v>50344630.569782913</v>
      </c>
    </row>
    <row r="51" spans="1:8">
      <c r="A51" s="93">
        <v>45962</v>
      </c>
      <c r="B51" s="10">
        <f t="shared" si="6"/>
        <v>46561101.536485925</v>
      </c>
      <c r="C51" s="8">
        <f t="shared" si="1"/>
        <v>5173455.7262762021</v>
      </c>
      <c r="D51" s="10">
        <f t="shared" si="2"/>
        <v>41387645.810209721</v>
      </c>
      <c r="E51" s="10">
        <f t="shared" si="7"/>
        <v>50344630.569782913</v>
      </c>
      <c r="F51" s="10">
        <f t="shared" si="3"/>
        <v>298845.7270622314</v>
      </c>
      <c r="G51" s="10">
        <f t="shared" si="4"/>
        <v>-5761183.333333333</v>
      </c>
      <c r="H51" s="10">
        <f t="shared" si="5"/>
        <v>44882292.96351181</v>
      </c>
    </row>
    <row r="52" spans="1:8">
      <c r="A52" s="93">
        <v>45992</v>
      </c>
      <c r="B52" s="10">
        <f t="shared" si="6"/>
        <v>41387645.810209721</v>
      </c>
      <c r="C52" s="8">
        <f t="shared" si="1"/>
        <v>5173455.7262762021</v>
      </c>
      <c r="D52" s="10">
        <f t="shared" si="2"/>
        <v>36214190.083933517</v>
      </c>
      <c r="E52" s="10">
        <f t="shared" si="7"/>
        <v>44882292.96351181</v>
      </c>
      <c r="F52" s="10">
        <f t="shared" si="3"/>
        <v>266421.29103140614</v>
      </c>
      <c r="G52" s="10">
        <f t="shared" si="4"/>
        <v>-5761183.333333333</v>
      </c>
      <c r="H52" s="10">
        <f t="shared" si="5"/>
        <v>39387530.921209879</v>
      </c>
    </row>
    <row r="53" spans="1:8">
      <c r="A53" s="93">
        <v>46023</v>
      </c>
      <c r="B53" s="10">
        <f t="shared" si="6"/>
        <v>36214190.083933517</v>
      </c>
      <c r="C53" s="8">
        <f t="shared" si="1"/>
        <v>5173455.7262762021</v>
      </c>
      <c r="D53" s="10">
        <f t="shared" si="2"/>
        <v>31040734.357657313</v>
      </c>
      <c r="E53" s="10">
        <f t="shared" si="7"/>
        <v>39387530.921209879</v>
      </c>
      <c r="F53" s="10">
        <f t="shared" si="3"/>
        <v>233804.38354830185</v>
      </c>
      <c r="G53" s="10">
        <f t="shared" si="4"/>
        <v>-5761183.333333333</v>
      </c>
      <c r="H53" s="10">
        <f t="shared" si="5"/>
        <v>33860151.971424848</v>
      </c>
    </row>
    <row r="54" spans="1:8">
      <c r="A54" s="93">
        <v>46054</v>
      </c>
      <c r="B54" s="10">
        <f t="shared" si="6"/>
        <v>31040734.357657313</v>
      </c>
      <c r="C54" s="8">
        <f t="shared" si="1"/>
        <v>5173455.7262762021</v>
      </c>
      <c r="D54" s="10">
        <f t="shared" si="2"/>
        <v>25867278.631381109</v>
      </c>
      <c r="E54" s="10">
        <f t="shared" si="7"/>
        <v>33860151.971424848</v>
      </c>
      <c r="F54" s="10">
        <f t="shared" si="3"/>
        <v>200993.8621023779</v>
      </c>
      <c r="G54" s="10">
        <f t="shared" si="4"/>
        <v>-5761183.333333333</v>
      </c>
      <c r="H54" s="10">
        <f t="shared" si="5"/>
        <v>28299962.50019389</v>
      </c>
    </row>
    <row r="55" spans="1:8">
      <c r="A55" s="93">
        <v>46082</v>
      </c>
      <c r="B55" s="10">
        <f t="shared" si="6"/>
        <v>25867278.631381109</v>
      </c>
      <c r="C55" s="8">
        <f t="shared" si="1"/>
        <v>5173455.7262762021</v>
      </c>
      <c r="D55" s="10">
        <f t="shared" si="2"/>
        <v>20693822.905104905</v>
      </c>
      <c r="E55" s="10">
        <f t="shared" si="7"/>
        <v>28299962.50019389</v>
      </c>
      <c r="F55" s="10">
        <f t="shared" si="3"/>
        <v>167988.57740115095</v>
      </c>
      <c r="G55" s="10">
        <f t="shared" si="4"/>
        <v>-5761183.333333333</v>
      </c>
      <c r="H55" s="10">
        <f t="shared" si="5"/>
        <v>22706767.744261708</v>
      </c>
    </row>
    <row r="56" spans="1:8">
      <c r="A56" s="93">
        <v>46113</v>
      </c>
      <c r="B56" s="10">
        <f t="shared" si="6"/>
        <v>20693822.905104905</v>
      </c>
      <c r="C56" s="8">
        <f t="shared" si="1"/>
        <v>5173455.7262762021</v>
      </c>
      <c r="D56" s="10">
        <f t="shared" si="2"/>
        <v>15520367.178828703</v>
      </c>
      <c r="E56" s="10">
        <f t="shared" si="7"/>
        <v>22706767.744261708</v>
      </c>
      <c r="F56" s="10">
        <f t="shared" si="3"/>
        <v>134787.37332993752</v>
      </c>
      <c r="G56" s="10">
        <f t="shared" si="4"/>
        <v>-5761183.333333333</v>
      </c>
      <c r="H56" s="10">
        <f t="shared" si="5"/>
        <v>17080371.784258313</v>
      </c>
    </row>
    <row r="57" spans="1:8">
      <c r="A57" s="93">
        <v>46143</v>
      </c>
      <c r="B57" s="10">
        <f t="shared" si="6"/>
        <v>15520367.178828703</v>
      </c>
      <c r="C57" s="8">
        <f t="shared" si="1"/>
        <v>5173455.7262762021</v>
      </c>
      <c r="D57" s="10">
        <f t="shared" si="2"/>
        <v>10346911.452552501</v>
      </c>
      <c r="E57" s="10">
        <f t="shared" si="7"/>
        <v>17080371.784258313</v>
      </c>
      <c r="F57" s="10">
        <f t="shared" si="3"/>
        <v>101389.08691135736</v>
      </c>
      <c r="G57" s="10">
        <f t="shared" si="4"/>
        <v>-5761183.333333333</v>
      </c>
      <c r="H57" s="10">
        <f t="shared" si="5"/>
        <v>11420577.537836339</v>
      </c>
    </row>
    <row r="58" spans="1:8">
      <c r="A58" s="93">
        <v>46174</v>
      </c>
      <c r="B58" s="10">
        <f t="shared" si="6"/>
        <v>10346911.452552501</v>
      </c>
      <c r="C58" s="8">
        <f t="shared" si="1"/>
        <v>5173455.7262762021</v>
      </c>
      <c r="D58" s="10">
        <f t="shared" si="2"/>
        <v>5173455.726276299</v>
      </c>
      <c r="E58" s="10">
        <f t="shared" si="7"/>
        <v>11420577.537836339</v>
      </c>
      <c r="F58" s="10">
        <f t="shared" si="3"/>
        <v>67792.548264596509</v>
      </c>
      <c r="G58" s="10">
        <f t="shared" si="4"/>
        <v>-5761183.333333333</v>
      </c>
      <c r="H58" s="10">
        <f t="shared" si="5"/>
        <v>5727186.7527676029</v>
      </c>
    </row>
    <row r="59" spans="1:8">
      <c r="A59" s="93">
        <v>46204</v>
      </c>
      <c r="B59" s="10">
        <f t="shared" si="6"/>
        <v>5173455.726276299</v>
      </c>
      <c r="C59" s="8">
        <f t="shared" si="1"/>
        <v>5173455.7262762021</v>
      </c>
      <c r="D59" s="10">
        <f t="shared" si="2"/>
        <v>9.6857547760009766E-8</v>
      </c>
      <c r="E59" s="10">
        <f t="shared" si="7"/>
        <v>5727186.7527676029</v>
      </c>
      <c r="F59" s="10">
        <f t="shared" si="3"/>
        <v>33996.580564428492</v>
      </c>
      <c r="G59" s="10">
        <f t="shared" si="4"/>
        <v>-5761183.333333333</v>
      </c>
      <c r="H59" s="10">
        <f t="shared" si="5"/>
        <v>-1.301988959312439E-6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364C3-3CED-4E52-9384-EB25AEEC36CF}">
  <dimension ref="A1:N28"/>
  <sheetViews>
    <sheetView showGridLines="0" zoomScale="80" zoomScaleNormal="80" workbookViewId="0">
      <selection activeCell="A3" sqref="A3"/>
    </sheetView>
  </sheetViews>
  <sheetFormatPr defaultColWidth="8.796875" defaultRowHeight="13.3"/>
  <cols>
    <col min="1" max="1" width="37.796875" style="2" customWidth="1"/>
    <col min="2" max="3" width="16.5" style="2" customWidth="1"/>
    <col min="4" max="4" width="13.19921875" style="2" customWidth="1"/>
    <col min="5" max="5" width="11.796875" style="2" bestFit="1" customWidth="1"/>
    <col min="6" max="6" width="10.5" style="2" bestFit="1" customWidth="1"/>
    <col min="7" max="7" width="28.19921875" style="2" bestFit="1" customWidth="1"/>
    <col min="8" max="8" width="10.3984375" style="2" bestFit="1" customWidth="1"/>
    <col min="9" max="9" width="9" style="2" bestFit="1" customWidth="1"/>
    <col min="10" max="10" width="10.796875" style="2" bestFit="1" customWidth="1"/>
    <col min="11" max="16384" width="8.796875" style="2"/>
  </cols>
  <sheetData>
    <row r="1" spans="1:14">
      <c r="A1" s="14" t="e">
        <f>Scope!#REF!</f>
        <v>#REF!</v>
      </c>
    </row>
    <row r="2" spans="1:14">
      <c r="A2" s="14" t="e">
        <f>Scope!#REF!</f>
        <v>#REF!</v>
      </c>
    </row>
    <row r="3" spans="1:14">
      <c r="A3" s="14" t="e">
        <f>Scope!#REF!</f>
        <v>#REF!</v>
      </c>
    </row>
    <row r="5" spans="1:14">
      <c r="A5" s="14" t="str">
        <f>Scope!A2</f>
        <v xml:space="preserve">Purpose </v>
      </c>
    </row>
    <row r="6" spans="1:14">
      <c r="A6" s="2" t="s">
        <v>188</v>
      </c>
    </row>
    <row r="8" spans="1:14">
      <c r="A8" s="14" t="s">
        <v>191</v>
      </c>
    </row>
    <row r="9" spans="1:14" ht="135" customHeight="1">
      <c r="A9" s="381" t="s">
        <v>189</v>
      </c>
      <c r="B9" s="381"/>
      <c r="C9" s="381"/>
      <c r="D9" s="381"/>
      <c r="E9" s="381"/>
      <c r="F9" s="381"/>
      <c r="G9" s="381"/>
      <c r="H9" s="381"/>
      <c r="I9" s="381"/>
      <c r="J9" s="381"/>
      <c r="K9" s="381"/>
      <c r="L9" s="381"/>
      <c r="M9" s="381"/>
      <c r="N9" s="381"/>
    </row>
    <row r="10" spans="1:14">
      <c r="A10" s="14" t="s">
        <v>22</v>
      </c>
    </row>
    <row r="11" spans="1:14">
      <c r="A11" s="2" t="s">
        <v>190</v>
      </c>
      <c r="N11" s="2" t="s">
        <v>196</v>
      </c>
    </row>
    <row r="13" spans="1:14" ht="14.4">
      <c r="A13" s="319" t="s">
        <v>24</v>
      </c>
      <c r="B13" s="109" t="s">
        <v>193</v>
      </c>
      <c r="C13" s="109" t="s">
        <v>194</v>
      </c>
      <c r="D13" s="109" t="s">
        <v>30</v>
      </c>
      <c r="E13"/>
      <c r="F13"/>
    </row>
    <row r="14" spans="1:14" ht="14.4">
      <c r="A14" s="9" t="s">
        <v>440</v>
      </c>
      <c r="B14" s="8">
        <v>20418501.709748462</v>
      </c>
      <c r="C14" s="8">
        <v>7292169.1329469485</v>
      </c>
      <c r="D14" s="318">
        <f>SUM(B14:C14)</f>
        <v>27710670.842695411</v>
      </c>
      <c r="E14"/>
      <c r="F14"/>
    </row>
    <row r="15" spans="1:14" ht="14.4">
      <c r="A15" s="9" t="s">
        <v>192</v>
      </c>
      <c r="B15" s="8">
        <f>B14*'OCL 64418-1'!B14</f>
        <v>1470132.1231018894</v>
      </c>
      <c r="C15" s="8">
        <f>C14*'OCL 64418-2'!B14</f>
        <v>525036.1775721804</v>
      </c>
      <c r="D15" s="318">
        <f t="shared" ref="D15:D16" si="0">SUM(B15:C15)</f>
        <v>1995168.3006740697</v>
      </c>
      <c r="E15"/>
      <c r="F15"/>
    </row>
    <row r="16" spans="1:14" ht="14.4">
      <c r="A16" s="9" t="s">
        <v>441</v>
      </c>
      <c r="B16" s="10">
        <f>B14+B15</f>
        <v>21888633.832850352</v>
      </c>
      <c r="C16" s="10">
        <f>C14+C15</f>
        <v>7817205.310519129</v>
      </c>
      <c r="D16" s="318">
        <f t="shared" si="0"/>
        <v>29705839.143369481</v>
      </c>
      <c r="E16"/>
      <c r="F16"/>
    </row>
    <row r="17" spans="1:6" ht="14.4">
      <c r="B17" s="11"/>
      <c r="E17"/>
      <c r="F17"/>
    </row>
    <row r="18" spans="1:6" ht="14.4">
      <c r="A18" s="319" t="s">
        <v>24</v>
      </c>
      <c r="B18" s="109" t="s">
        <v>193</v>
      </c>
      <c r="C18" s="109" t="s">
        <v>194</v>
      </c>
      <c r="D18" s="109" t="s">
        <v>30</v>
      </c>
      <c r="E18"/>
      <c r="F18"/>
    </row>
    <row r="19" spans="1:6" ht="25.5" customHeight="1">
      <c r="A19" s="9" t="s">
        <v>440</v>
      </c>
      <c r="B19" s="8">
        <v>6316713.7982753944</v>
      </c>
      <c r="C19" s="8">
        <v>2280823.3355943477</v>
      </c>
      <c r="D19" s="318">
        <f t="shared" ref="D19:D21" si="1">SUM(B19:C19)</f>
        <v>8597537.1338697411</v>
      </c>
      <c r="E19"/>
      <c r="F19"/>
    </row>
    <row r="20" spans="1:6" ht="14.4">
      <c r="A20" s="9" t="s">
        <v>133</v>
      </c>
      <c r="B20" s="8">
        <f>7952890.2*(12/'OCL 64418-1'!B20)</f>
        <v>1636176.3986509275</v>
      </c>
      <c r="C20" s="8">
        <f>2528474.14276995*(12/'OCL 64418-2'!B20)</f>
        <v>594361.93722145259</v>
      </c>
      <c r="D20" s="318">
        <f t="shared" si="1"/>
        <v>2230538.3358723801</v>
      </c>
      <c r="E20"/>
      <c r="F20"/>
    </row>
    <row r="21" spans="1:6" ht="14.4">
      <c r="A21" s="9" t="s">
        <v>441</v>
      </c>
      <c r="B21" s="186">
        <f>B19-B20</f>
        <v>4680537.3996244669</v>
      </c>
      <c r="C21" s="186">
        <f t="shared" ref="C21" si="2">C19-C20</f>
        <v>1686461.3983728951</v>
      </c>
      <c r="D21" s="318">
        <f t="shared" si="1"/>
        <v>6366998.797997362</v>
      </c>
      <c r="E21"/>
      <c r="F21"/>
    </row>
    <row r="22" spans="1:6">
      <c r="A22" s="198"/>
      <c r="B22" s="198"/>
      <c r="C22" s="198"/>
      <c r="D22" s="199"/>
      <c r="E22" s="199"/>
      <c r="F22" s="199"/>
    </row>
    <row r="23" spans="1:6">
      <c r="A23" s="198"/>
      <c r="B23" s="198"/>
      <c r="C23" s="198"/>
      <c r="D23" s="199"/>
      <c r="E23" s="199"/>
      <c r="F23" s="199"/>
    </row>
    <row r="24" spans="1:6">
      <c r="C24" s="11"/>
    </row>
    <row r="25" spans="1:6">
      <c r="A25" s="14" t="s">
        <v>443</v>
      </c>
    </row>
    <row r="26" spans="1:6">
      <c r="A26" s="2" t="s">
        <v>192</v>
      </c>
      <c r="B26" s="11">
        <f>D15</f>
        <v>1995168.3006740697</v>
      </c>
      <c r="C26" s="2" t="s">
        <v>195</v>
      </c>
    </row>
    <row r="27" spans="1:6">
      <c r="A27" s="2" t="s">
        <v>133</v>
      </c>
      <c r="B27" s="11">
        <f>D20</f>
        <v>2230538.3358723801</v>
      </c>
      <c r="C27" s="2" t="s">
        <v>195</v>
      </c>
    </row>
    <row r="28" spans="1:6">
      <c r="C28" s="11"/>
    </row>
  </sheetData>
  <mergeCells count="1">
    <mergeCell ref="A9:N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8286-F1BB-48B2-9F5D-856FBA4549E6}">
  <dimension ref="A1:H109"/>
  <sheetViews>
    <sheetView topLeftCell="A13" workbookViewId="0">
      <selection activeCell="E27" sqref="A27:XFD27"/>
    </sheetView>
  </sheetViews>
  <sheetFormatPr defaultColWidth="8.796875" defaultRowHeight="13.3"/>
  <cols>
    <col min="1" max="1" width="17.796875" style="2" customWidth="1"/>
    <col min="2" max="2" width="16.19921875" style="2" customWidth="1"/>
    <col min="3" max="3" width="17.796875" style="2" customWidth="1"/>
    <col min="4" max="4" width="20.59765625" style="2" customWidth="1"/>
    <col min="5" max="5" width="18.59765625" style="2" customWidth="1"/>
    <col min="6" max="6" width="17.3984375" style="2" customWidth="1"/>
    <col min="7" max="7" width="15.19921875" style="2" bestFit="1" customWidth="1"/>
    <col min="8" max="16384" width="8.796875" style="2"/>
  </cols>
  <sheetData>
    <row r="1" spans="1:8" ht="21.05" customHeight="1">
      <c r="B1" s="189" t="s">
        <v>108</v>
      </c>
      <c r="C1" s="227"/>
      <c r="D1" s="228"/>
      <c r="E1" s="228"/>
      <c r="F1" s="229"/>
    </row>
    <row r="2" spans="1:8" ht="21.05" customHeight="1">
      <c r="B2" s="337"/>
      <c r="C2" s="338"/>
      <c r="D2" s="338"/>
      <c r="E2" s="338"/>
      <c r="F2" s="338"/>
    </row>
    <row r="3" spans="1:8" ht="21.05" customHeight="1">
      <c r="A3" s="191" t="s">
        <v>212</v>
      </c>
      <c r="C3" s="191" t="s">
        <v>345</v>
      </c>
      <c r="D3" s="241"/>
      <c r="E3" s="230"/>
      <c r="F3" s="231"/>
    </row>
    <row r="4" spans="1:8" ht="21.05" customHeight="1">
      <c r="A4" s="189"/>
      <c r="B4" s="189"/>
      <c r="C4" s="191"/>
      <c r="D4" s="232"/>
      <c r="E4" s="232"/>
      <c r="F4" s="191"/>
      <c r="G4" s="9"/>
    </row>
    <row r="5" spans="1:8" ht="34.5" customHeight="1">
      <c r="A5" s="233" t="s">
        <v>215</v>
      </c>
      <c r="B5" s="233" t="s">
        <v>216</v>
      </c>
      <c r="C5" s="234" t="s">
        <v>217</v>
      </c>
      <c r="D5" s="235" t="s">
        <v>218</v>
      </c>
      <c r="E5" s="194" t="s">
        <v>219</v>
      </c>
      <c r="F5" s="236" t="s">
        <v>220</v>
      </c>
      <c r="G5" s="236" t="s">
        <v>221</v>
      </c>
    </row>
    <row r="6" spans="1:8">
      <c r="A6" s="237" t="s">
        <v>222</v>
      </c>
      <c r="B6" s="237">
        <v>4.4800000000000004</v>
      </c>
      <c r="C6" s="238">
        <v>45232</v>
      </c>
      <c r="D6" s="239">
        <v>99.464799999999997</v>
      </c>
      <c r="E6" s="239">
        <v>6.6365999999999996</v>
      </c>
      <c r="F6" s="237"/>
      <c r="G6" s="237"/>
    </row>
    <row r="7" spans="1:8">
      <c r="A7" s="237" t="s">
        <v>223</v>
      </c>
      <c r="B7" s="237">
        <v>8.83</v>
      </c>
      <c r="C7" s="238">
        <v>45255</v>
      </c>
      <c r="D7" s="239">
        <v>100.59439999999999</v>
      </c>
      <c r="E7" s="239">
        <v>6.8273000000000001</v>
      </c>
      <c r="F7" s="237"/>
      <c r="G7" s="237"/>
    </row>
    <row r="8" spans="1:8">
      <c r="A8" s="237" t="s">
        <v>224</v>
      </c>
      <c r="B8" s="237">
        <v>4.5599999999999996</v>
      </c>
      <c r="C8" s="238">
        <v>45259</v>
      </c>
      <c r="D8" s="239">
        <v>99.341899999999995</v>
      </c>
      <c r="E8" s="239">
        <v>6.6132999999999997</v>
      </c>
      <c r="F8" s="237"/>
      <c r="G8" s="237"/>
    </row>
    <row r="9" spans="1:8">
      <c r="A9" s="237" t="s">
        <v>225</v>
      </c>
      <c r="B9" s="237">
        <v>7.68</v>
      </c>
      <c r="C9" s="238">
        <v>45275</v>
      </c>
      <c r="D9" s="239">
        <v>100.2959</v>
      </c>
      <c r="E9" s="239">
        <v>6.8208000000000002</v>
      </c>
      <c r="F9" s="237"/>
      <c r="G9" s="237"/>
    </row>
    <row r="10" spans="1:8">
      <c r="A10" s="237" t="s">
        <v>226</v>
      </c>
      <c r="B10" s="237">
        <v>7.32</v>
      </c>
      <c r="C10" s="238">
        <v>45319</v>
      </c>
      <c r="D10" s="239">
        <v>100.2109</v>
      </c>
      <c r="E10" s="239">
        <v>6.8712</v>
      </c>
      <c r="F10" s="237"/>
      <c r="G10" s="237"/>
    </row>
    <row r="11" spans="1:8">
      <c r="A11" s="237" t="s">
        <v>227</v>
      </c>
      <c r="B11" s="237">
        <v>7.35</v>
      </c>
      <c r="C11" s="238">
        <v>45465</v>
      </c>
      <c r="D11" s="239">
        <v>100.3745</v>
      </c>
      <c r="E11" s="239">
        <v>6.8958000000000004</v>
      </c>
      <c r="F11" s="237"/>
      <c r="G11" s="237"/>
    </row>
    <row r="12" spans="1:8">
      <c r="A12" s="237" t="s">
        <v>228</v>
      </c>
      <c r="B12" s="237">
        <v>6.69</v>
      </c>
      <c r="C12" s="238">
        <v>45470</v>
      </c>
      <c r="D12" s="239">
        <v>99.812799999999996</v>
      </c>
      <c r="E12" s="239">
        <v>6.8971999999999998</v>
      </c>
      <c r="F12" s="237"/>
      <c r="G12" s="237"/>
    </row>
    <row r="13" spans="1:8">
      <c r="A13" s="237" t="s">
        <v>229</v>
      </c>
      <c r="B13" s="237">
        <v>8.4</v>
      </c>
      <c r="C13" s="238">
        <v>45501</v>
      </c>
      <c r="D13" s="239">
        <v>101.3325</v>
      </c>
      <c r="E13" s="239">
        <v>6.9804000000000004</v>
      </c>
      <c r="F13" s="237"/>
      <c r="G13" s="237"/>
    </row>
    <row r="14" spans="1:8">
      <c r="A14" s="237" t="s">
        <v>230</v>
      </c>
      <c r="B14" s="237">
        <v>6.18</v>
      </c>
      <c r="C14" s="238">
        <v>45600</v>
      </c>
      <c r="D14" s="239">
        <v>99.083100000000002</v>
      </c>
      <c r="E14" s="239">
        <v>6.9440999999999997</v>
      </c>
      <c r="F14" s="237"/>
      <c r="G14" s="237"/>
    </row>
    <row r="15" spans="1:8">
      <c r="A15" s="237" t="s">
        <v>231</v>
      </c>
      <c r="B15" s="237">
        <v>9.15</v>
      </c>
      <c r="C15" s="238">
        <v>45610</v>
      </c>
      <c r="D15" s="239">
        <v>102.4791</v>
      </c>
      <c r="E15" s="239">
        <v>7.0789999999999997</v>
      </c>
      <c r="F15" s="237"/>
      <c r="G15" s="237"/>
    </row>
    <row r="16" spans="1:8">
      <c r="A16" s="237" t="s">
        <v>232</v>
      </c>
      <c r="B16" s="237">
        <v>6.89</v>
      </c>
      <c r="C16" s="238">
        <v>45673</v>
      </c>
      <c r="D16" s="240">
        <v>99.82</v>
      </c>
      <c r="E16" s="240">
        <v>7.0186999999999999</v>
      </c>
      <c r="F16" s="237" t="s">
        <v>243</v>
      </c>
      <c r="G16" s="237"/>
      <c r="H16" s="2" t="s">
        <v>241</v>
      </c>
    </row>
    <row r="17" spans="1:8">
      <c r="A17" s="237" t="s">
        <v>233</v>
      </c>
      <c r="B17" s="237">
        <v>7.72</v>
      </c>
      <c r="C17" s="238">
        <v>45802</v>
      </c>
      <c r="D17" s="240">
        <v>101.0714</v>
      </c>
      <c r="E17" s="240">
        <v>7.0709</v>
      </c>
      <c r="F17" s="237"/>
      <c r="G17" s="237"/>
      <c r="H17" s="2" t="s">
        <v>241</v>
      </c>
    </row>
    <row r="18" spans="1:8">
      <c r="A18" s="237" t="s">
        <v>234</v>
      </c>
      <c r="B18" s="237">
        <v>5.22</v>
      </c>
      <c r="C18" s="238">
        <v>45823</v>
      </c>
      <c r="D18" s="240">
        <v>96.853200000000001</v>
      </c>
      <c r="E18" s="240">
        <v>7.0408999999999997</v>
      </c>
      <c r="F18" s="237" t="s">
        <v>243</v>
      </c>
      <c r="G18" s="237"/>
      <c r="H18" s="2" t="s">
        <v>241</v>
      </c>
    </row>
    <row r="19" spans="1:8">
      <c r="A19" s="237" t="s">
        <v>235</v>
      </c>
      <c r="B19" s="237">
        <v>8.1999999999999993</v>
      </c>
      <c r="C19" s="238">
        <v>45924</v>
      </c>
      <c r="D19" s="239">
        <v>102.2967</v>
      </c>
      <c r="E19" s="239">
        <v>7.0202999999999998</v>
      </c>
      <c r="F19" s="237"/>
      <c r="G19" s="237"/>
    </row>
    <row r="20" spans="1:8">
      <c r="A20" s="237" t="s">
        <v>236</v>
      </c>
      <c r="B20" s="237">
        <v>5.97</v>
      </c>
      <c r="C20" s="238">
        <v>45925</v>
      </c>
      <c r="D20" s="239">
        <v>97.735200000000006</v>
      </c>
      <c r="E20" s="239">
        <v>7.1204999999999998</v>
      </c>
      <c r="F20" s="237"/>
      <c r="G20" s="237"/>
    </row>
    <row r="21" spans="1:8">
      <c r="A21" s="237" t="s">
        <v>237</v>
      </c>
      <c r="B21" s="237">
        <v>5.15</v>
      </c>
      <c r="C21" s="238">
        <v>45970</v>
      </c>
      <c r="D21" s="239">
        <v>96.074200000000005</v>
      </c>
      <c r="E21" s="239">
        <v>7.0467000000000004</v>
      </c>
      <c r="F21" s="237"/>
      <c r="G21" s="237"/>
    </row>
    <row r="22" spans="1:8">
      <c r="A22" s="237" t="s">
        <v>238</v>
      </c>
      <c r="B22" s="237">
        <v>7.59</v>
      </c>
      <c r="C22" s="238">
        <v>46033</v>
      </c>
      <c r="D22" s="239">
        <v>101.08759999999999</v>
      </c>
      <c r="E22" s="239">
        <v>7.0940000000000003</v>
      </c>
      <c r="F22" s="237"/>
      <c r="G22" s="237" t="s">
        <v>239</v>
      </c>
    </row>
    <row r="23" spans="1:8">
      <c r="A23" s="237" t="s">
        <v>240</v>
      </c>
      <c r="B23" s="237">
        <v>7.27</v>
      </c>
      <c r="C23" s="238">
        <v>46120</v>
      </c>
      <c r="D23" s="239">
        <v>100.34610000000001</v>
      </c>
      <c r="E23" s="239">
        <v>7.1199000000000003</v>
      </c>
      <c r="F23" s="237"/>
      <c r="G23" s="237"/>
    </row>
    <row r="24" spans="1:8">
      <c r="A24" s="237" t="s">
        <v>242</v>
      </c>
      <c r="B24" s="237">
        <v>5.63</v>
      </c>
      <c r="C24" s="238">
        <v>46124</v>
      </c>
      <c r="D24" s="240">
        <v>96.454400000000007</v>
      </c>
      <c r="E24" s="240">
        <v>7.0940000000000003</v>
      </c>
      <c r="F24" s="237" t="s">
        <v>243</v>
      </c>
      <c r="G24" s="237"/>
      <c r="H24" s="2" t="s">
        <v>241</v>
      </c>
    </row>
    <row r="25" spans="1:8">
      <c r="A25" s="237" t="s">
        <v>244</v>
      </c>
      <c r="B25" s="237">
        <v>6.99</v>
      </c>
      <c r="C25" s="238">
        <v>46129</v>
      </c>
      <c r="D25" s="240">
        <v>99.720100000000002</v>
      </c>
      <c r="E25" s="240">
        <v>7.0993000000000004</v>
      </c>
      <c r="F25" s="237"/>
      <c r="G25" s="237"/>
      <c r="H25" s="2" t="s">
        <v>241</v>
      </c>
    </row>
    <row r="26" spans="1:8">
      <c r="A26" s="237" t="s">
        <v>245</v>
      </c>
      <c r="B26" s="237">
        <v>8.33</v>
      </c>
      <c r="C26" s="238">
        <v>46212</v>
      </c>
      <c r="D26" s="239">
        <v>103.124</v>
      </c>
      <c r="E26" s="239">
        <v>7.1288999999999998</v>
      </c>
      <c r="F26" s="237"/>
      <c r="G26" s="237"/>
    </row>
    <row r="27" spans="1:8">
      <c r="A27" s="237" t="s">
        <v>246</v>
      </c>
      <c r="B27" s="237">
        <v>6.97</v>
      </c>
      <c r="C27" s="238">
        <v>46271</v>
      </c>
      <c r="D27" s="239">
        <v>99.571700000000007</v>
      </c>
      <c r="E27" s="239">
        <v>7.1231999999999998</v>
      </c>
      <c r="F27" s="237"/>
      <c r="G27" s="237"/>
    </row>
    <row r="28" spans="1:8">
      <c r="A28" s="237" t="s">
        <v>247</v>
      </c>
      <c r="B28" s="237">
        <v>10.18</v>
      </c>
      <c r="C28" s="238">
        <v>46276</v>
      </c>
      <c r="D28" s="239">
        <v>108.3634</v>
      </c>
      <c r="E28" s="239">
        <v>7.1273</v>
      </c>
      <c r="F28" s="237"/>
      <c r="G28" s="237"/>
    </row>
    <row r="29" spans="1:8">
      <c r="A29" s="237" t="s">
        <v>248</v>
      </c>
      <c r="B29" s="237">
        <v>5.74</v>
      </c>
      <c r="C29" s="238">
        <v>46341</v>
      </c>
      <c r="D29" s="240">
        <v>96.022499999999994</v>
      </c>
      <c r="E29" s="240">
        <v>7.1144999999999996</v>
      </c>
      <c r="F29" s="237" t="s">
        <v>243</v>
      </c>
      <c r="G29" s="237"/>
      <c r="H29" s="2" t="s">
        <v>241</v>
      </c>
    </row>
    <row r="30" spans="1:8">
      <c r="A30" s="237" t="s">
        <v>249</v>
      </c>
      <c r="B30" s="237">
        <v>8.15</v>
      </c>
      <c r="C30" s="238">
        <v>46350</v>
      </c>
      <c r="D30" s="239">
        <v>102.9259</v>
      </c>
      <c r="E30" s="239">
        <v>7.1364000000000001</v>
      </c>
      <c r="F30" s="237"/>
      <c r="G30" s="237"/>
    </row>
    <row r="31" spans="1:8">
      <c r="A31" s="237" t="s">
        <v>250</v>
      </c>
      <c r="B31" s="237">
        <v>8.24</v>
      </c>
      <c r="C31" s="238">
        <v>46433</v>
      </c>
      <c r="D31" s="239">
        <v>103.3424</v>
      </c>
      <c r="E31" s="239">
        <v>7.1519000000000004</v>
      </c>
      <c r="F31" s="237"/>
      <c r="G31" s="237"/>
    </row>
    <row r="32" spans="1:8">
      <c r="A32" s="237" t="s">
        <v>251</v>
      </c>
      <c r="B32" s="237">
        <v>6.79</v>
      </c>
      <c r="C32" s="238">
        <v>46522</v>
      </c>
      <c r="D32" s="239">
        <v>98.807900000000004</v>
      </c>
      <c r="E32" s="239">
        <v>7.1505000000000001</v>
      </c>
      <c r="F32" s="237"/>
      <c r="G32" s="237"/>
    </row>
    <row r="33" spans="1:8">
      <c r="A33" s="237" t="s">
        <v>252</v>
      </c>
      <c r="B33" s="237">
        <v>7.38</v>
      </c>
      <c r="C33" s="238">
        <v>46558</v>
      </c>
      <c r="D33" s="240">
        <v>100.8193</v>
      </c>
      <c r="E33" s="240">
        <v>7.1313000000000004</v>
      </c>
      <c r="F33" s="237" t="s">
        <v>243</v>
      </c>
      <c r="G33" s="237"/>
      <c r="H33" s="2" t="s">
        <v>241</v>
      </c>
    </row>
    <row r="34" spans="1:8">
      <c r="A34" s="237" t="s">
        <v>253</v>
      </c>
      <c r="B34" s="237">
        <v>8.26</v>
      </c>
      <c r="C34" s="238">
        <v>46601</v>
      </c>
      <c r="D34" s="239">
        <v>103.8814</v>
      </c>
      <c r="E34" s="239">
        <v>7.1276999999999999</v>
      </c>
      <c r="F34" s="237"/>
      <c r="G34" s="237"/>
    </row>
    <row r="35" spans="1:8">
      <c r="A35" s="237" t="s">
        <v>254</v>
      </c>
      <c r="B35" s="237">
        <v>8.2799999999999994</v>
      </c>
      <c r="C35" s="238">
        <v>46651</v>
      </c>
      <c r="D35" s="239">
        <v>104.0341</v>
      </c>
      <c r="E35" s="239">
        <v>7.1325000000000003</v>
      </c>
      <c r="F35" s="237"/>
      <c r="G35" s="237"/>
    </row>
    <row r="36" spans="1:8">
      <c r="A36" s="237" t="s">
        <v>255</v>
      </c>
      <c r="B36" s="237">
        <v>7.17</v>
      </c>
      <c r="C36" s="238">
        <v>46760</v>
      </c>
      <c r="D36" s="239">
        <v>100.0445</v>
      </c>
      <c r="E36" s="239">
        <v>7.1562000000000001</v>
      </c>
      <c r="F36" s="237"/>
      <c r="G36" s="237"/>
    </row>
    <row r="37" spans="1:8">
      <c r="A37" s="237" t="s">
        <v>256</v>
      </c>
      <c r="B37" s="237">
        <v>7.1</v>
      </c>
      <c r="C37" s="238">
        <v>46779</v>
      </c>
      <c r="D37" s="239">
        <v>99.827299999999994</v>
      </c>
      <c r="E37" s="239">
        <v>7.1452</v>
      </c>
      <c r="F37" s="237"/>
      <c r="G37" s="237"/>
    </row>
    <row r="38" spans="1:8">
      <c r="A38" s="237" t="s">
        <v>257</v>
      </c>
      <c r="B38" s="237">
        <v>6.01</v>
      </c>
      <c r="C38" s="238">
        <v>46837</v>
      </c>
      <c r="D38" s="239">
        <v>95.5608</v>
      </c>
      <c r="E38" s="239">
        <v>7.1466000000000003</v>
      </c>
      <c r="F38" s="237"/>
      <c r="G38" s="237"/>
    </row>
    <row r="39" spans="1:8">
      <c r="A39" s="237" t="s">
        <v>258</v>
      </c>
      <c r="B39" s="237">
        <v>7.06</v>
      </c>
      <c r="C39" s="238">
        <v>46853</v>
      </c>
      <c r="D39" s="240">
        <v>99.710400000000007</v>
      </c>
      <c r="E39" s="240">
        <v>7.1300999999999997</v>
      </c>
      <c r="F39" s="237" t="s">
        <v>243</v>
      </c>
      <c r="G39" s="237"/>
      <c r="H39" s="2" t="s">
        <v>241</v>
      </c>
    </row>
    <row r="40" spans="1:8">
      <c r="A40" s="237" t="s">
        <v>259</v>
      </c>
      <c r="B40" s="237">
        <v>8.6</v>
      </c>
      <c r="C40" s="238">
        <v>46906</v>
      </c>
      <c r="D40" s="239">
        <v>105.86620000000001</v>
      </c>
      <c r="E40" s="239">
        <v>7.1394000000000002</v>
      </c>
      <c r="F40" s="237"/>
      <c r="G40" s="237"/>
    </row>
    <row r="41" spans="1:8">
      <c r="A41" s="237" t="s">
        <v>260</v>
      </c>
      <c r="B41" s="237">
        <v>6.13</v>
      </c>
      <c r="C41" s="238">
        <v>46908</v>
      </c>
      <c r="D41" s="239">
        <v>95.873999999999995</v>
      </c>
      <c r="E41" s="239">
        <v>7.1508000000000003</v>
      </c>
      <c r="F41" s="237"/>
      <c r="G41" s="237"/>
    </row>
    <row r="42" spans="1:8">
      <c r="A42" s="237" t="s">
        <v>261</v>
      </c>
      <c r="B42" s="237">
        <v>7.26</v>
      </c>
      <c r="C42" s="238">
        <v>47132</v>
      </c>
      <c r="D42" s="239">
        <v>100.4156</v>
      </c>
      <c r="E42" s="239">
        <v>7.1653000000000002</v>
      </c>
      <c r="F42" s="237"/>
      <c r="G42" s="237" t="s">
        <v>239</v>
      </c>
    </row>
    <row r="43" spans="1:8">
      <c r="A43" s="237" t="s">
        <v>262</v>
      </c>
      <c r="B43" s="237">
        <v>7.59</v>
      </c>
      <c r="C43" s="238">
        <v>47197</v>
      </c>
      <c r="D43" s="239">
        <v>101.8715</v>
      </c>
      <c r="E43" s="239">
        <v>7.1773999999999996</v>
      </c>
      <c r="F43" s="237"/>
      <c r="G43" s="237"/>
    </row>
    <row r="44" spans="1:8">
      <c r="A44" s="237" t="s">
        <v>263</v>
      </c>
      <c r="B44" s="237">
        <v>7.1</v>
      </c>
      <c r="C44" s="238">
        <v>47226</v>
      </c>
      <c r="D44" s="240">
        <v>99.683199999999999</v>
      </c>
      <c r="E44" s="240">
        <v>7.1653000000000002</v>
      </c>
      <c r="F44" s="237" t="s">
        <v>243</v>
      </c>
      <c r="G44" s="237"/>
      <c r="H44" s="2" t="s">
        <v>241</v>
      </c>
    </row>
    <row r="45" spans="1:8">
      <c r="A45" s="237" t="s">
        <v>264</v>
      </c>
      <c r="B45" s="237">
        <v>6.45</v>
      </c>
      <c r="C45" s="238">
        <v>47398</v>
      </c>
      <c r="D45" s="239">
        <v>96.465100000000007</v>
      </c>
      <c r="E45" s="239">
        <v>7.1653000000000002</v>
      </c>
      <c r="F45" s="237"/>
      <c r="G45" s="237" t="s">
        <v>239</v>
      </c>
    </row>
    <row r="46" spans="1:8">
      <c r="A46" s="237" t="s">
        <v>265</v>
      </c>
      <c r="B46" s="237">
        <v>6.79</v>
      </c>
      <c r="C46" s="238">
        <v>47478</v>
      </c>
      <c r="D46" s="239">
        <v>98.137100000000004</v>
      </c>
      <c r="E46" s="239">
        <v>7.1559999999999997</v>
      </c>
      <c r="F46" s="237"/>
      <c r="G46" s="237"/>
    </row>
    <row r="47" spans="1:8">
      <c r="A47" s="237" t="s">
        <v>266</v>
      </c>
      <c r="B47" s="237">
        <v>7.88</v>
      </c>
      <c r="C47" s="238">
        <v>47561</v>
      </c>
      <c r="D47" s="239">
        <v>103.6892</v>
      </c>
      <c r="E47" s="239">
        <v>7.1685999999999996</v>
      </c>
      <c r="F47" s="237"/>
      <c r="G47" s="237"/>
    </row>
    <row r="48" spans="1:8">
      <c r="A48" s="237" t="s">
        <v>267</v>
      </c>
      <c r="B48" s="237">
        <v>7.17</v>
      </c>
      <c r="C48" s="238">
        <v>47590</v>
      </c>
      <c r="D48" s="240">
        <v>100.08799999999999</v>
      </c>
      <c r="E48" s="240">
        <v>7.1502999999999997</v>
      </c>
      <c r="F48" s="237" t="s">
        <v>243</v>
      </c>
      <c r="G48" s="237"/>
      <c r="H48" s="2" t="s">
        <v>241</v>
      </c>
    </row>
    <row r="49" spans="1:8">
      <c r="A49" s="237" t="s">
        <v>268</v>
      </c>
      <c r="B49" s="237">
        <v>7.61</v>
      </c>
      <c r="C49" s="238">
        <v>47612</v>
      </c>
      <c r="D49" s="239">
        <v>102.4002</v>
      </c>
      <c r="E49" s="239">
        <v>7.1534000000000004</v>
      </c>
      <c r="F49" s="237"/>
      <c r="G49" s="237"/>
    </row>
    <row r="50" spans="1:8">
      <c r="A50" s="237" t="s">
        <v>269</v>
      </c>
      <c r="B50" s="237">
        <v>5.79</v>
      </c>
      <c r="C50" s="238">
        <v>47614</v>
      </c>
      <c r="D50" s="239">
        <v>92.776499999999999</v>
      </c>
      <c r="E50" s="239">
        <v>7.1515000000000004</v>
      </c>
      <c r="F50" s="237"/>
      <c r="G50" s="237"/>
    </row>
    <row r="51" spans="1:8">
      <c r="A51" s="237" t="s">
        <v>270</v>
      </c>
      <c r="B51" s="237">
        <v>5.77</v>
      </c>
      <c r="C51" s="238">
        <v>47698</v>
      </c>
      <c r="D51" s="239">
        <v>92.511200000000002</v>
      </c>
      <c r="E51" s="239">
        <v>7.1478000000000002</v>
      </c>
      <c r="F51" s="237"/>
      <c r="G51" s="237"/>
    </row>
    <row r="52" spans="1:8">
      <c r="A52" s="237" t="s">
        <v>271</v>
      </c>
      <c r="B52" s="237">
        <v>9.1999999999999993</v>
      </c>
      <c r="C52" s="238">
        <v>47756</v>
      </c>
      <c r="D52" s="239">
        <v>111.2128</v>
      </c>
      <c r="E52" s="239">
        <v>7.1676000000000002</v>
      </c>
      <c r="F52" s="237"/>
      <c r="G52" s="237"/>
    </row>
    <row r="53" spans="1:8">
      <c r="A53" s="237" t="s">
        <v>272</v>
      </c>
      <c r="B53" s="237">
        <v>5.85</v>
      </c>
      <c r="C53" s="238">
        <v>47818</v>
      </c>
      <c r="D53" s="239">
        <v>92.447900000000004</v>
      </c>
      <c r="E53" s="239">
        <v>7.1914999999999996</v>
      </c>
      <c r="F53" s="237"/>
      <c r="G53" s="237"/>
    </row>
    <row r="54" spans="1:8">
      <c r="A54" s="237" t="s">
        <v>273</v>
      </c>
      <c r="B54" s="237">
        <v>8.9700000000000006</v>
      </c>
      <c r="C54" s="238">
        <v>47822</v>
      </c>
      <c r="D54" s="239">
        <v>110.0868</v>
      </c>
      <c r="E54" s="239">
        <v>7.1756000000000002</v>
      </c>
      <c r="F54" s="237"/>
      <c r="G54" s="237"/>
    </row>
    <row r="55" spans="1:8">
      <c r="A55" s="237" t="s">
        <v>275</v>
      </c>
      <c r="B55" s="237">
        <v>6.1</v>
      </c>
      <c r="C55" s="238">
        <v>48041</v>
      </c>
      <c r="D55" s="239">
        <v>93.676500000000004</v>
      </c>
      <c r="E55" s="239">
        <v>7.1565000000000003</v>
      </c>
      <c r="F55" s="237"/>
      <c r="G55" s="237"/>
    </row>
    <row r="56" spans="1:8">
      <c r="A56" s="237" t="s">
        <v>276</v>
      </c>
      <c r="B56" s="237">
        <v>6.68</v>
      </c>
      <c r="C56" s="238">
        <v>48108</v>
      </c>
      <c r="D56" s="240">
        <v>96.883600000000001</v>
      </c>
      <c r="E56" s="240">
        <v>7.1913</v>
      </c>
      <c r="F56" s="237"/>
      <c r="G56" s="237"/>
      <c r="H56" s="2" t="s">
        <v>241</v>
      </c>
    </row>
    <row r="57" spans="1:8">
      <c r="A57" s="237" t="s">
        <v>277</v>
      </c>
      <c r="B57" s="237">
        <v>6.54</v>
      </c>
      <c r="C57" s="238">
        <v>48230</v>
      </c>
      <c r="D57" s="240">
        <v>95.991</v>
      </c>
      <c r="E57" s="240">
        <v>7.1798999999999999</v>
      </c>
      <c r="F57" s="237" t="s">
        <v>243</v>
      </c>
      <c r="G57" s="237"/>
      <c r="H57" s="2" t="s">
        <v>241</v>
      </c>
    </row>
    <row r="58" spans="1:8">
      <c r="A58" s="237" t="s">
        <v>278</v>
      </c>
      <c r="B58" s="237">
        <v>8.2799999999999994</v>
      </c>
      <c r="C58" s="238">
        <v>48259</v>
      </c>
      <c r="D58" s="240">
        <v>106.7298</v>
      </c>
      <c r="E58" s="240">
        <v>7.2098000000000004</v>
      </c>
      <c r="F58" s="237"/>
      <c r="G58" s="237"/>
      <c r="H58" s="2" t="s">
        <v>241</v>
      </c>
    </row>
    <row r="59" spans="1:8">
      <c r="A59" s="237" t="s">
        <v>279</v>
      </c>
      <c r="B59" s="237">
        <v>8.32</v>
      </c>
      <c r="C59" s="238">
        <v>48428</v>
      </c>
      <c r="D59" s="239">
        <v>107.3927</v>
      </c>
      <c r="E59" s="239">
        <v>7.1901999999999999</v>
      </c>
      <c r="F59" s="237"/>
      <c r="G59" s="237"/>
    </row>
    <row r="60" spans="1:8">
      <c r="A60" s="237" t="s">
        <v>280</v>
      </c>
      <c r="B60" s="237">
        <v>7.26</v>
      </c>
      <c r="C60" s="238">
        <v>48448</v>
      </c>
      <c r="D60" s="240">
        <v>100.48990000000001</v>
      </c>
      <c r="E60" s="240">
        <v>7.1844999999999999</v>
      </c>
      <c r="F60" s="237" t="s">
        <v>243</v>
      </c>
      <c r="G60" s="237"/>
      <c r="H60" s="2" t="s">
        <v>241</v>
      </c>
    </row>
    <row r="61" spans="1:8">
      <c r="A61" s="237" t="s">
        <v>281</v>
      </c>
      <c r="B61" s="237">
        <v>7.95</v>
      </c>
      <c r="C61" s="238">
        <v>48454</v>
      </c>
      <c r="D61" s="239">
        <v>104.9522</v>
      </c>
      <c r="E61" s="239">
        <v>7.1959999999999997</v>
      </c>
      <c r="F61" s="237"/>
      <c r="G61" s="237"/>
    </row>
    <row r="62" spans="1:8">
      <c r="A62" s="237" t="s">
        <v>282</v>
      </c>
      <c r="B62" s="237">
        <v>8.33</v>
      </c>
      <c r="C62" s="238">
        <v>48478</v>
      </c>
      <c r="D62" s="239">
        <v>107.53019999999999</v>
      </c>
      <c r="E62" s="239">
        <v>7.1891999999999996</v>
      </c>
      <c r="F62" s="237"/>
      <c r="G62" s="237"/>
    </row>
    <row r="63" spans="1:8">
      <c r="A63" s="237" t="s">
        <v>283</v>
      </c>
      <c r="B63" s="237">
        <v>7.29</v>
      </c>
      <c r="C63" s="238">
        <v>48606</v>
      </c>
      <c r="D63" s="239">
        <v>100.3725</v>
      </c>
      <c r="E63" s="239">
        <v>7.2347999999999999</v>
      </c>
      <c r="F63" s="237"/>
      <c r="G63" s="237"/>
    </row>
    <row r="64" spans="1:8">
      <c r="A64" s="237" t="s">
        <v>284</v>
      </c>
      <c r="B64" s="237">
        <v>7.26</v>
      </c>
      <c r="C64" s="238">
        <v>48616</v>
      </c>
      <c r="D64" s="240">
        <v>100.7037</v>
      </c>
      <c r="E64" s="240">
        <v>7.1565000000000003</v>
      </c>
      <c r="F64" s="237" t="s">
        <v>243</v>
      </c>
      <c r="G64" s="237"/>
      <c r="H64" s="2" t="s">
        <v>241</v>
      </c>
    </row>
    <row r="65" spans="1:8">
      <c r="A65" s="237" t="s">
        <v>285</v>
      </c>
      <c r="B65" s="237">
        <v>7.57</v>
      </c>
      <c r="C65" s="238">
        <v>48747</v>
      </c>
      <c r="D65" s="239">
        <v>102.3827</v>
      </c>
      <c r="E65" s="239">
        <v>7.2264999999999997</v>
      </c>
      <c r="F65" s="237"/>
      <c r="G65" s="237"/>
    </row>
    <row r="66" spans="1:8">
      <c r="A66" s="237" t="s">
        <v>287</v>
      </c>
      <c r="B66" s="237">
        <v>8.24</v>
      </c>
      <c r="C66" s="238">
        <v>48893</v>
      </c>
      <c r="D66" s="239">
        <v>106.9427</v>
      </c>
      <c r="E66" s="239">
        <v>7.2666000000000004</v>
      </c>
      <c r="F66" s="237"/>
      <c r="G66" s="237"/>
    </row>
    <row r="67" spans="1:8">
      <c r="A67" s="237" t="s">
        <v>288</v>
      </c>
      <c r="B67" s="237">
        <v>6.57</v>
      </c>
      <c r="C67" s="238">
        <v>48918</v>
      </c>
      <c r="D67" s="239">
        <v>95.445999999999998</v>
      </c>
      <c r="E67" s="239">
        <v>7.2003000000000004</v>
      </c>
      <c r="F67" s="237"/>
      <c r="G67" s="237"/>
    </row>
    <row r="68" spans="1:8">
      <c r="A68" s="237" t="s">
        <v>289</v>
      </c>
      <c r="B68" s="237">
        <v>7.5</v>
      </c>
      <c r="C68" s="238">
        <v>49166</v>
      </c>
      <c r="D68" s="239">
        <v>102.3053</v>
      </c>
      <c r="E68" s="239">
        <v>7.1932</v>
      </c>
      <c r="F68" s="237"/>
      <c r="G68" s="237"/>
    </row>
    <row r="69" spans="1:8">
      <c r="A69" s="237" t="s">
        <v>290</v>
      </c>
      <c r="B69" s="237">
        <v>6.19</v>
      </c>
      <c r="C69" s="238">
        <v>49203</v>
      </c>
      <c r="D69" s="239">
        <v>91.918599999999998</v>
      </c>
      <c r="E69" s="239">
        <v>7.2601000000000004</v>
      </c>
      <c r="F69" s="237"/>
      <c r="G69" s="237"/>
    </row>
    <row r="70" spans="1:8">
      <c r="A70" s="237" t="s">
        <v>291</v>
      </c>
      <c r="B70" s="237">
        <v>7.73</v>
      </c>
      <c r="C70" s="238">
        <v>49297</v>
      </c>
      <c r="D70" s="239">
        <v>103.4948</v>
      </c>
      <c r="E70" s="239">
        <v>7.2716000000000003</v>
      </c>
      <c r="F70" s="237"/>
      <c r="G70" s="237"/>
    </row>
    <row r="71" spans="1:8">
      <c r="A71" s="237" t="s">
        <v>292</v>
      </c>
      <c r="B71" s="237">
        <v>6.22</v>
      </c>
      <c r="C71" s="238">
        <v>49384</v>
      </c>
      <c r="D71" s="239">
        <v>91.747799999999998</v>
      </c>
      <c r="E71" s="239">
        <v>7.2831999999999999</v>
      </c>
      <c r="F71" s="237"/>
      <c r="G71" s="237"/>
    </row>
    <row r="72" spans="1:8">
      <c r="A72" s="237" t="s">
        <v>293</v>
      </c>
      <c r="B72" s="237">
        <v>6.64</v>
      </c>
      <c r="C72" s="238">
        <v>49476</v>
      </c>
      <c r="D72" s="239">
        <v>94.944199999999995</v>
      </c>
      <c r="E72" s="239">
        <v>7.282</v>
      </c>
      <c r="F72" s="237"/>
      <c r="G72" s="237"/>
    </row>
    <row r="73" spans="1:8">
      <c r="A73" s="237" t="s">
        <v>294</v>
      </c>
      <c r="B73" s="237">
        <v>7.4</v>
      </c>
      <c r="C73" s="238">
        <v>49561</v>
      </c>
      <c r="D73" s="239">
        <v>100.84099999999999</v>
      </c>
      <c r="E73" s="239">
        <v>7.2927999999999997</v>
      </c>
      <c r="F73" s="237"/>
      <c r="G73" s="237"/>
    </row>
    <row r="74" spans="1:8">
      <c r="A74" s="237" t="s">
        <v>295</v>
      </c>
      <c r="B74" s="237">
        <v>6.67</v>
      </c>
      <c r="C74" s="238">
        <v>49658</v>
      </c>
      <c r="D74" s="240">
        <v>95.677000000000007</v>
      </c>
      <c r="E74" s="240">
        <v>7.2023999999999999</v>
      </c>
      <c r="F74" s="237"/>
      <c r="G74" s="237"/>
      <c r="H74" s="2" t="s">
        <v>241</v>
      </c>
    </row>
    <row r="75" spans="1:8">
      <c r="A75" s="237" t="s">
        <v>296</v>
      </c>
      <c r="B75" s="237">
        <v>7.54</v>
      </c>
      <c r="C75" s="238">
        <v>49818</v>
      </c>
      <c r="D75" s="240">
        <v>102.3977</v>
      </c>
      <c r="E75" s="240">
        <v>7.2476000000000003</v>
      </c>
      <c r="F75" s="237" t="s">
        <v>243</v>
      </c>
      <c r="G75" s="237"/>
      <c r="H75" s="2" t="s">
        <v>241</v>
      </c>
    </row>
    <row r="76" spans="1:8">
      <c r="A76" s="237" t="s">
        <v>297</v>
      </c>
      <c r="B76" s="237">
        <v>8.33</v>
      </c>
      <c r="C76" s="238">
        <v>49833</v>
      </c>
      <c r="D76" s="239">
        <v>109.066</v>
      </c>
      <c r="E76" s="239">
        <v>7.2327000000000004</v>
      </c>
      <c r="F76" s="237"/>
      <c r="G76" s="237"/>
    </row>
    <row r="77" spans="1:8">
      <c r="A77" s="237" t="s">
        <v>298</v>
      </c>
      <c r="B77" s="237">
        <v>7.41</v>
      </c>
      <c r="C77" s="238">
        <v>50028</v>
      </c>
      <c r="D77" s="240">
        <v>101.4417</v>
      </c>
      <c r="E77" s="240">
        <v>7.2385999999999999</v>
      </c>
      <c r="F77" s="237" t="s">
        <v>243</v>
      </c>
      <c r="G77" s="237"/>
      <c r="H77" s="2" t="s">
        <v>241</v>
      </c>
    </row>
    <row r="78" spans="1:8">
      <c r="A78" s="237" t="s">
        <v>299</v>
      </c>
      <c r="B78" s="237">
        <v>7.18</v>
      </c>
      <c r="C78" s="238">
        <v>50245</v>
      </c>
      <c r="D78" s="240">
        <v>99.628399999999999</v>
      </c>
      <c r="E78" s="240">
        <v>7.2224000000000004</v>
      </c>
      <c r="F78" s="237" t="s">
        <v>243</v>
      </c>
      <c r="G78" s="237"/>
      <c r="H78" s="2" t="s">
        <v>241</v>
      </c>
    </row>
    <row r="79" spans="1:8">
      <c r="A79" s="237" t="s">
        <v>300</v>
      </c>
      <c r="B79" s="237">
        <v>6.83</v>
      </c>
      <c r="C79" s="238">
        <v>50789</v>
      </c>
      <c r="D79" s="239">
        <v>95.745400000000004</v>
      </c>
      <c r="E79" s="239">
        <v>7.2929000000000004</v>
      </c>
      <c r="F79" s="237"/>
      <c r="G79" s="237" t="s">
        <v>239</v>
      </c>
    </row>
    <row r="80" spans="1:8">
      <c r="A80" s="237" t="s">
        <v>301</v>
      </c>
      <c r="B80" s="237">
        <v>7.62</v>
      </c>
      <c r="C80" s="238">
        <v>51028</v>
      </c>
      <c r="D80" s="239">
        <v>103.0592</v>
      </c>
      <c r="E80" s="239">
        <v>7.2929000000000004</v>
      </c>
      <c r="F80" s="237" t="s">
        <v>243</v>
      </c>
      <c r="G80" s="237"/>
      <c r="H80" s="2" t="s">
        <v>274</v>
      </c>
    </row>
    <row r="81" spans="1:8">
      <c r="A81" s="237" t="s">
        <v>302</v>
      </c>
      <c r="B81" s="237">
        <v>8.3000000000000007</v>
      </c>
      <c r="C81" s="238">
        <v>51319</v>
      </c>
      <c r="D81" s="239">
        <v>109.7003</v>
      </c>
      <c r="E81" s="239">
        <v>7.2916999999999996</v>
      </c>
      <c r="F81" s="237"/>
      <c r="G81" s="237"/>
    </row>
    <row r="82" spans="1:8">
      <c r="A82" s="237" t="s">
        <v>303</v>
      </c>
      <c r="B82" s="237">
        <v>8.83</v>
      </c>
      <c r="C82" s="238">
        <v>51847</v>
      </c>
      <c r="D82" s="239">
        <v>115.49039999999999</v>
      </c>
      <c r="E82" s="239">
        <v>7.2850999999999999</v>
      </c>
      <c r="F82" s="237"/>
      <c r="G82" s="237"/>
    </row>
    <row r="83" spans="1:8">
      <c r="A83" s="237" t="s">
        <v>304</v>
      </c>
      <c r="B83" s="237">
        <v>8.3000000000000007</v>
      </c>
      <c r="C83" s="238">
        <v>52231</v>
      </c>
      <c r="D83" s="239">
        <v>110.3321</v>
      </c>
      <c r="E83" s="239">
        <v>7.2954999999999997</v>
      </c>
      <c r="F83" s="237"/>
      <c r="G83" s="237"/>
    </row>
    <row r="84" spans="1:8">
      <c r="A84" s="237" t="s">
        <v>305</v>
      </c>
      <c r="B84" s="237">
        <v>7.69</v>
      </c>
      <c r="C84" s="238">
        <v>52399</v>
      </c>
      <c r="D84" s="239">
        <v>104.0859</v>
      </c>
      <c r="E84" s="239">
        <v>7.2961999999999998</v>
      </c>
      <c r="F84" s="237"/>
      <c r="G84" s="237"/>
    </row>
    <row r="85" spans="1:8">
      <c r="A85" s="237" t="s">
        <v>306</v>
      </c>
      <c r="B85" s="237">
        <v>9.23</v>
      </c>
      <c r="C85" s="238">
        <v>52588</v>
      </c>
      <c r="D85" s="239">
        <v>120.331</v>
      </c>
      <c r="E85" s="239">
        <v>7.2972000000000001</v>
      </c>
      <c r="F85" s="237"/>
      <c r="G85" s="237"/>
    </row>
    <row r="86" spans="1:8">
      <c r="A86" s="237" t="s">
        <v>307</v>
      </c>
      <c r="B86" s="237">
        <v>8.17</v>
      </c>
      <c r="C86" s="238">
        <v>52932</v>
      </c>
      <c r="D86" s="240">
        <v>109.5496</v>
      </c>
      <c r="E86" s="240">
        <v>7.28</v>
      </c>
      <c r="F86" s="237" t="s">
        <v>243</v>
      </c>
      <c r="G86" s="237"/>
      <c r="H86" s="2" t="s">
        <v>241</v>
      </c>
    </row>
    <row r="87" spans="1:8">
      <c r="A87" s="237" t="s">
        <v>308</v>
      </c>
      <c r="B87" s="237">
        <v>8.1300000000000008</v>
      </c>
      <c r="C87" s="238">
        <v>53135</v>
      </c>
      <c r="D87" s="239">
        <v>109.4203</v>
      </c>
      <c r="E87" s="239">
        <v>7.2629999999999999</v>
      </c>
      <c r="F87" s="237"/>
      <c r="G87" s="237"/>
    </row>
    <row r="88" spans="1:8">
      <c r="A88" s="237" t="s">
        <v>309</v>
      </c>
      <c r="B88" s="237">
        <v>7.06</v>
      </c>
      <c r="C88" s="238">
        <v>53610</v>
      </c>
      <c r="D88" s="239">
        <v>97.181600000000003</v>
      </c>
      <c r="E88" s="239">
        <v>7.3128000000000002</v>
      </c>
      <c r="F88" s="237"/>
      <c r="G88" s="237"/>
    </row>
    <row r="89" spans="1:8">
      <c r="A89" s="237" t="s">
        <v>310</v>
      </c>
      <c r="B89" s="237">
        <v>7.72</v>
      </c>
      <c r="C89" s="238">
        <v>54589</v>
      </c>
      <c r="D89" s="239">
        <v>104.5091</v>
      </c>
      <c r="E89" s="239">
        <v>7.3276000000000003</v>
      </c>
      <c r="F89" s="237" t="s">
        <v>243</v>
      </c>
      <c r="G89" s="237"/>
      <c r="H89" s="2" t="s">
        <v>274</v>
      </c>
    </row>
    <row r="90" spans="1:8">
      <c r="A90" s="237" t="s">
        <v>311</v>
      </c>
      <c r="B90" s="237">
        <v>7.16</v>
      </c>
      <c r="C90" s="238">
        <v>55051</v>
      </c>
      <c r="D90" s="239">
        <v>97.932000000000002</v>
      </c>
      <c r="E90" s="239">
        <v>7.3356000000000003</v>
      </c>
      <c r="F90" s="237"/>
      <c r="G90" s="237"/>
    </row>
    <row r="91" spans="1:8">
      <c r="A91" s="237" t="s">
        <v>312</v>
      </c>
      <c r="B91" s="237">
        <v>6.67</v>
      </c>
      <c r="C91" s="238">
        <v>55139</v>
      </c>
      <c r="D91" s="240">
        <v>91.974100000000007</v>
      </c>
      <c r="E91" s="240">
        <v>7.3540999999999999</v>
      </c>
      <c r="F91" s="237" t="s">
        <v>243</v>
      </c>
      <c r="G91" s="237"/>
      <c r="H91" s="2" t="s">
        <v>241</v>
      </c>
    </row>
    <row r="92" spans="1:8">
      <c r="A92" s="237" t="s">
        <v>313</v>
      </c>
      <c r="B92" s="237">
        <v>6.62</v>
      </c>
      <c r="C92" s="238">
        <v>55485</v>
      </c>
      <c r="D92" s="239">
        <v>91.269800000000004</v>
      </c>
      <c r="E92" s="239">
        <v>7.3563999999999998</v>
      </c>
      <c r="F92" s="237"/>
      <c r="G92" s="237"/>
    </row>
    <row r="93" spans="1:8">
      <c r="A93" s="237" t="s">
        <v>314</v>
      </c>
      <c r="B93" s="237">
        <v>6.99</v>
      </c>
      <c r="C93" s="238">
        <v>55502</v>
      </c>
      <c r="D93" s="239">
        <v>95.650199999999998</v>
      </c>
      <c r="E93" s="239">
        <v>7.3563000000000001</v>
      </c>
      <c r="F93" s="237"/>
      <c r="G93" s="237"/>
    </row>
    <row r="94" spans="1:8">
      <c r="A94" s="237" t="s">
        <v>315</v>
      </c>
      <c r="B94" s="237">
        <v>7.36</v>
      </c>
      <c r="C94" s="238">
        <v>55774</v>
      </c>
      <c r="D94" s="240">
        <v>100.0797</v>
      </c>
      <c r="E94" s="240">
        <v>7.3524000000000003</v>
      </c>
      <c r="F94" s="237" t="s">
        <v>243</v>
      </c>
      <c r="G94" s="237"/>
      <c r="H94" s="2" t="s">
        <v>241</v>
      </c>
    </row>
    <row r="95" spans="1:8">
      <c r="A95" s="237" t="s">
        <v>316</v>
      </c>
      <c r="B95" s="237">
        <v>7.3</v>
      </c>
      <c r="C95" s="238">
        <v>56054</v>
      </c>
      <c r="D95" s="240">
        <v>99.318299999999994</v>
      </c>
      <c r="E95" s="240">
        <v>7.3556999999999997</v>
      </c>
      <c r="F95" s="237" t="s">
        <v>243</v>
      </c>
      <c r="G95" s="237"/>
      <c r="H95" s="2" t="s">
        <v>241</v>
      </c>
    </row>
    <row r="96" spans="1:8">
      <c r="A96" s="237" t="s">
        <v>317</v>
      </c>
      <c r="B96" s="237">
        <v>7.72</v>
      </c>
      <c r="C96" s="238">
        <v>56913</v>
      </c>
      <c r="D96" s="239">
        <v>105.0558</v>
      </c>
      <c r="E96" s="239">
        <v>7.3085000000000004</v>
      </c>
      <c r="F96" s="237" t="s">
        <v>243</v>
      </c>
      <c r="G96" s="237"/>
      <c r="H96" s="2" t="s">
        <v>274</v>
      </c>
    </row>
    <row r="97" spans="1:8">
      <c r="A97" s="237" t="s">
        <v>318</v>
      </c>
      <c r="B97" s="237">
        <v>7.63</v>
      </c>
      <c r="C97" s="238">
        <v>58243</v>
      </c>
      <c r="D97" s="239">
        <v>103.4773</v>
      </c>
      <c r="E97" s="239">
        <v>7.3525999999999998</v>
      </c>
      <c r="F97" s="237"/>
      <c r="G97" s="237"/>
    </row>
    <row r="98" spans="1:8">
      <c r="A98" s="237" t="s">
        <v>319</v>
      </c>
      <c r="B98" s="237">
        <v>7.19</v>
      </c>
      <c r="C98" s="238">
        <v>58699</v>
      </c>
      <c r="D98" s="239">
        <v>97.849400000000003</v>
      </c>
      <c r="E98" s="239">
        <v>7.3589000000000002</v>
      </c>
      <c r="F98" s="237"/>
      <c r="G98" s="237"/>
    </row>
    <row r="99" spans="1:8">
      <c r="A99" s="237" t="s">
        <v>320</v>
      </c>
      <c r="B99" s="237">
        <v>6.8</v>
      </c>
      <c r="C99" s="238">
        <v>58790</v>
      </c>
      <c r="D99" s="240">
        <v>93.060699999999997</v>
      </c>
      <c r="E99" s="240">
        <v>7.3456999999999999</v>
      </c>
      <c r="F99" s="237"/>
      <c r="G99" s="237"/>
      <c r="H99" s="2" t="s">
        <v>241</v>
      </c>
    </row>
    <row r="100" spans="1:8">
      <c r="A100" s="237" t="s">
        <v>321</v>
      </c>
      <c r="B100" s="237">
        <v>6.76</v>
      </c>
      <c r="C100" s="238">
        <v>58859</v>
      </c>
      <c r="D100" s="240">
        <v>92.399600000000007</v>
      </c>
      <c r="E100" s="240">
        <v>7.3585000000000003</v>
      </c>
      <c r="F100" s="237" t="s">
        <v>243</v>
      </c>
      <c r="G100" s="237"/>
      <c r="H100" s="2" t="s">
        <v>241</v>
      </c>
    </row>
    <row r="101" spans="1:8">
      <c r="A101" s="237" t="s">
        <v>322</v>
      </c>
      <c r="B101" s="237">
        <v>6.95</v>
      </c>
      <c r="C101" s="238">
        <v>59156</v>
      </c>
      <c r="D101" s="239">
        <v>94.895799999999994</v>
      </c>
      <c r="E101" s="239">
        <v>7.3493000000000004</v>
      </c>
      <c r="F101" s="237"/>
      <c r="G101" s="237"/>
    </row>
    <row r="102" spans="1:8">
      <c r="A102" s="237" t="s">
        <v>323</v>
      </c>
      <c r="B102" s="237">
        <v>7.4</v>
      </c>
      <c r="C102" s="238">
        <v>59433</v>
      </c>
      <c r="D102" s="239">
        <v>100.6053</v>
      </c>
      <c r="E102" s="239">
        <v>7.3517000000000001</v>
      </c>
      <c r="F102" s="237"/>
      <c r="G102" s="237"/>
    </row>
    <row r="103" spans="1:8">
      <c r="A103" s="237" t="s">
        <v>324</v>
      </c>
      <c r="B103" s="237">
        <v>7.25</v>
      </c>
      <c r="C103" s="238">
        <v>59699</v>
      </c>
      <c r="D103" s="240">
        <v>98.611000000000004</v>
      </c>
      <c r="E103" s="240">
        <v>7.3573000000000004</v>
      </c>
      <c r="F103" s="237" t="s">
        <v>243</v>
      </c>
      <c r="G103" s="237"/>
      <c r="H103" s="2" t="s">
        <v>241</v>
      </c>
    </row>
    <row r="104" spans="1:8">
      <c r="A104" s="237" t="s">
        <v>325</v>
      </c>
      <c r="B104" s="237">
        <v>6.97</v>
      </c>
      <c r="C104" s="238">
        <v>45603</v>
      </c>
      <c r="D104" s="240">
        <v>99.844999999999999</v>
      </c>
      <c r="E104" s="240">
        <v>7.0015000000000001</v>
      </c>
      <c r="F104" s="237" t="s">
        <v>326</v>
      </c>
      <c r="G104" s="237" t="s">
        <v>327</v>
      </c>
      <c r="H104" s="2" t="s">
        <v>241</v>
      </c>
    </row>
    <row r="105" spans="1:8">
      <c r="A105" s="237" t="s">
        <v>328</v>
      </c>
      <c r="B105" s="237">
        <v>7.879999999999999</v>
      </c>
      <c r="C105" s="238">
        <v>47030</v>
      </c>
      <c r="D105" s="239">
        <v>99.542500000000004</v>
      </c>
      <c r="E105" s="239">
        <v>7.61</v>
      </c>
      <c r="F105" s="237" t="s">
        <v>326</v>
      </c>
      <c r="G105" s="237" t="s">
        <v>329</v>
      </c>
    </row>
    <row r="106" spans="1:8">
      <c r="A106" s="237" t="s">
        <v>330</v>
      </c>
      <c r="B106" s="237">
        <v>7.9</v>
      </c>
      <c r="C106" s="238">
        <v>48189</v>
      </c>
      <c r="D106" s="239">
        <v>100.425</v>
      </c>
      <c r="E106" s="239">
        <v>7.78</v>
      </c>
      <c r="F106" s="237" t="s">
        <v>326</v>
      </c>
      <c r="G106" s="237" t="s">
        <v>331</v>
      </c>
    </row>
    <row r="107" spans="1:8">
      <c r="A107" s="237" t="s">
        <v>332</v>
      </c>
      <c r="B107" s="237">
        <v>8.51</v>
      </c>
      <c r="C107" s="238">
        <v>48844</v>
      </c>
      <c r="D107" s="240">
        <v>100.9</v>
      </c>
      <c r="E107" s="240">
        <v>7.9452999999999996</v>
      </c>
      <c r="F107" s="237" t="s">
        <v>326</v>
      </c>
      <c r="G107" s="237" t="s">
        <v>333</v>
      </c>
      <c r="H107" s="2" t="s">
        <v>241</v>
      </c>
    </row>
    <row r="108" spans="1:8">
      <c r="A108" s="237" t="s">
        <v>334</v>
      </c>
      <c r="B108" s="237">
        <v>7.93</v>
      </c>
      <c r="C108" s="238">
        <v>49247</v>
      </c>
      <c r="D108" s="240">
        <v>98.9</v>
      </c>
      <c r="E108" s="240">
        <v>7.9805999999999999</v>
      </c>
      <c r="F108" s="237" t="s">
        <v>326</v>
      </c>
      <c r="G108" s="237" t="s">
        <v>335</v>
      </c>
      <c r="H108" s="2" t="s">
        <v>241</v>
      </c>
    </row>
    <row r="109" spans="1:8">
      <c r="A109" s="237" t="s">
        <v>336</v>
      </c>
      <c r="B109" s="237">
        <v>6.58</v>
      </c>
      <c r="C109" s="238">
        <v>49334</v>
      </c>
      <c r="D109" s="239">
        <v>99.329800000000006</v>
      </c>
      <c r="E109" s="239">
        <v>7.0632000000000001</v>
      </c>
      <c r="F109" s="237" t="s">
        <v>326</v>
      </c>
      <c r="G109" s="237"/>
    </row>
  </sheetData>
  <mergeCells count="1">
    <mergeCell ref="B2:F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2A7D8-33FC-4314-845E-19DE20131BBB}">
  <dimension ref="A1:H109"/>
  <sheetViews>
    <sheetView workbookViewId="0">
      <selection activeCell="E27" sqref="A27:XFD27"/>
    </sheetView>
  </sheetViews>
  <sheetFormatPr defaultColWidth="8.796875" defaultRowHeight="13.3"/>
  <cols>
    <col min="1" max="1" width="17.796875" style="2" customWidth="1"/>
    <col min="2" max="2" width="16.19921875" style="2" customWidth="1"/>
    <col min="3" max="3" width="17.796875" style="2" customWidth="1"/>
    <col min="4" max="4" width="20.59765625" style="2" customWidth="1"/>
    <col min="5" max="5" width="18.59765625" style="2" customWidth="1"/>
    <col min="6" max="6" width="17.3984375" style="2" customWidth="1"/>
    <col min="7" max="7" width="15.19921875" style="2" bestFit="1" customWidth="1"/>
    <col min="8" max="16384" width="8.796875" style="2"/>
  </cols>
  <sheetData>
    <row r="1" spans="1:7" ht="21.05" customHeight="1">
      <c r="B1" s="189" t="s">
        <v>108</v>
      </c>
      <c r="C1" s="227"/>
      <c r="D1" s="228"/>
      <c r="E1" s="228"/>
      <c r="F1" s="229"/>
    </row>
    <row r="2" spans="1:7" ht="21.05" customHeight="1">
      <c r="B2" s="337"/>
      <c r="C2" s="338"/>
      <c r="D2" s="338"/>
      <c r="E2" s="338"/>
      <c r="F2" s="338"/>
    </row>
    <row r="3" spans="1:7" ht="21.05" customHeight="1">
      <c r="A3" s="191" t="s">
        <v>212</v>
      </c>
      <c r="C3" s="191" t="s">
        <v>337</v>
      </c>
      <c r="D3" s="241"/>
      <c r="E3" s="230"/>
      <c r="F3" s="231"/>
    </row>
    <row r="4" spans="1:7" ht="21.05" customHeight="1">
      <c r="A4" s="189"/>
      <c r="B4" s="189"/>
      <c r="C4" s="191"/>
      <c r="D4" s="232"/>
      <c r="E4" s="232"/>
      <c r="F4" s="191"/>
      <c r="G4" s="9"/>
    </row>
    <row r="5" spans="1:7" ht="34.9" customHeight="1">
      <c r="A5" s="233" t="s">
        <v>215</v>
      </c>
      <c r="B5" s="233" t="s">
        <v>216</v>
      </c>
      <c r="C5" s="234" t="s">
        <v>217</v>
      </c>
      <c r="D5" s="235" t="s">
        <v>218</v>
      </c>
      <c r="E5" s="194" t="s">
        <v>219</v>
      </c>
      <c r="F5" s="236" t="s">
        <v>220</v>
      </c>
      <c r="G5" s="236" t="s">
        <v>221</v>
      </c>
    </row>
    <row r="6" spans="1:7">
      <c r="A6" s="237" t="s">
        <v>338</v>
      </c>
      <c r="B6" s="237">
        <v>6.3</v>
      </c>
      <c r="C6" s="238">
        <v>45025</v>
      </c>
      <c r="D6" s="239">
        <v>99.9636</v>
      </c>
      <c r="E6" s="239">
        <v>6.5780000000000003</v>
      </c>
      <c r="F6" s="237"/>
      <c r="G6" s="237"/>
    </row>
    <row r="7" spans="1:7">
      <c r="A7" s="237" t="s">
        <v>339</v>
      </c>
      <c r="B7" s="237">
        <v>7.37</v>
      </c>
      <c r="C7" s="238">
        <v>45032</v>
      </c>
      <c r="D7" s="239">
        <v>100.1046</v>
      </c>
      <c r="E7" s="239">
        <v>6.4074</v>
      </c>
      <c r="F7" s="237"/>
      <c r="G7" s="237"/>
    </row>
    <row r="8" spans="1:7">
      <c r="A8" s="237" t="s">
        <v>340</v>
      </c>
      <c r="B8" s="237">
        <v>4.26</v>
      </c>
      <c r="C8" s="238">
        <v>45063</v>
      </c>
      <c r="D8" s="239">
        <v>99.463999999999999</v>
      </c>
      <c r="E8" s="239">
        <v>6.8521999999999998</v>
      </c>
      <c r="F8" s="237"/>
      <c r="G8" s="237"/>
    </row>
    <row r="9" spans="1:7">
      <c r="A9" s="237" t="s">
        <v>341</v>
      </c>
      <c r="B9" s="237">
        <v>7.16</v>
      </c>
      <c r="C9" s="238">
        <v>45066</v>
      </c>
      <c r="D9" s="239">
        <v>100.02809999999999</v>
      </c>
      <c r="E9" s="239">
        <v>6.9558</v>
      </c>
      <c r="F9" s="237"/>
      <c r="G9" s="237"/>
    </row>
    <row r="10" spans="1:7">
      <c r="A10" s="237" t="s">
        <v>342</v>
      </c>
      <c r="B10" s="237">
        <v>6.17</v>
      </c>
      <c r="C10" s="238">
        <v>45089</v>
      </c>
      <c r="D10" s="239">
        <v>99.748900000000006</v>
      </c>
      <c r="E10" s="239">
        <v>7.0500999999999996</v>
      </c>
      <c r="F10" s="237"/>
      <c r="G10" s="237"/>
    </row>
    <row r="11" spans="1:7">
      <c r="A11" s="237" t="s">
        <v>222</v>
      </c>
      <c r="B11" s="237">
        <v>4.4800000000000004</v>
      </c>
      <c r="C11" s="238">
        <v>45232</v>
      </c>
      <c r="D11" s="239">
        <v>98.312700000000007</v>
      </c>
      <c r="E11" s="239">
        <v>7.1024000000000003</v>
      </c>
      <c r="F11" s="237"/>
      <c r="G11" s="237"/>
    </row>
    <row r="12" spans="1:7">
      <c r="A12" s="237" t="s">
        <v>223</v>
      </c>
      <c r="B12" s="237">
        <v>8.83</v>
      </c>
      <c r="C12" s="238">
        <v>45255</v>
      </c>
      <c r="D12" s="239">
        <v>101.0527</v>
      </c>
      <c r="E12" s="239">
        <v>7.2961</v>
      </c>
      <c r="F12" s="237"/>
      <c r="G12" s="237"/>
    </row>
    <row r="13" spans="1:7">
      <c r="A13" s="237" t="s">
        <v>224</v>
      </c>
      <c r="B13" s="237">
        <v>4.5599999999999996</v>
      </c>
      <c r="C13" s="238">
        <v>45259</v>
      </c>
      <c r="D13" s="239">
        <v>98.180199999999999</v>
      </c>
      <c r="E13" s="239">
        <v>7.1082999999999998</v>
      </c>
      <c r="F13" s="237"/>
      <c r="G13" s="237"/>
    </row>
    <row r="14" spans="1:7">
      <c r="A14" s="237" t="s">
        <v>225</v>
      </c>
      <c r="B14" s="237">
        <v>7.68</v>
      </c>
      <c r="C14" s="238">
        <v>45275</v>
      </c>
      <c r="D14" s="239">
        <v>100.2334</v>
      </c>
      <c r="E14" s="239">
        <v>7.3464999999999998</v>
      </c>
      <c r="F14" s="237"/>
      <c r="G14" s="237"/>
    </row>
    <row r="15" spans="1:7">
      <c r="A15" s="237" t="s">
        <v>226</v>
      </c>
      <c r="B15" s="237">
        <v>7.32</v>
      </c>
      <c r="C15" s="238">
        <v>45319</v>
      </c>
      <c r="D15" s="239">
        <v>99.998199999999997</v>
      </c>
      <c r="E15" s="239">
        <v>7.3103999999999996</v>
      </c>
      <c r="F15" s="237"/>
      <c r="G15" s="237"/>
    </row>
    <row r="16" spans="1:7">
      <c r="A16" s="237" t="s">
        <v>227</v>
      </c>
      <c r="B16" s="237">
        <v>7.35</v>
      </c>
      <c r="C16" s="238">
        <v>45465</v>
      </c>
      <c r="D16" s="239">
        <v>99.979799999999997</v>
      </c>
      <c r="E16" s="239">
        <v>7.3536000000000001</v>
      </c>
      <c r="F16" s="237"/>
      <c r="G16" s="237"/>
    </row>
    <row r="17" spans="1:8">
      <c r="A17" s="237" t="s">
        <v>228</v>
      </c>
      <c r="B17" s="237">
        <v>6.69</v>
      </c>
      <c r="C17" s="238">
        <v>45470</v>
      </c>
      <c r="D17" s="240">
        <v>99.209199999999996</v>
      </c>
      <c r="E17" s="240">
        <v>7.3183999999999996</v>
      </c>
      <c r="F17" s="237" t="s">
        <v>243</v>
      </c>
      <c r="G17" s="237"/>
      <c r="H17" s="2" t="s">
        <v>241</v>
      </c>
    </row>
    <row r="18" spans="1:8">
      <c r="A18" s="237" t="s">
        <v>229</v>
      </c>
      <c r="B18" s="237">
        <v>8.4</v>
      </c>
      <c r="C18" s="238">
        <v>45501</v>
      </c>
      <c r="D18" s="239">
        <v>101.3235</v>
      </c>
      <c r="E18" s="239">
        <v>7.3826000000000001</v>
      </c>
      <c r="F18" s="237"/>
      <c r="G18" s="237"/>
    </row>
    <row r="19" spans="1:8">
      <c r="A19" s="237" t="s">
        <v>230</v>
      </c>
      <c r="B19" s="237">
        <v>6.18</v>
      </c>
      <c r="C19" s="238">
        <v>45600</v>
      </c>
      <c r="D19" s="239">
        <v>98.225700000000003</v>
      </c>
      <c r="E19" s="239">
        <v>7.3183999999999996</v>
      </c>
      <c r="F19" s="237"/>
      <c r="G19" s="237" t="s">
        <v>239</v>
      </c>
    </row>
    <row r="20" spans="1:8">
      <c r="A20" s="237" t="s">
        <v>231</v>
      </c>
      <c r="B20" s="237">
        <v>9.15</v>
      </c>
      <c r="C20" s="238">
        <v>45610</v>
      </c>
      <c r="D20" s="239">
        <v>102.85890000000001</v>
      </c>
      <c r="E20" s="239">
        <v>7.3183999999999996</v>
      </c>
      <c r="F20" s="237"/>
      <c r="G20" s="237" t="s">
        <v>239</v>
      </c>
    </row>
    <row r="21" spans="1:8">
      <c r="A21" s="237" t="s">
        <v>232</v>
      </c>
      <c r="B21" s="237">
        <v>6.89</v>
      </c>
      <c r="C21" s="238">
        <v>45673</v>
      </c>
      <c r="D21" s="240">
        <v>99.264700000000005</v>
      </c>
      <c r="E21" s="240">
        <v>7.3105000000000002</v>
      </c>
      <c r="F21" s="237" t="s">
        <v>243</v>
      </c>
      <c r="G21" s="237"/>
      <c r="H21" s="2" t="s">
        <v>241</v>
      </c>
    </row>
    <row r="22" spans="1:8">
      <c r="A22" s="237" t="s">
        <v>233</v>
      </c>
      <c r="B22" s="237">
        <v>7.72</v>
      </c>
      <c r="C22" s="238">
        <v>45802</v>
      </c>
      <c r="D22" s="239">
        <v>100.7413</v>
      </c>
      <c r="E22" s="239">
        <v>7.3451000000000004</v>
      </c>
      <c r="F22" s="237"/>
      <c r="G22" s="237" t="s">
        <v>239</v>
      </c>
    </row>
    <row r="23" spans="1:8">
      <c r="A23" s="237" t="s">
        <v>234</v>
      </c>
      <c r="B23" s="237">
        <v>5.22</v>
      </c>
      <c r="C23" s="238">
        <v>45823</v>
      </c>
      <c r="D23" s="240">
        <v>95.59</v>
      </c>
      <c r="E23" s="240">
        <v>7.3451000000000004</v>
      </c>
      <c r="F23" s="237" t="s">
        <v>243</v>
      </c>
      <c r="G23" s="237"/>
      <c r="H23" s="2" t="s">
        <v>241</v>
      </c>
    </row>
    <row r="24" spans="1:8">
      <c r="A24" s="237" t="s">
        <v>235</v>
      </c>
      <c r="B24" s="237">
        <v>8.1999999999999993</v>
      </c>
      <c r="C24" s="238">
        <v>45924</v>
      </c>
      <c r="D24" s="239">
        <v>101.9614</v>
      </c>
      <c r="E24" s="239">
        <v>7.3425000000000002</v>
      </c>
      <c r="F24" s="237"/>
      <c r="G24" s="237"/>
    </row>
    <row r="25" spans="1:8">
      <c r="A25" s="237" t="s">
        <v>236</v>
      </c>
      <c r="B25" s="237">
        <v>5.97</v>
      </c>
      <c r="C25" s="238">
        <v>45925</v>
      </c>
      <c r="D25" s="239">
        <v>96.796700000000001</v>
      </c>
      <c r="E25" s="239">
        <v>7.3611000000000004</v>
      </c>
      <c r="F25" s="237"/>
      <c r="G25" s="237"/>
    </row>
    <row r="26" spans="1:8">
      <c r="A26" s="237" t="s">
        <v>237</v>
      </c>
      <c r="B26" s="237">
        <v>5.15</v>
      </c>
      <c r="C26" s="238">
        <v>45970</v>
      </c>
      <c r="D26" s="239">
        <v>94.656099999999995</v>
      </c>
      <c r="E26" s="239">
        <v>7.3747999999999996</v>
      </c>
      <c r="F26" s="237"/>
      <c r="G26" s="237"/>
    </row>
    <row r="27" spans="1:8">
      <c r="A27" s="237" t="s">
        <v>238</v>
      </c>
      <c r="B27" s="237">
        <v>7.59</v>
      </c>
      <c r="C27" s="238">
        <v>46033</v>
      </c>
      <c r="D27" s="240">
        <v>100.4238</v>
      </c>
      <c r="E27" s="240">
        <v>7.4172000000000002</v>
      </c>
      <c r="F27" s="237"/>
      <c r="G27" s="237"/>
      <c r="H27" s="2" t="s">
        <v>241</v>
      </c>
    </row>
    <row r="28" spans="1:8">
      <c r="A28" s="237" t="s">
        <v>240</v>
      </c>
      <c r="B28" s="237">
        <v>7.27</v>
      </c>
      <c r="C28" s="238">
        <v>46120</v>
      </c>
      <c r="D28" s="239">
        <v>99.710899999999995</v>
      </c>
      <c r="E28" s="239">
        <v>7.3722000000000003</v>
      </c>
      <c r="F28" s="237"/>
      <c r="G28" s="237"/>
    </row>
    <row r="29" spans="1:8">
      <c r="A29" s="237" t="s">
        <v>242</v>
      </c>
      <c r="B29" s="237">
        <v>5.63</v>
      </c>
      <c r="C29" s="238">
        <v>46124</v>
      </c>
      <c r="D29" s="240">
        <v>95.241299999999995</v>
      </c>
      <c r="E29" s="240">
        <v>7.3662000000000001</v>
      </c>
      <c r="F29" s="237" t="s">
        <v>243</v>
      </c>
      <c r="G29" s="237"/>
      <c r="H29" s="2" t="s">
        <v>241</v>
      </c>
    </row>
    <row r="30" spans="1:8">
      <c r="A30" s="237" t="s">
        <v>245</v>
      </c>
      <c r="B30" s="237">
        <v>8.33</v>
      </c>
      <c r="C30" s="238">
        <v>46212</v>
      </c>
      <c r="D30" s="239">
        <v>102.73739999999999</v>
      </c>
      <c r="E30" s="239">
        <v>7.3879999999999999</v>
      </c>
      <c r="F30" s="237"/>
      <c r="G30" s="237"/>
    </row>
    <row r="31" spans="1:8">
      <c r="A31" s="237" t="s">
        <v>246</v>
      </c>
      <c r="B31" s="237">
        <v>6.97</v>
      </c>
      <c r="C31" s="238">
        <v>46271</v>
      </c>
      <c r="D31" s="239">
        <v>98.738799999999998</v>
      </c>
      <c r="E31" s="239">
        <v>7.3838999999999997</v>
      </c>
      <c r="F31" s="237"/>
      <c r="G31" s="237"/>
    </row>
    <row r="32" spans="1:8">
      <c r="A32" s="237" t="s">
        <v>247</v>
      </c>
      <c r="B32" s="237">
        <v>10.18</v>
      </c>
      <c r="C32" s="238">
        <v>46276</v>
      </c>
      <c r="D32" s="239">
        <v>108.4653</v>
      </c>
      <c r="E32" s="239">
        <v>7.4059999999999997</v>
      </c>
      <c r="F32" s="237"/>
      <c r="G32" s="237" t="s">
        <v>239</v>
      </c>
    </row>
    <row r="33" spans="1:8">
      <c r="A33" s="237" t="s">
        <v>248</v>
      </c>
      <c r="B33" s="237">
        <v>5.74</v>
      </c>
      <c r="C33" s="238">
        <v>46341</v>
      </c>
      <c r="D33" s="240">
        <v>94.677000000000007</v>
      </c>
      <c r="E33" s="240">
        <v>7.4059999999999997</v>
      </c>
      <c r="F33" s="237" t="s">
        <v>243</v>
      </c>
      <c r="G33" s="237"/>
      <c r="H33" s="2" t="s">
        <v>241</v>
      </c>
    </row>
    <row r="34" spans="1:8">
      <c r="A34" s="237" t="s">
        <v>249</v>
      </c>
      <c r="B34" s="237">
        <v>8.15</v>
      </c>
      <c r="C34" s="238">
        <v>46350</v>
      </c>
      <c r="D34" s="239">
        <v>102.2975</v>
      </c>
      <c r="E34" s="239">
        <v>7.4273999999999996</v>
      </c>
      <c r="F34" s="237"/>
      <c r="G34" s="237"/>
    </row>
    <row r="35" spans="1:8">
      <c r="A35" s="237" t="s">
        <v>250</v>
      </c>
      <c r="B35" s="237">
        <v>8.24</v>
      </c>
      <c r="C35" s="238">
        <v>46433</v>
      </c>
      <c r="D35" s="239">
        <v>102.7548</v>
      </c>
      <c r="E35" s="239">
        <v>7.4211999999999998</v>
      </c>
      <c r="F35" s="237"/>
      <c r="G35" s="237"/>
    </row>
    <row r="36" spans="1:8">
      <c r="A36" s="237" t="s">
        <v>251</v>
      </c>
      <c r="B36" s="237">
        <v>6.79</v>
      </c>
      <c r="C36" s="238">
        <v>46522</v>
      </c>
      <c r="D36" s="239">
        <v>97.729299999999995</v>
      </c>
      <c r="E36" s="239">
        <v>7.4245999999999999</v>
      </c>
      <c r="F36" s="237"/>
      <c r="G36" s="237"/>
    </row>
    <row r="37" spans="1:8">
      <c r="A37" s="237" t="s">
        <v>252</v>
      </c>
      <c r="B37" s="237">
        <v>7.38</v>
      </c>
      <c r="C37" s="238">
        <v>46558</v>
      </c>
      <c r="D37" s="240">
        <v>99.889099999999999</v>
      </c>
      <c r="E37" s="240">
        <v>7.4062000000000001</v>
      </c>
      <c r="F37" s="237" t="s">
        <v>243</v>
      </c>
      <c r="G37" s="237"/>
      <c r="H37" s="2" t="s">
        <v>241</v>
      </c>
    </row>
    <row r="38" spans="1:8">
      <c r="A38" s="237" t="s">
        <v>253</v>
      </c>
      <c r="B38" s="237">
        <v>8.26</v>
      </c>
      <c r="C38" s="238">
        <v>46601</v>
      </c>
      <c r="D38" s="239">
        <v>102.97239999999999</v>
      </c>
      <c r="E38" s="239">
        <v>7.4550000000000001</v>
      </c>
      <c r="F38" s="237"/>
      <c r="G38" s="237"/>
    </row>
    <row r="39" spans="1:8">
      <c r="A39" s="237" t="s">
        <v>254</v>
      </c>
      <c r="B39" s="237">
        <v>8.2799999999999994</v>
      </c>
      <c r="C39" s="238">
        <v>46651</v>
      </c>
      <c r="D39" s="239">
        <v>103.1905</v>
      </c>
      <c r="E39" s="239">
        <v>7.4390999999999998</v>
      </c>
      <c r="F39" s="237"/>
      <c r="G39" s="237"/>
    </row>
    <row r="40" spans="1:8">
      <c r="A40" s="237" t="s">
        <v>255</v>
      </c>
      <c r="B40" s="237">
        <v>7.17</v>
      </c>
      <c r="C40" s="238">
        <v>46760</v>
      </c>
      <c r="D40" s="239">
        <v>98.999899999999997</v>
      </c>
      <c r="E40" s="239">
        <v>7.4158999999999997</v>
      </c>
      <c r="F40" s="237"/>
      <c r="G40" s="237"/>
    </row>
    <row r="41" spans="1:8">
      <c r="A41" s="237" t="s">
        <v>256</v>
      </c>
      <c r="B41" s="237">
        <v>7.1</v>
      </c>
      <c r="C41" s="238">
        <v>46779</v>
      </c>
      <c r="D41" s="239">
        <v>98.657399999999996</v>
      </c>
      <c r="E41" s="239">
        <v>7.4291999999999998</v>
      </c>
      <c r="F41" s="237"/>
      <c r="G41" s="237"/>
    </row>
    <row r="42" spans="1:8">
      <c r="A42" s="237" t="s">
        <v>257</v>
      </c>
      <c r="B42" s="237">
        <v>6.01</v>
      </c>
      <c r="C42" s="238">
        <v>46837</v>
      </c>
      <c r="D42" s="239">
        <v>94.083100000000002</v>
      </c>
      <c r="E42" s="239">
        <v>7.4318999999999997</v>
      </c>
      <c r="F42" s="237"/>
      <c r="G42" s="237"/>
    </row>
    <row r="43" spans="1:8">
      <c r="A43" s="237" t="s">
        <v>259</v>
      </c>
      <c r="B43" s="237">
        <v>8.6</v>
      </c>
      <c r="C43" s="238">
        <v>46906</v>
      </c>
      <c r="D43" s="239">
        <v>104.913</v>
      </c>
      <c r="E43" s="239">
        <v>7.4477000000000002</v>
      </c>
      <c r="F43" s="237"/>
      <c r="G43" s="237"/>
    </row>
    <row r="44" spans="1:8">
      <c r="A44" s="237" t="s">
        <v>260</v>
      </c>
      <c r="B44" s="237">
        <v>6.13</v>
      </c>
      <c r="C44" s="238">
        <v>46908</v>
      </c>
      <c r="D44" s="239">
        <v>94.392300000000006</v>
      </c>
      <c r="E44" s="239">
        <v>7.4352</v>
      </c>
      <c r="F44" s="237"/>
      <c r="G44" s="237"/>
    </row>
    <row r="45" spans="1:8">
      <c r="A45" s="237" t="s">
        <v>261</v>
      </c>
      <c r="B45" s="237">
        <v>7.26</v>
      </c>
      <c r="C45" s="238">
        <v>47132</v>
      </c>
      <c r="D45" s="240">
        <v>99.208200000000005</v>
      </c>
      <c r="E45" s="240">
        <v>7.4261999999999997</v>
      </c>
      <c r="F45" s="237" t="s">
        <v>243</v>
      </c>
      <c r="G45" s="237"/>
      <c r="H45" s="2" t="s">
        <v>241</v>
      </c>
    </row>
    <row r="46" spans="1:8">
      <c r="A46" s="237" t="s">
        <v>262</v>
      </c>
      <c r="B46" s="237">
        <v>7.59</v>
      </c>
      <c r="C46" s="238">
        <v>47197</v>
      </c>
      <c r="D46" s="239">
        <v>100.8562</v>
      </c>
      <c r="E46" s="239">
        <v>7.4104999999999999</v>
      </c>
      <c r="F46" s="237"/>
      <c r="G46" s="237"/>
    </row>
    <row r="47" spans="1:8">
      <c r="A47" s="237" t="s">
        <v>263</v>
      </c>
      <c r="B47" s="237">
        <v>7.1</v>
      </c>
      <c r="C47" s="238">
        <v>47226</v>
      </c>
      <c r="D47" s="240">
        <v>98.438000000000002</v>
      </c>
      <c r="E47" s="240">
        <v>7.4192999999999998</v>
      </c>
      <c r="F47" s="237" t="s">
        <v>243</v>
      </c>
      <c r="G47" s="237"/>
      <c r="H47" s="2" t="s">
        <v>241</v>
      </c>
    </row>
    <row r="48" spans="1:8">
      <c r="A48" s="237" t="s">
        <v>264</v>
      </c>
      <c r="B48" s="237">
        <v>6.45</v>
      </c>
      <c r="C48" s="238">
        <v>47398</v>
      </c>
      <c r="D48" s="239">
        <v>95.010300000000001</v>
      </c>
      <c r="E48" s="239">
        <v>7.4183000000000003</v>
      </c>
      <c r="F48" s="237"/>
      <c r="G48" s="237"/>
    </row>
    <row r="49" spans="1:8">
      <c r="A49" s="237" t="s">
        <v>265</v>
      </c>
      <c r="B49" s="237">
        <v>6.79</v>
      </c>
      <c r="C49" s="238">
        <v>47478</v>
      </c>
      <c r="D49" s="239">
        <v>96.615700000000004</v>
      </c>
      <c r="E49" s="239">
        <v>7.4290000000000003</v>
      </c>
      <c r="F49" s="237"/>
      <c r="G49" s="237"/>
    </row>
    <row r="50" spans="1:8">
      <c r="A50" s="237" t="s">
        <v>266</v>
      </c>
      <c r="B50" s="237">
        <v>7.88</v>
      </c>
      <c r="C50" s="238">
        <v>47561</v>
      </c>
      <c r="D50" s="239">
        <v>102.5376</v>
      </c>
      <c r="E50" s="239">
        <v>7.4100999999999999</v>
      </c>
      <c r="F50" s="237"/>
      <c r="G50" s="237"/>
    </row>
    <row r="51" spans="1:8">
      <c r="A51" s="237" t="s">
        <v>268</v>
      </c>
      <c r="B51" s="237">
        <v>7.61</v>
      </c>
      <c r="C51" s="238">
        <v>47612</v>
      </c>
      <c r="D51" s="239">
        <v>100.7444</v>
      </c>
      <c r="E51" s="239">
        <v>7.4713000000000003</v>
      </c>
      <c r="F51" s="237"/>
      <c r="G51" s="237"/>
    </row>
    <row r="52" spans="1:8">
      <c r="A52" s="237" t="s">
        <v>269</v>
      </c>
      <c r="B52" s="237">
        <v>5.79</v>
      </c>
      <c r="C52" s="238">
        <v>47614</v>
      </c>
      <c r="D52" s="240">
        <v>90.941599999999994</v>
      </c>
      <c r="E52" s="240">
        <v>7.4367000000000001</v>
      </c>
      <c r="F52" s="237"/>
      <c r="G52" s="237"/>
      <c r="H52" s="2" t="s">
        <v>241</v>
      </c>
    </row>
    <row r="53" spans="1:8">
      <c r="A53" s="237" t="s">
        <v>270</v>
      </c>
      <c r="B53" s="237">
        <v>5.77</v>
      </c>
      <c r="C53" s="238">
        <v>47698</v>
      </c>
      <c r="D53" s="239">
        <v>90.7059</v>
      </c>
      <c r="E53" s="239">
        <v>7.4203000000000001</v>
      </c>
      <c r="F53" s="237"/>
      <c r="G53" s="237"/>
    </row>
    <row r="54" spans="1:8">
      <c r="A54" s="237" t="s">
        <v>271</v>
      </c>
      <c r="B54" s="237">
        <v>9.1999999999999993</v>
      </c>
      <c r="C54" s="238">
        <v>47756</v>
      </c>
      <c r="D54" s="239">
        <v>109.92619999999999</v>
      </c>
      <c r="E54" s="239">
        <v>7.4596</v>
      </c>
      <c r="F54" s="237"/>
      <c r="G54" s="237"/>
    </row>
    <row r="55" spans="1:8">
      <c r="A55" s="237" t="s">
        <v>272</v>
      </c>
      <c r="B55" s="237">
        <v>5.85</v>
      </c>
      <c r="C55" s="238">
        <v>47818</v>
      </c>
      <c r="D55" s="239">
        <v>90.572999999999993</v>
      </c>
      <c r="E55" s="239">
        <v>7.4725000000000001</v>
      </c>
      <c r="F55" s="237"/>
      <c r="G55" s="237"/>
    </row>
    <row r="56" spans="1:8">
      <c r="A56" s="237" t="s">
        <v>273</v>
      </c>
      <c r="B56" s="237">
        <v>8.9700000000000006</v>
      </c>
      <c r="C56" s="238">
        <v>47822</v>
      </c>
      <c r="D56" s="239">
        <v>108.6759</v>
      </c>
      <c r="E56" s="239">
        <v>7.4726999999999997</v>
      </c>
      <c r="F56" s="237"/>
      <c r="G56" s="237"/>
    </row>
    <row r="57" spans="1:8">
      <c r="A57" s="237" t="s">
        <v>275</v>
      </c>
      <c r="B57" s="237">
        <v>6.1</v>
      </c>
      <c r="C57" s="238">
        <v>48041</v>
      </c>
      <c r="D57" s="240">
        <v>91.714799999999997</v>
      </c>
      <c r="E57" s="240">
        <v>7.4471999999999996</v>
      </c>
      <c r="F57" s="237"/>
      <c r="G57" s="237"/>
      <c r="H57" s="2" t="s">
        <v>241</v>
      </c>
    </row>
    <row r="58" spans="1:8">
      <c r="A58" s="237" t="s">
        <v>276</v>
      </c>
      <c r="B58" s="237">
        <v>6.68</v>
      </c>
      <c r="C58" s="238">
        <v>48108</v>
      </c>
      <c r="D58" s="239">
        <v>95.002099999999999</v>
      </c>
      <c r="E58" s="239">
        <v>7.4816000000000003</v>
      </c>
      <c r="F58" s="237"/>
      <c r="G58" s="237"/>
    </row>
    <row r="59" spans="1:8">
      <c r="A59" s="237" t="s">
        <v>277</v>
      </c>
      <c r="B59" s="237">
        <v>6.54</v>
      </c>
      <c r="C59" s="238">
        <v>48230</v>
      </c>
      <c r="D59" s="240">
        <v>94.165099999999995</v>
      </c>
      <c r="E59" s="240">
        <v>7.4485000000000001</v>
      </c>
      <c r="F59" s="237" t="s">
        <v>243</v>
      </c>
      <c r="G59" s="237"/>
      <c r="H59" s="2" t="s">
        <v>241</v>
      </c>
    </row>
    <row r="60" spans="1:8">
      <c r="A60" s="237" t="s">
        <v>278</v>
      </c>
      <c r="B60" s="237">
        <v>8.2799999999999994</v>
      </c>
      <c r="C60" s="238">
        <v>48259</v>
      </c>
      <c r="D60" s="239">
        <v>105.16030000000001</v>
      </c>
      <c r="E60" s="239">
        <v>7.4779999999999998</v>
      </c>
      <c r="F60" s="237"/>
      <c r="G60" s="237"/>
    </row>
    <row r="61" spans="1:8">
      <c r="A61" s="237" t="s">
        <v>279</v>
      </c>
      <c r="B61" s="237">
        <v>8.32</v>
      </c>
      <c r="C61" s="238">
        <v>48428</v>
      </c>
      <c r="D61" s="239">
        <v>105.59610000000001</v>
      </c>
      <c r="E61" s="239">
        <v>7.4798999999999998</v>
      </c>
      <c r="F61" s="237"/>
      <c r="G61" s="237"/>
    </row>
    <row r="62" spans="1:8">
      <c r="A62" s="237" t="s">
        <v>280</v>
      </c>
      <c r="B62" s="237">
        <v>7.26</v>
      </c>
      <c r="C62" s="238">
        <v>48448</v>
      </c>
      <c r="D62" s="240">
        <v>98.828500000000005</v>
      </c>
      <c r="E62" s="240">
        <v>7.4340000000000002</v>
      </c>
      <c r="F62" s="237" t="s">
        <v>243</v>
      </c>
      <c r="G62" s="237"/>
      <c r="H62" s="2" t="s">
        <v>241</v>
      </c>
    </row>
    <row r="63" spans="1:8">
      <c r="A63" s="237" t="s">
        <v>281</v>
      </c>
      <c r="B63" s="237">
        <v>7.95</v>
      </c>
      <c r="C63" s="238">
        <v>48454</v>
      </c>
      <c r="D63" s="239">
        <v>103.3724</v>
      </c>
      <c r="E63" s="239">
        <v>7.4478</v>
      </c>
      <c r="F63" s="237"/>
      <c r="G63" s="237"/>
    </row>
    <row r="64" spans="1:8">
      <c r="A64" s="237" t="s">
        <v>282</v>
      </c>
      <c r="B64" s="237">
        <v>8.33</v>
      </c>
      <c r="C64" s="238">
        <v>48478</v>
      </c>
      <c r="D64" s="239">
        <v>105.85980000000001</v>
      </c>
      <c r="E64" s="239">
        <v>7.4603000000000002</v>
      </c>
      <c r="F64" s="237"/>
      <c r="G64" s="237"/>
    </row>
    <row r="65" spans="1:8">
      <c r="A65" s="237" t="s">
        <v>283</v>
      </c>
      <c r="B65" s="237">
        <v>7.29</v>
      </c>
      <c r="C65" s="238">
        <v>48606</v>
      </c>
      <c r="D65" s="239">
        <v>98.774500000000003</v>
      </c>
      <c r="E65" s="239">
        <v>7.4657999999999998</v>
      </c>
      <c r="F65" s="237"/>
      <c r="G65" s="237"/>
    </row>
    <row r="66" spans="1:8">
      <c r="A66" s="237" t="s">
        <v>284</v>
      </c>
      <c r="B66" s="237">
        <v>7.26</v>
      </c>
      <c r="C66" s="238">
        <v>48616</v>
      </c>
      <c r="D66" s="240">
        <v>98.921800000000005</v>
      </c>
      <c r="E66" s="240">
        <v>7.4142000000000001</v>
      </c>
      <c r="F66" s="237" t="s">
        <v>243</v>
      </c>
      <c r="G66" s="237"/>
      <c r="H66" s="2" t="s">
        <v>241</v>
      </c>
    </row>
    <row r="67" spans="1:8">
      <c r="A67" s="237" t="s">
        <v>285</v>
      </c>
      <c r="B67" s="237">
        <v>7.57</v>
      </c>
      <c r="C67" s="238">
        <v>48747</v>
      </c>
      <c r="D67" s="239">
        <v>100.6885</v>
      </c>
      <c r="E67" s="239">
        <v>7.4706000000000001</v>
      </c>
      <c r="F67" s="237"/>
      <c r="G67" s="237"/>
    </row>
    <row r="68" spans="1:8">
      <c r="A68" s="237" t="s">
        <v>287</v>
      </c>
      <c r="B68" s="237">
        <v>8.24</v>
      </c>
      <c r="C68" s="238">
        <v>48893</v>
      </c>
      <c r="D68" s="239">
        <v>105.7488</v>
      </c>
      <c r="E68" s="239">
        <v>7.4481000000000002</v>
      </c>
      <c r="F68" s="237"/>
      <c r="G68" s="237"/>
    </row>
    <row r="69" spans="1:8">
      <c r="A69" s="237" t="s">
        <v>288</v>
      </c>
      <c r="B69" s="237">
        <v>6.57</v>
      </c>
      <c r="C69" s="238">
        <v>48918</v>
      </c>
      <c r="D69" s="239">
        <v>93.474599999999995</v>
      </c>
      <c r="E69" s="239">
        <v>7.4607999999999999</v>
      </c>
      <c r="F69" s="237"/>
      <c r="G69" s="237"/>
    </row>
    <row r="70" spans="1:8">
      <c r="A70" s="237" t="s">
        <v>289</v>
      </c>
      <c r="B70" s="237">
        <v>7.5</v>
      </c>
      <c r="C70" s="238">
        <v>49166</v>
      </c>
      <c r="D70" s="239">
        <v>99.981899999999996</v>
      </c>
      <c r="E70" s="239">
        <v>7.5014000000000003</v>
      </c>
      <c r="F70" s="237"/>
      <c r="G70" s="237"/>
    </row>
    <row r="71" spans="1:8">
      <c r="A71" s="237" t="s">
        <v>290</v>
      </c>
      <c r="B71" s="237">
        <v>6.19</v>
      </c>
      <c r="C71" s="238">
        <v>49203</v>
      </c>
      <c r="D71" s="239">
        <v>90.213800000000006</v>
      </c>
      <c r="E71" s="239">
        <v>7.4698000000000002</v>
      </c>
      <c r="F71" s="237"/>
      <c r="G71" s="237"/>
    </row>
    <row r="72" spans="1:8">
      <c r="A72" s="237" t="s">
        <v>291</v>
      </c>
      <c r="B72" s="237">
        <v>7.73</v>
      </c>
      <c r="C72" s="238">
        <v>49297</v>
      </c>
      <c r="D72" s="239">
        <v>102.20650000000001</v>
      </c>
      <c r="E72" s="239">
        <v>7.4435000000000002</v>
      </c>
      <c r="F72" s="237"/>
      <c r="G72" s="237"/>
    </row>
    <row r="73" spans="1:8">
      <c r="A73" s="237" t="s">
        <v>292</v>
      </c>
      <c r="B73" s="237">
        <v>6.22</v>
      </c>
      <c r="C73" s="238">
        <v>49384</v>
      </c>
      <c r="D73" s="239">
        <v>90.278499999999994</v>
      </c>
      <c r="E73" s="239">
        <v>7.4569999999999999</v>
      </c>
      <c r="F73" s="237"/>
      <c r="G73" s="237"/>
    </row>
    <row r="74" spans="1:8">
      <c r="A74" s="237" t="s">
        <v>293</v>
      </c>
      <c r="B74" s="237">
        <v>6.64</v>
      </c>
      <c r="C74" s="238">
        <v>49476</v>
      </c>
      <c r="D74" s="239">
        <v>93.546899999999994</v>
      </c>
      <c r="E74" s="239">
        <v>7.4488000000000003</v>
      </c>
      <c r="F74" s="237"/>
      <c r="G74" s="237"/>
    </row>
    <row r="75" spans="1:8">
      <c r="A75" s="237" t="s">
        <v>294</v>
      </c>
      <c r="B75" s="237">
        <v>7.4</v>
      </c>
      <c r="C75" s="238">
        <v>49561</v>
      </c>
      <c r="D75" s="239">
        <v>99.640699999999995</v>
      </c>
      <c r="E75" s="239">
        <v>7.4443000000000001</v>
      </c>
      <c r="F75" s="237"/>
      <c r="G75" s="237"/>
    </row>
    <row r="76" spans="1:8">
      <c r="A76" s="237" t="s">
        <v>295</v>
      </c>
      <c r="B76" s="237">
        <v>6.67</v>
      </c>
      <c r="C76" s="238">
        <v>49658</v>
      </c>
      <c r="D76" s="239">
        <v>93.6541</v>
      </c>
      <c r="E76" s="239">
        <v>7.4462000000000002</v>
      </c>
      <c r="F76" s="237"/>
      <c r="G76" s="237"/>
    </row>
    <row r="77" spans="1:8">
      <c r="A77" s="237" t="s">
        <v>296</v>
      </c>
      <c r="B77" s="237">
        <v>7.54</v>
      </c>
      <c r="C77" s="238">
        <v>49818</v>
      </c>
      <c r="D77" s="240">
        <v>100.49209999999999</v>
      </c>
      <c r="E77" s="240">
        <v>7.4786999999999999</v>
      </c>
      <c r="F77" s="237" t="s">
        <v>243</v>
      </c>
      <c r="G77" s="237"/>
      <c r="H77" s="2" t="s">
        <v>241</v>
      </c>
    </row>
    <row r="78" spans="1:8">
      <c r="A78" s="237" t="s">
        <v>297</v>
      </c>
      <c r="B78" s="237">
        <v>8.33</v>
      </c>
      <c r="C78" s="238">
        <v>49833</v>
      </c>
      <c r="D78" s="239">
        <v>106.80589999999999</v>
      </c>
      <c r="E78" s="239">
        <v>7.5084999999999997</v>
      </c>
      <c r="F78" s="237"/>
      <c r="G78" s="237"/>
    </row>
    <row r="79" spans="1:8">
      <c r="A79" s="237" t="s">
        <v>298</v>
      </c>
      <c r="B79" s="237">
        <v>7.41</v>
      </c>
      <c r="C79" s="238">
        <v>50028</v>
      </c>
      <c r="D79" s="240">
        <v>99.534700000000001</v>
      </c>
      <c r="E79" s="240">
        <v>7.4626999999999999</v>
      </c>
      <c r="F79" s="237" t="s">
        <v>243</v>
      </c>
      <c r="G79" s="237"/>
      <c r="H79" s="2" t="s">
        <v>241</v>
      </c>
    </row>
    <row r="80" spans="1:8">
      <c r="A80" s="237" t="s">
        <v>300</v>
      </c>
      <c r="B80" s="237">
        <v>6.83</v>
      </c>
      <c r="C80" s="238">
        <v>50789</v>
      </c>
      <c r="D80" s="239">
        <v>94.260199999999998</v>
      </c>
      <c r="E80" s="239">
        <v>7.4512999999999998</v>
      </c>
      <c r="F80" s="237"/>
      <c r="G80" s="237"/>
    </row>
    <row r="81" spans="1:8">
      <c r="A81" s="237" t="s">
        <v>301</v>
      </c>
      <c r="B81" s="237">
        <v>7.62</v>
      </c>
      <c r="C81" s="238">
        <v>51028</v>
      </c>
      <c r="D81" s="239">
        <v>101.65130000000001</v>
      </c>
      <c r="E81" s="239">
        <v>7.4442000000000004</v>
      </c>
      <c r="F81" s="237"/>
      <c r="G81" s="237"/>
    </row>
    <row r="82" spans="1:8">
      <c r="A82" s="237" t="s">
        <v>302</v>
      </c>
      <c r="B82" s="237">
        <v>8.3000000000000007</v>
      </c>
      <c r="C82" s="238">
        <v>51319</v>
      </c>
      <c r="D82" s="239">
        <v>108.4648</v>
      </c>
      <c r="E82" s="239">
        <v>7.4222999999999999</v>
      </c>
      <c r="F82" s="237" t="s">
        <v>243</v>
      </c>
      <c r="G82" s="237"/>
      <c r="H82" s="2" t="s">
        <v>274</v>
      </c>
    </row>
    <row r="83" spans="1:8">
      <c r="A83" s="237" t="s">
        <v>303</v>
      </c>
      <c r="B83" s="237">
        <v>8.83</v>
      </c>
      <c r="C83" s="238">
        <v>51847</v>
      </c>
      <c r="D83" s="239">
        <v>114.32089999999999</v>
      </c>
      <c r="E83" s="239">
        <v>7.4040999999999997</v>
      </c>
      <c r="F83" s="237"/>
      <c r="G83" s="237"/>
    </row>
    <row r="84" spans="1:8">
      <c r="A84" s="237" t="s">
        <v>304</v>
      </c>
      <c r="B84" s="237">
        <v>8.3000000000000007</v>
      </c>
      <c r="C84" s="238">
        <v>52231</v>
      </c>
      <c r="D84" s="239">
        <v>109.2419</v>
      </c>
      <c r="E84" s="239">
        <v>7.4021999999999997</v>
      </c>
      <c r="F84" s="237"/>
      <c r="G84" s="237"/>
    </row>
    <row r="85" spans="1:8">
      <c r="A85" s="237" t="s">
        <v>305</v>
      </c>
      <c r="B85" s="237">
        <v>7.69</v>
      </c>
      <c r="C85" s="238">
        <v>52399</v>
      </c>
      <c r="D85" s="239">
        <v>102.7406</v>
      </c>
      <c r="E85" s="239">
        <v>7.4249000000000001</v>
      </c>
      <c r="F85" s="237"/>
      <c r="G85" s="237"/>
    </row>
    <row r="86" spans="1:8">
      <c r="A86" s="237" t="s">
        <v>306</v>
      </c>
      <c r="B86" s="237">
        <v>9.23</v>
      </c>
      <c r="C86" s="238">
        <v>52588</v>
      </c>
      <c r="D86" s="239">
        <v>119.1062</v>
      </c>
      <c r="E86" s="239">
        <v>7.4126000000000003</v>
      </c>
      <c r="F86" s="237" t="s">
        <v>243</v>
      </c>
      <c r="G86" s="237"/>
      <c r="H86" s="2" t="s">
        <v>274</v>
      </c>
    </row>
    <row r="87" spans="1:8">
      <c r="A87" s="237" t="s">
        <v>307</v>
      </c>
      <c r="B87" s="237">
        <v>8.17</v>
      </c>
      <c r="C87" s="238">
        <v>52932</v>
      </c>
      <c r="D87" s="239">
        <v>108.0449</v>
      </c>
      <c r="E87" s="239">
        <v>7.4175000000000004</v>
      </c>
      <c r="F87" s="237"/>
      <c r="G87" s="237"/>
    </row>
    <row r="88" spans="1:8">
      <c r="A88" s="237" t="s">
        <v>308</v>
      </c>
      <c r="B88" s="237">
        <v>8.1300000000000008</v>
      </c>
      <c r="C88" s="238">
        <v>53135</v>
      </c>
      <c r="D88" s="239">
        <v>107.8099</v>
      </c>
      <c r="E88" s="239">
        <v>7.4076000000000004</v>
      </c>
      <c r="F88" s="237" t="s">
        <v>243</v>
      </c>
      <c r="G88" s="237"/>
      <c r="H88" s="2" t="s">
        <v>274</v>
      </c>
    </row>
    <row r="89" spans="1:8">
      <c r="A89" s="237" t="s">
        <v>309</v>
      </c>
      <c r="B89" s="237">
        <v>7.06</v>
      </c>
      <c r="C89" s="238">
        <v>53610</v>
      </c>
      <c r="D89" s="239">
        <v>96.182599999999994</v>
      </c>
      <c r="E89" s="239">
        <v>7.4036</v>
      </c>
      <c r="F89" s="237"/>
      <c r="G89" s="237"/>
    </row>
    <row r="90" spans="1:8">
      <c r="A90" s="237" t="s">
        <v>310</v>
      </c>
      <c r="B90" s="237">
        <v>7.72</v>
      </c>
      <c r="C90" s="238">
        <v>54589</v>
      </c>
      <c r="D90" s="239">
        <v>103.01309999999999</v>
      </c>
      <c r="E90" s="239">
        <v>7.4554</v>
      </c>
      <c r="F90" s="237"/>
      <c r="G90" s="237"/>
    </row>
    <row r="91" spans="1:8">
      <c r="A91" s="237" t="s">
        <v>311</v>
      </c>
      <c r="B91" s="237">
        <v>7.16</v>
      </c>
      <c r="C91" s="238">
        <v>55051</v>
      </c>
      <c r="D91" s="239">
        <v>96.752499999999998</v>
      </c>
      <c r="E91" s="239">
        <v>7.4382999999999999</v>
      </c>
      <c r="F91" s="237"/>
      <c r="G91" s="237"/>
    </row>
    <row r="92" spans="1:8">
      <c r="A92" s="237" t="s">
        <v>312</v>
      </c>
      <c r="B92" s="237">
        <v>6.67</v>
      </c>
      <c r="C92" s="238">
        <v>55139</v>
      </c>
      <c r="D92" s="240">
        <v>91.190100000000001</v>
      </c>
      <c r="E92" s="240">
        <v>7.4219999999999997</v>
      </c>
      <c r="F92" s="237" t="s">
        <v>243</v>
      </c>
      <c r="G92" s="237"/>
      <c r="H92" s="2" t="s">
        <v>241</v>
      </c>
    </row>
    <row r="93" spans="1:8">
      <c r="A93" s="237" t="s">
        <v>313</v>
      </c>
      <c r="B93" s="237">
        <v>6.62</v>
      </c>
      <c r="C93" s="238">
        <v>55485</v>
      </c>
      <c r="D93" s="239">
        <v>90.321700000000007</v>
      </c>
      <c r="E93" s="239">
        <v>7.4393000000000002</v>
      </c>
      <c r="F93" s="237"/>
      <c r="G93" s="237" t="s">
        <v>239</v>
      </c>
    </row>
    <row r="94" spans="1:8">
      <c r="A94" s="237" t="s">
        <v>314</v>
      </c>
      <c r="B94" s="237">
        <v>6.99</v>
      </c>
      <c r="C94" s="238">
        <v>55502</v>
      </c>
      <c r="D94" s="240">
        <v>94.682699999999997</v>
      </c>
      <c r="E94" s="240">
        <v>7.4393000000000002</v>
      </c>
      <c r="F94" s="237" t="s">
        <v>243</v>
      </c>
      <c r="G94" s="237"/>
      <c r="H94" s="2" t="s">
        <v>241</v>
      </c>
    </row>
    <row r="95" spans="1:8">
      <c r="A95" s="237" t="s">
        <v>315</v>
      </c>
      <c r="B95" s="237">
        <v>7.36</v>
      </c>
      <c r="C95" s="238">
        <v>55774</v>
      </c>
      <c r="D95" s="240">
        <v>99.259399999999999</v>
      </c>
      <c r="E95" s="240">
        <v>7.4218999999999999</v>
      </c>
      <c r="F95" s="237" t="s">
        <v>243</v>
      </c>
      <c r="G95" s="237"/>
      <c r="H95" s="2" t="s">
        <v>241</v>
      </c>
    </row>
    <row r="96" spans="1:8">
      <c r="A96" s="237" t="s">
        <v>317</v>
      </c>
      <c r="B96" s="237">
        <v>7.72</v>
      </c>
      <c r="C96" s="238">
        <v>56913</v>
      </c>
      <c r="D96" s="239">
        <v>103.6208</v>
      </c>
      <c r="E96" s="239">
        <v>7.4226000000000001</v>
      </c>
      <c r="F96" s="237" t="s">
        <v>243</v>
      </c>
      <c r="G96" s="237"/>
      <c r="H96" s="2" t="s">
        <v>274</v>
      </c>
    </row>
    <row r="97" spans="1:8">
      <c r="A97" s="237" t="s">
        <v>318</v>
      </c>
      <c r="B97" s="237">
        <v>7.63</v>
      </c>
      <c r="C97" s="238">
        <v>58243</v>
      </c>
      <c r="D97" s="239">
        <v>102.3807</v>
      </c>
      <c r="E97" s="239">
        <v>7.4381000000000004</v>
      </c>
      <c r="F97" s="237"/>
      <c r="G97" s="237"/>
    </row>
    <row r="98" spans="1:8">
      <c r="A98" s="237" t="s">
        <v>319</v>
      </c>
      <c r="B98" s="237">
        <v>7.19</v>
      </c>
      <c r="C98" s="238">
        <v>58699</v>
      </c>
      <c r="D98" s="240">
        <v>96.985399999999998</v>
      </c>
      <c r="E98" s="240">
        <v>7.4291</v>
      </c>
      <c r="F98" s="237"/>
      <c r="G98" s="237"/>
      <c r="H98" s="2" t="s">
        <v>241</v>
      </c>
    </row>
    <row r="99" spans="1:8">
      <c r="A99" s="237" t="s">
        <v>320</v>
      </c>
      <c r="B99" s="237">
        <v>6.8</v>
      </c>
      <c r="C99" s="238">
        <v>58790</v>
      </c>
      <c r="D99" s="240">
        <v>92.120900000000006</v>
      </c>
      <c r="E99" s="240">
        <v>7.4234999999999998</v>
      </c>
      <c r="F99" s="237"/>
      <c r="G99" s="237"/>
      <c r="H99" s="2" t="s">
        <v>241</v>
      </c>
    </row>
    <row r="100" spans="1:8">
      <c r="A100" s="237" t="s">
        <v>321</v>
      </c>
      <c r="B100" s="237">
        <v>6.76</v>
      </c>
      <c r="C100" s="238">
        <v>58859</v>
      </c>
      <c r="D100" s="240">
        <v>91.394900000000007</v>
      </c>
      <c r="E100" s="240">
        <v>7.4428000000000001</v>
      </c>
      <c r="F100" s="237" t="s">
        <v>243</v>
      </c>
      <c r="G100" s="237"/>
      <c r="H100" s="2" t="s">
        <v>241</v>
      </c>
    </row>
    <row r="101" spans="1:8">
      <c r="A101" s="237" t="s">
        <v>322</v>
      </c>
      <c r="B101" s="237">
        <v>6.95</v>
      </c>
      <c r="C101" s="238">
        <v>59156</v>
      </c>
      <c r="D101" s="239">
        <v>93.752300000000005</v>
      </c>
      <c r="E101" s="239">
        <v>7.4428000000000001</v>
      </c>
      <c r="F101" s="237"/>
      <c r="G101" s="237" t="s">
        <v>239</v>
      </c>
    </row>
    <row r="102" spans="1:8">
      <c r="A102" s="237" t="s">
        <v>323</v>
      </c>
      <c r="B102" s="237">
        <v>7.4</v>
      </c>
      <c r="C102" s="238">
        <v>59433</v>
      </c>
      <c r="D102" s="240">
        <v>100.00060000000001</v>
      </c>
      <c r="E102" s="240">
        <v>7.3994999999999997</v>
      </c>
      <c r="F102" s="237" t="s">
        <v>243</v>
      </c>
      <c r="G102" s="237"/>
      <c r="H102" s="2" t="s">
        <v>241</v>
      </c>
    </row>
    <row r="103" spans="1:8">
      <c r="A103" s="237" t="s">
        <v>325</v>
      </c>
      <c r="B103" s="237">
        <v>6.75</v>
      </c>
      <c r="C103" s="238">
        <v>45603</v>
      </c>
      <c r="D103" s="240">
        <v>99.41</v>
      </c>
      <c r="E103" s="240">
        <v>7.44</v>
      </c>
      <c r="F103" s="237" t="s">
        <v>326</v>
      </c>
      <c r="G103" s="237" t="s">
        <v>327</v>
      </c>
      <c r="H103" s="2" t="s">
        <v>241</v>
      </c>
    </row>
    <row r="104" spans="1:8">
      <c r="A104" s="237" t="s">
        <v>328</v>
      </c>
      <c r="B104" s="237">
        <v>7.0099999999999989</v>
      </c>
      <c r="C104" s="238">
        <v>47030</v>
      </c>
      <c r="D104" s="240">
        <v>98.75</v>
      </c>
      <c r="E104" s="240">
        <v>7.9855</v>
      </c>
      <c r="F104" s="237" t="s">
        <v>326</v>
      </c>
      <c r="G104" s="237" t="s">
        <v>329</v>
      </c>
      <c r="H104" s="2" t="s">
        <v>241</v>
      </c>
    </row>
    <row r="105" spans="1:8">
      <c r="A105" s="237" t="s">
        <v>330</v>
      </c>
      <c r="B105" s="237">
        <v>7.69</v>
      </c>
      <c r="C105" s="238">
        <v>48189</v>
      </c>
      <c r="D105" s="239">
        <v>99.672499999999999</v>
      </c>
      <c r="E105" s="239">
        <v>8.1999999999999993</v>
      </c>
      <c r="F105" s="237" t="s">
        <v>326</v>
      </c>
      <c r="G105" s="237" t="s">
        <v>331</v>
      </c>
    </row>
    <row r="106" spans="1:8">
      <c r="A106" s="237" t="s">
        <v>332</v>
      </c>
      <c r="B106" s="237">
        <v>7.42</v>
      </c>
      <c r="C106" s="238">
        <v>48844</v>
      </c>
      <c r="D106" s="240">
        <v>99.8</v>
      </c>
      <c r="E106" s="240">
        <v>8.3209</v>
      </c>
      <c r="F106" s="237" t="s">
        <v>326</v>
      </c>
      <c r="G106" s="237" t="s">
        <v>333</v>
      </c>
      <c r="H106" s="2" t="s">
        <v>241</v>
      </c>
    </row>
    <row r="107" spans="1:8">
      <c r="A107" s="237" t="s">
        <v>334</v>
      </c>
      <c r="B107" s="237">
        <v>7.69</v>
      </c>
      <c r="C107" s="238">
        <v>49247</v>
      </c>
      <c r="D107" s="240">
        <v>97.9</v>
      </c>
      <c r="E107" s="240">
        <v>8.3347999999999995</v>
      </c>
      <c r="F107" s="237" t="s">
        <v>326</v>
      </c>
      <c r="G107" s="237" t="s">
        <v>335</v>
      </c>
      <c r="H107" s="2" t="s">
        <v>241</v>
      </c>
    </row>
    <row r="108" spans="1:8">
      <c r="A108" s="237" t="s">
        <v>336</v>
      </c>
      <c r="B108" s="237">
        <v>6.58</v>
      </c>
      <c r="C108" s="238">
        <v>49334</v>
      </c>
      <c r="D108" s="239">
        <v>98.693799999999996</v>
      </c>
      <c r="E108" s="239">
        <v>7.3243999999999998</v>
      </c>
      <c r="F108" s="237" t="s">
        <v>326</v>
      </c>
      <c r="G108" s="237"/>
    </row>
    <row r="109" spans="1:8">
      <c r="A109" s="237" t="s">
        <v>343</v>
      </c>
      <c r="B109" s="237">
        <v>1.44</v>
      </c>
      <c r="C109" s="238">
        <v>45082</v>
      </c>
      <c r="D109" s="239">
        <v>99.943899999999999</v>
      </c>
      <c r="E109" s="239">
        <v>1.655752581083259</v>
      </c>
      <c r="F109" s="237" t="s">
        <v>344</v>
      </c>
      <c r="G109" s="237"/>
    </row>
  </sheetData>
  <mergeCells count="1">
    <mergeCell ref="B2:F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8C0F-530D-40DB-93B5-938DBB2BC82B}">
  <dimension ref="A1:H110"/>
  <sheetViews>
    <sheetView workbookViewId="0">
      <selection activeCell="E11" sqref="E11"/>
    </sheetView>
  </sheetViews>
  <sheetFormatPr defaultColWidth="8.796875" defaultRowHeight="13.3"/>
  <cols>
    <col min="1" max="1" width="17.796875" style="2" customWidth="1"/>
    <col min="2" max="2" width="16.19921875" style="2" customWidth="1"/>
    <col min="3" max="3" width="17.796875" style="2" customWidth="1"/>
    <col min="4" max="4" width="20.59765625" style="2" customWidth="1"/>
    <col min="5" max="5" width="18.59765625" style="2" customWidth="1"/>
    <col min="6" max="6" width="17.3984375" style="2" customWidth="1"/>
    <col min="7" max="7" width="15.19921875" style="2" bestFit="1" customWidth="1"/>
    <col min="8" max="16384" width="8.796875" style="2"/>
  </cols>
  <sheetData>
    <row r="1" spans="1:7" ht="21.05" customHeight="1">
      <c r="B1" s="189" t="s">
        <v>108</v>
      </c>
      <c r="C1" s="227"/>
      <c r="D1" s="228"/>
      <c r="E1" s="228"/>
      <c r="F1" s="229"/>
    </row>
    <row r="2" spans="1:7" ht="21.05" customHeight="1">
      <c r="B2" s="337"/>
      <c r="C2" s="338"/>
      <c r="D2" s="338"/>
      <c r="E2" s="338"/>
      <c r="F2" s="338"/>
    </row>
    <row r="3" spans="1:7" ht="21.05" customHeight="1">
      <c r="A3" s="191" t="s">
        <v>212</v>
      </c>
      <c r="C3" s="191" t="s">
        <v>213</v>
      </c>
      <c r="D3" s="230" t="s">
        <v>214</v>
      </c>
      <c r="E3" s="230"/>
      <c r="F3" s="231"/>
    </row>
    <row r="4" spans="1:7" ht="21.05" customHeight="1">
      <c r="A4" s="189"/>
      <c r="B4" s="189"/>
      <c r="C4" s="191"/>
      <c r="D4" s="232"/>
      <c r="E4" s="232"/>
      <c r="F4" s="191"/>
      <c r="G4" s="9"/>
    </row>
    <row r="5" spans="1:7" ht="34.5" customHeight="1">
      <c r="A5" s="233" t="s">
        <v>215</v>
      </c>
      <c r="B5" s="233" t="s">
        <v>216</v>
      </c>
      <c r="C5" s="234" t="s">
        <v>217</v>
      </c>
      <c r="D5" s="235" t="s">
        <v>218</v>
      </c>
      <c r="E5" s="194" t="s">
        <v>219</v>
      </c>
      <c r="F5" s="236" t="s">
        <v>220</v>
      </c>
      <c r="G5" s="236" t="s">
        <v>221</v>
      </c>
    </row>
    <row r="6" spans="1:7">
      <c r="A6" s="237" t="s">
        <v>222</v>
      </c>
      <c r="B6" s="237">
        <v>4.4800000000000004</v>
      </c>
      <c r="C6" s="238">
        <v>45232</v>
      </c>
      <c r="D6" s="239">
        <v>99.819599999999994</v>
      </c>
      <c r="E6" s="239">
        <v>6.6994999999999996</v>
      </c>
      <c r="F6" s="237"/>
      <c r="G6" s="237"/>
    </row>
    <row r="7" spans="1:7">
      <c r="A7" s="237" t="s">
        <v>223</v>
      </c>
      <c r="B7" s="237">
        <v>8.83</v>
      </c>
      <c r="C7" s="238">
        <v>45255</v>
      </c>
      <c r="D7" s="239">
        <v>100.2764</v>
      </c>
      <c r="E7" s="239">
        <v>6.7675999999999998</v>
      </c>
      <c r="F7" s="237"/>
      <c r="G7" s="237"/>
    </row>
    <row r="8" spans="1:7">
      <c r="A8" s="237" t="s">
        <v>224</v>
      </c>
      <c r="B8" s="237">
        <v>4.5599999999999996</v>
      </c>
      <c r="C8" s="238">
        <v>45259</v>
      </c>
      <c r="D8" s="239">
        <v>99.668899999999994</v>
      </c>
      <c r="E8" s="239">
        <v>6.6820000000000004</v>
      </c>
      <c r="F8" s="237"/>
      <c r="G8" s="237"/>
    </row>
    <row r="9" spans="1:7">
      <c r="A9" s="237" t="s">
        <v>225</v>
      </c>
      <c r="B9" s="237">
        <v>7.68</v>
      </c>
      <c r="C9" s="238">
        <v>45275</v>
      </c>
      <c r="D9" s="239">
        <v>100.1461</v>
      </c>
      <c r="E9" s="239">
        <v>6.8524000000000003</v>
      </c>
      <c r="F9" s="237"/>
      <c r="G9" s="237"/>
    </row>
    <row r="10" spans="1:7">
      <c r="A10" s="237" t="s">
        <v>226</v>
      </c>
      <c r="B10" s="237">
        <v>7.32</v>
      </c>
      <c r="C10" s="238">
        <v>45319</v>
      </c>
      <c r="D10" s="239">
        <v>100.1228</v>
      </c>
      <c r="E10" s="239">
        <v>6.8788999999999998</v>
      </c>
      <c r="F10" s="237"/>
      <c r="G10" s="237"/>
    </row>
    <row r="11" spans="1:7">
      <c r="A11" s="237" t="s">
        <v>227</v>
      </c>
      <c r="B11" s="237">
        <v>7.35</v>
      </c>
      <c r="C11" s="238">
        <v>45465</v>
      </c>
      <c r="D11" s="239">
        <v>100.12690000000001</v>
      </c>
      <c r="E11" s="239">
        <v>7.1428000000000003</v>
      </c>
      <c r="F11" s="237"/>
      <c r="G11" s="237"/>
    </row>
    <row r="12" spans="1:7">
      <c r="A12" s="237" t="s">
        <v>228</v>
      </c>
      <c r="B12" s="237">
        <v>6.69</v>
      </c>
      <c r="C12" s="238">
        <v>45470</v>
      </c>
      <c r="D12" s="239">
        <v>99.654899999999998</v>
      </c>
      <c r="E12" s="239">
        <v>7.1605999999999996</v>
      </c>
      <c r="F12" s="237"/>
      <c r="G12" s="237"/>
    </row>
    <row r="13" spans="1:7">
      <c r="A13" s="237" t="s">
        <v>229</v>
      </c>
      <c r="B13" s="237">
        <v>8.4</v>
      </c>
      <c r="C13" s="238">
        <v>45501</v>
      </c>
      <c r="D13" s="239">
        <v>100.9761</v>
      </c>
      <c r="E13" s="239">
        <v>7.1308999999999996</v>
      </c>
      <c r="F13" s="237"/>
      <c r="G13" s="237"/>
    </row>
    <row r="14" spans="1:7">
      <c r="A14" s="237" t="s">
        <v>230</v>
      </c>
      <c r="B14" s="237">
        <v>6.18</v>
      </c>
      <c r="C14" s="238">
        <v>45600</v>
      </c>
      <c r="D14" s="239">
        <v>99.054199999999994</v>
      </c>
      <c r="E14" s="239">
        <v>7.0926</v>
      </c>
      <c r="F14" s="237"/>
      <c r="G14" s="237"/>
    </row>
    <row r="15" spans="1:7">
      <c r="A15" s="237" t="s">
        <v>231</v>
      </c>
      <c r="B15" s="237">
        <v>9.15</v>
      </c>
      <c r="C15" s="238">
        <v>45610</v>
      </c>
      <c r="D15" s="239">
        <v>102.19</v>
      </c>
      <c r="E15" s="239">
        <v>7.0579000000000001</v>
      </c>
      <c r="F15" s="237"/>
      <c r="G15" s="237"/>
    </row>
    <row r="16" spans="1:7">
      <c r="A16" s="237" t="s">
        <v>232</v>
      </c>
      <c r="B16" s="237">
        <v>6.89</v>
      </c>
      <c r="C16" s="238">
        <v>45673</v>
      </c>
      <c r="D16" s="239">
        <v>99.882599999999996</v>
      </c>
      <c r="E16" s="239">
        <v>6.9751000000000003</v>
      </c>
      <c r="F16" s="237"/>
      <c r="G16" s="237"/>
    </row>
    <row r="17" spans="1:8">
      <c r="A17" s="237" t="s">
        <v>233</v>
      </c>
      <c r="B17" s="237">
        <v>7.72</v>
      </c>
      <c r="C17" s="238">
        <v>45802</v>
      </c>
      <c r="D17" s="239">
        <v>100.95829999999999</v>
      </c>
      <c r="E17" s="239">
        <v>7.0833000000000004</v>
      </c>
      <c r="F17" s="237"/>
      <c r="G17" s="237"/>
    </row>
    <row r="18" spans="1:8">
      <c r="A18" s="237" t="s">
        <v>234</v>
      </c>
      <c r="B18" s="237">
        <v>5.22</v>
      </c>
      <c r="C18" s="238">
        <v>45823</v>
      </c>
      <c r="D18" s="239">
        <v>96.981899999999996</v>
      </c>
      <c r="E18" s="239">
        <v>7.1295000000000002</v>
      </c>
      <c r="F18" s="237"/>
      <c r="G18" s="237"/>
    </row>
    <row r="19" spans="1:8">
      <c r="A19" s="237" t="s">
        <v>235</v>
      </c>
      <c r="B19" s="237">
        <v>8.1999999999999993</v>
      </c>
      <c r="C19" s="238">
        <v>45924</v>
      </c>
      <c r="D19" s="239">
        <v>101.8462</v>
      </c>
      <c r="E19" s="239">
        <v>7.1787999999999998</v>
      </c>
      <c r="F19" s="237"/>
      <c r="G19" s="237"/>
    </row>
    <row r="20" spans="1:8">
      <c r="A20" s="237" t="s">
        <v>236</v>
      </c>
      <c r="B20" s="237">
        <v>5.97</v>
      </c>
      <c r="C20" s="238">
        <v>45925</v>
      </c>
      <c r="D20" s="239">
        <v>97.887500000000003</v>
      </c>
      <c r="E20" s="239">
        <v>7.1329000000000002</v>
      </c>
      <c r="F20" s="237"/>
      <c r="G20" s="237"/>
    </row>
    <row r="21" spans="1:8">
      <c r="A21" s="237" t="s">
        <v>237</v>
      </c>
      <c r="B21" s="237">
        <v>5.15</v>
      </c>
      <c r="C21" s="238">
        <v>45970</v>
      </c>
      <c r="D21" s="239">
        <v>95.994100000000003</v>
      </c>
      <c r="E21" s="239">
        <v>7.2366000000000001</v>
      </c>
      <c r="F21" s="237"/>
      <c r="G21" s="237"/>
    </row>
    <row r="22" spans="1:8">
      <c r="A22" s="237" t="s">
        <v>238</v>
      </c>
      <c r="B22" s="237">
        <v>7.59</v>
      </c>
      <c r="C22" s="238">
        <v>46033</v>
      </c>
      <c r="D22" s="239">
        <v>100.6716</v>
      </c>
      <c r="E22" s="239">
        <v>7.2558999999999996</v>
      </c>
      <c r="F22" s="237"/>
      <c r="G22" s="237" t="s">
        <v>239</v>
      </c>
    </row>
    <row r="23" spans="1:8">
      <c r="A23" s="237" t="s">
        <v>240</v>
      </c>
      <c r="B23" s="237">
        <v>7.27</v>
      </c>
      <c r="C23" s="238">
        <v>46120</v>
      </c>
      <c r="D23" s="240">
        <v>99.996300000000005</v>
      </c>
      <c r="E23" s="240">
        <v>7.2708000000000004</v>
      </c>
      <c r="F23" s="237"/>
      <c r="G23" s="237"/>
      <c r="H23" s="2" t="s">
        <v>241</v>
      </c>
    </row>
    <row r="24" spans="1:8">
      <c r="A24" s="237" t="s">
        <v>242</v>
      </c>
      <c r="B24" s="237">
        <v>5.63</v>
      </c>
      <c r="C24" s="238">
        <v>46124</v>
      </c>
      <c r="D24" s="240">
        <v>96.306899999999999</v>
      </c>
      <c r="E24" s="240">
        <v>7.2558999999999996</v>
      </c>
      <c r="F24" s="237" t="s">
        <v>243</v>
      </c>
      <c r="G24" s="237"/>
      <c r="H24" s="2" t="s">
        <v>241</v>
      </c>
    </row>
    <row r="25" spans="1:8">
      <c r="A25" s="237" t="s">
        <v>244</v>
      </c>
      <c r="B25" s="237">
        <v>6.99</v>
      </c>
      <c r="C25" s="238">
        <v>46129</v>
      </c>
      <c r="D25" s="240">
        <v>99.375500000000002</v>
      </c>
      <c r="E25" s="240">
        <v>7.2618</v>
      </c>
      <c r="F25" s="237"/>
      <c r="G25" s="237"/>
      <c r="H25" s="2" t="s">
        <v>241</v>
      </c>
    </row>
    <row r="26" spans="1:8">
      <c r="A26" s="237" t="s">
        <v>245</v>
      </c>
      <c r="B26" s="237">
        <v>8.33</v>
      </c>
      <c r="C26" s="238">
        <v>46212</v>
      </c>
      <c r="D26" s="239">
        <v>102.4842</v>
      </c>
      <c r="E26" s="239">
        <v>7.3143000000000002</v>
      </c>
      <c r="F26" s="237"/>
      <c r="G26" s="237"/>
    </row>
    <row r="27" spans="1:8">
      <c r="A27" s="237" t="s">
        <v>246</v>
      </c>
      <c r="B27" s="237">
        <v>6.97</v>
      </c>
      <c r="C27" s="238">
        <v>46271</v>
      </c>
      <c r="D27" s="239">
        <v>99.115399999999994</v>
      </c>
      <c r="E27" s="239">
        <v>7.3083</v>
      </c>
      <c r="F27" s="237"/>
      <c r="G27" s="237"/>
    </row>
    <row r="28" spans="1:8">
      <c r="A28" s="237" t="s">
        <v>247</v>
      </c>
      <c r="B28" s="237">
        <v>10.18</v>
      </c>
      <c r="C28" s="238">
        <v>46276</v>
      </c>
      <c r="D28" s="239">
        <v>107.4644</v>
      </c>
      <c r="E28" s="239">
        <v>7.3079000000000001</v>
      </c>
      <c r="F28" s="237"/>
      <c r="G28" s="237"/>
    </row>
    <row r="29" spans="1:8">
      <c r="A29" s="237" t="s">
        <v>248</v>
      </c>
      <c r="B29" s="237">
        <v>5.74</v>
      </c>
      <c r="C29" s="238">
        <v>46341</v>
      </c>
      <c r="D29" s="240">
        <v>95.794300000000007</v>
      </c>
      <c r="E29" s="240">
        <v>7.2690000000000001</v>
      </c>
      <c r="F29" s="237" t="s">
        <v>243</v>
      </c>
      <c r="G29" s="237"/>
      <c r="H29" s="2" t="s">
        <v>241</v>
      </c>
    </row>
    <row r="30" spans="1:8">
      <c r="A30" s="237" t="s">
        <v>249</v>
      </c>
      <c r="B30" s="237">
        <v>8.15</v>
      </c>
      <c r="C30" s="238">
        <v>46350</v>
      </c>
      <c r="D30" s="239">
        <v>102.4444</v>
      </c>
      <c r="E30" s="239">
        <v>7.2605000000000004</v>
      </c>
      <c r="F30" s="237"/>
      <c r="G30" s="237"/>
    </row>
    <row r="31" spans="1:8">
      <c r="A31" s="237" t="s">
        <v>250</v>
      </c>
      <c r="B31" s="237">
        <v>8.24</v>
      </c>
      <c r="C31" s="238">
        <v>46433</v>
      </c>
      <c r="D31" s="239">
        <v>102.7088</v>
      </c>
      <c r="E31" s="239">
        <v>7.3128000000000002</v>
      </c>
      <c r="F31" s="237"/>
      <c r="G31" s="237"/>
    </row>
    <row r="32" spans="1:8">
      <c r="A32" s="237" t="s">
        <v>251</v>
      </c>
      <c r="B32" s="237">
        <v>6.79</v>
      </c>
      <c r="C32" s="238">
        <v>46522</v>
      </c>
      <c r="D32" s="239">
        <v>98.590800000000002</v>
      </c>
      <c r="E32" s="239">
        <v>7.2363999999999997</v>
      </c>
      <c r="F32" s="237"/>
      <c r="G32" s="237"/>
    </row>
    <row r="33" spans="1:8">
      <c r="A33" s="237" t="s">
        <v>252</v>
      </c>
      <c r="B33" s="237">
        <v>7.38</v>
      </c>
      <c r="C33" s="238">
        <v>46558</v>
      </c>
      <c r="D33" s="240">
        <v>100.4268</v>
      </c>
      <c r="E33" s="240">
        <v>7.2419000000000002</v>
      </c>
      <c r="F33" s="237" t="s">
        <v>243</v>
      </c>
      <c r="G33" s="237"/>
      <c r="H33" s="2" t="s">
        <v>241</v>
      </c>
    </row>
    <row r="34" spans="1:8">
      <c r="A34" s="237" t="s">
        <v>253</v>
      </c>
      <c r="B34" s="237">
        <v>8.26</v>
      </c>
      <c r="C34" s="238">
        <v>46601</v>
      </c>
      <c r="D34" s="239">
        <v>103.18940000000001</v>
      </c>
      <c r="E34" s="239">
        <v>7.2858000000000001</v>
      </c>
      <c r="F34" s="237"/>
      <c r="G34" s="237"/>
    </row>
    <row r="35" spans="1:8">
      <c r="A35" s="237" t="s">
        <v>254</v>
      </c>
      <c r="B35" s="237">
        <v>8.2799999999999994</v>
      </c>
      <c r="C35" s="238">
        <v>46651</v>
      </c>
      <c r="D35" s="239">
        <v>103.3973</v>
      </c>
      <c r="E35" s="239">
        <v>7.2771999999999997</v>
      </c>
      <c r="F35" s="237"/>
      <c r="G35" s="237"/>
    </row>
    <row r="36" spans="1:8">
      <c r="A36" s="237" t="s">
        <v>255</v>
      </c>
      <c r="B36" s="237">
        <v>7.17</v>
      </c>
      <c r="C36" s="238">
        <v>46760</v>
      </c>
      <c r="D36" s="239">
        <v>99.749899999999997</v>
      </c>
      <c r="E36" s="239">
        <v>7.2347999999999999</v>
      </c>
      <c r="F36" s="237"/>
      <c r="G36" s="237"/>
    </row>
    <row r="37" spans="1:8">
      <c r="A37" s="237" t="s">
        <v>256</v>
      </c>
      <c r="B37" s="237">
        <v>7.1</v>
      </c>
      <c r="C37" s="238">
        <v>46779</v>
      </c>
      <c r="D37" s="239">
        <v>99.492599999999996</v>
      </c>
      <c r="E37" s="239">
        <v>7.2348999999999997</v>
      </c>
      <c r="F37" s="237"/>
      <c r="G37" s="237"/>
    </row>
    <row r="38" spans="1:8">
      <c r="A38" s="237" t="s">
        <v>257</v>
      </c>
      <c r="B38" s="237">
        <v>6.01</v>
      </c>
      <c r="C38" s="238">
        <v>46837</v>
      </c>
      <c r="D38" s="239">
        <v>95.378900000000002</v>
      </c>
      <c r="E38" s="239">
        <v>7.2359999999999998</v>
      </c>
      <c r="F38" s="237"/>
      <c r="G38" s="237"/>
    </row>
    <row r="39" spans="1:8">
      <c r="A39" s="237" t="s">
        <v>258</v>
      </c>
      <c r="B39" s="237">
        <v>7.06</v>
      </c>
      <c r="C39" s="238">
        <v>46853</v>
      </c>
      <c r="D39" s="240">
        <v>99.34</v>
      </c>
      <c r="E39" s="240">
        <v>7.2332000000000001</v>
      </c>
      <c r="F39" s="237" t="s">
        <v>243</v>
      </c>
      <c r="G39" s="237"/>
      <c r="H39" s="2" t="s">
        <v>241</v>
      </c>
    </row>
    <row r="40" spans="1:8">
      <c r="A40" s="237" t="s">
        <v>259</v>
      </c>
      <c r="B40" s="237">
        <v>8.6</v>
      </c>
      <c r="C40" s="238">
        <v>46906</v>
      </c>
      <c r="D40" s="239">
        <v>105.3125</v>
      </c>
      <c r="E40" s="239">
        <v>7.2333999999999996</v>
      </c>
      <c r="F40" s="237"/>
      <c r="G40" s="237"/>
    </row>
    <row r="41" spans="1:8">
      <c r="A41" s="237" t="s">
        <v>260</v>
      </c>
      <c r="B41" s="237">
        <v>6.13</v>
      </c>
      <c r="C41" s="238">
        <v>46908</v>
      </c>
      <c r="D41" s="239">
        <v>95.661600000000007</v>
      </c>
      <c r="E41" s="239">
        <v>7.2384000000000004</v>
      </c>
      <c r="F41" s="237"/>
      <c r="G41" s="237"/>
    </row>
    <row r="42" spans="1:8">
      <c r="A42" s="237" t="s">
        <v>261</v>
      </c>
      <c r="B42" s="237">
        <v>7.26</v>
      </c>
      <c r="C42" s="238">
        <v>47132</v>
      </c>
      <c r="D42" s="240">
        <v>100.0081</v>
      </c>
      <c r="E42" s="240">
        <v>7.2544000000000004</v>
      </c>
      <c r="F42" s="237"/>
      <c r="G42" s="237"/>
      <c r="H42" s="2" t="s">
        <v>241</v>
      </c>
    </row>
    <row r="43" spans="1:8">
      <c r="A43" s="237" t="s">
        <v>262</v>
      </c>
      <c r="B43" s="237">
        <v>7.59</v>
      </c>
      <c r="C43" s="238">
        <v>47197</v>
      </c>
      <c r="D43" s="239">
        <v>101.39400000000001</v>
      </c>
      <c r="E43" s="239">
        <v>7.2751999999999999</v>
      </c>
      <c r="F43" s="237"/>
      <c r="G43" s="237"/>
    </row>
    <row r="44" spans="1:8">
      <c r="A44" s="237" t="s">
        <v>263</v>
      </c>
      <c r="B44" s="237">
        <v>7.1</v>
      </c>
      <c r="C44" s="238">
        <v>47226</v>
      </c>
      <c r="D44" s="240">
        <v>99.325500000000005</v>
      </c>
      <c r="E44" s="240">
        <v>7.2488999999999999</v>
      </c>
      <c r="F44" s="237" t="s">
        <v>243</v>
      </c>
      <c r="G44" s="237"/>
      <c r="H44" s="2" t="s">
        <v>241</v>
      </c>
    </row>
    <row r="45" spans="1:8">
      <c r="A45" s="237" t="s">
        <v>264</v>
      </c>
      <c r="B45" s="237">
        <v>6.45</v>
      </c>
      <c r="C45" s="238">
        <v>47398</v>
      </c>
      <c r="D45" s="239">
        <v>96.186800000000005</v>
      </c>
      <c r="E45" s="239">
        <v>7.2434000000000003</v>
      </c>
      <c r="F45" s="237"/>
      <c r="G45" s="237"/>
    </row>
    <row r="46" spans="1:8">
      <c r="A46" s="237" t="s">
        <v>265</v>
      </c>
      <c r="B46" s="237">
        <v>6.79</v>
      </c>
      <c r="C46" s="238">
        <v>47478</v>
      </c>
      <c r="D46" s="239">
        <v>97.695400000000006</v>
      </c>
      <c r="E46" s="239">
        <v>7.2533000000000003</v>
      </c>
      <c r="F46" s="237"/>
      <c r="G46" s="237"/>
    </row>
    <row r="47" spans="1:8">
      <c r="A47" s="237" t="s">
        <v>266</v>
      </c>
      <c r="B47" s="237">
        <v>7.88</v>
      </c>
      <c r="C47" s="238">
        <v>47561</v>
      </c>
      <c r="D47" s="240">
        <v>103.15</v>
      </c>
      <c r="E47" s="240">
        <v>7.2595999999999998</v>
      </c>
      <c r="F47" s="237"/>
      <c r="G47" s="237"/>
      <c r="H47" s="2" t="s">
        <v>241</v>
      </c>
    </row>
    <row r="48" spans="1:8">
      <c r="A48" s="237" t="s">
        <v>267</v>
      </c>
      <c r="B48" s="237">
        <v>7.17</v>
      </c>
      <c r="C48" s="238">
        <v>47590</v>
      </c>
      <c r="D48" s="240">
        <v>99.599400000000003</v>
      </c>
      <c r="E48" s="240">
        <v>7.2470999999999997</v>
      </c>
      <c r="F48" s="237" t="s">
        <v>243</v>
      </c>
      <c r="G48" s="237"/>
      <c r="H48" s="2" t="s">
        <v>241</v>
      </c>
    </row>
    <row r="49" spans="1:8">
      <c r="A49" s="237" t="s">
        <v>268</v>
      </c>
      <c r="B49" s="237">
        <v>7.61</v>
      </c>
      <c r="C49" s="238">
        <v>47612</v>
      </c>
      <c r="D49" s="240">
        <v>101.9502</v>
      </c>
      <c r="E49" s="240">
        <v>7.2310999999999996</v>
      </c>
      <c r="F49" s="237"/>
      <c r="G49" s="237"/>
      <c r="H49" s="2" t="s">
        <v>241</v>
      </c>
    </row>
    <row r="50" spans="1:8">
      <c r="A50" s="237" t="s">
        <v>269</v>
      </c>
      <c r="B50" s="237">
        <v>5.79</v>
      </c>
      <c r="C50" s="238">
        <v>47614</v>
      </c>
      <c r="D50" s="239">
        <v>92.444900000000004</v>
      </c>
      <c r="E50" s="239">
        <v>7.2478999999999996</v>
      </c>
      <c r="F50" s="237"/>
      <c r="G50" s="237"/>
    </row>
    <row r="51" spans="1:8">
      <c r="A51" s="237" t="s">
        <v>270</v>
      </c>
      <c r="B51" s="237">
        <v>5.77</v>
      </c>
      <c r="C51" s="238">
        <v>47698</v>
      </c>
      <c r="D51" s="239">
        <v>92.071700000000007</v>
      </c>
      <c r="E51" s="239">
        <v>7.2601000000000004</v>
      </c>
      <c r="F51" s="237"/>
      <c r="G51" s="237"/>
    </row>
    <row r="52" spans="1:8">
      <c r="A52" s="237" t="s">
        <v>271</v>
      </c>
      <c r="B52" s="237">
        <v>9.1999999999999993</v>
      </c>
      <c r="C52" s="238">
        <v>47756</v>
      </c>
      <c r="D52" s="239">
        <v>110.0407</v>
      </c>
      <c r="E52" s="239">
        <v>7.3383000000000003</v>
      </c>
      <c r="F52" s="237"/>
      <c r="G52" s="237"/>
    </row>
    <row r="53" spans="1:8">
      <c r="A53" s="237" t="s">
        <v>272</v>
      </c>
      <c r="B53" s="237">
        <v>5.85</v>
      </c>
      <c r="C53" s="238">
        <v>47818</v>
      </c>
      <c r="D53" s="239">
        <v>92.243899999999996</v>
      </c>
      <c r="E53" s="239">
        <v>7.2557999999999998</v>
      </c>
      <c r="F53" s="237"/>
      <c r="G53" s="237"/>
    </row>
    <row r="54" spans="1:8">
      <c r="A54" s="237" t="s">
        <v>273</v>
      </c>
      <c r="B54" s="237">
        <v>8.9700000000000006</v>
      </c>
      <c r="C54" s="238">
        <v>47822</v>
      </c>
      <c r="D54" s="239">
        <v>109.14400000000001</v>
      </c>
      <c r="E54" s="239">
        <v>7.3060999999999998</v>
      </c>
      <c r="F54" s="237" t="s">
        <v>243</v>
      </c>
      <c r="G54" s="237"/>
      <c r="H54" s="2" t="s">
        <v>274</v>
      </c>
    </row>
    <row r="55" spans="1:8">
      <c r="A55" s="237" t="s">
        <v>275</v>
      </c>
      <c r="B55" s="237">
        <v>6.1</v>
      </c>
      <c r="C55" s="238">
        <v>48041</v>
      </c>
      <c r="D55" s="240">
        <v>93.399699999999996</v>
      </c>
      <c r="E55" s="240">
        <v>7.2220000000000004</v>
      </c>
      <c r="F55" s="237"/>
      <c r="G55" s="237"/>
      <c r="H55" s="2" t="s">
        <v>241</v>
      </c>
    </row>
    <row r="56" spans="1:8">
      <c r="A56" s="237" t="s">
        <v>276</v>
      </c>
      <c r="B56" s="237">
        <v>6.68</v>
      </c>
      <c r="C56" s="238">
        <v>48108</v>
      </c>
      <c r="D56" s="239">
        <v>96.621700000000004</v>
      </c>
      <c r="E56" s="239">
        <v>7.2454000000000001</v>
      </c>
      <c r="F56" s="237" t="s">
        <v>243</v>
      </c>
      <c r="G56" s="237"/>
      <c r="H56" s="2" t="s">
        <v>274</v>
      </c>
    </row>
    <row r="57" spans="1:8">
      <c r="A57" s="237" t="s">
        <v>277</v>
      </c>
      <c r="B57" s="237">
        <v>6.54</v>
      </c>
      <c r="C57" s="238">
        <v>48230</v>
      </c>
      <c r="D57" s="240">
        <v>95.500500000000002</v>
      </c>
      <c r="E57" s="240">
        <v>7.2698999999999998</v>
      </c>
      <c r="F57" s="237"/>
      <c r="G57" s="237"/>
      <c r="H57" s="2" t="s">
        <v>241</v>
      </c>
    </row>
    <row r="58" spans="1:8">
      <c r="A58" s="237" t="s">
        <v>278</v>
      </c>
      <c r="B58" s="237">
        <v>8.2799999999999994</v>
      </c>
      <c r="C58" s="238">
        <v>48259</v>
      </c>
      <c r="D58" s="239">
        <v>106.2223</v>
      </c>
      <c r="E58" s="239">
        <v>7.2718999999999996</v>
      </c>
      <c r="F58" s="237" t="s">
        <v>243</v>
      </c>
      <c r="G58" s="237"/>
      <c r="H58" s="2" t="s">
        <v>274</v>
      </c>
    </row>
    <row r="59" spans="1:8">
      <c r="A59" s="237" t="s">
        <v>279</v>
      </c>
      <c r="B59" s="237">
        <v>8.32</v>
      </c>
      <c r="C59" s="238">
        <v>48428</v>
      </c>
      <c r="D59" s="239">
        <v>106.54559999999999</v>
      </c>
      <c r="E59" s="239">
        <v>7.2988</v>
      </c>
      <c r="F59" s="237"/>
      <c r="G59" s="237"/>
    </row>
    <row r="60" spans="1:8">
      <c r="A60" s="237" t="s">
        <v>280</v>
      </c>
      <c r="B60" s="237">
        <v>7.26</v>
      </c>
      <c r="C60" s="238">
        <v>48448</v>
      </c>
      <c r="D60" s="240">
        <v>99.970100000000002</v>
      </c>
      <c r="E60" s="240">
        <v>7.2629000000000001</v>
      </c>
      <c r="F60" s="237" t="s">
        <v>243</v>
      </c>
      <c r="G60" s="237"/>
      <c r="H60" s="2" t="s">
        <v>241</v>
      </c>
    </row>
    <row r="61" spans="1:8">
      <c r="A61" s="237" t="s">
        <v>281</v>
      </c>
      <c r="B61" s="237">
        <v>7.95</v>
      </c>
      <c r="C61" s="238">
        <v>48454</v>
      </c>
      <c r="D61" s="239">
        <v>104.3044</v>
      </c>
      <c r="E61" s="239">
        <v>7.2827999999999999</v>
      </c>
      <c r="F61" s="237"/>
      <c r="G61" s="237"/>
    </row>
    <row r="62" spans="1:8">
      <c r="A62" s="237" t="s">
        <v>282</v>
      </c>
      <c r="B62" s="237">
        <v>8.33</v>
      </c>
      <c r="C62" s="238">
        <v>48478</v>
      </c>
      <c r="D62" s="239">
        <v>106.7958</v>
      </c>
      <c r="E62" s="239">
        <v>7.2839</v>
      </c>
      <c r="F62" s="237"/>
      <c r="G62" s="237"/>
    </row>
    <row r="63" spans="1:8">
      <c r="A63" s="237" t="s">
        <v>283</v>
      </c>
      <c r="B63" s="237">
        <v>7.29</v>
      </c>
      <c r="C63" s="238">
        <v>48606</v>
      </c>
      <c r="D63" s="239">
        <v>99.913399999999996</v>
      </c>
      <c r="E63" s="239">
        <v>7.3007</v>
      </c>
      <c r="F63" s="237"/>
      <c r="G63" s="237"/>
    </row>
    <row r="64" spans="1:8">
      <c r="A64" s="237" t="s">
        <v>284</v>
      </c>
      <c r="B64" s="237">
        <v>7.26</v>
      </c>
      <c r="C64" s="238">
        <v>48616</v>
      </c>
      <c r="D64" s="240">
        <v>100.07389999999999</v>
      </c>
      <c r="E64" s="240">
        <v>7.2469000000000001</v>
      </c>
      <c r="F64" s="237" t="s">
        <v>243</v>
      </c>
      <c r="G64" s="237"/>
      <c r="H64" s="2" t="s">
        <v>241</v>
      </c>
    </row>
    <row r="65" spans="1:8">
      <c r="A65" s="237" t="s">
        <v>285</v>
      </c>
      <c r="B65" s="237">
        <v>7.57</v>
      </c>
      <c r="C65" s="238">
        <v>48747</v>
      </c>
      <c r="D65" s="239">
        <v>102.06270000000001</v>
      </c>
      <c r="E65" s="239">
        <v>7.2676999999999996</v>
      </c>
      <c r="F65" s="237"/>
      <c r="G65" s="237"/>
    </row>
    <row r="66" spans="1:8">
      <c r="A66" s="237" t="s">
        <v>286</v>
      </c>
      <c r="B66" s="237">
        <v>7.18</v>
      </c>
      <c r="C66" s="238">
        <v>48805</v>
      </c>
      <c r="D66" s="240">
        <v>99.781199999999998</v>
      </c>
      <c r="E66" s="240">
        <v>7.2096</v>
      </c>
      <c r="F66" s="237" t="s">
        <v>243</v>
      </c>
      <c r="G66" s="237"/>
      <c r="H66" s="2" t="s">
        <v>241</v>
      </c>
    </row>
    <row r="67" spans="1:8">
      <c r="A67" s="237" t="s">
        <v>287</v>
      </c>
      <c r="B67" s="237">
        <v>8.24</v>
      </c>
      <c r="C67" s="238">
        <v>48893</v>
      </c>
      <c r="D67" s="239">
        <v>106.77290000000001</v>
      </c>
      <c r="E67" s="239">
        <v>7.2797999999999998</v>
      </c>
      <c r="F67" s="237"/>
      <c r="G67" s="237"/>
    </row>
    <row r="68" spans="1:8">
      <c r="A68" s="237" t="s">
        <v>288</v>
      </c>
      <c r="B68" s="237">
        <v>6.57</v>
      </c>
      <c r="C68" s="238">
        <v>48918</v>
      </c>
      <c r="D68" s="239">
        <v>94.917500000000004</v>
      </c>
      <c r="E68" s="239">
        <v>7.2842000000000002</v>
      </c>
      <c r="F68" s="237"/>
      <c r="G68" s="237"/>
    </row>
    <row r="69" spans="1:8">
      <c r="A69" s="237" t="s">
        <v>289</v>
      </c>
      <c r="B69" s="237">
        <v>7.5</v>
      </c>
      <c r="C69" s="238">
        <v>49166</v>
      </c>
      <c r="D69" s="239">
        <v>101.67700000000001</v>
      </c>
      <c r="E69" s="239">
        <v>7.2720000000000002</v>
      </c>
      <c r="F69" s="237" t="s">
        <v>243</v>
      </c>
      <c r="G69" s="237"/>
      <c r="H69" s="2" t="s">
        <v>274</v>
      </c>
    </row>
    <row r="70" spans="1:8">
      <c r="A70" s="237" t="s">
        <v>290</v>
      </c>
      <c r="B70" s="237">
        <v>6.19</v>
      </c>
      <c r="C70" s="238">
        <v>49203</v>
      </c>
      <c r="D70" s="239">
        <v>92.090100000000007</v>
      </c>
      <c r="E70" s="239">
        <v>7.2481</v>
      </c>
      <c r="F70" s="237"/>
      <c r="G70" s="237"/>
    </row>
    <row r="71" spans="1:8">
      <c r="A71" s="237" t="s">
        <v>291</v>
      </c>
      <c r="B71" s="237">
        <v>7.73</v>
      </c>
      <c r="C71" s="238">
        <v>49297</v>
      </c>
      <c r="D71" s="239">
        <v>102.6444</v>
      </c>
      <c r="E71" s="239">
        <v>7.3769</v>
      </c>
      <c r="F71" s="237"/>
      <c r="G71" s="237"/>
    </row>
    <row r="72" spans="1:8">
      <c r="A72" s="237" t="s">
        <v>292</v>
      </c>
      <c r="B72" s="237">
        <v>6.22</v>
      </c>
      <c r="C72" s="238">
        <v>49384</v>
      </c>
      <c r="D72" s="239">
        <v>92.100399999999993</v>
      </c>
      <c r="E72" s="239">
        <v>7.2462</v>
      </c>
      <c r="F72" s="237"/>
      <c r="G72" s="237"/>
    </row>
    <row r="73" spans="1:8">
      <c r="A73" s="237" t="s">
        <v>293</v>
      </c>
      <c r="B73" s="237">
        <v>6.64</v>
      </c>
      <c r="C73" s="238">
        <v>49476</v>
      </c>
      <c r="D73" s="240">
        <v>95.017399999999995</v>
      </c>
      <c r="E73" s="240">
        <v>7.2778999999999998</v>
      </c>
      <c r="F73" s="237"/>
      <c r="G73" s="237"/>
      <c r="H73" s="2" t="s">
        <v>241</v>
      </c>
    </row>
    <row r="74" spans="1:8">
      <c r="A74" s="237" t="s">
        <v>294</v>
      </c>
      <c r="B74" s="237">
        <v>7.4</v>
      </c>
      <c r="C74" s="238">
        <v>49561</v>
      </c>
      <c r="D74" s="240">
        <v>100.9496</v>
      </c>
      <c r="E74" s="240">
        <v>7.2786</v>
      </c>
      <c r="F74" s="237" t="s">
        <v>243</v>
      </c>
      <c r="G74" s="237"/>
      <c r="H74" s="2" t="s">
        <v>241</v>
      </c>
    </row>
    <row r="75" spans="1:8">
      <c r="A75" s="237" t="s">
        <v>295</v>
      </c>
      <c r="B75" s="237">
        <v>6.67</v>
      </c>
      <c r="C75" s="238">
        <v>49658</v>
      </c>
      <c r="D75" s="240">
        <v>94.999600000000001</v>
      </c>
      <c r="E75" s="240">
        <v>7.2941000000000003</v>
      </c>
      <c r="F75" s="237"/>
      <c r="G75" s="237"/>
      <c r="H75" s="2" t="s">
        <v>241</v>
      </c>
    </row>
    <row r="76" spans="1:8">
      <c r="A76" s="237" t="s">
        <v>296</v>
      </c>
      <c r="B76" s="237">
        <v>7.54</v>
      </c>
      <c r="C76" s="238">
        <v>49818</v>
      </c>
      <c r="D76" s="240">
        <v>101.6425</v>
      </c>
      <c r="E76" s="240">
        <v>7.3367000000000004</v>
      </c>
      <c r="F76" s="237" t="s">
        <v>243</v>
      </c>
      <c r="G76" s="237"/>
      <c r="H76" s="2" t="s">
        <v>241</v>
      </c>
    </row>
    <row r="77" spans="1:8">
      <c r="A77" s="237" t="s">
        <v>297</v>
      </c>
      <c r="B77" s="237">
        <v>8.33</v>
      </c>
      <c r="C77" s="238">
        <v>49833</v>
      </c>
      <c r="D77" s="239">
        <v>108.196</v>
      </c>
      <c r="E77" s="239">
        <v>7.3244999999999996</v>
      </c>
      <c r="F77" s="237"/>
      <c r="G77" s="237"/>
    </row>
    <row r="78" spans="1:8">
      <c r="A78" s="237" t="s">
        <v>298</v>
      </c>
      <c r="B78" s="237">
        <v>7.41</v>
      </c>
      <c r="C78" s="238">
        <v>50028</v>
      </c>
      <c r="D78" s="240">
        <v>100.77589999999999</v>
      </c>
      <c r="E78" s="240">
        <v>7.3155000000000001</v>
      </c>
      <c r="F78" s="237" t="s">
        <v>243</v>
      </c>
      <c r="G78" s="237"/>
      <c r="H78" s="2" t="s">
        <v>241</v>
      </c>
    </row>
    <row r="79" spans="1:8">
      <c r="A79" s="237" t="s">
        <v>299</v>
      </c>
      <c r="B79" s="237">
        <v>7.18</v>
      </c>
      <c r="C79" s="238">
        <v>50245</v>
      </c>
      <c r="D79" s="240">
        <v>98.706100000000006</v>
      </c>
      <c r="E79" s="240">
        <v>7.3288000000000002</v>
      </c>
      <c r="F79" s="237" t="s">
        <v>243</v>
      </c>
      <c r="G79" s="237"/>
      <c r="H79" s="2" t="s">
        <v>241</v>
      </c>
    </row>
    <row r="80" spans="1:8">
      <c r="A80" s="237" t="s">
        <v>300</v>
      </c>
      <c r="B80" s="237">
        <v>6.83</v>
      </c>
      <c r="C80" s="238">
        <v>50789</v>
      </c>
      <c r="D80" s="239">
        <v>95.386499999999998</v>
      </c>
      <c r="E80" s="239">
        <v>7.3352000000000004</v>
      </c>
      <c r="F80" s="237"/>
      <c r="G80" s="237"/>
    </row>
    <row r="81" spans="1:8">
      <c r="A81" s="237" t="s">
        <v>301</v>
      </c>
      <c r="B81" s="237">
        <v>7.62</v>
      </c>
      <c r="C81" s="238">
        <v>51028</v>
      </c>
      <c r="D81" s="239">
        <v>102.5295</v>
      </c>
      <c r="E81" s="239">
        <v>7.3475000000000001</v>
      </c>
      <c r="F81" s="237"/>
      <c r="G81" s="237"/>
    </row>
    <row r="82" spans="1:8">
      <c r="A82" s="237" t="s">
        <v>302</v>
      </c>
      <c r="B82" s="237">
        <v>8.3000000000000007</v>
      </c>
      <c r="C82" s="238">
        <v>51319</v>
      </c>
      <c r="D82" s="239">
        <v>109.2546</v>
      </c>
      <c r="E82" s="239">
        <v>7.3296999999999999</v>
      </c>
      <c r="F82" s="237" t="s">
        <v>243</v>
      </c>
      <c r="G82" s="237"/>
      <c r="H82" s="2" t="s">
        <v>274</v>
      </c>
    </row>
    <row r="83" spans="1:8">
      <c r="A83" s="237" t="s">
        <v>303</v>
      </c>
      <c r="B83" s="237">
        <v>8.83</v>
      </c>
      <c r="C83" s="238">
        <v>51847</v>
      </c>
      <c r="D83" s="239">
        <v>114.952</v>
      </c>
      <c r="E83" s="239">
        <v>7.3272000000000004</v>
      </c>
      <c r="F83" s="237"/>
      <c r="G83" s="237"/>
    </row>
    <row r="84" spans="1:8">
      <c r="A84" s="237" t="s">
        <v>304</v>
      </c>
      <c r="B84" s="237">
        <v>8.3000000000000007</v>
      </c>
      <c r="C84" s="238">
        <v>52231</v>
      </c>
      <c r="D84" s="239">
        <v>109.6066</v>
      </c>
      <c r="E84" s="239">
        <v>7.3570000000000002</v>
      </c>
      <c r="F84" s="237"/>
      <c r="G84" s="237"/>
    </row>
    <row r="85" spans="1:8">
      <c r="A85" s="237" t="s">
        <v>305</v>
      </c>
      <c r="B85" s="237">
        <v>7.69</v>
      </c>
      <c r="C85" s="238">
        <v>52399</v>
      </c>
      <c r="D85" s="239">
        <v>103.4246</v>
      </c>
      <c r="E85" s="239">
        <v>7.3564999999999996</v>
      </c>
      <c r="F85" s="237"/>
      <c r="G85" s="237"/>
    </row>
    <row r="86" spans="1:8">
      <c r="A86" s="237" t="s">
        <v>306</v>
      </c>
      <c r="B86" s="237">
        <v>9.23</v>
      </c>
      <c r="C86" s="238">
        <v>52588</v>
      </c>
      <c r="D86" s="240">
        <v>119.7424</v>
      </c>
      <c r="E86" s="240">
        <v>7.3394000000000004</v>
      </c>
      <c r="F86" s="237" t="s">
        <v>243</v>
      </c>
      <c r="G86" s="237"/>
      <c r="H86" s="2" t="s">
        <v>241</v>
      </c>
    </row>
    <row r="87" spans="1:8">
      <c r="A87" s="237" t="s">
        <v>307</v>
      </c>
      <c r="B87" s="237">
        <v>8.17</v>
      </c>
      <c r="C87" s="238">
        <v>52932</v>
      </c>
      <c r="D87" s="239">
        <v>108.5752</v>
      </c>
      <c r="E87" s="239">
        <v>7.3625999999999996</v>
      </c>
      <c r="F87" s="237"/>
      <c r="G87" s="237"/>
    </row>
    <row r="88" spans="1:8">
      <c r="A88" s="237" t="s">
        <v>308</v>
      </c>
      <c r="B88" s="237">
        <v>8.1300000000000008</v>
      </c>
      <c r="C88" s="238">
        <v>53135</v>
      </c>
      <c r="D88" s="239">
        <v>108.2921</v>
      </c>
      <c r="E88" s="239">
        <v>7.3578000000000001</v>
      </c>
      <c r="F88" s="237"/>
      <c r="G88" s="237"/>
    </row>
    <row r="89" spans="1:8">
      <c r="A89" s="237" t="s">
        <v>309</v>
      </c>
      <c r="B89" s="237">
        <v>7.06</v>
      </c>
      <c r="C89" s="238">
        <v>53610</v>
      </c>
      <c r="D89" s="239">
        <v>96.5929</v>
      </c>
      <c r="E89" s="239">
        <v>7.3693999999999997</v>
      </c>
      <c r="F89" s="237"/>
      <c r="G89" s="237"/>
    </row>
    <row r="90" spans="1:8">
      <c r="A90" s="237" t="s">
        <v>310</v>
      </c>
      <c r="B90" s="237">
        <v>7.72</v>
      </c>
      <c r="C90" s="238">
        <v>54589</v>
      </c>
      <c r="D90" s="240">
        <v>103.8</v>
      </c>
      <c r="E90" s="240">
        <v>7.3864000000000001</v>
      </c>
      <c r="F90" s="237" t="s">
        <v>243</v>
      </c>
      <c r="G90" s="237"/>
      <c r="H90" s="2" t="s">
        <v>241</v>
      </c>
    </row>
    <row r="91" spans="1:8">
      <c r="A91" s="237" t="s">
        <v>311</v>
      </c>
      <c r="B91" s="237">
        <v>7.16</v>
      </c>
      <c r="C91" s="238">
        <v>55051</v>
      </c>
      <c r="D91" s="240">
        <v>97.835499999999996</v>
      </c>
      <c r="E91" s="240">
        <v>7.3451000000000004</v>
      </c>
      <c r="F91" s="237" t="s">
        <v>243</v>
      </c>
      <c r="G91" s="237"/>
      <c r="H91" s="2" t="s">
        <v>241</v>
      </c>
    </row>
    <row r="92" spans="1:8">
      <c r="A92" s="237" t="s">
        <v>312</v>
      </c>
      <c r="B92" s="237">
        <v>6.67</v>
      </c>
      <c r="C92" s="238">
        <v>55139</v>
      </c>
      <c r="D92" s="240">
        <v>91.595399999999998</v>
      </c>
      <c r="E92" s="240">
        <v>7.39</v>
      </c>
      <c r="F92" s="237"/>
      <c r="G92" s="237"/>
      <c r="H92" s="2" t="s">
        <v>241</v>
      </c>
    </row>
    <row r="93" spans="1:8">
      <c r="A93" s="237" t="s">
        <v>313</v>
      </c>
      <c r="B93" s="237">
        <v>6.62</v>
      </c>
      <c r="C93" s="238">
        <v>55485</v>
      </c>
      <c r="D93" s="239">
        <v>90.927800000000005</v>
      </c>
      <c r="E93" s="239">
        <v>7.3891999999999998</v>
      </c>
      <c r="F93" s="237"/>
      <c r="G93" s="237" t="s">
        <v>239</v>
      </c>
    </row>
    <row r="94" spans="1:8">
      <c r="A94" s="237" t="s">
        <v>314</v>
      </c>
      <c r="B94" s="237">
        <v>6.99</v>
      </c>
      <c r="C94" s="238">
        <v>55502</v>
      </c>
      <c r="D94" s="240">
        <v>95.280900000000003</v>
      </c>
      <c r="E94" s="240">
        <v>7.3891999999999998</v>
      </c>
      <c r="F94" s="237" t="s">
        <v>243</v>
      </c>
      <c r="G94" s="237"/>
      <c r="H94" s="2" t="s">
        <v>241</v>
      </c>
    </row>
    <row r="95" spans="1:8">
      <c r="A95" s="237" t="s">
        <v>315</v>
      </c>
      <c r="B95" s="237">
        <v>7.36</v>
      </c>
      <c r="C95" s="238">
        <v>55774</v>
      </c>
      <c r="D95" s="240">
        <v>99.569400000000002</v>
      </c>
      <c r="E95" s="240">
        <v>7.3956999999999997</v>
      </c>
      <c r="F95" s="237" t="s">
        <v>243</v>
      </c>
      <c r="G95" s="237"/>
      <c r="H95" s="2" t="s">
        <v>241</v>
      </c>
    </row>
    <row r="96" spans="1:8">
      <c r="A96" s="237" t="s">
        <v>316</v>
      </c>
      <c r="B96" s="237">
        <v>7.3</v>
      </c>
      <c r="C96" s="238">
        <v>56054</v>
      </c>
      <c r="D96" s="240">
        <v>98.642200000000003</v>
      </c>
      <c r="E96" s="240">
        <v>7.4123999999999999</v>
      </c>
      <c r="F96" s="237" t="s">
        <v>243</v>
      </c>
      <c r="G96" s="237"/>
      <c r="H96" s="2" t="s">
        <v>241</v>
      </c>
    </row>
    <row r="97" spans="1:8">
      <c r="A97" s="237" t="s">
        <v>317</v>
      </c>
      <c r="B97" s="237">
        <v>7.72</v>
      </c>
      <c r="C97" s="238">
        <v>56913</v>
      </c>
      <c r="D97" s="239">
        <v>104.25360000000001</v>
      </c>
      <c r="E97" s="239">
        <v>7.3716999999999997</v>
      </c>
      <c r="F97" s="237" t="s">
        <v>243</v>
      </c>
      <c r="G97" s="237"/>
      <c r="H97" s="2" t="s">
        <v>274</v>
      </c>
    </row>
    <row r="98" spans="1:8">
      <c r="A98" s="237" t="s">
        <v>318</v>
      </c>
      <c r="B98" s="237">
        <v>7.63</v>
      </c>
      <c r="C98" s="238">
        <v>58243</v>
      </c>
      <c r="D98" s="239">
        <v>102.8267</v>
      </c>
      <c r="E98" s="239">
        <v>7.4024999999999999</v>
      </c>
      <c r="F98" s="237"/>
      <c r="G98" s="237"/>
    </row>
    <row r="99" spans="1:8">
      <c r="A99" s="237" t="s">
        <v>319</v>
      </c>
      <c r="B99" s="237">
        <v>7.19</v>
      </c>
      <c r="C99" s="238">
        <v>58699</v>
      </c>
      <c r="D99" s="239">
        <v>97.071200000000005</v>
      </c>
      <c r="E99" s="239">
        <v>7.4226999999999999</v>
      </c>
      <c r="F99" s="237"/>
      <c r="G99" s="237"/>
    </row>
    <row r="100" spans="1:8">
      <c r="A100" s="237" t="s">
        <v>320</v>
      </c>
      <c r="B100" s="237">
        <v>6.8</v>
      </c>
      <c r="C100" s="238">
        <v>58790</v>
      </c>
      <c r="D100" s="239">
        <v>92.141499999999994</v>
      </c>
      <c r="E100" s="239">
        <v>7.4237000000000002</v>
      </c>
      <c r="F100" s="237"/>
      <c r="G100" s="237"/>
    </row>
    <row r="101" spans="1:8">
      <c r="A101" s="237" t="s">
        <v>321</v>
      </c>
      <c r="B101" s="237">
        <v>6.76</v>
      </c>
      <c r="C101" s="238">
        <v>58859</v>
      </c>
      <c r="D101" s="240">
        <v>91.900499999999994</v>
      </c>
      <c r="E101" s="240">
        <v>7.4009999999999998</v>
      </c>
      <c r="F101" s="237" t="s">
        <v>243</v>
      </c>
      <c r="G101" s="237"/>
      <c r="H101" s="2" t="s">
        <v>241</v>
      </c>
    </row>
    <row r="102" spans="1:8">
      <c r="A102" s="237" t="s">
        <v>322</v>
      </c>
      <c r="B102" s="237">
        <v>6.95</v>
      </c>
      <c r="C102" s="238">
        <v>59156</v>
      </c>
      <c r="D102" s="239">
        <v>94.478999999999999</v>
      </c>
      <c r="E102" s="239">
        <v>7.3837000000000002</v>
      </c>
      <c r="F102" s="237"/>
      <c r="G102" s="237"/>
    </row>
    <row r="103" spans="1:8">
      <c r="A103" s="237" t="s">
        <v>323</v>
      </c>
      <c r="B103" s="237">
        <v>7.4</v>
      </c>
      <c r="C103" s="238">
        <v>59433</v>
      </c>
      <c r="D103" s="239">
        <v>99.9315</v>
      </c>
      <c r="E103" s="239">
        <v>7.4050000000000002</v>
      </c>
      <c r="F103" s="237"/>
      <c r="G103" s="237"/>
    </row>
    <row r="104" spans="1:8">
      <c r="A104" s="237" t="s">
        <v>324</v>
      </c>
      <c r="B104" s="237">
        <v>7.25</v>
      </c>
      <c r="C104" s="238">
        <v>59699</v>
      </c>
      <c r="D104" s="240">
        <v>97.867699999999999</v>
      </c>
      <c r="E104" s="240">
        <v>7.4161999999999999</v>
      </c>
      <c r="F104" s="237" t="s">
        <v>243</v>
      </c>
      <c r="G104" s="237"/>
      <c r="H104" s="2" t="s">
        <v>241</v>
      </c>
    </row>
    <row r="105" spans="1:8">
      <c r="A105" s="237" t="s">
        <v>325</v>
      </c>
      <c r="B105" s="237">
        <v>6.97</v>
      </c>
      <c r="C105" s="238">
        <v>45603</v>
      </c>
      <c r="D105" s="239">
        <v>99.952500000000001</v>
      </c>
      <c r="E105" s="239">
        <v>7.09</v>
      </c>
      <c r="F105" s="237" t="s">
        <v>326</v>
      </c>
      <c r="G105" s="237" t="s">
        <v>327</v>
      </c>
    </row>
    <row r="106" spans="1:8">
      <c r="A106" s="237" t="s">
        <v>328</v>
      </c>
      <c r="B106" s="237">
        <v>7.879999999999999</v>
      </c>
      <c r="C106" s="238">
        <v>47030</v>
      </c>
      <c r="D106" s="240">
        <v>99.87</v>
      </c>
      <c r="E106" s="240">
        <v>7.7218</v>
      </c>
      <c r="F106" s="237" t="s">
        <v>326</v>
      </c>
      <c r="G106" s="237" t="s">
        <v>329</v>
      </c>
      <c r="H106" s="2" t="s">
        <v>241</v>
      </c>
    </row>
    <row r="107" spans="1:8">
      <c r="A107" s="237" t="s">
        <v>330</v>
      </c>
      <c r="B107" s="237">
        <v>7.9</v>
      </c>
      <c r="C107" s="238">
        <v>48189</v>
      </c>
      <c r="D107" s="240">
        <v>101.3</v>
      </c>
      <c r="E107" s="240">
        <v>7.8244999999999996</v>
      </c>
      <c r="F107" s="237" t="s">
        <v>326</v>
      </c>
      <c r="G107" s="237" t="s">
        <v>331</v>
      </c>
      <c r="H107" s="2" t="s">
        <v>241</v>
      </c>
    </row>
    <row r="108" spans="1:8">
      <c r="A108" s="237" t="s">
        <v>332</v>
      </c>
      <c r="B108" s="237">
        <v>8.25</v>
      </c>
      <c r="C108" s="238">
        <v>48844</v>
      </c>
      <c r="D108" s="240">
        <v>102.1</v>
      </c>
      <c r="E108" s="240">
        <v>7.9588999999999999</v>
      </c>
      <c r="F108" s="237" t="s">
        <v>326</v>
      </c>
      <c r="G108" s="237" t="s">
        <v>333</v>
      </c>
      <c r="H108" s="2" t="s">
        <v>241</v>
      </c>
    </row>
    <row r="109" spans="1:8">
      <c r="A109" s="237" t="s">
        <v>334</v>
      </c>
      <c r="B109" s="237">
        <v>7.93</v>
      </c>
      <c r="C109" s="238">
        <v>49247</v>
      </c>
      <c r="D109" s="240">
        <v>100.25</v>
      </c>
      <c r="E109" s="240">
        <v>7.9931999999999999</v>
      </c>
      <c r="F109" s="237" t="s">
        <v>326</v>
      </c>
      <c r="G109" s="237" t="s">
        <v>335</v>
      </c>
      <c r="H109" s="2" t="s">
        <v>241</v>
      </c>
    </row>
    <row r="110" spans="1:8">
      <c r="A110" s="237" t="s">
        <v>336</v>
      </c>
      <c r="B110" s="237">
        <v>6.58</v>
      </c>
      <c r="C110" s="238">
        <v>49334</v>
      </c>
      <c r="D110" s="239">
        <v>99.4178</v>
      </c>
      <c r="E110" s="239">
        <v>7.0418000000000003</v>
      </c>
      <c r="F110" s="237" t="s">
        <v>326</v>
      </c>
      <c r="G110" s="237"/>
    </row>
  </sheetData>
  <mergeCells count="1">
    <mergeCell ref="B2:F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38345-EF4A-44AC-8BC6-19456591683A}">
  <dimension ref="A1:C205"/>
  <sheetViews>
    <sheetView showGridLines="0" zoomScale="80" zoomScaleNormal="80" workbookViewId="0">
      <selection activeCell="C22" sqref="C22"/>
    </sheetView>
  </sheetViews>
  <sheetFormatPr defaultColWidth="8.796875" defaultRowHeight="13.3"/>
  <cols>
    <col min="1" max="1" width="13" style="2" customWidth="1"/>
    <col min="2" max="2" width="20.796875" style="2" customWidth="1"/>
    <col min="3" max="3" width="19.19921875" style="2" customWidth="1"/>
    <col min="4" max="16384" width="8.796875" style="2"/>
  </cols>
  <sheetData>
    <row r="1" spans="1:3" ht="21.05" customHeight="1">
      <c r="A1" s="189" t="s">
        <v>108</v>
      </c>
      <c r="B1" s="9"/>
      <c r="C1" s="9"/>
    </row>
    <row r="2" spans="1:3" ht="21.05" customHeight="1">
      <c r="A2" s="190"/>
      <c r="B2" s="9"/>
      <c r="C2" s="9"/>
    </row>
    <row r="3" spans="1:3" ht="21.05" customHeight="1">
      <c r="A3" s="191" t="s">
        <v>167</v>
      </c>
      <c r="B3" s="192"/>
      <c r="C3" s="191" t="s">
        <v>187</v>
      </c>
    </row>
    <row r="4" spans="1:3" ht="21.05" customHeight="1">
      <c r="A4" s="189"/>
      <c r="B4" s="9"/>
      <c r="C4" s="9"/>
    </row>
    <row r="5" spans="1:3" ht="34.5" customHeight="1">
      <c r="A5" s="193" t="s">
        <v>169</v>
      </c>
      <c r="B5" s="194" t="s">
        <v>170</v>
      </c>
      <c r="C5" s="195" t="s">
        <v>171</v>
      </c>
    </row>
    <row r="6" spans="1:3">
      <c r="A6" s="196">
        <v>0.25</v>
      </c>
      <c r="B6" s="196">
        <v>6.76</v>
      </c>
      <c r="C6" s="196">
        <v>6.88</v>
      </c>
    </row>
    <row r="7" spans="1:3">
      <c r="A7" s="196">
        <v>0.5</v>
      </c>
      <c r="B7" s="196">
        <v>6.98</v>
      </c>
      <c r="C7" s="196">
        <v>7.1</v>
      </c>
    </row>
    <row r="8" spans="1:3">
      <c r="A8" s="196">
        <v>0.75</v>
      </c>
      <c r="B8" s="196">
        <v>6.99</v>
      </c>
      <c r="C8" s="196">
        <v>7.11</v>
      </c>
    </row>
    <row r="9" spans="1:3">
      <c r="A9" s="196">
        <v>1</v>
      </c>
      <c r="B9" s="196">
        <v>6.98</v>
      </c>
      <c r="C9" s="196">
        <v>7.1</v>
      </c>
    </row>
    <row r="10" spans="1:3">
      <c r="A10" s="196">
        <v>1.25</v>
      </c>
      <c r="B10" s="196">
        <v>6.97</v>
      </c>
      <c r="C10" s="196">
        <v>7.09</v>
      </c>
    </row>
    <row r="11" spans="1:3">
      <c r="A11" s="196">
        <v>1.5</v>
      </c>
      <c r="B11" s="196">
        <v>7</v>
      </c>
      <c r="C11" s="196">
        <v>7.12</v>
      </c>
    </row>
    <row r="12" spans="1:3">
      <c r="A12" s="196">
        <v>1.75</v>
      </c>
      <c r="B12" s="196">
        <v>7.01</v>
      </c>
      <c r="C12" s="196">
        <v>7.13</v>
      </c>
    </row>
    <row r="13" spans="1:3">
      <c r="A13" s="196">
        <v>2</v>
      </c>
      <c r="B13" s="196">
        <v>7.03</v>
      </c>
      <c r="C13" s="196">
        <v>7.15</v>
      </c>
    </row>
    <row r="14" spans="1:3">
      <c r="A14" s="196">
        <v>2.25</v>
      </c>
      <c r="B14" s="196">
        <v>7.02</v>
      </c>
      <c r="C14" s="196">
        <v>7.15</v>
      </c>
    </row>
    <row r="15" spans="1:3">
      <c r="A15" s="196">
        <v>2.5</v>
      </c>
      <c r="B15" s="196">
        <v>7.04</v>
      </c>
      <c r="C15" s="196">
        <v>7.16</v>
      </c>
    </row>
    <row r="16" spans="1:3">
      <c r="A16" s="196">
        <v>2.75</v>
      </c>
      <c r="B16" s="196">
        <v>7.04</v>
      </c>
      <c r="C16" s="196">
        <v>7.17</v>
      </c>
    </row>
    <row r="17" spans="1:3">
      <c r="A17" s="196">
        <v>3</v>
      </c>
      <c r="B17" s="196">
        <v>7.07</v>
      </c>
      <c r="C17" s="196">
        <v>7.19</v>
      </c>
    </row>
    <row r="18" spans="1:3">
      <c r="A18" s="196">
        <v>3.25</v>
      </c>
      <c r="B18" s="196">
        <v>7.08</v>
      </c>
      <c r="C18" s="196">
        <v>7.2</v>
      </c>
    </row>
    <row r="19" spans="1:3">
      <c r="A19" s="196">
        <v>3.5</v>
      </c>
      <c r="B19" s="196">
        <v>7.09</v>
      </c>
      <c r="C19" s="196">
        <v>7.21</v>
      </c>
    </row>
    <row r="20" spans="1:3">
      <c r="A20" s="196">
        <v>3.75</v>
      </c>
      <c r="B20" s="196">
        <v>7.08</v>
      </c>
      <c r="C20" s="196">
        <v>7.21</v>
      </c>
    </row>
    <row r="21" spans="1:3">
      <c r="A21" s="196">
        <v>4</v>
      </c>
      <c r="B21" s="196">
        <v>7.08</v>
      </c>
      <c r="C21" s="196">
        <v>7.21</v>
      </c>
    </row>
    <row r="22" spans="1:3">
      <c r="A22" s="196">
        <v>4.25</v>
      </c>
      <c r="B22" s="196">
        <v>7.08</v>
      </c>
      <c r="C22" s="196">
        <v>7.2</v>
      </c>
    </row>
    <row r="23" spans="1:3">
      <c r="A23" s="196">
        <v>4.5</v>
      </c>
      <c r="B23" s="196">
        <v>7.08</v>
      </c>
      <c r="C23" s="196">
        <v>7.21</v>
      </c>
    </row>
    <row r="24" spans="1:3">
      <c r="A24" s="196">
        <v>4.75</v>
      </c>
      <c r="B24" s="196">
        <v>7.08</v>
      </c>
      <c r="C24" s="196">
        <v>7.2</v>
      </c>
    </row>
    <row r="25" spans="1:3">
      <c r="A25" s="196">
        <v>5</v>
      </c>
      <c r="B25" s="196">
        <v>7.07</v>
      </c>
      <c r="C25" s="196">
        <v>7.2</v>
      </c>
    </row>
    <row r="26" spans="1:3">
      <c r="A26" s="196">
        <v>5.25</v>
      </c>
      <c r="B26" s="196">
        <v>7.07</v>
      </c>
      <c r="C26" s="196">
        <v>7.19</v>
      </c>
    </row>
    <row r="27" spans="1:3">
      <c r="A27" s="196">
        <v>5.5</v>
      </c>
      <c r="B27" s="196">
        <v>7.08</v>
      </c>
      <c r="C27" s="196">
        <v>7.2</v>
      </c>
    </row>
    <row r="28" spans="1:3">
      <c r="A28" s="196">
        <v>5.75</v>
      </c>
      <c r="B28" s="196">
        <v>7.08</v>
      </c>
      <c r="C28" s="196">
        <v>7.2</v>
      </c>
    </row>
    <row r="29" spans="1:3">
      <c r="A29" s="196">
        <v>6</v>
      </c>
      <c r="B29" s="196">
        <v>7.08</v>
      </c>
      <c r="C29" s="196">
        <v>7.21</v>
      </c>
    </row>
    <row r="30" spans="1:3">
      <c r="A30" s="196">
        <v>6.25</v>
      </c>
      <c r="B30" s="196">
        <v>7.08</v>
      </c>
      <c r="C30" s="196">
        <v>7.2</v>
      </c>
    </row>
    <row r="31" spans="1:3">
      <c r="A31" s="196">
        <v>6.5</v>
      </c>
      <c r="B31" s="196">
        <v>7.08</v>
      </c>
      <c r="C31" s="196">
        <v>7.21</v>
      </c>
    </row>
    <row r="32" spans="1:3">
      <c r="A32" s="196">
        <v>6.75</v>
      </c>
      <c r="B32" s="196">
        <v>7.09</v>
      </c>
      <c r="C32" s="196">
        <v>7.22</v>
      </c>
    </row>
    <row r="33" spans="1:3">
      <c r="A33" s="196">
        <v>7</v>
      </c>
      <c r="B33" s="196">
        <v>7.12</v>
      </c>
      <c r="C33" s="196">
        <v>7.24</v>
      </c>
    </row>
    <row r="34" spans="1:3">
      <c r="A34" s="196">
        <v>7.25</v>
      </c>
      <c r="B34" s="196">
        <v>7.13</v>
      </c>
      <c r="C34" s="196">
        <v>7.25</v>
      </c>
    </row>
    <row r="35" spans="1:3">
      <c r="A35" s="196">
        <v>7.5</v>
      </c>
      <c r="B35" s="196">
        <v>7.13</v>
      </c>
      <c r="C35" s="196">
        <v>7.25</v>
      </c>
    </row>
    <row r="36" spans="1:3">
      <c r="A36" s="196">
        <v>7.75</v>
      </c>
      <c r="B36" s="196">
        <v>7.12</v>
      </c>
      <c r="C36" s="196">
        <v>7.24</v>
      </c>
    </row>
    <row r="37" spans="1:3">
      <c r="A37" s="196">
        <v>8</v>
      </c>
      <c r="B37" s="196">
        <v>7.12</v>
      </c>
      <c r="C37" s="196">
        <v>7.24</v>
      </c>
    </row>
    <row r="38" spans="1:3">
      <c r="A38" s="196">
        <v>8.25</v>
      </c>
      <c r="B38" s="196">
        <v>7.12</v>
      </c>
      <c r="C38" s="196">
        <v>7.25</v>
      </c>
    </row>
    <row r="39" spans="1:3">
      <c r="A39" s="196">
        <v>8.5</v>
      </c>
      <c r="B39" s="196">
        <v>7.13</v>
      </c>
      <c r="C39" s="196">
        <v>7.26</v>
      </c>
    </row>
    <row r="40" spans="1:3">
      <c r="A40" s="196">
        <v>8.75</v>
      </c>
      <c r="B40" s="196">
        <v>7.13</v>
      </c>
      <c r="C40" s="196">
        <v>7.26</v>
      </c>
    </row>
    <row r="41" spans="1:3">
      <c r="A41" s="196">
        <v>9</v>
      </c>
      <c r="B41" s="196">
        <v>7.13</v>
      </c>
      <c r="C41" s="196">
        <v>7.25</v>
      </c>
    </row>
    <row r="42" spans="1:3">
      <c r="A42" s="196">
        <v>9.25</v>
      </c>
      <c r="B42" s="196">
        <v>7.11</v>
      </c>
      <c r="C42" s="196">
        <v>7.24</v>
      </c>
    </row>
    <row r="43" spans="1:3">
      <c r="A43" s="196">
        <v>9.5</v>
      </c>
      <c r="B43" s="196">
        <v>7.11</v>
      </c>
      <c r="C43" s="196">
        <v>7.23</v>
      </c>
    </row>
    <row r="44" spans="1:3">
      <c r="A44" s="196">
        <v>9.75</v>
      </c>
      <c r="B44" s="196">
        <v>7.11</v>
      </c>
      <c r="C44" s="196">
        <v>7.23</v>
      </c>
    </row>
    <row r="45" spans="1:3">
      <c r="A45" s="196">
        <v>10</v>
      </c>
      <c r="B45" s="196">
        <v>7.11</v>
      </c>
      <c r="C45" s="196">
        <v>7.24</v>
      </c>
    </row>
    <row r="46" spans="1:3">
      <c r="A46" s="196">
        <v>10.25</v>
      </c>
      <c r="B46" s="196">
        <v>7.12</v>
      </c>
      <c r="C46" s="196">
        <v>7.24</v>
      </c>
    </row>
    <row r="47" spans="1:3">
      <c r="A47" s="196">
        <v>10.5</v>
      </c>
      <c r="B47" s="196">
        <v>7.13</v>
      </c>
      <c r="C47" s="196">
        <v>7.25</v>
      </c>
    </row>
    <row r="48" spans="1:3">
      <c r="A48" s="196">
        <v>10.75</v>
      </c>
      <c r="B48" s="196">
        <v>7.13</v>
      </c>
      <c r="C48" s="196">
        <v>7.26</v>
      </c>
    </row>
    <row r="49" spans="1:3">
      <c r="A49" s="196">
        <v>11</v>
      </c>
      <c r="B49" s="196">
        <v>7.14</v>
      </c>
      <c r="C49" s="196">
        <v>7.26</v>
      </c>
    </row>
    <row r="50" spans="1:3">
      <c r="A50" s="196">
        <v>11.25</v>
      </c>
      <c r="B50" s="196">
        <v>7.14</v>
      </c>
      <c r="C50" s="196">
        <v>7.26</v>
      </c>
    </row>
    <row r="51" spans="1:3">
      <c r="A51" s="196">
        <v>11.5</v>
      </c>
      <c r="B51" s="196">
        <v>7.14</v>
      </c>
      <c r="C51" s="196">
        <v>7.27</v>
      </c>
    </row>
    <row r="52" spans="1:3">
      <c r="A52" s="196">
        <v>11.75</v>
      </c>
      <c r="B52" s="196">
        <v>7.14</v>
      </c>
      <c r="C52" s="196">
        <v>7.26</v>
      </c>
    </row>
    <row r="53" spans="1:3">
      <c r="A53" s="196">
        <v>12</v>
      </c>
      <c r="B53" s="196">
        <v>7.14</v>
      </c>
      <c r="C53" s="196">
        <v>7.26</v>
      </c>
    </row>
    <row r="54" spans="1:3">
      <c r="A54" s="196">
        <v>12.25</v>
      </c>
      <c r="B54" s="196">
        <v>7.14</v>
      </c>
      <c r="C54" s="196">
        <v>7.26</v>
      </c>
    </row>
    <row r="55" spans="1:3">
      <c r="A55" s="196">
        <v>12.5</v>
      </c>
      <c r="B55" s="196">
        <v>7.14</v>
      </c>
      <c r="C55" s="196">
        <v>7.27</v>
      </c>
    </row>
    <row r="56" spans="1:3">
      <c r="A56" s="196">
        <v>12.75</v>
      </c>
      <c r="B56" s="196">
        <v>7.14</v>
      </c>
      <c r="C56" s="196">
        <v>7.27</v>
      </c>
    </row>
    <row r="57" spans="1:3">
      <c r="A57" s="196">
        <v>13</v>
      </c>
      <c r="B57" s="196">
        <v>7.14</v>
      </c>
      <c r="C57" s="196">
        <v>7.27</v>
      </c>
    </row>
    <row r="58" spans="1:3">
      <c r="A58" s="196">
        <v>13.25</v>
      </c>
      <c r="B58" s="196">
        <v>7.14</v>
      </c>
      <c r="C58" s="196">
        <v>7.27</v>
      </c>
    </row>
    <row r="59" spans="1:3">
      <c r="A59" s="196">
        <v>13.5</v>
      </c>
      <c r="B59" s="196">
        <v>7.14</v>
      </c>
      <c r="C59" s="196">
        <v>7.27</v>
      </c>
    </row>
    <row r="60" spans="1:3">
      <c r="A60" s="196">
        <v>13.75</v>
      </c>
      <c r="B60" s="196">
        <v>7.14</v>
      </c>
      <c r="C60" s="196">
        <v>7.27</v>
      </c>
    </row>
    <row r="61" spans="1:3">
      <c r="A61" s="196">
        <v>14</v>
      </c>
      <c r="B61" s="196">
        <v>7.14</v>
      </c>
      <c r="C61" s="196">
        <v>7.27</v>
      </c>
    </row>
    <row r="62" spans="1:3">
      <c r="A62" s="196">
        <v>14.25</v>
      </c>
      <c r="B62" s="196">
        <v>7.14</v>
      </c>
      <c r="C62" s="196">
        <v>7.27</v>
      </c>
    </row>
    <row r="63" spans="1:3">
      <c r="A63" s="196">
        <v>14.5</v>
      </c>
      <c r="B63" s="196">
        <v>7.14</v>
      </c>
      <c r="C63" s="196">
        <v>7.27</v>
      </c>
    </row>
    <row r="64" spans="1:3">
      <c r="A64" s="196">
        <v>14.75</v>
      </c>
      <c r="B64" s="196">
        <v>7.14</v>
      </c>
      <c r="C64" s="196">
        <v>7.27</v>
      </c>
    </row>
    <row r="65" spans="1:3">
      <c r="A65" s="196">
        <v>15</v>
      </c>
      <c r="B65" s="196">
        <v>7.14</v>
      </c>
      <c r="C65" s="196">
        <v>7.27</v>
      </c>
    </row>
    <row r="66" spans="1:3">
      <c r="A66" s="196">
        <v>15.25</v>
      </c>
      <c r="B66" s="196">
        <v>7.14</v>
      </c>
      <c r="C66" s="196">
        <v>7.27</v>
      </c>
    </row>
    <row r="67" spans="1:3">
      <c r="A67" s="196">
        <v>15.5</v>
      </c>
      <c r="B67" s="196">
        <v>7.14</v>
      </c>
      <c r="C67" s="196">
        <v>7.27</v>
      </c>
    </row>
    <row r="68" spans="1:3">
      <c r="A68" s="196">
        <v>15.75</v>
      </c>
      <c r="B68" s="196">
        <v>7.14</v>
      </c>
      <c r="C68" s="196">
        <v>7.27</v>
      </c>
    </row>
    <row r="69" spans="1:3">
      <c r="A69" s="196">
        <v>16</v>
      </c>
      <c r="B69" s="196">
        <v>7.14</v>
      </c>
      <c r="C69" s="196">
        <v>7.27</v>
      </c>
    </row>
    <row r="70" spans="1:3">
      <c r="A70" s="196">
        <v>16.25</v>
      </c>
      <c r="B70" s="196">
        <v>7.14</v>
      </c>
      <c r="C70" s="196">
        <v>7.27</v>
      </c>
    </row>
    <row r="71" spans="1:3">
      <c r="A71" s="196">
        <v>16.5</v>
      </c>
      <c r="B71" s="196">
        <v>7.14</v>
      </c>
      <c r="C71" s="196">
        <v>7.27</v>
      </c>
    </row>
    <row r="72" spans="1:3">
      <c r="A72" s="196">
        <v>16.75</v>
      </c>
      <c r="B72" s="196">
        <v>7.14</v>
      </c>
      <c r="C72" s="196">
        <v>7.27</v>
      </c>
    </row>
    <row r="73" spans="1:3">
      <c r="A73" s="196">
        <v>17</v>
      </c>
      <c r="B73" s="196">
        <v>7.14</v>
      </c>
      <c r="C73" s="196">
        <v>7.27</v>
      </c>
    </row>
    <row r="74" spans="1:3">
      <c r="A74" s="196">
        <v>17.25</v>
      </c>
      <c r="B74" s="196">
        <v>7.14</v>
      </c>
      <c r="C74" s="196">
        <v>7.27</v>
      </c>
    </row>
    <row r="75" spans="1:3">
      <c r="A75" s="196">
        <v>17.5</v>
      </c>
      <c r="B75" s="196">
        <v>7.14</v>
      </c>
      <c r="C75" s="196">
        <v>7.27</v>
      </c>
    </row>
    <row r="76" spans="1:3">
      <c r="A76" s="196">
        <v>17.75</v>
      </c>
      <c r="B76" s="196">
        <v>7.14</v>
      </c>
      <c r="C76" s="196">
        <v>7.27</v>
      </c>
    </row>
    <row r="77" spans="1:3">
      <c r="A77" s="196">
        <v>18</v>
      </c>
      <c r="B77" s="196">
        <v>7.14</v>
      </c>
      <c r="C77" s="196">
        <v>7.27</v>
      </c>
    </row>
    <row r="78" spans="1:3">
      <c r="A78" s="196">
        <v>18.25</v>
      </c>
      <c r="B78" s="196">
        <v>7.14</v>
      </c>
      <c r="C78" s="196">
        <v>7.27</v>
      </c>
    </row>
    <row r="79" spans="1:3">
      <c r="A79" s="196">
        <v>18.5</v>
      </c>
      <c r="B79" s="196">
        <v>7.14</v>
      </c>
      <c r="C79" s="196">
        <v>7.27</v>
      </c>
    </row>
    <row r="80" spans="1:3">
      <c r="A80" s="196">
        <v>18.75</v>
      </c>
      <c r="B80" s="196">
        <v>7.14</v>
      </c>
      <c r="C80" s="196">
        <v>7.27</v>
      </c>
    </row>
    <row r="81" spans="1:3">
      <c r="A81" s="196">
        <v>19</v>
      </c>
      <c r="B81" s="196">
        <v>7.15</v>
      </c>
      <c r="C81" s="196">
        <v>7.27</v>
      </c>
    </row>
    <row r="82" spans="1:3">
      <c r="A82" s="196">
        <v>19.25</v>
      </c>
      <c r="B82" s="196">
        <v>7.14</v>
      </c>
      <c r="C82" s="196">
        <v>7.27</v>
      </c>
    </row>
    <row r="83" spans="1:3">
      <c r="A83" s="196">
        <v>19.5</v>
      </c>
      <c r="B83" s="196">
        <v>7.15</v>
      </c>
      <c r="C83" s="196">
        <v>7.27</v>
      </c>
    </row>
    <row r="84" spans="1:3">
      <c r="A84" s="196">
        <v>19.75</v>
      </c>
      <c r="B84" s="196">
        <v>7.15</v>
      </c>
      <c r="C84" s="196">
        <v>7.27</v>
      </c>
    </row>
    <row r="85" spans="1:3">
      <c r="A85" s="196">
        <v>20</v>
      </c>
      <c r="B85" s="196">
        <v>7.15</v>
      </c>
      <c r="C85" s="196">
        <v>7.28</v>
      </c>
    </row>
    <row r="86" spans="1:3">
      <c r="A86" s="196">
        <v>20.25</v>
      </c>
      <c r="B86" s="196">
        <v>7.15</v>
      </c>
      <c r="C86" s="196">
        <v>7.27</v>
      </c>
    </row>
    <row r="87" spans="1:3">
      <c r="A87" s="196">
        <v>20.5</v>
      </c>
      <c r="B87" s="196">
        <v>7.15</v>
      </c>
      <c r="C87" s="196">
        <v>7.28</v>
      </c>
    </row>
    <row r="88" spans="1:3">
      <c r="A88" s="196">
        <v>20.75</v>
      </c>
      <c r="B88" s="196">
        <v>7.15</v>
      </c>
      <c r="C88" s="196">
        <v>7.28</v>
      </c>
    </row>
    <row r="89" spans="1:3">
      <c r="A89" s="196">
        <v>21</v>
      </c>
      <c r="B89" s="196">
        <v>7.15</v>
      </c>
      <c r="C89" s="196">
        <v>7.28</v>
      </c>
    </row>
    <row r="90" spans="1:3">
      <c r="A90" s="196">
        <v>21.25</v>
      </c>
      <c r="B90" s="196">
        <v>7.15</v>
      </c>
      <c r="C90" s="196">
        <v>7.28</v>
      </c>
    </row>
    <row r="91" spans="1:3">
      <c r="A91" s="196">
        <v>21.5</v>
      </c>
      <c r="B91" s="196">
        <v>7.15</v>
      </c>
      <c r="C91" s="196">
        <v>7.28</v>
      </c>
    </row>
    <row r="92" spans="1:3">
      <c r="A92" s="196">
        <v>21.75</v>
      </c>
      <c r="B92" s="196">
        <v>7.15</v>
      </c>
      <c r="C92" s="196">
        <v>7.28</v>
      </c>
    </row>
    <row r="93" spans="1:3">
      <c r="A93" s="196">
        <v>22</v>
      </c>
      <c r="B93" s="196">
        <v>7.15</v>
      </c>
      <c r="C93" s="196">
        <v>7.28</v>
      </c>
    </row>
    <row r="94" spans="1:3">
      <c r="A94" s="196">
        <v>22.25</v>
      </c>
      <c r="B94" s="196">
        <v>7.15</v>
      </c>
      <c r="C94" s="196">
        <v>7.28</v>
      </c>
    </row>
    <row r="95" spans="1:3">
      <c r="A95" s="196">
        <v>22.5</v>
      </c>
      <c r="B95" s="196">
        <v>7.15</v>
      </c>
      <c r="C95" s="196">
        <v>7.28</v>
      </c>
    </row>
    <row r="96" spans="1:3">
      <c r="A96" s="196">
        <v>22.75</v>
      </c>
      <c r="B96" s="196">
        <v>7.15</v>
      </c>
      <c r="C96" s="196">
        <v>7.28</v>
      </c>
    </row>
    <row r="97" spans="1:3">
      <c r="A97" s="196">
        <v>23</v>
      </c>
      <c r="B97" s="196">
        <v>7.16</v>
      </c>
      <c r="C97" s="196">
        <v>7.28</v>
      </c>
    </row>
    <row r="98" spans="1:3">
      <c r="A98" s="196">
        <v>23.25</v>
      </c>
      <c r="B98" s="196">
        <v>7.16</v>
      </c>
      <c r="C98" s="196">
        <v>7.28</v>
      </c>
    </row>
    <row r="99" spans="1:3">
      <c r="A99" s="196">
        <v>23.5</v>
      </c>
      <c r="B99" s="196">
        <v>7.16</v>
      </c>
      <c r="C99" s="196">
        <v>7.29</v>
      </c>
    </row>
    <row r="100" spans="1:3">
      <c r="A100" s="196">
        <v>23.75</v>
      </c>
      <c r="B100" s="196">
        <v>7.16</v>
      </c>
      <c r="C100" s="196">
        <v>7.29</v>
      </c>
    </row>
    <row r="101" spans="1:3">
      <c r="A101" s="196">
        <v>24</v>
      </c>
      <c r="B101" s="196">
        <v>7.16</v>
      </c>
      <c r="C101" s="196">
        <v>7.29</v>
      </c>
    </row>
    <row r="102" spans="1:3">
      <c r="A102" s="196">
        <v>24.25</v>
      </c>
      <c r="B102" s="196">
        <v>7.16</v>
      </c>
      <c r="C102" s="196">
        <v>7.29</v>
      </c>
    </row>
    <row r="103" spans="1:3">
      <c r="A103" s="196">
        <v>24.5</v>
      </c>
      <c r="B103" s="196">
        <v>7.16</v>
      </c>
      <c r="C103" s="196">
        <v>7.29</v>
      </c>
    </row>
    <row r="104" spans="1:3">
      <c r="A104" s="196">
        <v>24.75</v>
      </c>
      <c r="B104" s="196">
        <v>7.16</v>
      </c>
      <c r="C104" s="196">
        <v>7.29</v>
      </c>
    </row>
    <row r="105" spans="1:3">
      <c r="A105" s="196">
        <v>25</v>
      </c>
      <c r="B105" s="196">
        <v>7.16</v>
      </c>
      <c r="C105" s="196">
        <v>7.29</v>
      </c>
    </row>
    <row r="106" spans="1:3">
      <c r="A106" s="196">
        <v>25.25</v>
      </c>
      <c r="B106" s="196">
        <v>7.16</v>
      </c>
      <c r="C106" s="196">
        <v>7.29</v>
      </c>
    </row>
    <row r="107" spans="1:3">
      <c r="A107" s="196">
        <v>25.5</v>
      </c>
      <c r="B107" s="196">
        <v>7.16</v>
      </c>
      <c r="C107" s="196">
        <v>7.29</v>
      </c>
    </row>
    <row r="108" spans="1:3">
      <c r="A108" s="196">
        <v>25.75</v>
      </c>
      <c r="B108" s="196">
        <v>7.16</v>
      </c>
      <c r="C108" s="196">
        <v>7.29</v>
      </c>
    </row>
    <row r="109" spans="1:3">
      <c r="A109" s="196">
        <v>26</v>
      </c>
      <c r="B109" s="196">
        <v>7.17</v>
      </c>
      <c r="C109" s="196">
        <v>7.29</v>
      </c>
    </row>
    <row r="110" spans="1:3">
      <c r="A110" s="196">
        <v>26.25</v>
      </c>
      <c r="B110" s="196">
        <v>7.17</v>
      </c>
      <c r="C110" s="196">
        <v>7.29</v>
      </c>
    </row>
    <row r="111" spans="1:3">
      <c r="A111" s="196">
        <v>26.5</v>
      </c>
      <c r="B111" s="196">
        <v>7.17</v>
      </c>
      <c r="C111" s="196">
        <v>7.3</v>
      </c>
    </row>
    <row r="112" spans="1:3">
      <c r="A112" s="196">
        <v>26.75</v>
      </c>
      <c r="B112" s="196">
        <v>7.17</v>
      </c>
      <c r="C112" s="196">
        <v>7.3</v>
      </c>
    </row>
    <row r="113" spans="1:3">
      <c r="A113" s="196">
        <v>27</v>
      </c>
      <c r="B113" s="196">
        <v>7.17</v>
      </c>
      <c r="C113" s="196">
        <v>7.3</v>
      </c>
    </row>
    <row r="114" spans="1:3">
      <c r="A114" s="196">
        <v>27.25</v>
      </c>
      <c r="B114" s="196">
        <v>7.17</v>
      </c>
      <c r="C114" s="196">
        <v>7.3</v>
      </c>
    </row>
    <row r="115" spans="1:3">
      <c r="A115" s="196">
        <v>27.5</v>
      </c>
      <c r="B115" s="196">
        <v>7.17</v>
      </c>
      <c r="C115" s="196">
        <v>7.3</v>
      </c>
    </row>
    <row r="116" spans="1:3">
      <c r="A116" s="196">
        <v>27.75</v>
      </c>
      <c r="B116" s="196">
        <v>7.17</v>
      </c>
      <c r="C116" s="196">
        <v>7.3</v>
      </c>
    </row>
    <row r="117" spans="1:3">
      <c r="A117" s="196">
        <v>28</v>
      </c>
      <c r="B117" s="196">
        <v>7.17</v>
      </c>
      <c r="C117" s="196">
        <v>7.3</v>
      </c>
    </row>
    <row r="118" spans="1:3">
      <c r="A118" s="196">
        <v>28.25</v>
      </c>
      <c r="B118" s="196">
        <v>7.17</v>
      </c>
      <c r="C118" s="196">
        <v>7.3</v>
      </c>
    </row>
    <row r="119" spans="1:3">
      <c r="A119" s="196">
        <v>28.5</v>
      </c>
      <c r="B119" s="196">
        <v>7.17</v>
      </c>
      <c r="C119" s="196">
        <v>7.3</v>
      </c>
    </row>
    <row r="120" spans="1:3">
      <c r="A120" s="196">
        <v>28.75</v>
      </c>
      <c r="B120" s="196">
        <v>7.17</v>
      </c>
      <c r="C120" s="196">
        <v>7.3</v>
      </c>
    </row>
    <row r="121" spans="1:3">
      <c r="A121" s="196">
        <v>29</v>
      </c>
      <c r="B121" s="196">
        <v>7.17</v>
      </c>
      <c r="C121" s="196">
        <v>7.3</v>
      </c>
    </row>
    <row r="122" spans="1:3">
      <c r="A122" s="196">
        <v>29.25</v>
      </c>
      <c r="B122" s="196">
        <v>7.17</v>
      </c>
      <c r="C122" s="196">
        <v>7.3</v>
      </c>
    </row>
    <row r="123" spans="1:3">
      <c r="A123" s="196">
        <v>29.5</v>
      </c>
      <c r="B123" s="196">
        <v>7.17</v>
      </c>
      <c r="C123" s="196">
        <v>7.3</v>
      </c>
    </row>
    <row r="124" spans="1:3">
      <c r="A124" s="196">
        <v>29.75</v>
      </c>
      <c r="B124" s="196">
        <v>7.17</v>
      </c>
      <c r="C124" s="196">
        <v>7.3</v>
      </c>
    </row>
    <row r="125" spans="1:3">
      <c r="A125" s="196">
        <v>30</v>
      </c>
      <c r="B125" s="196">
        <v>7.17</v>
      </c>
      <c r="C125" s="196">
        <v>7.3</v>
      </c>
    </row>
    <row r="126" spans="1:3">
      <c r="A126" s="196">
        <v>30.25</v>
      </c>
      <c r="B126" s="196">
        <v>7.17</v>
      </c>
      <c r="C126" s="196">
        <v>7.3</v>
      </c>
    </row>
    <row r="127" spans="1:3">
      <c r="A127" s="196">
        <v>30.5</v>
      </c>
      <c r="B127" s="196">
        <v>7.17</v>
      </c>
      <c r="C127" s="196">
        <v>7.3</v>
      </c>
    </row>
    <row r="128" spans="1:3">
      <c r="A128" s="196">
        <v>30.75</v>
      </c>
      <c r="B128" s="196">
        <v>7.17</v>
      </c>
      <c r="C128" s="196">
        <v>7.3</v>
      </c>
    </row>
    <row r="129" spans="1:3">
      <c r="A129" s="196">
        <v>31</v>
      </c>
      <c r="B129" s="196">
        <v>7.17</v>
      </c>
      <c r="C129" s="196">
        <v>7.3</v>
      </c>
    </row>
    <row r="130" spans="1:3">
      <c r="A130" s="196">
        <v>31.25</v>
      </c>
      <c r="B130" s="196">
        <v>7.17</v>
      </c>
      <c r="C130" s="196">
        <v>7.3</v>
      </c>
    </row>
    <row r="131" spans="1:3">
      <c r="A131" s="196">
        <v>31.5</v>
      </c>
      <c r="B131" s="196">
        <v>7.17</v>
      </c>
      <c r="C131" s="196">
        <v>7.3</v>
      </c>
    </row>
    <row r="132" spans="1:3">
      <c r="A132" s="196">
        <v>31.75</v>
      </c>
      <c r="B132" s="196">
        <v>7.17</v>
      </c>
      <c r="C132" s="196">
        <v>7.3</v>
      </c>
    </row>
    <row r="133" spans="1:3">
      <c r="A133" s="196">
        <v>32</v>
      </c>
      <c r="B133" s="196">
        <v>7.18</v>
      </c>
      <c r="C133" s="196">
        <v>7.3</v>
      </c>
    </row>
    <row r="134" spans="1:3">
      <c r="A134" s="196">
        <v>32.25</v>
      </c>
      <c r="B134" s="196">
        <v>7.17</v>
      </c>
      <c r="C134" s="196">
        <v>7.3</v>
      </c>
    </row>
    <row r="135" spans="1:3">
      <c r="A135" s="196">
        <v>32.5</v>
      </c>
      <c r="B135" s="196">
        <v>7.18</v>
      </c>
      <c r="C135" s="196">
        <v>7.31</v>
      </c>
    </row>
    <row r="136" spans="1:3">
      <c r="A136" s="196">
        <v>32.75</v>
      </c>
      <c r="B136" s="196">
        <v>7.18</v>
      </c>
      <c r="C136" s="196">
        <v>7.3</v>
      </c>
    </row>
    <row r="137" spans="1:3">
      <c r="A137" s="196">
        <v>33</v>
      </c>
      <c r="B137" s="196">
        <v>7.18</v>
      </c>
      <c r="C137" s="196">
        <v>7.31</v>
      </c>
    </row>
    <row r="138" spans="1:3">
      <c r="A138" s="196">
        <v>33.25</v>
      </c>
      <c r="B138" s="196">
        <v>7.18</v>
      </c>
      <c r="C138" s="196">
        <v>7.31</v>
      </c>
    </row>
    <row r="139" spans="1:3">
      <c r="A139" s="196">
        <v>33.5</v>
      </c>
      <c r="B139" s="196">
        <v>7.18</v>
      </c>
      <c r="C139" s="196">
        <v>7.31</v>
      </c>
    </row>
    <row r="140" spans="1:3">
      <c r="A140" s="196">
        <v>33.75</v>
      </c>
      <c r="B140" s="196">
        <v>7.18</v>
      </c>
      <c r="C140" s="196">
        <v>7.31</v>
      </c>
    </row>
    <row r="141" spans="1:3">
      <c r="A141" s="196">
        <v>34</v>
      </c>
      <c r="B141" s="196">
        <v>7.18</v>
      </c>
      <c r="C141" s="196">
        <v>7.31</v>
      </c>
    </row>
    <row r="142" spans="1:3">
      <c r="A142" s="196">
        <v>34.25</v>
      </c>
      <c r="B142" s="196">
        <v>7.18</v>
      </c>
      <c r="C142" s="196">
        <v>7.31</v>
      </c>
    </row>
    <row r="143" spans="1:3">
      <c r="A143" s="196">
        <v>34.5</v>
      </c>
      <c r="B143" s="196">
        <v>7.18</v>
      </c>
      <c r="C143" s="196">
        <v>7.31</v>
      </c>
    </row>
    <row r="144" spans="1:3">
      <c r="A144" s="196">
        <v>34.75</v>
      </c>
      <c r="B144" s="196">
        <v>7.18</v>
      </c>
      <c r="C144" s="196">
        <v>7.31</v>
      </c>
    </row>
    <row r="145" spans="1:3">
      <c r="A145" s="196">
        <v>35</v>
      </c>
      <c r="B145" s="196">
        <v>7.18</v>
      </c>
      <c r="C145" s="196">
        <v>7.31</v>
      </c>
    </row>
    <row r="146" spans="1:3">
      <c r="A146" s="196">
        <v>35.25</v>
      </c>
      <c r="B146" s="196">
        <v>7.18</v>
      </c>
      <c r="C146" s="196">
        <v>7.31</v>
      </c>
    </row>
    <row r="147" spans="1:3">
      <c r="A147" s="196">
        <v>35.5</v>
      </c>
      <c r="B147" s="196">
        <v>7.18</v>
      </c>
      <c r="C147" s="196">
        <v>7.31</v>
      </c>
    </row>
    <row r="148" spans="1:3">
      <c r="A148" s="196">
        <v>35.75</v>
      </c>
      <c r="B148" s="196">
        <v>7.18</v>
      </c>
      <c r="C148" s="196">
        <v>7.31</v>
      </c>
    </row>
    <row r="149" spans="1:3">
      <c r="A149" s="196">
        <v>36</v>
      </c>
      <c r="B149" s="196">
        <v>7.18</v>
      </c>
      <c r="C149" s="196">
        <v>7.31</v>
      </c>
    </row>
    <row r="150" spans="1:3">
      <c r="A150" s="196">
        <v>36.25</v>
      </c>
      <c r="B150" s="196">
        <v>7.18</v>
      </c>
      <c r="C150" s="196">
        <v>7.31</v>
      </c>
    </row>
    <row r="151" spans="1:3">
      <c r="A151" s="196">
        <v>36.5</v>
      </c>
      <c r="B151" s="196">
        <v>7.19</v>
      </c>
      <c r="C151" s="196">
        <v>7.31</v>
      </c>
    </row>
    <row r="152" spans="1:3">
      <c r="A152" s="196">
        <v>36.75</v>
      </c>
      <c r="B152" s="196">
        <v>7.19</v>
      </c>
      <c r="C152" s="196">
        <v>7.31</v>
      </c>
    </row>
    <row r="153" spans="1:3">
      <c r="A153" s="196">
        <v>37</v>
      </c>
      <c r="B153" s="196">
        <v>7.19</v>
      </c>
      <c r="C153" s="196">
        <v>7.32</v>
      </c>
    </row>
    <row r="154" spans="1:3">
      <c r="A154" s="196">
        <v>37.25</v>
      </c>
      <c r="B154" s="196">
        <v>7.19</v>
      </c>
      <c r="C154" s="196">
        <v>7.32</v>
      </c>
    </row>
    <row r="155" spans="1:3">
      <c r="A155" s="196">
        <v>37.5</v>
      </c>
      <c r="B155" s="196">
        <v>7.19</v>
      </c>
      <c r="C155" s="196">
        <v>7.32</v>
      </c>
    </row>
    <row r="156" spans="1:3">
      <c r="A156" s="196">
        <v>37.75</v>
      </c>
      <c r="B156" s="196">
        <v>7.19</v>
      </c>
      <c r="C156" s="196">
        <v>7.32</v>
      </c>
    </row>
    <row r="157" spans="1:3">
      <c r="A157" s="196">
        <v>38</v>
      </c>
      <c r="B157" s="196">
        <v>7.19</v>
      </c>
      <c r="C157" s="196">
        <v>7.32</v>
      </c>
    </row>
    <row r="158" spans="1:3">
      <c r="A158" s="196">
        <v>38.25</v>
      </c>
      <c r="B158" s="196">
        <v>7.19</v>
      </c>
      <c r="C158" s="196">
        <v>7.32</v>
      </c>
    </row>
    <row r="159" spans="1:3">
      <c r="A159" s="196">
        <v>38.5</v>
      </c>
      <c r="B159" s="196">
        <v>7.19</v>
      </c>
      <c r="C159" s="196">
        <v>7.32</v>
      </c>
    </row>
    <row r="160" spans="1:3">
      <c r="A160" s="196">
        <v>38.75</v>
      </c>
      <c r="B160" s="196">
        <v>7.19</v>
      </c>
      <c r="C160" s="196">
        <v>7.32</v>
      </c>
    </row>
    <row r="161" spans="1:3">
      <c r="A161" s="196">
        <v>39</v>
      </c>
      <c r="B161" s="196">
        <v>7.19</v>
      </c>
      <c r="C161" s="196">
        <v>7.32</v>
      </c>
    </row>
    <row r="162" spans="1:3">
      <c r="A162" s="196">
        <v>39.25</v>
      </c>
      <c r="B162" s="196">
        <v>7.19</v>
      </c>
      <c r="C162" s="196">
        <v>7.32</v>
      </c>
    </row>
    <row r="163" spans="1:3">
      <c r="A163" s="196">
        <v>39.5</v>
      </c>
      <c r="B163" s="196">
        <v>7.19</v>
      </c>
      <c r="C163" s="196">
        <v>7.32</v>
      </c>
    </row>
    <row r="164" spans="1:3">
      <c r="A164" s="196">
        <v>39.75</v>
      </c>
      <c r="B164" s="196">
        <v>7.19</v>
      </c>
      <c r="C164" s="196">
        <v>7.32</v>
      </c>
    </row>
    <row r="165" spans="1:3">
      <c r="A165" s="196">
        <v>40</v>
      </c>
      <c r="B165" s="196">
        <v>7.19</v>
      </c>
      <c r="C165" s="196">
        <v>7.32</v>
      </c>
    </row>
    <row r="166" spans="1:3">
      <c r="A166" s="196">
        <v>40.25</v>
      </c>
      <c r="B166" s="196">
        <v>7.19</v>
      </c>
      <c r="C166" s="196">
        <v>7.32</v>
      </c>
    </row>
    <row r="167" spans="1:3">
      <c r="A167" s="196">
        <v>40.5</v>
      </c>
      <c r="B167" s="196">
        <v>7.19</v>
      </c>
      <c r="C167" s="196">
        <v>7.32</v>
      </c>
    </row>
    <row r="168" spans="1:3">
      <c r="A168" s="196">
        <v>40.75</v>
      </c>
      <c r="B168" s="196">
        <v>7.19</v>
      </c>
      <c r="C168" s="196">
        <v>7.32</v>
      </c>
    </row>
    <row r="169" spans="1:3">
      <c r="A169" s="196">
        <v>41</v>
      </c>
      <c r="B169" s="196">
        <v>7.19</v>
      </c>
      <c r="C169" s="196">
        <v>7.32</v>
      </c>
    </row>
    <row r="170" spans="1:3">
      <c r="A170" s="196">
        <v>41.25</v>
      </c>
      <c r="B170" s="196">
        <v>7.19</v>
      </c>
      <c r="C170" s="196">
        <v>7.32</v>
      </c>
    </row>
    <row r="171" spans="1:3">
      <c r="A171" s="196">
        <v>41.5</v>
      </c>
      <c r="B171" s="196">
        <v>7.19</v>
      </c>
      <c r="C171" s="196">
        <v>7.32</v>
      </c>
    </row>
    <row r="172" spans="1:3">
      <c r="A172" s="196">
        <v>41.75</v>
      </c>
      <c r="B172" s="196">
        <v>7.19</v>
      </c>
      <c r="C172" s="196">
        <v>7.32</v>
      </c>
    </row>
    <row r="173" spans="1:3">
      <c r="A173" s="196">
        <v>42</v>
      </c>
      <c r="B173" s="196">
        <v>7.19</v>
      </c>
      <c r="C173" s="196">
        <v>7.32</v>
      </c>
    </row>
    <row r="174" spans="1:3">
      <c r="A174" s="196">
        <v>42.25</v>
      </c>
      <c r="B174" s="196">
        <v>7.19</v>
      </c>
      <c r="C174" s="196">
        <v>7.31</v>
      </c>
    </row>
    <row r="175" spans="1:3">
      <c r="A175" s="196">
        <v>42.5</v>
      </c>
      <c r="B175" s="196">
        <v>7.19</v>
      </c>
      <c r="C175" s="196">
        <v>7.32</v>
      </c>
    </row>
    <row r="176" spans="1:3">
      <c r="A176" s="196">
        <v>42.75</v>
      </c>
      <c r="B176" s="196">
        <v>7.18</v>
      </c>
      <c r="C176" s="196">
        <v>7.31</v>
      </c>
    </row>
    <row r="177" spans="1:3">
      <c r="A177" s="196">
        <v>43</v>
      </c>
      <c r="B177" s="196">
        <v>7.19</v>
      </c>
      <c r="C177" s="196">
        <v>7.31</v>
      </c>
    </row>
    <row r="178" spans="1:3">
      <c r="A178" s="196">
        <v>43.25</v>
      </c>
      <c r="B178" s="196">
        <v>7.18</v>
      </c>
      <c r="C178" s="196">
        <v>7.31</v>
      </c>
    </row>
    <row r="179" spans="1:3">
      <c r="A179" s="196">
        <v>43.5</v>
      </c>
      <c r="B179" s="196">
        <v>7.18</v>
      </c>
      <c r="C179" s="196">
        <v>7.31</v>
      </c>
    </row>
    <row r="180" spans="1:3">
      <c r="A180" s="196">
        <v>43.75</v>
      </c>
      <c r="B180" s="196">
        <v>7.18</v>
      </c>
      <c r="C180" s="196">
        <v>7.31</v>
      </c>
    </row>
    <row r="181" spans="1:3">
      <c r="A181" s="196">
        <v>44</v>
      </c>
      <c r="B181" s="196">
        <v>7.18</v>
      </c>
      <c r="C181" s="196">
        <v>7.31</v>
      </c>
    </row>
    <row r="182" spans="1:3">
      <c r="A182" s="196">
        <v>44.25</v>
      </c>
      <c r="B182" s="196">
        <v>7.18</v>
      </c>
      <c r="C182" s="196">
        <v>7.31</v>
      </c>
    </row>
    <row r="183" spans="1:3">
      <c r="A183" s="196">
        <v>44.5</v>
      </c>
      <c r="B183" s="196">
        <v>7.18</v>
      </c>
      <c r="C183" s="196">
        <v>7.31</v>
      </c>
    </row>
    <row r="184" spans="1:3">
      <c r="A184" s="196">
        <v>44.75</v>
      </c>
      <c r="B184" s="196">
        <v>7.18</v>
      </c>
      <c r="C184" s="196">
        <v>7.31</v>
      </c>
    </row>
    <row r="185" spans="1:3">
      <c r="A185" s="196">
        <v>45</v>
      </c>
      <c r="B185" s="196">
        <v>7.18</v>
      </c>
      <c r="C185" s="196">
        <v>7.31</v>
      </c>
    </row>
    <row r="186" spans="1:3">
      <c r="A186" s="196">
        <v>45.25</v>
      </c>
      <c r="B186" s="196">
        <v>7.18</v>
      </c>
      <c r="C186" s="196">
        <v>7.31</v>
      </c>
    </row>
    <row r="187" spans="1:3">
      <c r="A187" s="196">
        <v>45.5</v>
      </c>
      <c r="B187" s="196">
        <v>7.18</v>
      </c>
      <c r="C187" s="196">
        <v>7.31</v>
      </c>
    </row>
    <row r="188" spans="1:3">
      <c r="A188" s="196">
        <v>45.75</v>
      </c>
      <c r="B188" s="196">
        <v>7.18</v>
      </c>
      <c r="C188" s="196">
        <v>7.31</v>
      </c>
    </row>
    <row r="189" spans="1:3">
      <c r="A189" s="196">
        <v>46</v>
      </c>
      <c r="B189" s="196">
        <v>7.18</v>
      </c>
      <c r="C189" s="196">
        <v>7.31</v>
      </c>
    </row>
    <row r="190" spans="1:3">
      <c r="A190" s="196">
        <v>46.25</v>
      </c>
      <c r="B190" s="196">
        <v>7.18</v>
      </c>
      <c r="C190" s="196">
        <v>7.3</v>
      </c>
    </row>
    <row r="191" spans="1:3">
      <c r="A191" s="196">
        <v>46.5</v>
      </c>
      <c r="B191" s="196">
        <v>7.18</v>
      </c>
      <c r="C191" s="196">
        <v>7.31</v>
      </c>
    </row>
    <row r="192" spans="1:3">
      <c r="A192" s="196">
        <v>46.75</v>
      </c>
      <c r="B192" s="196">
        <v>7.17</v>
      </c>
      <c r="C192" s="196">
        <v>7.3</v>
      </c>
    </row>
    <row r="193" spans="1:3">
      <c r="A193" s="196">
        <v>47</v>
      </c>
      <c r="B193" s="196">
        <v>7.18</v>
      </c>
      <c r="C193" s="196">
        <v>7.3</v>
      </c>
    </row>
    <row r="194" spans="1:3">
      <c r="A194" s="196">
        <v>47.25</v>
      </c>
      <c r="B194" s="196">
        <v>7.17</v>
      </c>
      <c r="C194" s="196">
        <v>7.3</v>
      </c>
    </row>
    <row r="195" spans="1:3">
      <c r="A195" s="196">
        <v>47.5</v>
      </c>
      <c r="B195" s="196">
        <v>7.17</v>
      </c>
      <c r="C195" s="196">
        <v>7.3</v>
      </c>
    </row>
    <row r="196" spans="1:3">
      <c r="A196" s="196">
        <v>47.75</v>
      </c>
      <c r="B196" s="196">
        <v>7.17</v>
      </c>
      <c r="C196" s="196">
        <v>7.3</v>
      </c>
    </row>
    <row r="197" spans="1:3">
      <c r="A197" s="196">
        <v>48</v>
      </c>
      <c r="B197" s="196">
        <v>7.17</v>
      </c>
      <c r="C197" s="196">
        <v>7.3</v>
      </c>
    </row>
    <row r="198" spans="1:3">
      <c r="A198" s="196">
        <v>48.25</v>
      </c>
      <c r="B198" s="196">
        <v>7.17</v>
      </c>
      <c r="C198" s="196">
        <v>7.3</v>
      </c>
    </row>
    <row r="199" spans="1:3">
      <c r="A199" s="196">
        <v>48.5</v>
      </c>
      <c r="B199" s="196">
        <v>7.17</v>
      </c>
      <c r="C199" s="196">
        <v>7.3</v>
      </c>
    </row>
    <row r="200" spans="1:3">
      <c r="A200" s="196">
        <v>48.75</v>
      </c>
      <c r="B200" s="196">
        <v>7.17</v>
      </c>
      <c r="C200" s="196">
        <v>7.3</v>
      </c>
    </row>
    <row r="201" spans="1:3">
      <c r="A201" s="196">
        <v>49</v>
      </c>
      <c r="B201" s="196">
        <v>7.17</v>
      </c>
      <c r="C201" s="196">
        <v>7.3</v>
      </c>
    </row>
    <row r="202" spans="1:3">
      <c r="A202" s="196">
        <v>49.25</v>
      </c>
      <c r="B202" s="196">
        <v>7.17</v>
      </c>
      <c r="C202" s="196">
        <v>7.3</v>
      </c>
    </row>
    <row r="203" spans="1:3">
      <c r="A203" s="196">
        <v>49.5</v>
      </c>
      <c r="B203" s="196">
        <v>7.17</v>
      </c>
      <c r="C203" s="196">
        <v>7.3</v>
      </c>
    </row>
    <row r="204" spans="1:3">
      <c r="A204" s="196">
        <v>49.75</v>
      </c>
      <c r="B204" s="196">
        <v>7.17</v>
      </c>
      <c r="C204" s="196">
        <v>7.29</v>
      </c>
    </row>
    <row r="205" spans="1:3">
      <c r="A205" s="196">
        <v>50</v>
      </c>
      <c r="B205" s="196">
        <v>7.17</v>
      </c>
      <c r="C205" s="196">
        <v>7.29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6E1F4-300F-4AB2-8503-65809F5E1E43}">
  <dimension ref="A1:C205"/>
  <sheetViews>
    <sheetView showGridLines="0" zoomScale="80" zoomScaleNormal="80" workbookViewId="0"/>
  </sheetViews>
  <sheetFormatPr defaultColWidth="8.796875" defaultRowHeight="13.3"/>
  <cols>
    <col min="1" max="1" width="13" style="2" customWidth="1"/>
    <col min="2" max="2" width="20.796875" style="2" customWidth="1"/>
    <col min="3" max="3" width="19.19921875" style="2" customWidth="1"/>
    <col min="4" max="16384" width="8.796875" style="2"/>
  </cols>
  <sheetData>
    <row r="1" spans="1:3" ht="21.05" customHeight="1">
      <c r="A1" s="189" t="s">
        <v>108</v>
      </c>
      <c r="B1" s="9"/>
      <c r="C1" s="9"/>
    </row>
    <row r="2" spans="1:3" ht="21.05" customHeight="1">
      <c r="A2" s="190"/>
      <c r="B2" s="9"/>
      <c r="C2" s="9"/>
    </row>
    <row r="3" spans="1:3" ht="21.05" customHeight="1">
      <c r="A3" s="191" t="s">
        <v>167</v>
      </c>
      <c r="B3" s="192"/>
      <c r="C3" s="191" t="s">
        <v>186</v>
      </c>
    </row>
    <row r="4" spans="1:3" ht="21.05" customHeight="1">
      <c r="A4" s="189"/>
      <c r="B4" s="9"/>
      <c r="C4" s="9"/>
    </row>
    <row r="5" spans="1:3" ht="34.5" customHeight="1">
      <c r="A5" s="193" t="s">
        <v>169</v>
      </c>
      <c r="B5" s="194" t="s">
        <v>170</v>
      </c>
      <c r="C5" s="195" t="s">
        <v>171</v>
      </c>
    </row>
    <row r="6" spans="1:3">
      <c r="A6" s="196">
        <v>0.25</v>
      </c>
      <c r="B6" s="196">
        <v>6.4</v>
      </c>
      <c r="C6" s="196">
        <v>6.5</v>
      </c>
    </row>
    <row r="7" spans="1:3">
      <c r="A7" s="196">
        <v>0.5</v>
      </c>
      <c r="B7" s="196">
        <v>6.58</v>
      </c>
      <c r="C7" s="196">
        <v>6.69</v>
      </c>
    </row>
    <row r="8" spans="1:3">
      <c r="A8" s="196">
        <v>0.75</v>
      </c>
      <c r="B8" s="196">
        <v>6.55</v>
      </c>
      <c r="C8" s="196">
        <v>6.66</v>
      </c>
    </row>
    <row r="9" spans="1:3">
      <c r="A9" s="196">
        <v>1</v>
      </c>
      <c r="B9" s="196">
        <v>6.57</v>
      </c>
      <c r="C9" s="196">
        <v>6.68</v>
      </c>
    </row>
    <row r="10" spans="1:3">
      <c r="A10" s="196">
        <v>1.25</v>
      </c>
      <c r="B10" s="196">
        <v>6.63</v>
      </c>
      <c r="C10" s="196">
        <v>6.74</v>
      </c>
    </row>
    <row r="11" spans="1:3">
      <c r="A11" s="196">
        <v>1.5</v>
      </c>
      <c r="B11" s="196">
        <v>6.71</v>
      </c>
      <c r="C11" s="196">
        <v>6.82</v>
      </c>
    </row>
    <row r="12" spans="1:3">
      <c r="A12" s="196">
        <v>1.75</v>
      </c>
      <c r="B12" s="196">
        <v>6.71</v>
      </c>
      <c r="C12" s="196">
        <v>6.82</v>
      </c>
    </row>
    <row r="13" spans="1:3">
      <c r="A13" s="196">
        <v>2</v>
      </c>
      <c r="B13" s="196">
        <v>6.71</v>
      </c>
      <c r="C13" s="196">
        <v>6.82</v>
      </c>
    </row>
    <row r="14" spans="1:3">
      <c r="A14" s="196">
        <v>2.25</v>
      </c>
      <c r="B14" s="196">
        <v>6.7</v>
      </c>
      <c r="C14" s="196">
        <v>6.81</v>
      </c>
    </row>
    <row r="15" spans="1:3">
      <c r="A15" s="196">
        <v>2.5</v>
      </c>
      <c r="B15" s="196">
        <v>6.71</v>
      </c>
      <c r="C15" s="196">
        <v>6.83</v>
      </c>
    </row>
    <row r="16" spans="1:3">
      <c r="A16" s="196">
        <v>2.75</v>
      </c>
      <c r="B16" s="196">
        <v>6.72</v>
      </c>
      <c r="C16" s="196">
        <v>6.83</v>
      </c>
    </row>
    <row r="17" spans="1:3">
      <c r="A17" s="196">
        <v>3</v>
      </c>
      <c r="B17" s="196">
        <v>6.73</v>
      </c>
      <c r="C17" s="196">
        <v>6.84</v>
      </c>
    </row>
    <row r="18" spans="1:3">
      <c r="A18" s="196">
        <v>3.25</v>
      </c>
      <c r="B18" s="196">
        <v>6.73</v>
      </c>
      <c r="C18" s="196">
        <v>6.84</v>
      </c>
    </row>
    <row r="19" spans="1:3">
      <c r="A19" s="196">
        <v>3.5</v>
      </c>
      <c r="B19" s="196">
        <v>6.74</v>
      </c>
      <c r="C19" s="196">
        <v>6.85</v>
      </c>
    </row>
    <row r="20" spans="1:3">
      <c r="A20" s="196">
        <v>3.75</v>
      </c>
      <c r="B20" s="196">
        <v>6.74</v>
      </c>
      <c r="C20" s="196">
        <v>6.85</v>
      </c>
    </row>
    <row r="21" spans="1:3">
      <c r="A21" s="196">
        <v>4</v>
      </c>
      <c r="B21" s="196">
        <v>6.75</v>
      </c>
      <c r="C21" s="196">
        <v>6.86</v>
      </c>
    </row>
    <row r="22" spans="1:3">
      <c r="A22" s="196">
        <v>4.25</v>
      </c>
      <c r="B22" s="196">
        <v>6.75</v>
      </c>
      <c r="C22" s="196">
        <v>6.86</v>
      </c>
    </row>
    <row r="23" spans="1:3">
      <c r="A23" s="196">
        <v>4.5</v>
      </c>
      <c r="B23" s="196">
        <v>6.76</v>
      </c>
      <c r="C23" s="196">
        <v>6.87</v>
      </c>
    </row>
    <row r="24" spans="1:3">
      <c r="A24" s="196">
        <v>4.75</v>
      </c>
      <c r="B24" s="196">
        <v>6.76</v>
      </c>
      <c r="C24" s="196">
        <v>6.88</v>
      </c>
    </row>
    <row r="25" spans="1:3">
      <c r="A25" s="196">
        <v>5</v>
      </c>
      <c r="B25" s="196">
        <v>6.77</v>
      </c>
      <c r="C25" s="196">
        <v>6.89</v>
      </c>
    </row>
    <row r="26" spans="1:3">
      <c r="A26" s="196">
        <v>5.25</v>
      </c>
      <c r="B26" s="196">
        <v>6.78</v>
      </c>
      <c r="C26" s="196">
        <v>6.89</v>
      </c>
    </row>
    <row r="27" spans="1:3">
      <c r="A27" s="196">
        <v>5.5</v>
      </c>
      <c r="B27" s="196">
        <v>6.79</v>
      </c>
      <c r="C27" s="196">
        <v>6.9</v>
      </c>
    </row>
    <row r="28" spans="1:3">
      <c r="A28" s="196">
        <v>5.75</v>
      </c>
      <c r="B28" s="196">
        <v>6.79</v>
      </c>
      <c r="C28" s="196">
        <v>6.91</v>
      </c>
    </row>
    <row r="29" spans="1:3">
      <c r="A29" s="196">
        <v>6</v>
      </c>
      <c r="B29" s="196">
        <v>6.8</v>
      </c>
      <c r="C29" s="196">
        <v>6.91</v>
      </c>
    </row>
    <row r="30" spans="1:3">
      <c r="A30" s="196">
        <v>6.25</v>
      </c>
      <c r="B30" s="196">
        <v>6.79</v>
      </c>
      <c r="C30" s="196">
        <v>6.91</v>
      </c>
    </row>
    <row r="31" spans="1:3">
      <c r="A31" s="196">
        <v>6.5</v>
      </c>
      <c r="B31" s="196">
        <v>6.79</v>
      </c>
      <c r="C31" s="196">
        <v>6.91</v>
      </c>
    </row>
    <row r="32" spans="1:3">
      <c r="A32" s="196">
        <v>6.75</v>
      </c>
      <c r="B32" s="196">
        <v>6.8</v>
      </c>
      <c r="C32" s="196">
        <v>6.91</v>
      </c>
    </row>
    <row r="33" spans="1:3">
      <c r="A33" s="196">
        <v>7</v>
      </c>
      <c r="B33" s="196">
        <v>6.81</v>
      </c>
      <c r="C33" s="196">
        <v>6.92</v>
      </c>
    </row>
    <row r="34" spans="1:3">
      <c r="A34" s="196">
        <v>7.25</v>
      </c>
      <c r="B34" s="196">
        <v>6.82</v>
      </c>
      <c r="C34" s="196">
        <v>6.93</v>
      </c>
    </row>
    <row r="35" spans="1:3">
      <c r="A35" s="196">
        <v>7.5</v>
      </c>
      <c r="B35" s="196">
        <v>6.83</v>
      </c>
      <c r="C35" s="196">
        <v>6.94</v>
      </c>
    </row>
    <row r="36" spans="1:3">
      <c r="A36" s="196">
        <v>7.75</v>
      </c>
      <c r="B36" s="196">
        <v>6.83</v>
      </c>
      <c r="C36" s="196">
        <v>6.95</v>
      </c>
    </row>
    <row r="37" spans="1:3">
      <c r="A37" s="196">
        <v>8</v>
      </c>
      <c r="B37" s="196">
        <v>6.85</v>
      </c>
      <c r="C37" s="196">
        <v>6.97</v>
      </c>
    </row>
    <row r="38" spans="1:3">
      <c r="A38" s="196">
        <v>8.25</v>
      </c>
      <c r="B38" s="196">
        <v>6.85</v>
      </c>
      <c r="C38" s="196">
        <v>6.97</v>
      </c>
    </row>
    <row r="39" spans="1:3">
      <c r="A39" s="196">
        <v>8.5</v>
      </c>
      <c r="B39" s="196">
        <v>6.86</v>
      </c>
      <c r="C39" s="196">
        <v>6.97</v>
      </c>
    </row>
    <row r="40" spans="1:3">
      <c r="A40" s="196">
        <v>8.75</v>
      </c>
      <c r="B40" s="196">
        <v>6.85</v>
      </c>
      <c r="C40" s="196">
        <v>6.96</v>
      </c>
    </row>
    <row r="41" spans="1:3">
      <c r="A41" s="196">
        <v>9</v>
      </c>
      <c r="B41" s="196">
        <v>6.84</v>
      </c>
      <c r="C41" s="196">
        <v>6.96</v>
      </c>
    </row>
    <row r="42" spans="1:3">
      <c r="A42" s="196">
        <v>9.25</v>
      </c>
      <c r="B42" s="196">
        <v>6.83</v>
      </c>
      <c r="C42" s="196">
        <v>6.94</v>
      </c>
    </row>
    <row r="43" spans="1:3">
      <c r="A43" s="196">
        <v>9.5</v>
      </c>
      <c r="B43" s="196">
        <v>6.81</v>
      </c>
      <c r="C43" s="196">
        <v>6.93</v>
      </c>
    </row>
    <row r="44" spans="1:3">
      <c r="A44" s="196">
        <v>9.75</v>
      </c>
      <c r="B44" s="196">
        <v>6.79</v>
      </c>
      <c r="C44" s="196">
        <v>6.91</v>
      </c>
    </row>
    <row r="45" spans="1:3">
      <c r="A45" s="196">
        <v>10</v>
      </c>
      <c r="B45" s="196">
        <v>6.79</v>
      </c>
      <c r="C45" s="196">
        <v>6.91</v>
      </c>
    </row>
    <row r="46" spans="1:3">
      <c r="A46" s="196">
        <v>10.25</v>
      </c>
      <c r="B46" s="196">
        <v>6.81</v>
      </c>
      <c r="C46" s="196">
        <v>6.92</v>
      </c>
    </row>
    <row r="47" spans="1:3">
      <c r="A47" s="196">
        <v>10.5</v>
      </c>
      <c r="B47" s="196">
        <v>6.83</v>
      </c>
      <c r="C47" s="196">
        <v>6.95</v>
      </c>
    </row>
    <row r="48" spans="1:3">
      <c r="A48" s="196">
        <v>10.75</v>
      </c>
      <c r="B48" s="196">
        <v>6.86</v>
      </c>
      <c r="C48" s="196">
        <v>6.97</v>
      </c>
    </row>
    <row r="49" spans="1:3">
      <c r="A49" s="196">
        <v>11</v>
      </c>
      <c r="B49" s="196">
        <v>6.87</v>
      </c>
      <c r="C49" s="196">
        <v>6.99</v>
      </c>
    </row>
    <row r="50" spans="1:3">
      <c r="A50" s="196">
        <v>11.25</v>
      </c>
      <c r="B50" s="196">
        <v>6.88</v>
      </c>
      <c r="C50" s="196">
        <v>7</v>
      </c>
    </row>
    <row r="51" spans="1:3">
      <c r="A51" s="196">
        <v>11.5</v>
      </c>
      <c r="B51" s="196">
        <v>6.88</v>
      </c>
      <c r="C51" s="196">
        <v>7</v>
      </c>
    </row>
    <row r="52" spans="1:3">
      <c r="A52" s="196">
        <v>11.75</v>
      </c>
      <c r="B52" s="196">
        <v>6.89</v>
      </c>
      <c r="C52" s="196">
        <v>7</v>
      </c>
    </row>
    <row r="53" spans="1:3">
      <c r="A53" s="196">
        <v>12</v>
      </c>
      <c r="B53" s="196">
        <v>6.89</v>
      </c>
      <c r="C53" s="196">
        <v>7.01</v>
      </c>
    </row>
    <row r="54" spans="1:3">
      <c r="A54" s="196">
        <v>12.25</v>
      </c>
      <c r="B54" s="196">
        <v>6.88</v>
      </c>
      <c r="C54" s="196">
        <v>7</v>
      </c>
    </row>
    <row r="55" spans="1:3">
      <c r="A55" s="196">
        <v>12.5</v>
      </c>
      <c r="B55" s="196">
        <v>6.88</v>
      </c>
      <c r="C55" s="196">
        <v>7</v>
      </c>
    </row>
    <row r="56" spans="1:3">
      <c r="A56" s="196">
        <v>12.75</v>
      </c>
      <c r="B56" s="196">
        <v>6.87</v>
      </c>
      <c r="C56" s="196">
        <v>6.98</v>
      </c>
    </row>
    <row r="57" spans="1:3">
      <c r="A57" s="196">
        <v>13</v>
      </c>
      <c r="B57" s="196">
        <v>6.86</v>
      </c>
      <c r="C57" s="196">
        <v>6.98</v>
      </c>
    </row>
    <row r="58" spans="1:3">
      <c r="A58" s="196">
        <v>13.25</v>
      </c>
      <c r="B58" s="196">
        <v>6.86</v>
      </c>
      <c r="C58" s="196">
        <v>6.97</v>
      </c>
    </row>
    <row r="59" spans="1:3">
      <c r="A59" s="196">
        <v>13.5</v>
      </c>
      <c r="B59" s="196">
        <v>6.86</v>
      </c>
      <c r="C59" s="196">
        <v>6.98</v>
      </c>
    </row>
    <row r="60" spans="1:3">
      <c r="A60" s="196">
        <v>13.75</v>
      </c>
      <c r="B60" s="196">
        <v>6.86</v>
      </c>
      <c r="C60" s="196">
        <v>6.97</v>
      </c>
    </row>
    <row r="61" spans="1:3">
      <c r="A61" s="196">
        <v>14</v>
      </c>
      <c r="B61" s="196">
        <v>6.86</v>
      </c>
      <c r="C61" s="196">
        <v>6.98</v>
      </c>
    </row>
    <row r="62" spans="1:3">
      <c r="A62" s="196">
        <v>14.25</v>
      </c>
      <c r="B62" s="196">
        <v>6.86</v>
      </c>
      <c r="C62" s="196">
        <v>6.98</v>
      </c>
    </row>
    <row r="63" spans="1:3">
      <c r="A63" s="196">
        <v>14.5</v>
      </c>
      <c r="B63" s="196">
        <v>6.87</v>
      </c>
      <c r="C63" s="196">
        <v>6.99</v>
      </c>
    </row>
    <row r="64" spans="1:3">
      <c r="A64" s="196">
        <v>14.75</v>
      </c>
      <c r="B64" s="196">
        <v>6.87</v>
      </c>
      <c r="C64" s="196">
        <v>6.99</v>
      </c>
    </row>
    <row r="65" spans="1:3">
      <c r="A65" s="196">
        <v>15</v>
      </c>
      <c r="B65" s="196">
        <v>6.87</v>
      </c>
      <c r="C65" s="196">
        <v>6.99</v>
      </c>
    </row>
    <row r="66" spans="1:3">
      <c r="A66" s="196">
        <v>15.25</v>
      </c>
      <c r="B66" s="196">
        <v>6.88</v>
      </c>
      <c r="C66" s="196">
        <v>6.99</v>
      </c>
    </row>
    <row r="67" spans="1:3">
      <c r="A67" s="196">
        <v>15.5</v>
      </c>
      <c r="B67" s="196">
        <v>6.88</v>
      </c>
      <c r="C67" s="196">
        <v>7</v>
      </c>
    </row>
    <row r="68" spans="1:3">
      <c r="A68" s="196">
        <v>15.75</v>
      </c>
      <c r="B68" s="196">
        <v>6.88</v>
      </c>
      <c r="C68" s="196">
        <v>7</v>
      </c>
    </row>
    <row r="69" spans="1:3">
      <c r="A69" s="196">
        <v>16</v>
      </c>
      <c r="B69" s="196">
        <v>6.89</v>
      </c>
      <c r="C69" s="196">
        <v>7.01</v>
      </c>
    </row>
    <row r="70" spans="1:3">
      <c r="A70" s="196">
        <v>16.25</v>
      </c>
      <c r="B70" s="196">
        <v>6.89</v>
      </c>
      <c r="C70" s="196">
        <v>7.01</v>
      </c>
    </row>
    <row r="71" spans="1:3">
      <c r="A71" s="196">
        <v>16.5</v>
      </c>
      <c r="B71" s="196">
        <v>6.89</v>
      </c>
      <c r="C71" s="196">
        <v>7.01</v>
      </c>
    </row>
    <row r="72" spans="1:3">
      <c r="A72" s="196">
        <v>16.75</v>
      </c>
      <c r="B72" s="196">
        <v>6.89</v>
      </c>
      <c r="C72" s="196">
        <v>7.01</v>
      </c>
    </row>
    <row r="73" spans="1:3">
      <c r="A73" s="196">
        <v>17</v>
      </c>
      <c r="B73" s="196">
        <v>6.9</v>
      </c>
      <c r="C73" s="196">
        <v>7.02</v>
      </c>
    </row>
    <row r="74" spans="1:3">
      <c r="A74" s="196">
        <v>17.25</v>
      </c>
      <c r="B74" s="196">
        <v>6.9</v>
      </c>
      <c r="C74" s="196">
        <v>7.02</v>
      </c>
    </row>
    <row r="75" spans="1:3">
      <c r="A75" s="196">
        <v>17.5</v>
      </c>
      <c r="B75" s="196">
        <v>6.9</v>
      </c>
      <c r="C75" s="196">
        <v>7.02</v>
      </c>
    </row>
    <row r="76" spans="1:3">
      <c r="A76" s="196">
        <v>17.75</v>
      </c>
      <c r="B76" s="196">
        <v>6.9</v>
      </c>
      <c r="C76" s="196">
        <v>7.02</v>
      </c>
    </row>
    <row r="77" spans="1:3">
      <c r="A77" s="196">
        <v>18</v>
      </c>
      <c r="B77" s="196">
        <v>6.9</v>
      </c>
      <c r="C77" s="196">
        <v>7.02</v>
      </c>
    </row>
    <row r="78" spans="1:3">
      <c r="A78" s="196">
        <v>18.25</v>
      </c>
      <c r="B78" s="196">
        <v>6.9</v>
      </c>
      <c r="C78" s="196">
        <v>7.02</v>
      </c>
    </row>
    <row r="79" spans="1:3">
      <c r="A79" s="196">
        <v>18.5</v>
      </c>
      <c r="B79" s="196">
        <v>6.9</v>
      </c>
      <c r="C79" s="196">
        <v>7.02</v>
      </c>
    </row>
    <row r="80" spans="1:3">
      <c r="A80" s="196">
        <v>18.75</v>
      </c>
      <c r="B80" s="196">
        <v>6.9</v>
      </c>
      <c r="C80" s="196">
        <v>7.02</v>
      </c>
    </row>
    <row r="81" spans="1:3">
      <c r="A81" s="196">
        <v>19</v>
      </c>
      <c r="B81" s="196">
        <v>6.9</v>
      </c>
      <c r="C81" s="196">
        <v>7.02</v>
      </c>
    </row>
    <row r="82" spans="1:3">
      <c r="A82" s="196">
        <v>19.25</v>
      </c>
      <c r="B82" s="196">
        <v>6.9</v>
      </c>
      <c r="C82" s="196">
        <v>7.02</v>
      </c>
    </row>
    <row r="83" spans="1:3">
      <c r="A83" s="196">
        <v>19.5</v>
      </c>
      <c r="B83" s="196">
        <v>6.9</v>
      </c>
      <c r="C83" s="196">
        <v>7.02</v>
      </c>
    </row>
    <row r="84" spans="1:3">
      <c r="A84" s="196">
        <v>19.75</v>
      </c>
      <c r="B84" s="196">
        <v>6.9</v>
      </c>
      <c r="C84" s="196">
        <v>7.02</v>
      </c>
    </row>
    <row r="85" spans="1:3">
      <c r="A85" s="196">
        <v>20</v>
      </c>
      <c r="B85" s="196">
        <v>6.9</v>
      </c>
      <c r="C85" s="196">
        <v>7.02</v>
      </c>
    </row>
    <row r="86" spans="1:3">
      <c r="A86" s="196">
        <v>20.25</v>
      </c>
      <c r="B86" s="196">
        <v>6.9</v>
      </c>
      <c r="C86" s="196">
        <v>7.02</v>
      </c>
    </row>
    <row r="87" spans="1:3">
      <c r="A87" s="196">
        <v>20.5</v>
      </c>
      <c r="B87" s="196">
        <v>6.9</v>
      </c>
      <c r="C87" s="196">
        <v>7.02</v>
      </c>
    </row>
    <row r="88" spans="1:3">
      <c r="A88" s="196">
        <v>20.75</v>
      </c>
      <c r="B88" s="196">
        <v>6.9</v>
      </c>
      <c r="C88" s="196">
        <v>7.02</v>
      </c>
    </row>
    <row r="89" spans="1:3">
      <c r="A89" s="196">
        <v>21</v>
      </c>
      <c r="B89" s="196">
        <v>6.9</v>
      </c>
      <c r="C89" s="196">
        <v>7.02</v>
      </c>
    </row>
    <row r="90" spans="1:3">
      <c r="A90" s="196">
        <v>21.25</v>
      </c>
      <c r="B90" s="196">
        <v>6.9</v>
      </c>
      <c r="C90" s="196">
        <v>7.02</v>
      </c>
    </row>
    <row r="91" spans="1:3">
      <c r="A91" s="196">
        <v>21.5</v>
      </c>
      <c r="B91" s="196">
        <v>6.9</v>
      </c>
      <c r="C91" s="196">
        <v>7.02</v>
      </c>
    </row>
    <row r="92" spans="1:3">
      <c r="A92" s="196">
        <v>21.75</v>
      </c>
      <c r="B92" s="196">
        <v>6.9</v>
      </c>
      <c r="C92" s="196">
        <v>7.02</v>
      </c>
    </row>
    <row r="93" spans="1:3">
      <c r="A93" s="196">
        <v>22</v>
      </c>
      <c r="B93" s="196">
        <v>6.9</v>
      </c>
      <c r="C93" s="196">
        <v>7.02</v>
      </c>
    </row>
    <row r="94" spans="1:3">
      <c r="A94" s="196">
        <v>22.25</v>
      </c>
      <c r="B94" s="196">
        <v>6.9</v>
      </c>
      <c r="C94" s="196">
        <v>7.02</v>
      </c>
    </row>
    <row r="95" spans="1:3">
      <c r="A95" s="196">
        <v>22.5</v>
      </c>
      <c r="B95" s="196">
        <v>6.91</v>
      </c>
      <c r="C95" s="196">
        <v>7.03</v>
      </c>
    </row>
    <row r="96" spans="1:3">
      <c r="A96" s="196">
        <v>22.75</v>
      </c>
      <c r="B96" s="196">
        <v>6.91</v>
      </c>
      <c r="C96" s="196">
        <v>7.03</v>
      </c>
    </row>
    <row r="97" spans="1:3">
      <c r="A97" s="196">
        <v>23</v>
      </c>
      <c r="B97" s="196">
        <v>6.91</v>
      </c>
      <c r="C97" s="196">
        <v>7.03</v>
      </c>
    </row>
    <row r="98" spans="1:3">
      <c r="A98" s="196">
        <v>23.25</v>
      </c>
      <c r="B98" s="196">
        <v>6.91</v>
      </c>
      <c r="C98" s="196">
        <v>7.03</v>
      </c>
    </row>
    <row r="99" spans="1:3">
      <c r="A99" s="196">
        <v>23.5</v>
      </c>
      <c r="B99" s="196">
        <v>6.92</v>
      </c>
      <c r="C99" s="196">
        <v>7.04</v>
      </c>
    </row>
    <row r="100" spans="1:3">
      <c r="A100" s="196">
        <v>23.75</v>
      </c>
      <c r="B100" s="196">
        <v>6.92</v>
      </c>
      <c r="C100" s="196">
        <v>7.04</v>
      </c>
    </row>
    <row r="101" spans="1:3">
      <c r="A101" s="196">
        <v>24</v>
      </c>
      <c r="B101" s="196">
        <v>6.92</v>
      </c>
      <c r="C101" s="196">
        <v>7.04</v>
      </c>
    </row>
    <row r="102" spans="1:3">
      <c r="A102" s="196">
        <v>24.25</v>
      </c>
      <c r="B102" s="196">
        <v>6.93</v>
      </c>
      <c r="C102" s="196">
        <v>7.05</v>
      </c>
    </row>
    <row r="103" spans="1:3">
      <c r="A103" s="196">
        <v>24.5</v>
      </c>
      <c r="B103" s="196">
        <v>6.93</v>
      </c>
      <c r="C103" s="196">
        <v>7.05</v>
      </c>
    </row>
    <row r="104" spans="1:3">
      <c r="A104" s="196">
        <v>24.75</v>
      </c>
      <c r="B104" s="196">
        <v>6.94</v>
      </c>
      <c r="C104" s="196">
        <v>7.06</v>
      </c>
    </row>
    <row r="105" spans="1:3">
      <c r="A105" s="196">
        <v>25</v>
      </c>
      <c r="B105" s="196">
        <v>6.94</v>
      </c>
      <c r="C105" s="196">
        <v>7.06</v>
      </c>
    </row>
    <row r="106" spans="1:3">
      <c r="A106" s="196">
        <v>25.25</v>
      </c>
      <c r="B106" s="196">
        <v>6.95</v>
      </c>
      <c r="C106" s="196">
        <v>7.07</v>
      </c>
    </row>
    <row r="107" spans="1:3">
      <c r="A107" s="196">
        <v>25.5</v>
      </c>
      <c r="B107" s="196">
        <v>6.95</v>
      </c>
      <c r="C107" s="196">
        <v>7.07</v>
      </c>
    </row>
    <row r="108" spans="1:3">
      <c r="A108" s="196">
        <v>25.75</v>
      </c>
      <c r="B108" s="196">
        <v>6.96</v>
      </c>
      <c r="C108" s="196">
        <v>7.08</v>
      </c>
    </row>
    <row r="109" spans="1:3">
      <c r="A109" s="196">
        <v>26</v>
      </c>
      <c r="B109" s="196">
        <v>6.96</v>
      </c>
      <c r="C109" s="196">
        <v>7.08</v>
      </c>
    </row>
    <row r="110" spans="1:3">
      <c r="A110" s="196">
        <v>26.25</v>
      </c>
      <c r="B110" s="196">
        <v>6.97</v>
      </c>
      <c r="C110" s="196">
        <v>7.09</v>
      </c>
    </row>
    <row r="111" spans="1:3">
      <c r="A111" s="196">
        <v>26.5</v>
      </c>
      <c r="B111" s="196">
        <v>6.97</v>
      </c>
      <c r="C111" s="196">
        <v>7.09</v>
      </c>
    </row>
    <row r="112" spans="1:3">
      <c r="A112" s="196">
        <v>26.75</v>
      </c>
      <c r="B112" s="196">
        <v>6.98</v>
      </c>
      <c r="C112" s="196">
        <v>7.1</v>
      </c>
    </row>
    <row r="113" spans="1:3">
      <c r="A113" s="196">
        <v>27</v>
      </c>
      <c r="B113" s="196">
        <v>6.98</v>
      </c>
      <c r="C113" s="196">
        <v>7.1</v>
      </c>
    </row>
    <row r="114" spans="1:3">
      <c r="A114" s="196">
        <v>27.25</v>
      </c>
      <c r="B114" s="196">
        <v>6.98</v>
      </c>
      <c r="C114" s="196">
        <v>7.1</v>
      </c>
    </row>
    <row r="115" spans="1:3">
      <c r="A115" s="196">
        <v>27.5</v>
      </c>
      <c r="B115" s="196">
        <v>6.99</v>
      </c>
      <c r="C115" s="196">
        <v>7.11</v>
      </c>
    </row>
    <row r="116" spans="1:3">
      <c r="A116" s="196">
        <v>27.75</v>
      </c>
      <c r="B116" s="196">
        <v>6.99</v>
      </c>
      <c r="C116" s="196">
        <v>7.11</v>
      </c>
    </row>
    <row r="117" spans="1:3">
      <c r="A117" s="196">
        <v>28</v>
      </c>
      <c r="B117" s="196">
        <v>6.99</v>
      </c>
      <c r="C117" s="196">
        <v>7.11</v>
      </c>
    </row>
    <row r="118" spans="1:3">
      <c r="A118" s="196">
        <v>28.25</v>
      </c>
      <c r="B118" s="196">
        <v>6.99</v>
      </c>
      <c r="C118" s="196">
        <v>7.11</v>
      </c>
    </row>
    <row r="119" spans="1:3">
      <c r="A119" s="196">
        <v>28.5</v>
      </c>
      <c r="B119" s="196">
        <v>6.99</v>
      </c>
      <c r="C119" s="196">
        <v>7.11</v>
      </c>
    </row>
    <row r="120" spans="1:3">
      <c r="A120" s="196">
        <v>28.75</v>
      </c>
      <c r="B120" s="196">
        <v>6.98</v>
      </c>
      <c r="C120" s="196">
        <v>7.1</v>
      </c>
    </row>
    <row r="121" spans="1:3">
      <c r="A121" s="196">
        <v>29</v>
      </c>
      <c r="B121" s="196">
        <v>6.98</v>
      </c>
      <c r="C121" s="196">
        <v>7.1</v>
      </c>
    </row>
    <row r="122" spans="1:3">
      <c r="A122" s="196">
        <v>29.25</v>
      </c>
      <c r="B122" s="196">
        <v>6.97</v>
      </c>
      <c r="C122" s="196">
        <v>7.09</v>
      </c>
    </row>
    <row r="123" spans="1:3">
      <c r="A123" s="196">
        <v>29.5</v>
      </c>
      <c r="B123" s="196">
        <v>6.97</v>
      </c>
      <c r="C123" s="196">
        <v>7.09</v>
      </c>
    </row>
    <row r="124" spans="1:3">
      <c r="A124" s="196">
        <v>29.75</v>
      </c>
      <c r="B124" s="196">
        <v>6.96</v>
      </c>
      <c r="C124" s="196">
        <v>7.08</v>
      </c>
    </row>
    <row r="125" spans="1:3">
      <c r="A125" s="196">
        <v>30</v>
      </c>
      <c r="B125" s="196">
        <v>6.95</v>
      </c>
      <c r="C125" s="196">
        <v>7.07</v>
      </c>
    </row>
    <row r="126" spans="1:3">
      <c r="A126" s="196">
        <v>30.25</v>
      </c>
      <c r="B126" s="196">
        <v>6.93</v>
      </c>
      <c r="C126" s="196">
        <v>7.05</v>
      </c>
    </row>
    <row r="127" spans="1:3">
      <c r="A127" s="196">
        <v>30.5</v>
      </c>
      <c r="B127" s="196">
        <v>6.92</v>
      </c>
      <c r="C127" s="196">
        <v>7.04</v>
      </c>
    </row>
    <row r="128" spans="1:3">
      <c r="A128" s="196">
        <v>30.75</v>
      </c>
      <c r="B128" s="196">
        <v>6.91</v>
      </c>
      <c r="C128" s="196">
        <v>7.03</v>
      </c>
    </row>
    <row r="129" spans="1:3">
      <c r="A129" s="196">
        <v>31</v>
      </c>
      <c r="B129" s="196">
        <v>6.9</v>
      </c>
      <c r="C129" s="196">
        <v>7.02</v>
      </c>
    </row>
    <row r="130" spans="1:3">
      <c r="A130" s="196">
        <v>31.25</v>
      </c>
      <c r="B130" s="196">
        <v>6.89</v>
      </c>
      <c r="C130" s="196">
        <v>7.01</v>
      </c>
    </row>
    <row r="131" spans="1:3">
      <c r="A131" s="196">
        <v>31.5</v>
      </c>
      <c r="B131" s="196">
        <v>6.89</v>
      </c>
      <c r="C131" s="196">
        <v>7.01</v>
      </c>
    </row>
    <row r="132" spans="1:3">
      <c r="A132" s="196">
        <v>31.75</v>
      </c>
      <c r="B132" s="196">
        <v>6.89</v>
      </c>
      <c r="C132" s="196">
        <v>7</v>
      </c>
    </row>
    <row r="133" spans="1:3">
      <c r="A133" s="196">
        <v>32</v>
      </c>
      <c r="B133" s="196">
        <v>6.89</v>
      </c>
      <c r="C133" s="196">
        <v>7</v>
      </c>
    </row>
    <row r="134" spans="1:3">
      <c r="A134" s="196">
        <v>32.25</v>
      </c>
      <c r="B134" s="196">
        <v>6.88</v>
      </c>
      <c r="C134" s="196">
        <v>7</v>
      </c>
    </row>
    <row r="135" spans="1:3">
      <c r="A135" s="196">
        <v>32.5</v>
      </c>
      <c r="B135" s="196">
        <v>6.89</v>
      </c>
      <c r="C135" s="196">
        <v>7.01</v>
      </c>
    </row>
    <row r="136" spans="1:3">
      <c r="A136" s="196">
        <v>32.75</v>
      </c>
      <c r="B136" s="196">
        <v>6.89</v>
      </c>
      <c r="C136" s="196">
        <v>7.01</v>
      </c>
    </row>
    <row r="137" spans="1:3">
      <c r="A137" s="196">
        <v>33</v>
      </c>
      <c r="B137" s="196">
        <v>6.89</v>
      </c>
      <c r="C137" s="196">
        <v>7.01</v>
      </c>
    </row>
    <row r="138" spans="1:3">
      <c r="A138" s="196">
        <v>33.25</v>
      </c>
      <c r="B138" s="196">
        <v>6.9</v>
      </c>
      <c r="C138" s="196">
        <v>7.02</v>
      </c>
    </row>
    <row r="139" spans="1:3">
      <c r="A139" s="196">
        <v>33.5</v>
      </c>
      <c r="B139" s="196">
        <v>6.9</v>
      </c>
      <c r="C139" s="196">
        <v>7.02</v>
      </c>
    </row>
    <row r="140" spans="1:3">
      <c r="A140" s="196">
        <v>33.75</v>
      </c>
      <c r="B140" s="196">
        <v>6.91</v>
      </c>
      <c r="C140" s="196">
        <v>7.03</v>
      </c>
    </row>
    <row r="141" spans="1:3">
      <c r="A141" s="196">
        <v>34</v>
      </c>
      <c r="B141" s="196">
        <v>6.92</v>
      </c>
      <c r="C141" s="196">
        <v>7.04</v>
      </c>
    </row>
    <row r="142" spans="1:3">
      <c r="A142" s="196">
        <v>34.25</v>
      </c>
      <c r="B142" s="196">
        <v>6.92</v>
      </c>
      <c r="C142" s="196">
        <v>7.04</v>
      </c>
    </row>
    <row r="143" spans="1:3">
      <c r="A143" s="196">
        <v>34.5</v>
      </c>
      <c r="B143" s="196">
        <v>6.93</v>
      </c>
      <c r="C143" s="196">
        <v>7.05</v>
      </c>
    </row>
    <row r="144" spans="1:3">
      <c r="A144" s="196">
        <v>34.75</v>
      </c>
      <c r="B144" s="196">
        <v>6.94</v>
      </c>
      <c r="C144" s="196">
        <v>7.06</v>
      </c>
    </row>
    <row r="145" spans="1:3">
      <c r="A145" s="196">
        <v>35</v>
      </c>
      <c r="B145" s="196">
        <v>6.95</v>
      </c>
      <c r="C145" s="196">
        <v>7.07</v>
      </c>
    </row>
    <row r="146" spans="1:3">
      <c r="A146" s="196">
        <v>35.25</v>
      </c>
      <c r="B146" s="196">
        <v>6.95</v>
      </c>
      <c r="C146" s="196">
        <v>7.07</v>
      </c>
    </row>
    <row r="147" spans="1:3">
      <c r="A147" s="196">
        <v>35.5</v>
      </c>
      <c r="B147" s="196">
        <v>6.96</v>
      </c>
      <c r="C147" s="196">
        <v>7.08</v>
      </c>
    </row>
    <row r="148" spans="1:3">
      <c r="A148" s="196">
        <v>35.75</v>
      </c>
      <c r="B148" s="196">
        <v>6.97</v>
      </c>
      <c r="C148" s="196">
        <v>7.09</v>
      </c>
    </row>
    <row r="149" spans="1:3">
      <c r="A149" s="196">
        <v>36</v>
      </c>
      <c r="B149" s="196">
        <v>6.97</v>
      </c>
      <c r="C149" s="196">
        <v>7.1</v>
      </c>
    </row>
    <row r="150" spans="1:3">
      <c r="A150" s="196">
        <v>36.25</v>
      </c>
      <c r="B150" s="196">
        <v>6.98</v>
      </c>
      <c r="C150" s="196">
        <v>7.1</v>
      </c>
    </row>
    <row r="151" spans="1:3">
      <c r="A151" s="196">
        <v>36.5</v>
      </c>
      <c r="B151" s="196">
        <v>6.98</v>
      </c>
      <c r="C151" s="196">
        <v>7.11</v>
      </c>
    </row>
    <row r="152" spans="1:3">
      <c r="A152" s="196">
        <v>36.75</v>
      </c>
      <c r="B152" s="196">
        <v>6.99</v>
      </c>
      <c r="C152" s="196">
        <v>7.11</v>
      </c>
    </row>
    <row r="153" spans="1:3">
      <c r="A153" s="196">
        <v>37</v>
      </c>
      <c r="B153" s="196">
        <v>6.99</v>
      </c>
      <c r="C153" s="196">
        <v>7.12</v>
      </c>
    </row>
    <row r="154" spans="1:3">
      <c r="A154" s="196">
        <v>37.25</v>
      </c>
      <c r="B154" s="196">
        <v>7</v>
      </c>
      <c r="C154" s="196">
        <v>7.12</v>
      </c>
    </row>
    <row r="155" spans="1:3">
      <c r="A155" s="196">
        <v>37.5</v>
      </c>
      <c r="B155" s="196">
        <v>7</v>
      </c>
      <c r="C155" s="196">
        <v>7.12</v>
      </c>
    </row>
    <row r="156" spans="1:3">
      <c r="A156" s="196">
        <v>37.75</v>
      </c>
      <c r="B156" s="196">
        <v>7</v>
      </c>
      <c r="C156" s="196">
        <v>7.12</v>
      </c>
    </row>
    <row r="157" spans="1:3">
      <c r="A157" s="196">
        <v>38</v>
      </c>
      <c r="B157" s="196">
        <v>7</v>
      </c>
      <c r="C157" s="196">
        <v>7.13</v>
      </c>
    </row>
    <row r="158" spans="1:3">
      <c r="A158" s="196">
        <v>38.25</v>
      </c>
      <c r="B158" s="196">
        <v>7.01</v>
      </c>
      <c r="C158" s="196">
        <v>7.13</v>
      </c>
    </row>
    <row r="159" spans="1:3">
      <c r="A159" s="196">
        <v>38.5</v>
      </c>
      <c r="B159" s="196">
        <v>7.01</v>
      </c>
      <c r="C159" s="196">
        <v>7.13</v>
      </c>
    </row>
    <row r="160" spans="1:3">
      <c r="A160" s="196">
        <v>38.75</v>
      </c>
      <c r="B160" s="196">
        <v>7.01</v>
      </c>
      <c r="C160" s="196">
        <v>7.13</v>
      </c>
    </row>
    <row r="161" spans="1:3">
      <c r="A161" s="196">
        <v>39</v>
      </c>
      <c r="B161" s="196">
        <v>7.01</v>
      </c>
      <c r="C161" s="196">
        <v>7.13</v>
      </c>
    </row>
    <row r="162" spans="1:3">
      <c r="A162" s="196">
        <v>39.25</v>
      </c>
      <c r="B162" s="196">
        <v>7.01</v>
      </c>
      <c r="C162" s="196">
        <v>7.13</v>
      </c>
    </row>
    <row r="163" spans="1:3">
      <c r="A163" s="196">
        <v>39.5</v>
      </c>
      <c r="B163" s="196">
        <v>7.01</v>
      </c>
      <c r="C163" s="196">
        <v>7.14</v>
      </c>
    </row>
    <row r="164" spans="1:3">
      <c r="A164" s="196">
        <v>39.75</v>
      </c>
      <c r="B164" s="196">
        <v>7.01</v>
      </c>
      <c r="C164" s="196">
        <v>7.14</v>
      </c>
    </row>
    <row r="165" spans="1:3">
      <c r="A165" s="196">
        <v>40</v>
      </c>
      <c r="B165" s="196">
        <v>7.02</v>
      </c>
      <c r="C165" s="196">
        <v>7.14</v>
      </c>
    </row>
    <row r="166" spans="1:3">
      <c r="A166" s="196">
        <v>40.25</v>
      </c>
      <c r="B166" s="196">
        <v>7.02</v>
      </c>
      <c r="C166" s="196">
        <v>7.14</v>
      </c>
    </row>
    <row r="167" spans="1:3">
      <c r="A167" s="196">
        <v>40.5</v>
      </c>
      <c r="B167" s="196">
        <v>7.02</v>
      </c>
      <c r="C167" s="196">
        <v>7.14</v>
      </c>
    </row>
    <row r="168" spans="1:3">
      <c r="A168" s="196">
        <v>40.75</v>
      </c>
      <c r="B168" s="196">
        <v>7.02</v>
      </c>
      <c r="C168" s="196">
        <v>7.14</v>
      </c>
    </row>
    <row r="169" spans="1:3">
      <c r="A169" s="196">
        <v>41</v>
      </c>
      <c r="B169" s="196">
        <v>7.02</v>
      </c>
      <c r="C169" s="196">
        <v>7.14</v>
      </c>
    </row>
    <row r="170" spans="1:3">
      <c r="A170" s="196">
        <v>41.25</v>
      </c>
      <c r="B170" s="196">
        <v>7.02</v>
      </c>
      <c r="C170" s="196">
        <v>7.14</v>
      </c>
    </row>
    <row r="171" spans="1:3">
      <c r="A171" s="196">
        <v>41.5</v>
      </c>
      <c r="B171" s="196">
        <v>7.02</v>
      </c>
      <c r="C171" s="196">
        <v>7.14</v>
      </c>
    </row>
    <row r="172" spans="1:3">
      <c r="A172" s="196">
        <v>41.75</v>
      </c>
      <c r="B172" s="196">
        <v>7.02</v>
      </c>
      <c r="C172" s="196">
        <v>7.14</v>
      </c>
    </row>
    <row r="173" spans="1:3">
      <c r="A173" s="196">
        <v>42</v>
      </c>
      <c r="B173" s="196">
        <v>7.02</v>
      </c>
      <c r="C173" s="196">
        <v>7.14</v>
      </c>
    </row>
    <row r="174" spans="1:3">
      <c r="A174" s="196">
        <v>42.25</v>
      </c>
      <c r="B174" s="196">
        <v>7.02</v>
      </c>
      <c r="C174" s="196">
        <v>7.14</v>
      </c>
    </row>
    <row r="175" spans="1:3">
      <c r="A175" s="196">
        <v>42.5</v>
      </c>
      <c r="B175" s="196">
        <v>7.02</v>
      </c>
      <c r="C175" s="196">
        <v>7.14</v>
      </c>
    </row>
    <row r="176" spans="1:3">
      <c r="A176" s="196">
        <v>42.75</v>
      </c>
      <c r="B176" s="196">
        <v>7.02</v>
      </c>
      <c r="C176" s="196">
        <v>7.14</v>
      </c>
    </row>
    <row r="177" spans="1:3">
      <c r="A177" s="196">
        <v>43</v>
      </c>
      <c r="B177" s="196">
        <v>7.02</v>
      </c>
      <c r="C177" s="196">
        <v>7.14</v>
      </c>
    </row>
    <row r="178" spans="1:3">
      <c r="A178" s="196">
        <v>43.25</v>
      </c>
      <c r="B178" s="196">
        <v>7.02</v>
      </c>
      <c r="C178" s="196">
        <v>7.14</v>
      </c>
    </row>
    <row r="179" spans="1:3">
      <c r="A179" s="196">
        <v>43.5</v>
      </c>
      <c r="B179" s="196">
        <v>7.02</v>
      </c>
      <c r="C179" s="196">
        <v>7.14</v>
      </c>
    </row>
    <row r="180" spans="1:3">
      <c r="A180" s="196">
        <v>43.75</v>
      </c>
      <c r="B180" s="196">
        <v>7.02</v>
      </c>
      <c r="C180" s="196">
        <v>7.14</v>
      </c>
    </row>
    <row r="181" spans="1:3">
      <c r="A181" s="196">
        <v>44</v>
      </c>
      <c r="B181" s="196">
        <v>7.02</v>
      </c>
      <c r="C181" s="196">
        <v>7.14</v>
      </c>
    </row>
    <row r="182" spans="1:3">
      <c r="A182" s="196">
        <v>44.25</v>
      </c>
      <c r="B182" s="196">
        <v>7.02</v>
      </c>
      <c r="C182" s="196">
        <v>7.14</v>
      </c>
    </row>
    <row r="183" spans="1:3">
      <c r="A183" s="196">
        <v>44.5</v>
      </c>
      <c r="B183" s="196">
        <v>7.02</v>
      </c>
      <c r="C183" s="196">
        <v>7.14</v>
      </c>
    </row>
    <row r="184" spans="1:3">
      <c r="A184" s="196">
        <v>44.75</v>
      </c>
      <c r="B184" s="196">
        <v>7.01</v>
      </c>
      <c r="C184" s="196">
        <v>7.14</v>
      </c>
    </row>
    <row r="185" spans="1:3">
      <c r="A185" s="196">
        <v>45</v>
      </c>
      <c r="B185" s="196">
        <v>7.02</v>
      </c>
      <c r="C185" s="196">
        <v>7.14</v>
      </c>
    </row>
    <row r="186" spans="1:3">
      <c r="A186" s="196">
        <v>45.25</v>
      </c>
      <c r="B186" s="196">
        <v>7.01</v>
      </c>
      <c r="C186" s="196">
        <v>7.14</v>
      </c>
    </row>
    <row r="187" spans="1:3">
      <c r="A187" s="196">
        <v>45.5</v>
      </c>
      <c r="B187" s="196">
        <v>7.01</v>
      </c>
      <c r="C187" s="196">
        <v>7.14</v>
      </c>
    </row>
    <row r="188" spans="1:3">
      <c r="A188" s="196">
        <v>45.75</v>
      </c>
      <c r="B188" s="196">
        <v>7.01</v>
      </c>
      <c r="C188" s="196">
        <v>7.14</v>
      </c>
    </row>
    <row r="189" spans="1:3">
      <c r="A189" s="196">
        <v>46</v>
      </c>
      <c r="B189" s="196">
        <v>7.01</v>
      </c>
      <c r="C189" s="196">
        <v>7.14</v>
      </c>
    </row>
    <row r="190" spans="1:3">
      <c r="A190" s="196">
        <v>46.25</v>
      </c>
      <c r="B190" s="196">
        <v>7.01</v>
      </c>
      <c r="C190" s="196">
        <v>7.13</v>
      </c>
    </row>
    <row r="191" spans="1:3">
      <c r="A191" s="196">
        <v>46.5</v>
      </c>
      <c r="B191" s="196">
        <v>7.01</v>
      </c>
      <c r="C191" s="196">
        <v>7.13</v>
      </c>
    </row>
    <row r="192" spans="1:3">
      <c r="A192" s="196">
        <v>46.75</v>
      </c>
      <c r="B192" s="196">
        <v>7.01</v>
      </c>
      <c r="C192" s="196">
        <v>7.13</v>
      </c>
    </row>
    <row r="193" spans="1:3">
      <c r="A193" s="196">
        <v>47</v>
      </c>
      <c r="B193" s="196">
        <v>7.01</v>
      </c>
      <c r="C193" s="196">
        <v>7.13</v>
      </c>
    </row>
    <row r="194" spans="1:3">
      <c r="A194" s="196">
        <v>47.25</v>
      </c>
      <c r="B194" s="196">
        <v>7.01</v>
      </c>
      <c r="C194" s="196">
        <v>7.13</v>
      </c>
    </row>
    <row r="195" spans="1:3">
      <c r="A195" s="196">
        <v>47.5</v>
      </c>
      <c r="B195" s="196">
        <v>7.01</v>
      </c>
      <c r="C195" s="196">
        <v>7.13</v>
      </c>
    </row>
    <row r="196" spans="1:3">
      <c r="A196" s="196">
        <v>47.75</v>
      </c>
      <c r="B196" s="196">
        <v>7.01</v>
      </c>
      <c r="C196" s="196">
        <v>7.13</v>
      </c>
    </row>
    <row r="197" spans="1:3">
      <c r="A197" s="196">
        <v>48</v>
      </c>
      <c r="B197" s="196">
        <v>7.01</v>
      </c>
      <c r="C197" s="196">
        <v>7.13</v>
      </c>
    </row>
    <row r="198" spans="1:3">
      <c r="A198" s="196">
        <v>48.25</v>
      </c>
      <c r="B198" s="196">
        <v>7</v>
      </c>
      <c r="C198" s="196">
        <v>7.13</v>
      </c>
    </row>
    <row r="199" spans="1:3">
      <c r="A199" s="196">
        <v>48.5</v>
      </c>
      <c r="B199" s="196">
        <v>7</v>
      </c>
      <c r="C199" s="196">
        <v>7.13</v>
      </c>
    </row>
    <row r="200" spans="1:3">
      <c r="A200" s="196">
        <v>48.75</v>
      </c>
      <c r="B200" s="196">
        <v>7</v>
      </c>
      <c r="C200" s="196">
        <v>7.13</v>
      </c>
    </row>
    <row r="201" spans="1:3">
      <c r="A201" s="196">
        <v>49</v>
      </c>
      <c r="B201" s="196">
        <v>7</v>
      </c>
      <c r="C201" s="196">
        <v>7.13</v>
      </c>
    </row>
    <row r="202" spans="1:3">
      <c r="A202" s="196">
        <v>49.25</v>
      </c>
      <c r="B202" s="196">
        <v>7</v>
      </c>
      <c r="C202" s="196">
        <v>7.12</v>
      </c>
    </row>
    <row r="203" spans="1:3">
      <c r="A203" s="196">
        <v>49.5</v>
      </c>
      <c r="B203" s="196">
        <v>7</v>
      </c>
      <c r="C203" s="196">
        <v>7.12</v>
      </c>
    </row>
    <row r="204" spans="1:3">
      <c r="A204" s="196">
        <v>49.75</v>
      </c>
      <c r="B204" s="196">
        <v>7</v>
      </c>
      <c r="C204" s="196">
        <v>7.12</v>
      </c>
    </row>
    <row r="205" spans="1:3">
      <c r="A205" s="196">
        <v>50</v>
      </c>
      <c r="B205" s="196">
        <v>7</v>
      </c>
      <c r="C205" s="196">
        <v>7.12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A22A3-D7CB-485B-AD5C-74C365ECC7A1}">
  <dimension ref="A1:C205"/>
  <sheetViews>
    <sheetView showGridLines="0" zoomScale="80" zoomScaleNormal="80" workbookViewId="0">
      <selection activeCell="C6" sqref="C6"/>
    </sheetView>
  </sheetViews>
  <sheetFormatPr defaultColWidth="8.796875" defaultRowHeight="13.3"/>
  <cols>
    <col min="1" max="1" width="13" style="2" customWidth="1"/>
    <col min="2" max="2" width="20.796875" style="2" customWidth="1"/>
    <col min="3" max="3" width="19.19921875" style="2" customWidth="1"/>
    <col min="4" max="16384" width="8.796875" style="2"/>
  </cols>
  <sheetData>
    <row r="1" spans="1:3" ht="21.05" customHeight="1">
      <c r="A1" s="189" t="s">
        <v>108</v>
      </c>
      <c r="B1" s="9"/>
      <c r="C1" s="9"/>
    </row>
    <row r="2" spans="1:3" ht="21.05" customHeight="1">
      <c r="A2" s="190"/>
      <c r="B2" s="9"/>
      <c r="C2" s="9"/>
    </row>
    <row r="3" spans="1:3" ht="21.05" customHeight="1">
      <c r="A3" s="191" t="s">
        <v>167</v>
      </c>
      <c r="B3" s="192"/>
      <c r="C3" s="191" t="s">
        <v>168</v>
      </c>
    </row>
    <row r="4" spans="1:3" ht="21.05" customHeight="1">
      <c r="A4" s="189"/>
      <c r="B4" s="9"/>
      <c r="C4" s="9"/>
    </row>
    <row r="5" spans="1:3" ht="34.5" customHeight="1">
      <c r="A5" s="193" t="s">
        <v>169</v>
      </c>
      <c r="B5" s="194" t="s">
        <v>170</v>
      </c>
      <c r="C5" s="195" t="s">
        <v>171</v>
      </c>
    </row>
    <row r="6" spans="1:3">
      <c r="A6" s="196">
        <v>0.25</v>
      </c>
      <c r="B6" s="196">
        <v>6.73</v>
      </c>
      <c r="C6" s="196">
        <v>6.85</v>
      </c>
    </row>
    <row r="7" spans="1:3">
      <c r="A7" s="196">
        <v>0.5</v>
      </c>
      <c r="B7" s="196">
        <v>6.9</v>
      </c>
      <c r="C7" s="196">
        <v>7.02</v>
      </c>
    </row>
    <row r="8" spans="1:3">
      <c r="A8" s="196">
        <v>0.75</v>
      </c>
      <c r="B8" s="196">
        <v>6.92</v>
      </c>
      <c r="C8" s="196">
        <v>7.04</v>
      </c>
    </row>
    <row r="9" spans="1:3">
      <c r="A9" s="196">
        <v>1</v>
      </c>
      <c r="B9" s="196">
        <v>6.93</v>
      </c>
      <c r="C9" s="196">
        <v>7.05</v>
      </c>
    </row>
    <row r="10" spans="1:3">
      <c r="A10" s="196">
        <v>1.25</v>
      </c>
      <c r="B10" s="196">
        <v>6.92</v>
      </c>
      <c r="C10" s="196">
        <v>7.04</v>
      </c>
    </row>
    <row r="11" spans="1:3">
      <c r="A11" s="196">
        <v>1.5</v>
      </c>
      <c r="B11" s="196">
        <v>6.95</v>
      </c>
      <c r="C11" s="196">
        <v>7.08</v>
      </c>
    </row>
    <row r="12" spans="1:3">
      <c r="A12" s="196">
        <v>1.75</v>
      </c>
      <c r="B12" s="196">
        <v>6.96</v>
      </c>
      <c r="C12" s="196">
        <v>7.08</v>
      </c>
    </row>
    <row r="13" spans="1:3">
      <c r="A13" s="196">
        <v>2</v>
      </c>
      <c r="B13" s="196">
        <v>6.97</v>
      </c>
      <c r="C13" s="196">
        <v>7.09</v>
      </c>
    </row>
    <row r="14" spans="1:3">
      <c r="A14" s="196">
        <v>2.25</v>
      </c>
      <c r="B14" s="196">
        <v>6.95</v>
      </c>
      <c r="C14" s="196">
        <v>7.07</v>
      </c>
    </row>
    <row r="15" spans="1:3">
      <c r="A15" s="196">
        <v>2.5</v>
      </c>
      <c r="B15" s="196">
        <v>6.96</v>
      </c>
      <c r="C15" s="196">
        <v>7.08</v>
      </c>
    </row>
    <row r="16" spans="1:3">
      <c r="A16" s="196">
        <v>2.75</v>
      </c>
      <c r="B16" s="196">
        <v>6.95</v>
      </c>
      <c r="C16" s="196">
        <v>7.08</v>
      </c>
    </row>
    <row r="17" spans="1:3">
      <c r="A17" s="196">
        <v>3</v>
      </c>
      <c r="B17" s="196">
        <v>6.97</v>
      </c>
      <c r="C17" s="196">
        <v>7.09</v>
      </c>
    </row>
    <row r="18" spans="1:3">
      <c r="A18" s="196">
        <v>3.25</v>
      </c>
      <c r="B18" s="196">
        <v>6.98</v>
      </c>
      <c r="C18" s="196">
        <v>7.1</v>
      </c>
    </row>
    <row r="19" spans="1:3">
      <c r="A19" s="196">
        <v>3.5</v>
      </c>
      <c r="B19" s="196">
        <v>6.99</v>
      </c>
      <c r="C19" s="196">
        <v>7.12</v>
      </c>
    </row>
    <row r="20" spans="1:3">
      <c r="A20" s="196">
        <v>3.75</v>
      </c>
      <c r="B20" s="196">
        <v>7</v>
      </c>
      <c r="C20" s="196">
        <v>7.12</v>
      </c>
    </row>
    <row r="21" spans="1:3">
      <c r="A21" s="196">
        <v>4</v>
      </c>
      <c r="B21" s="196">
        <v>7.01</v>
      </c>
      <c r="C21" s="196">
        <v>7.13</v>
      </c>
    </row>
    <row r="22" spans="1:3">
      <c r="A22" s="196">
        <v>4.25</v>
      </c>
      <c r="B22" s="196">
        <v>7</v>
      </c>
      <c r="C22" s="196">
        <v>7.13</v>
      </c>
    </row>
    <row r="23" spans="1:3">
      <c r="A23" s="196">
        <v>4.5</v>
      </c>
      <c r="B23" s="196">
        <v>7.01</v>
      </c>
      <c r="C23" s="196">
        <v>7.13</v>
      </c>
    </row>
    <row r="24" spans="1:3">
      <c r="A24" s="196">
        <v>4.75</v>
      </c>
      <c r="B24" s="196">
        <v>7.02</v>
      </c>
      <c r="C24" s="196">
        <v>7.14</v>
      </c>
    </row>
    <row r="25" spans="1:3">
      <c r="A25" s="196">
        <v>5</v>
      </c>
      <c r="B25" s="196">
        <v>7.03</v>
      </c>
      <c r="C25" s="196">
        <v>7.15</v>
      </c>
    </row>
    <row r="26" spans="1:3">
      <c r="A26" s="196">
        <v>5.25</v>
      </c>
      <c r="B26" s="196">
        <v>7.03</v>
      </c>
      <c r="C26" s="196">
        <v>7.15</v>
      </c>
    </row>
    <row r="27" spans="1:3">
      <c r="A27" s="196">
        <v>5.5</v>
      </c>
      <c r="B27" s="196">
        <v>7.04</v>
      </c>
      <c r="C27" s="196">
        <v>7.16</v>
      </c>
    </row>
    <row r="28" spans="1:3">
      <c r="A28" s="196">
        <v>5.75</v>
      </c>
      <c r="B28" s="196">
        <v>7.04</v>
      </c>
      <c r="C28" s="196">
        <v>7.17</v>
      </c>
    </row>
    <row r="29" spans="1:3">
      <c r="A29" s="196">
        <v>6</v>
      </c>
      <c r="B29" s="196">
        <v>7.05</v>
      </c>
      <c r="C29" s="196">
        <v>7.17</v>
      </c>
    </row>
    <row r="30" spans="1:3">
      <c r="A30" s="196">
        <v>6.25</v>
      </c>
      <c r="B30" s="196">
        <v>7.04</v>
      </c>
      <c r="C30" s="196">
        <v>7.16</v>
      </c>
    </row>
    <row r="31" spans="1:3">
      <c r="A31" s="196">
        <v>6.5</v>
      </c>
      <c r="B31" s="196">
        <v>7.04</v>
      </c>
      <c r="C31" s="196">
        <v>7.16</v>
      </c>
    </row>
    <row r="32" spans="1:3">
      <c r="A32" s="196">
        <v>6.75</v>
      </c>
      <c r="B32" s="196">
        <v>7.02</v>
      </c>
      <c r="C32" s="196">
        <v>7.15</v>
      </c>
    </row>
    <row r="33" spans="1:3">
      <c r="A33" s="196">
        <v>7</v>
      </c>
      <c r="B33" s="196">
        <v>7.03</v>
      </c>
      <c r="C33" s="196">
        <v>7.15</v>
      </c>
    </row>
    <row r="34" spans="1:3">
      <c r="A34" s="196">
        <v>7.25</v>
      </c>
      <c r="B34" s="196">
        <v>7.04</v>
      </c>
      <c r="C34" s="196">
        <v>7.16</v>
      </c>
    </row>
    <row r="35" spans="1:3">
      <c r="A35" s="196">
        <v>7.5</v>
      </c>
      <c r="B35" s="196">
        <v>7.06</v>
      </c>
      <c r="C35" s="196">
        <v>7.18</v>
      </c>
    </row>
    <row r="36" spans="1:3">
      <c r="A36" s="196">
        <v>7.75</v>
      </c>
      <c r="B36" s="196">
        <v>7.06</v>
      </c>
      <c r="C36" s="196">
        <v>7.18</v>
      </c>
    </row>
    <row r="37" spans="1:3">
      <c r="A37" s="196">
        <v>8</v>
      </c>
      <c r="B37" s="196">
        <v>7.06</v>
      </c>
      <c r="C37" s="196">
        <v>7.18</v>
      </c>
    </row>
    <row r="38" spans="1:3">
      <c r="A38" s="196">
        <v>8.25</v>
      </c>
      <c r="B38" s="196">
        <v>7.06</v>
      </c>
      <c r="C38" s="196">
        <v>7.19</v>
      </c>
    </row>
    <row r="39" spans="1:3">
      <c r="A39" s="196">
        <v>8.5</v>
      </c>
      <c r="B39" s="196">
        <v>7.07</v>
      </c>
      <c r="C39" s="196">
        <v>7.19</v>
      </c>
    </row>
    <row r="40" spans="1:3">
      <c r="A40" s="196">
        <v>8.75</v>
      </c>
      <c r="B40" s="196">
        <v>7.07</v>
      </c>
      <c r="C40" s="196">
        <v>7.19</v>
      </c>
    </row>
    <row r="41" spans="1:3">
      <c r="A41" s="196">
        <v>9</v>
      </c>
      <c r="B41" s="196">
        <v>7.06</v>
      </c>
      <c r="C41" s="196">
        <v>7.19</v>
      </c>
    </row>
    <row r="42" spans="1:3">
      <c r="A42" s="196">
        <v>9.25</v>
      </c>
      <c r="B42" s="196">
        <v>7.04</v>
      </c>
      <c r="C42" s="196">
        <v>7.17</v>
      </c>
    </row>
    <row r="43" spans="1:3">
      <c r="A43" s="196">
        <v>9.5</v>
      </c>
      <c r="B43" s="196">
        <v>7.03</v>
      </c>
      <c r="C43" s="196">
        <v>7.15</v>
      </c>
    </row>
    <row r="44" spans="1:3">
      <c r="A44" s="196">
        <v>9.75</v>
      </c>
      <c r="B44" s="196">
        <v>7.02</v>
      </c>
      <c r="C44" s="196">
        <v>7.14</v>
      </c>
    </row>
    <row r="45" spans="1:3">
      <c r="A45" s="196">
        <v>10</v>
      </c>
      <c r="B45" s="196">
        <v>7.04</v>
      </c>
      <c r="C45" s="196">
        <v>7.17</v>
      </c>
    </row>
    <row r="46" spans="1:3">
      <c r="A46" s="196">
        <v>10.25</v>
      </c>
      <c r="B46" s="196">
        <v>7.06</v>
      </c>
      <c r="C46" s="196">
        <v>7.19</v>
      </c>
    </row>
    <row r="47" spans="1:3">
      <c r="A47" s="196">
        <v>10.5</v>
      </c>
      <c r="B47" s="196">
        <v>7.07</v>
      </c>
      <c r="C47" s="196">
        <v>7.2</v>
      </c>
    </row>
    <row r="48" spans="1:3">
      <c r="A48" s="196">
        <v>10.75</v>
      </c>
      <c r="B48" s="196">
        <v>7.08</v>
      </c>
      <c r="C48" s="196">
        <v>7.2</v>
      </c>
    </row>
    <row r="49" spans="1:3">
      <c r="A49" s="196">
        <v>11</v>
      </c>
      <c r="B49" s="196">
        <v>7.09</v>
      </c>
      <c r="C49" s="196">
        <v>7.22</v>
      </c>
    </row>
    <row r="50" spans="1:3">
      <c r="A50" s="196">
        <v>11.25</v>
      </c>
      <c r="B50" s="196">
        <v>7.09</v>
      </c>
      <c r="C50" s="196">
        <v>7.21</v>
      </c>
    </row>
    <row r="51" spans="1:3">
      <c r="A51" s="196">
        <v>11.5</v>
      </c>
      <c r="B51" s="196">
        <v>7.07</v>
      </c>
      <c r="C51" s="196">
        <v>7.2</v>
      </c>
    </row>
    <row r="52" spans="1:3">
      <c r="A52" s="196">
        <v>11.75</v>
      </c>
      <c r="B52" s="196">
        <v>7.06</v>
      </c>
      <c r="C52" s="196">
        <v>7.18</v>
      </c>
    </row>
    <row r="53" spans="1:3">
      <c r="A53" s="196">
        <v>12</v>
      </c>
      <c r="B53" s="196">
        <v>7.05</v>
      </c>
      <c r="C53" s="196">
        <v>7.18</v>
      </c>
    </row>
    <row r="54" spans="1:3">
      <c r="A54" s="196">
        <v>12.25</v>
      </c>
      <c r="B54" s="196">
        <v>7.05</v>
      </c>
      <c r="C54" s="196">
        <v>7.18</v>
      </c>
    </row>
    <row r="55" spans="1:3">
      <c r="A55" s="196">
        <v>12.5</v>
      </c>
      <c r="B55" s="196">
        <v>7.05</v>
      </c>
      <c r="C55" s="196">
        <v>7.18</v>
      </c>
    </row>
    <row r="56" spans="1:3">
      <c r="A56" s="196">
        <v>12.75</v>
      </c>
      <c r="B56" s="196">
        <v>7.05</v>
      </c>
      <c r="C56" s="196">
        <v>7.17</v>
      </c>
    </row>
    <row r="57" spans="1:3">
      <c r="A57" s="196">
        <v>13</v>
      </c>
      <c r="B57" s="196">
        <v>7.05</v>
      </c>
      <c r="C57" s="196">
        <v>7.17</v>
      </c>
    </row>
    <row r="58" spans="1:3">
      <c r="A58" s="196">
        <v>13.25</v>
      </c>
      <c r="B58" s="196">
        <v>7.04</v>
      </c>
      <c r="C58" s="196">
        <v>7.16</v>
      </c>
    </row>
    <row r="59" spans="1:3">
      <c r="A59" s="196">
        <v>13.5</v>
      </c>
      <c r="B59" s="196">
        <v>7.04</v>
      </c>
      <c r="C59" s="196">
        <v>7.16</v>
      </c>
    </row>
    <row r="60" spans="1:3">
      <c r="A60" s="196">
        <v>13.75</v>
      </c>
      <c r="B60" s="196">
        <v>7.04</v>
      </c>
      <c r="C60" s="196">
        <v>7.16</v>
      </c>
    </row>
    <row r="61" spans="1:3">
      <c r="A61" s="196">
        <v>14</v>
      </c>
      <c r="B61" s="196">
        <v>7.04</v>
      </c>
      <c r="C61" s="196">
        <v>7.16</v>
      </c>
    </row>
    <row r="62" spans="1:3">
      <c r="A62" s="196">
        <v>14.25</v>
      </c>
      <c r="B62" s="196">
        <v>7.03</v>
      </c>
      <c r="C62" s="196">
        <v>7.16</v>
      </c>
    </row>
    <row r="63" spans="1:3">
      <c r="A63" s="196">
        <v>14.5</v>
      </c>
      <c r="B63" s="196">
        <v>7.04</v>
      </c>
      <c r="C63" s="196">
        <v>7.16</v>
      </c>
    </row>
    <row r="64" spans="1:3">
      <c r="A64" s="196">
        <v>14.75</v>
      </c>
      <c r="B64" s="196">
        <v>7.03</v>
      </c>
      <c r="C64" s="196">
        <v>7.16</v>
      </c>
    </row>
    <row r="65" spans="1:3">
      <c r="A65" s="196">
        <v>15</v>
      </c>
      <c r="B65" s="196">
        <v>7.04</v>
      </c>
      <c r="C65" s="196">
        <v>7.16</v>
      </c>
    </row>
    <row r="66" spans="1:3">
      <c r="A66" s="196">
        <v>15.25</v>
      </c>
      <c r="B66" s="196">
        <v>7.03</v>
      </c>
      <c r="C66" s="196">
        <v>7.16</v>
      </c>
    </row>
    <row r="67" spans="1:3">
      <c r="A67" s="196">
        <v>15.5</v>
      </c>
      <c r="B67" s="196">
        <v>7.04</v>
      </c>
      <c r="C67" s="196">
        <v>7.16</v>
      </c>
    </row>
    <row r="68" spans="1:3">
      <c r="A68" s="196">
        <v>15.75</v>
      </c>
      <c r="B68" s="196">
        <v>7.03</v>
      </c>
      <c r="C68" s="196">
        <v>7.16</v>
      </c>
    </row>
    <row r="69" spans="1:3">
      <c r="A69" s="196">
        <v>16</v>
      </c>
      <c r="B69" s="196">
        <v>7.04</v>
      </c>
      <c r="C69" s="196">
        <v>7.16</v>
      </c>
    </row>
    <row r="70" spans="1:3">
      <c r="A70" s="196">
        <v>16.25</v>
      </c>
      <c r="B70" s="196">
        <v>7.04</v>
      </c>
      <c r="C70" s="196">
        <v>7.16</v>
      </c>
    </row>
    <row r="71" spans="1:3">
      <c r="A71" s="196">
        <v>16.5</v>
      </c>
      <c r="B71" s="196">
        <v>7.04</v>
      </c>
      <c r="C71" s="196">
        <v>7.16</v>
      </c>
    </row>
    <row r="72" spans="1:3">
      <c r="A72" s="196">
        <v>16.75</v>
      </c>
      <c r="B72" s="196">
        <v>7.04</v>
      </c>
      <c r="C72" s="196">
        <v>7.16</v>
      </c>
    </row>
    <row r="73" spans="1:3">
      <c r="A73" s="196">
        <v>17</v>
      </c>
      <c r="B73" s="196">
        <v>7.04</v>
      </c>
      <c r="C73" s="196">
        <v>7.16</v>
      </c>
    </row>
    <row r="74" spans="1:3">
      <c r="A74" s="196">
        <v>17.25</v>
      </c>
      <c r="B74" s="196">
        <v>7.04</v>
      </c>
      <c r="C74" s="196">
        <v>7.16</v>
      </c>
    </row>
    <row r="75" spans="1:3">
      <c r="A75" s="196">
        <v>17.5</v>
      </c>
      <c r="B75" s="196">
        <v>7.04</v>
      </c>
      <c r="C75" s="196">
        <v>7.16</v>
      </c>
    </row>
    <row r="76" spans="1:3">
      <c r="A76" s="196">
        <v>17.75</v>
      </c>
      <c r="B76" s="196">
        <v>7.04</v>
      </c>
      <c r="C76" s="196">
        <v>7.16</v>
      </c>
    </row>
    <row r="77" spans="1:3">
      <c r="A77" s="196">
        <v>18</v>
      </c>
      <c r="B77" s="196">
        <v>7.04</v>
      </c>
      <c r="C77" s="196">
        <v>7.16</v>
      </c>
    </row>
    <row r="78" spans="1:3">
      <c r="A78" s="196">
        <v>18.25</v>
      </c>
      <c r="B78" s="196">
        <v>7.04</v>
      </c>
      <c r="C78" s="196">
        <v>7.16</v>
      </c>
    </row>
    <row r="79" spans="1:3">
      <c r="A79" s="196">
        <v>18.5</v>
      </c>
      <c r="B79" s="196">
        <v>7.04</v>
      </c>
      <c r="C79" s="196">
        <v>7.17</v>
      </c>
    </row>
    <row r="80" spans="1:3">
      <c r="A80" s="196">
        <v>18.75</v>
      </c>
      <c r="B80" s="196">
        <v>7.04</v>
      </c>
      <c r="C80" s="196">
        <v>7.17</v>
      </c>
    </row>
    <row r="81" spans="1:3">
      <c r="A81" s="196">
        <v>19</v>
      </c>
      <c r="B81" s="196">
        <v>7.04</v>
      </c>
      <c r="C81" s="196">
        <v>7.17</v>
      </c>
    </row>
    <row r="82" spans="1:3">
      <c r="A82" s="196">
        <v>19.25</v>
      </c>
      <c r="B82" s="196">
        <v>7.04</v>
      </c>
      <c r="C82" s="196">
        <v>7.17</v>
      </c>
    </row>
    <row r="83" spans="1:3">
      <c r="A83" s="196">
        <v>19.5</v>
      </c>
      <c r="B83" s="196">
        <v>7.05</v>
      </c>
      <c r="C83" s="196">
        <v>7.17</v>
      </c>
    </row>
    <row r="84" spans="1:3">
      <c r="A84" s="196">
        <v>19.75</v>
      </c>
      <c r="B84" s="196">
        <v>7.05</v>
      </c>
      <c r="C84" s="196">
        <v>7.17</v>
      </c>
    </row>
    <row r="85" spans="1:3">
      <c r="A85" s="196">
        <v>20</v>
      </c>
      <c r="B85" s="196">
        <v>7.05</v>
      </c>
      <c r="C85" s="196">
        <v>7.17</v>
      </c>
    </row>
    <row r="86" spans="1:3">
      <c r="A86" s="196">
        <v>20.25</v>
      </c>
      <c r="B86" s="196">
        <v>7.05</v>
      </c>
      <c r="C86" s="196">
        <v>7.17</v>
      </c>
    </row>
    <row r="87" spans="1:3">
      <c r="A87" s="196">
        <v>20.5</v>
      </c>
      <c r="B87" s="196">
        <v>7.05</v>
      </c>
      <c r="C87" s="196">
        <v>7.18</v>
      </c>
    </row>
    <row r="88" spans="1:3">
      <c r="A88" s="196">
        <v>20.75</v>
      </c>
      <c r="B88" s="196">
        <v>7.05</v>
      </c>
      <c r="C88" s="196">
        <v>7.18</v>
      </c>
    </row>
    <row r="89" spans="1:3">
      <c r="A89" s="196">
        <v>21</v>
      </c>
      <c r="B89" s="196">
        <v>7.05</v>
      </c>
      <c r="C89" s="196">
        <v>7.18</v>
      </c>
    </row>
    <row r="90" spans="1:3">
      <c r="A90" s="196">
        <v>21.25</v>
      </c>
      <c r="B90" s="196">
        <v>7.05</v>
      </c>
      <c r="C90" s="196">
        <v>7.18</v>
      </c>
    </row>
    <row r="91" spans="1:3">
      <c r="A91" s="196">
        <v>21.5</v>
      </c>
      <c r="B91" s="196">
        <v>7.06</v>
      </c>
      <c r="C91" s="196">
        <v>7.18</v>
      </c>
    </row>
    <row r="92" spans="1:3">
      <c r="A92" s="196">
        <v>21.75</v>
      </c>
      <c r="B92" s="196">
        <v>7.06</v>
      </c>
      <c r="C92" s="196">
        <v>7.18</v>
      </c>
    </row>
    <row r="93" spans="1:3">
      <c r="A93" s="196">
        <v>22</v>
      </c>
      <c r="B93" s="196">
        <v>7.06</v>
      </c>
      <c r="C93" s="196">
        <v>7.18</v>
      </c>
    </row>
    <row r="94" spans="1:3">
      <c r="A94" s="196">
        <v>22.25</v>
      </c>
      <c r="B94" s="196">
        <v>7.06</v>
      </c>
      <c r="C94" s="196">
        <v>7.18</v>
      </c>
    </row>
    <row r="95" spans="1:3">
      <c r="A95" s="196">
        <v>22.5</v>
      </c>
      <c r="B95" s="196">
        <v>7.06</v>
      </c>
      <c r="C95" s="196">
        <v>7.18</v>
      </c>
    </row>
    <row r="96" spans="1:3">
      <c r="A96" s="196">
        <v>22.75</v>
      </c>
      <c r="B96" s="196">
        <v>7.06</v>
      </c>
      <c r="C96" s="196">
        <v>7.18</v>
      </c>
    </row>
    <row r="97" spans="1:3">
      <c r="A97" s="196">
        <v>23</v>
      </c>
      <c r="B97" s="196">
        <v>7.06</v>
      </c>
      <c r="C97" s="196">
        <v>7.19</v>
      </c>
    </row>
    <row r="98" spans="1:3">
      <c r="A98" s="196">
        <v>23.25</v>
      </c>
      <c r="B98" s="196">
        <v>7.06</v>
      </c>
      <c r="C98" s="196">
        <v>7.18</v>
      </c>
    </row>
    <row r="99" spans="1:3">
      <c r="A99" s="196">
        <v>23.5</v>
      </c>
      <c r="B99" s="196">
        <v>7.06</v>
      </c>
      <c r="C99" s="196">
        <v>7.19</v>
      </c>
    </row>
    <row r="100" spans="1:3">
      <c r="A100" s="196">
        <v>23.75</v>
      </c>
      <c r="B100" s="196">
        <v>7.06</v>
      </c>
      <c r="C100" s="196">
        <v>7.19</v>
      </c>
    </row>
    <row r="101" spans="1:3">
      <c r="A101" s="196">
        <v>24</v>
      </c>
      <c r="B101" s="196">
        <v>7.06</v>
      </c>
      <c r="C101" s="196">
        <v>7.19</v>
      </c>
    </row>
    <row r="102" spans="1:3">
      <c r="A102" s="196">
        <v>24.25</v>
      </c>
      <c r="B102" s="196">
        <v>7.06</v>
      </c>
      <c r="C102" s="196">
        <v>7.19</v>
      </c>
    </row>
    <row r="103" spans="1:3">
      <c r="A103" s="196">
        <v>24.5</v>
      </c>
      <c r="B103" s="196">
        <v>7.06</v>
      </c>
      <c r="C103" s="196">
        <v>7.19</v>
      </c>
    </row>
    <row r="104" spans="1:3">
      <c r="A104" s="196">
        <v>24.75</v>
      </c>
      <c r="B104" s="196">
        <v>7.06</v>
      </c>
      <c r="C104" s="196">
        <v>7.19</v>
      </c>
    </row>
    <row r="105" spans="1:3">
      <c r="A105" s="196">
        <v>25</v>
      </c>
      <c r="B105" s="196">
        <v>7.06</v>
      </c>
      <c r="C105" s="196">
        <v>7.19</v>
      </c>
    </row>
    <row r="106" spans="1:3">
      <c r="A106" s="196">
        <v>25.25</v>
      </c>
      <c r="B106" s="196">
        <v>7.06</v>
      </c>
      <c r="C106" s="196">
        <v>7.19</v>
      </c>
    </row>
    <row r="107" spans="1:3">
      <c r="A107" s="196">
        <v>25.5</v>
      </c>
      <c r="B107" s="196">
        <v>7.06</v>
      </c>
      <c r="C107" s="196">
        <v>7.19</v>
      </c>
    </row>
    <row r="108" spans="1:3">
      <c r="A108" s="196">
        <v>25.75</v>
      </c>
      <c r="B108" s="196">
        <v>7.06</v>
      </c>
      <c r="C108" s="196">
        <v>7.19</v>
      </c>
    </row>
    <row r="109" spans="1:3">
      <c r="A109" s="196">
        <v>26</v>
      </c>
      <c r="B109" s="196">
        <v>7.06</v>
      </c>
      <c r="C109" s="196">
        <v>7.19</v>
      </c>
    </row>
    <row r="110" spans="1:3">
      <c r="A110" s="196">
        <v>26.25</v>
      </c>
      <c r="B110" s="196">
        <v>7.06</v>
      </c>
      <c r="C110" s="196">
        <v>7.19</v>
      </c>
    </row>
    <row r="111" spans="1:3">
      <c r="A111" s="196">
        <v>26.5</v>
      </c>
      <c r="B111" s="196">
        <v>7.06</v>
      </c>
      <c r="C111" s="196">
        <v>7.19</v>
      </c>
    </row>
    <row r="112" spans="1:3">
      <c r="A112" s="196">
        <v>26.75</v>
      </c>
      <c r="B112" s="196">
        <v>7.06</v>
      </c>
      <c r="C112" s="196">
        <v>7.18</v>
      </c>
    </row>
    <row r="113" spans="1:3">
      <c r="A113" s="196">
        <v>27</v>
      </c>
      <c r="B113" s="196">
        <v>7.06</v>
      </c>
      <c r="C113" s="196">
        <v>7.19</v>
      </c>
    </row>
    <row r="114" spans="1:3">
      <c r="A114" s="196">
        <v>27.25</v>
      </c>
      <c r="B114" s="196">
        <v>7.06</v>
      </c>
      <c r="C114" s="196">
        <v>7.18</v>
      </c>
    </row>
    <row r="115" spans="1:3">
      <c r="A115" s="196">
        <v>27.5</v>
      </c>
      <c r="B115" s="196">
        <v>7.06</v>
      </c>
      <c r="C115" s="196">
        <v>7.18</v>
      </c>
    </row>
    <row r="116" spans="1:3">
      <c r="A116" s="196">
        <v>27.75</v>
      </c>
      <c r="B116" s="196">
        <v>7.06</v>
      </c>
      <c r="C116" s="196">
        <v>7.18</v>
      </c>
    </row>
    <row r="117" spans="1:3">
      <c r="A117" s="196">
        <v>28</v>
      </c>
      <c r="B117" s="196">
        <v>7.06</v>
      </c>
      <c r="C117" s="196">
        <v>7.18</v>
      </c>
    </row>
    <row r="118" spans="1:3">
      <c r="A118" s="196">
        <v>28.25</v>
      </c>
      <c r="B118" s="196">
        <v>7.06</v>
      </c>
      <c r="C118" s="196">
        <v>7.18</v>
      </c>
    </row>
    <row r="119" spans="1:3">
      <c r="A119" s="196">
        <v>28.5</v>
      </c>
      <c r="B119" s="196">
        <v>7.06</v>
      </c>
      <c r="C119" s="196">
        <v>7.18</v>
      </c>
    </row>
    <row r="120" spans="1:3">
      <c r="A120" s="196">
        <v>28.75</v>
      </c>
      <c r="B120" s="196">
        <v>7.05</v>
      </c>
      <c r="C120" s="196">
        <v>7.18</v>
      </c>
    </row>
    <row r="121" spans="1:3">
      <c r="A121" s="196">
        <v>29</v>
      </c>
      <c r="B121" s="196">
        <v>7.06</v>
      </c>
      <c r="C121" s="196">
        <v>7.18</v>
      </c>
    </row>
    <row r="122" spans="1:3">
      <c r="A122" s="196">
        <v>29.25</v>
      </c>
      <c r="B122" s="196">
        <v>7.05</v>
      </c>
      <c r="C122" s="196">
        <v>7.18</v>
      </c>
    </row>
    <row r="123" spans="1:3">
      <c r="A123" s="196">
        <v>29.5</v>
      </c>
      <c r="B123" s="196">
        <v>7.05</v>
      </c>
      <c r="C123" s="196">
        <v>7.18</v>
      </c>
    </row>
    <row r="124" spans="1:3">
      <c r="A124" s="196">
        <v>29.75</v>
      </c>
      <c r="B124" s="196">
        <v>7.05</v>
      </c>
      <c r="C124" s="196">
        <v>7.18</v>
      </c>
    </row>
    <row r="125" spans="1:3">
      <c r="A125" s="196">
        <v>30</v>
      </c>
      <c r="B125" s="196">
        <v>7.05</v>
      </c>
      <c r="C125" s="196">
        <v>7.18</v>
      </c>
    </row>
    <row r="126" spans="1:3">
      <c r="A126" s="196">
        <v>30.25</v>
      </c>
      <c r="B126" s="196">
        <v>7.05</v>
      </c>
      <c r="C126" s="196">
        <v>7.18</v>
      </c>
    </row>
    <row r="127" spans="1:3">
      <c r="A127" s="196">
        <v>30.5</v>
      </c>
      <c r="B127" s="196">
        <v>7.05</v>
      </c>
      <c r="C127" s="196">
        <v>7.18</v>
      </c>
    </row>
    <row r="128" spans="1:3">
      <c r="A128" s="196">
        <v>30.75</v>
      </c>
      <c r="B128" s="196">
        <v>7.05</v>
      </c>
      <c r="C128" s="196">
        <v>7.18</v>
      </c>
    </row>
    <row r="129" spans="1:3">
      <c r="A129" s="196">
        <v>31</v>
      </c>
      <c r="B129" s="196">
        <v>7.05</v>
      </c>
      <c r="C129" s="196">
        <v>7.18</v>
      </c>
    </row>
    <row r="130" spans="1:3">
      <c r="A130" s="196">
        <v>31.25</v>
      </c>
      <c r="B130" s="196">
        <v>7.05</v>
      </c>
      <c r="C130" s="196">
        <v>7.18</v>
      </c>
    </row>
    <row r="131" spans="1:3">
      <c r="A131" s="196">
        <v>31.5</v>
      </c>
      <c r="B131" s="196">
        <v>7.05</v>
      </c>
      <c r="C131" s="196">
        <v>7.18</v>
      </c>
    </row>
    <row r="132" spans="1:3">
      <c r="A132" s="196">
        <v>31.75</v>
      </c>
      <c r="B132" s="196">
        <v>7.05</v>
      </c>
      <c r="C132" s="196">
        <v>7.18</v>
      </c>
    </row>
    <row r="133" spans="1:3">
      <c r="A133" s="196">
        <v>32</v>
      </c>
      <c r="B133" s="196">
        <v>7.06</v>
      </c>
      <c r="C133" s="196">
        <v>7.18</v>
      </c>
    </row>
    <row r="134" spans="1:3">
      <c r="A134" s="196">
        <v>32.25</v>
      </c>
      <c r="B134" s="196">
        <v>7.06</v>
      </c>
      <c r="C134" s="196">
        <v>7.18</v>
      </c>
    </row>
    <row r="135" spans="1:3">
      <c r="A135" s="196">
        <v>32.5</v>
      </c>
      <c r="B135" s="196">
        <v>7.06</v>
      </c>
      <c r="C135" s="196">
        <v>7.18</v>
      </c>
    </row>
    <row r="136" spans="1:3">
      <c r="A136" s="196">
        <v>32.75</v>
      </c>
      <c r="B136" s="196">
        <v>7.06</v>
      </c>
      <c r="C136" s="196">
        <v>7.18</v>
      </c>
    </row>
    <row r="137" spans="1:3">
      <c r="A137" s="196">
        <v>33</v>
      </c>
      <c r="B137" s="196">
        <v>7.06</v>
      </c>
      <c r="C137" s="196">
        <v>7.19</v>
      </c>
    </row>
    <row r="138" spans="1:3">
      <c r="A138" s="196">
        <v>33.25</v>
      </c>
      <c r="B138" s="196">
        <v>7.06</v>
      </c>
      <c r="C138" s="196">
        <v>7.19</v>
      </c>
    </row>
    <row r="139" spans="1:3">
      <c r="A139" s="196">
        <v>33.5</v>
      </c>
      <c r="B139" s="196">
        <v>7.07</v>
      </c>
      <c r="C139" s="196">
        <v>7.19</v>
      </c>
    </row>
    <row r="140" spans="1:3">
      <c r="A140" s="196">
        <v>33.75</v>
      </c>
      <c r="B140" s="196">
        <v>7.07</v>
      </c>
      <c r="C140" s="196">
        <v>7.19</v>
      </c>
    </row>
    <row r="141" spans="1:3">
      <c r="A141" s="196">
        <v>34</v>
      </c>
      <c r="B141" s="196">
        <v>7.07</v>
      </c>
      <c r="C141" s="196">
        <v>7.19</v>
      </c>
    </row>
    <row r="142" spans="1:3">
      <c r="A142" s="196">
        <v>34.25</v>
      </c>
      <c r="B142" s="196">
        <v>7.07</v>
      </c>
      <c r="C142" s="196">
        <v>7.2</v>
      </c>
    </row>
    <row r="143" spans="1:3">
      <c r="A143" s="196">
        <v>34.5</v>
      </c>
      <c r="B143" s="196">
        <v>7.07</v>
      </c>
      <c r="C143" s="196">
        <v>7.2</v>
      </c>
    </row>
    <row r="144" spans="1:3">
      <c r="A144" s="196">
        <v>34.75</v>
      </c>
      <c r="B144" s="196">
        <v>7.07</v>
      </c>
      <c r="C144" s="196">
        <v>7.2</v>
      </c>
    </row>
    <row r="145" spans="1:3">
      <c r="A145" s="196">
        <v>35</v>
      </c>
      <c r="B145" s="196">
        <v>7.08</v>
      </c>
      <c r="C145" s="196">
        <v>7.2</v>
      </c>
    </row>
    <row r="146" spans="1:3">
      <c r="A146" s="196">
        <v>35.25</v>
      </c>
      <c r="B146" s="196">
        <v>7.08</v>
      </c>
      <c r="C146" s="196">
        <v>7.2</v>
      </c>
    </row>
    <row r="147" spans="1:3">
      <c r="A147" s="196">
        <v>35.5</v>
      </c>
      <c r="B147" s="196">
        <v>7.08</v>
      </c>
      <c r="C147" s="196">
        <v>7.21</v>
      </c>
    </row>
    <row r="148" spans="1:3">
      <c r="A148" s="196">
        <v>35.75</v>
      </c>
      <c r="B148" s="196">
        <v>7.08</v>
      </c>
      <c r="C148" s="196">
        <v>7.21</v>
      </c>
    </row>
    <row r="149" spans="1:3">
      <c r="A149" s="196">
        <v>36</v>
      </c>
      <c r="B149" s="196">
        <v>7.08</v>
      </c>
      <c r="C149" s="196">
        <v>7.21</v>
      </c>
    </row>
    <row r="150" spans="1:3">
      <c r="A150" s="196">
        <v>36.25</v>
      </c>
      <c r="B150" s="196">
        <v>7.09</v>
      </c>
      <c r="C150" s="196">
        <v>7.21</v>
      </c>
    </row>
    <row r="151" spans="1:3">
      <c r="A151" s="196">
        <v>36.5</v>
      </c>
      <c r="B151" s="196">
        <v>7.09</v>
      </c>
      <c r="C151" s="196">
        <v>7.21</v>
      </c>
    </row>
    <row r="152" spans="1:3">
      <c r="A152" s="196">
        <v>36.75</v>
      </c>
      <c r="B152" s="196">
        <v>7.09</v>
      </c>
      <c r="C152" s="196">
        <v>7.21</v>
      </c>
    </row>
    <row r="153" spans="1:3">
      <c r="A153" s="196">
        <v>37</v>
      </c>
      <c r="B153" s="196">
        <v>7.09</v>
      </c>
      <c r="C153" s="196">
        <v>7.22</v>
      </c>
    </row>
    <row r="154" spans="1:3">
      <c r="A154" s="196">
        <v>37.25</v>
      </c>
      <c r="B154" s="196">
        <v>7.09</v>
      </c>
      <c r="C154" s="196">
        <v>7.22</v>
      </c>
    </row>
    <row r="155" spans="1:3">
      <c r="A155" s="196">
        <v>37.5</v>
      </c>
      <c r="B155" s="196">
        <v>7.09</v>
      </c>
      <c r="C155" s="196">
        <v>7.22</v>
      </c>
    </row>
    <row r="156" spans="1:3">
      <c r="A156" s="196">
        <v>37.75</v>
      </c>
      <c r="B156" s="196">
        <v>7.09</v>
      </c>
      <c r="C156" s="196">
        <v>7.22</v>
      </c>
    </row>
    <row r="157" spans="1:3">
      <c r="A157" s="196">
        <v>38</v>
      </c>
      <c r="B157" s="196">
        <v>7.1</v>
      </c>
      <c r="C157" s="196">
        <v>7.22</v>
      </c>
    </row>
    <row r="158" spans="1:3">
      <c r="A158" s="196">
        <v>38.25</v>
      </c>
      <c r="B158" s="196">
        <v>7.1</v>
      </c>
      <c r="C158" s="196">
        <v>7.22</v>
      </c>
    </row>
    <row r="159" spans="1:3">
      <c r="A159" s="196">
        <v>38.5</v>
      </c>
      <c r="B159" s="196">
        <v>7.1</v>
      </c>
      <c r="C159" s="196">
        <v>7.22</v>
      </c>
    </row>
    <row r="160" spans="1:3">
      <c r="A160" s="196">
        <v>38.75</v>
      </c>
      <c r="B160" s="196">
        <v>7.1</v>
      </c>
      <c r="C160" s="196">
        <v>7.22</v>
      </c>
    </row>
    <row r="161" spans="1:3">
      <c r="A161" s="196">
        <v>39</v>
      </c>
      <c r="B161" s="196">
        <v>7.1</v>
      </c>
      <c r="C161" s="196">
        <v>7.22</v>
      </c>
    </row>
    <row r="162" spans="1:3">
      <c r="A162" s="196">
        <v>39.25</v>
      </c>
      <c r="B162" s="196">
        <v>7.1</v>
      </c>
      <c r="C162" s="196">
        <v>7.22</v>
      </c>
    </row>
    <row r="163" spans="1:3">
      <c r="A163" s="196">
        <v>39.5</v>
      </c>
      <c r="B163" s="196">
        <v>7.1</v>
      </c>
      <c r="C163" s="196">
        <v>7.23</v>
      </c>
    </row>
    <row r="164" spans="1:3">
      <c r="A164" s="196">
        <v>39.75</v>
      </c>
      <c r="B164" s="196">
        <v>7.1</v>
      </c>
      <c r="C164" s="196">
        <v>7.23</v>
      </c>
    </row>
    <row r="165" spans="1:3">
      <c r="A165" s="196">
        <v>40</v>
      </c>
      <c r="B165" s="196">
        <v>7.1</v>
      </c>
      <c r="C165" s="196">
        <v>7.23</v>
      </c>
    </row>
    <row r="166" spans="1:3">
      <c r="A166" s="196">
        <v>40.25</v>
      </c>
      <c r="B166" s="196">
        <v>7.1</v>
      </c>
      <c r="C166" s="196">
        <v>7.23</v>
      </c>
    </row>
    <row r="167" spans="1:3">
      <c r="A167" s="196">
        <v>40.5</v>
      </c>
      <c r="B167" s="196">
        <v>7.1</v>
      </c>
      <c r="C167" s="196">
        <v>7.23</v>
      </c>
    </row>
    <row r="168" spans="1:3">
      <c r="A168" s="196">
        <v>40.75</v>
      </c>
      <c r="B168" s="196">
        <v>7.1</v>
      </c>
      <c r="C168" s="196">
        <v>7.23</v>
      </c>
    </row>
    <row r="169" spans="1:3">
      <c r="A169" s="196">
        <v>41</v>
      </c>
      <c r="B169" s="196">
        <v>7.1</v>
      </c>
      <c r="C169" s="196">
        <v>7.23</v>
      </c>
    </row>
    <row r="170" spans="1:3">
      <c r="A170" s="196">
        <v>41.25</v>
      </c>
      <c r="B170" s="196">
        <v>7.1</v>
      </c>
      <c r="C170" s="196">
        <v>7.23</v>
      </c>
    </row>
    <row r="171" spans="1:3">
      <c r="A171" s="196">
        <v>41.5</v>
      </c>
      <c r="B171" s="196">
        <v>7.1</v>
      </c>
      <c r="C171" s="196">
        <v>7.23</v>
      </c>
    </row>
    <row r="172" spans="1:3">
      <c r="A172" s="196">
        <v>41.75</v>
      </c>
      <c r="B172" s="196">
        <v>7.1</v>
      </c>
      <c r="C172" s="196">
        <v>7.23</v>
      </c>
    </row>
    <row r="173" spans="1:3">
      <c r="A173" s="196">
        <v>42</v>
      </c>
      <c r="B173" s="196">
        <v>7.1</v>
      </c>
      <c r="C173" s="196">
        <v>7.23</v>
      </c>
    </row>
    <row r="174" spans="1:3">
      <c r="A174" s="196">
        <v>42.25</v>
      </c>
      <c r="B174" s="196">
        <v>7.1</v>
      </c>
      <c r="C174" s="196">
        <v>7.23</v>
      </c>
    </row>
    <row r="175" spans="1:3">
      <c r="A175" s="196">
        <v>42.5</v>
      </c>
      <c r="B175" s="196">
        <v>7.1</v>
      </c>
      <c r="C175" s="196">
        <v>7.23</v>
      </c>
    </row>
    <row r="176" spans="1:3">
      <c r="A176" s="196">
        <v>42.75</v>
      </c>
      <c r="B176" s="196">
        <v>7.1</v>
      </c>
      <c r="C176" s="196">
        <v>7.23</v>
      </c>
    </row>
    <row r="177" spans="1:3">
      <c r="A177" s="196">
        <v>43</v>
      </c>
      <c r="B177" s="196">
        <v>7.1</v>
      </c>
      <c r="C177" s="196">
        <v>7.23</v>
      </c>
    </row>
    <row r="178" spans="1:3">
      <c r="A178" s="196">
        <v>43.25</v>
      </c>
      <c r="B178" s="196">
        <v>7.1</v>
      </c>
      <c r="C178" s="196">
        <v>7.23</v>
      </c>
    </row>
    <row r="179" spans="1:3">
      <c r="A179" s="196">
        <v>43.5</v>
      </c>
      <c r="B179" s="196">
        <v>7.1</v>
      </c>
      <c r="C179" s="196">
        <v>7.23</v>
      </c>
    </row>
    <row r="180" spans="1:3">
      <c r="A180" s="196">
        <v>43.75</v>
      </c>
      <c r="B180" s="196">
        <v>7.1</v>
      </c>
      <c r="C180" s="196">
        <v>7.23</v>
      </c>
    </row>
    <row r="181" spans="1:3">
      <c r="A181" s="196">
        <v>44</v>
      </c>
      <c r="B181" s="196">
        <v>7.1</v>
      </c>
      <c r="C181" s="196">
        <v>7.23</v>
      </c>
    </row>
    <row r="182" spans="1:3">
      <c r="A182" s="196">
        <v>44.25</v>
      </c>
      <c r="B182" s="196">
        <v>7.1</v>
      </c>
      <c r="C182" s="196">
        <v>7.23</v>
      </c>
    </row>
    <row r="183" spans="1:3">
      <c r="A183" s="196">
        <v>44.5</v>
      </c>
      <c r="B183" s="196">
        <v>7.1</v>
      </c>
      <c r="C183" s="196">
        <v>7.23</v>
      </c>
    </row>
    <row r="184" spans="1:3">
      <c r="A184" s="196">
        <v>44.75</v>
      </c>
      <c r="B184" s="196">
        <v>7.1</v>
      </c>
      <c r="C184" s="196">
        <v>7.23</v>
      </c>
    </row>
    <row r="185" spans="1:3">
      <c r="A185" s="196">
        <v>45</v>
      </c>
      <c r="B185" s="196">
        <v>7.1</v>
      </c>
      <c r="C185" s="196">
        <v>7.23</v>
      </c>
    </row>
    <row r="186" spans="1:3">
      <c r="A186" s="196">
        <v>45.25</v>
      </c>
      <c r="B186" s="196">
        <v>7.1</v>
      </c>
      <c r="C186" s="196">
        <v>7.22</v>
      </c>
    </row>
    <row r="187" spans="1:3">
      <c r="A187" s="196">
        <v>45.5</v>
      </c>
      <c r="B187" s="196">
        <v>7.1</v>
      </c>
      <c r="C187" s="196">
        <v>7.23</v>
      </c>
    </row>
    <row r="188" spans="1:3">
      <c r="A188" s="196">
        <v>45.75</v>
      </c>
      <c r="B188" s="196">
        <v>7.1</v>
      </c>
      <c r="C188" s="196">
        <v>7.22</v>
      </c>
    </row>
    <row r="189" spans="1:3">
      <c r="A189" s="196">
        <v>46</v>
      </c>
      <c r="B189" s="196">
        <v>7.1</v>
      </c>
      <c r="C189" s="196">
        <v>7.22</v>
      </c>
    </row>
    <row r="190" spans="1:3">
      <c r="A190" s="196">
        <v>46.25</v>
      </c>
      <c r="B190" s="196">
        <v>7.1</v>
      </c>
      <c r="C190" s="196">
        <v>7.22</v>
      </c>
    </row>
    <row r="191" spans="1:3">
      <c r="A191" s="196">
        <v>46.5</v>
      </c>
      <c r="B191" s="196">
        <v>7.1</v>
      </c>
      <c r="C191" s="196">
        <v>7.22</v>
      </c>
    </row>
    <row r="192" spans="1:3">
      <c r="A192" s="196">
        <v>46.75</v>
      </c>
      <c r="B192" s="196">
        <v>7.1</v>
      </c>
      <c r="C192" s="196">
        <v>7.22</v>
      </c>
    </row>
    <row r="193" spans="1:3">
      <c r="A193" s="196">
        <v>47</v>
      </c>
      <c r="B193" s="196">
        <v>7.1</v>
      </c>
      <c r="C193" s="196">
        <v>7.22</v>
      </c>
    </row>
    <row r="194" spans="1:3">
      <c r="A194" s="196">
        <v>47.25</v>
      </c>
      <c r="B194" s="196">
        <v>7.1</v>
      </c>
      <c r="C194" s="196">
        <v>7.22</v>
      </c>
    </row>
    <row r="195" spans="1:3">
      <c r="A195" s="196">
        <v>47.5</v>
      </c>
      <c r="B195" s="196">
        <v>7.1</v>
      </c>
      <c r="C195" s="196">
        <v>7.22</v>
      </c>
    </row>
    <row r="196" spans="1:3">
      <c r="A196" s="196">
        <v>47.75</v>
      </c>
      <c r="B196" s="196">
        <v>7.09</v>
      </c>
      <c r="C196" s="196">
        <v>7.22</v>
      </c>
    </row>
    <row r="197" spans="1:3">
      <c r="A197" s="196">
        <v>48</v>
      </c>
      <c r="B197" s="196">
        <v>7.1</v>
      </c>
      <c r="C197" s="196">
        <v>7.22</v>
      </c>
    </row>
    <row r="198" spans="1:3">
      <c r="A198" s="196">
        <v>48.25</v>
      </c>
      <c r="B198" s="196">
        <v>7.09</v>
      </c>
      <c r="C198" s="196">
        <v>7.22</v>
      </c>
    </row>
    <row r="199" spans="1:3">
      <c r="A199" s="196">
        <v>48.5</v>
      </c>
      <c r="B199" s="196">
        <v>7.09</v>
      </c>
      <c r="C199" s="196">
        <v>7.22</v>
      </c>
    </row>
    <row r="200" spans="1:3">
      <c r="A200" s="196">
        <v>48.75</v>
      </c>
      <c r="B200" s="196">
        <v>7.09</v>
      </c>
      <c r="C200" s="196">
        <v>7.22</v>
      </c>
    </row>
    <row r="201" spans="1:3">
      <c r="A201" s="196">
        <v>49</v>
      </c>
      <c r="B201" s="196">
        <v>7.09</v>
      </c>
      <c r="C201" s="196">
        <v>7.22</v>
      </c>
    </row>
    <row r="202" spans="1:3">
      <c r="A202" s="196">
        <v>49.25</v>
      </c>
      <c r="B202" s="196">
        <v>7.09</v>
      </c>
      <c r="C202" s="196">
        <v>7.22</v>
      </c>
    </row>
    <row r="203" spans="1:3">
      <c r="A203" s="196">
        <v>49.5</v>
      </c>
      <c r="B203" s="196">
        <v>7.09</v>
      </c>
      <c r="C203" s="196">
        <v>7.22</v>
      </c>
    </row>
    <row r="204" spans="1:3">
      <c r="A204" s="196">
        <v>49.75</v>
      </c>
      <c r="B204" s="196">
        <v>7.09</v>
      </c>
      <c r="C204" s="196">
        <v>7.22</v>
      </c>
    </row>
    <row r="205" spans="1:3">
      <c r="A205" s="196">
        <v>50</v>
      </c>
      <c r="B205" s="196">
        <v>7.09</v>
      </c>
      <c r="C205" s="196">
        <v>7.22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4158F-2910-463E-8688-F22ED28F347B}">
  <dimension ref="A1:C205"/>
  <sheetViews>
    <sheetView showGridLines="0" zoomScale="80" zoomScaleNormal="80" workbookViewId="0">
      <selection activeCell="C17" sqref="C17"/>
    </sheetView>
  </sheetViews>
  <sheetFormatPr defaultColWidth="8.796875" defaultRowHeight="13.3"/>
  <cols>
    <col min="1" max="1" width="13" style="2" customWidth="1"/>
    <col min="2" max="2" width="20.796875" style="2" customWidth="1"/>
    <col min="3" max="3" width="19.19921875" style="2" customWidth="1"/>
    <col min="4" max="16384" width="8.796875" style="2"/>
  </cols>
  <sheetData>
    <row r="1" spans="1:3" ht="21.05" customHeight="1">
      <c r="A1" s="189" t="s">
        <v>108</v>
      </c>
      <c r="B1" s="9"/>
      <c r="C1" s="9"/>
    </row>
    <row r="2" spans="1:3" ht="21.05" customHeight="1">
      <c r="A2" s="190"/>
      <c r="B2" s="9"/>
      <c r="C2" s="9"/>
    </row>
    <row r="3" spans="1:3" ht="21.05" customHeight="1">
      <c r="A3" s="191" t="s">
        <v>167</v>
      </c>
      <c r="B3" s="192"/>
      <c r="C3" s="191" t="s">
        <v>172</v>
      </c>
    </row>
    <row r="4" spans="1:3" ht="21.05" customHeight="1">
      <c r="A4" s="189"/>
      <c r="B4" s="9"/>
      <c r="C4" s="9"/>
    </row>
    <row r="5" spans="1:3" ht="34.5" customHeight="1">
      <c r="A5" s="193" t="s">
        <v>169</v>
      </c>
      <c r="B5" s="194" t="s">
        <v>170</v>
      </c>
      <c r="C5" s="195" t="s">
        <v>171</v>
      </c>
    </row>
    <row r="6" spans="1:3">
      <c r="A6" s="196">
        <v>0.25</v>
      </c>
      <c r="B6" s="196">
        <v>6.58</v>
      </c>
      <c r="C6" s="196">
        <v>6.68</v>
      </c>
    </row>
    <row r="7" spans="1:3">
      <c r="A7" s="196">
        <v>0.5</v>
      </c>
      <c r="B7" s="196">
        <v>6.76</v>
      </c>
      <c r="C7" s="196">
        <v>6.88</v>
      </c>
    </row>
    <row r="8" spans="1:3">
      <c r="A8" s="196">
        <v>0.75</v>
      </c>
      <c r="B8" s="196">
        <v>6.75</v>
      </c>
      <c r="C8" s="196">
        <v>6.87</v>
      </c>
    </row>
    <row r="9" spans="1:3">
      <c r="A9" s="196">
        <v>1</v>
      </c>
      <c r="B9" s="196">
        <v>6.77</v>
      </c>
      <c r="C9" s="196">
        <v>6.88</v>
      </c>
    </row>
    <row r="10" spans="1:3">
      <c r="A10" s="196">
        <v>1.25</v>
      </c>
      <c r="B10" s="196">
        <v>6.79</v>
      </c>
      <c r="C10" s="196">
        <v>6.91</v>
      </c>
    </row>
    <row r="11" spans="1:3">
      <c r="A11" s="196">
        <v>1.5</v>
      </c>
      <c r="B11" s="196">
        <v>6.84</v>
      </c>
      <c r="C11" s="196">
        <v>6.95</v>
      </c>
    </row>
    <row r="12" spans="1:3">
      <c r="A12" s="196">
        <v>1.75</v>
      </c>
      <c r="B12" s="196">
        <v>6.83</v>
      </c>
      <c r="C12" s="196">
        <v>6.95</v>
      </c>
    </row>
    <row r="13" spans="1:3">
      <c r="A13" s="196">
        <v>2</v>
      </c>
      <c r="B13" s="196">
        <v>6.83</v>
      </c>
      <c r="C13" s="196">
        <v>6.95</v>
      </c>
    </row>
    <row r="14" spans="1:3">
      <c r="A14" s="196">
        <v>2.25</v>
      </c>
      <c r="B14" s="196">
        <v>6.81</v>
      </c>
      <c r="C14" s="196">
        <v>6.93</v>
      </c>
    </row>
    <row r="15" spans="1:3">
      <c r="A15" s="196">
        <v>2.5</v>
      </c>
      <c r="B15" s="196">
        <v>6.81</v>
      </c>
      <c r="C15" s="196">
        <v>6.93</v>
      </c>
    </row>
    <row r="16" spans="1:3">
      <c r="A16" s="196">
        <v>2.75</v>
      </c>
      <c r="B16" s="196">
        <v>6.81</v>
      </c>
      <c r="C16" s="196">
        <v>6.93</v>
      </c>
    </row>
    <row r="17" spans="1:3">
      <c r="A17" s="196">
        <v>3</v>
      </c>
      <c r="B17" s="196">
        <v>6.82</v>
      </c>
      <c r="C17" s="196">
        <v>6.94</v>
      </c>
    </row>
    <row r="18" spans="1:3">
      <c r="A18" s="196">
        <v>3.25</v>
      </c>
      <c r="B18" s="196">
        <v>6.82</v>
      </c>
      <c r="C18" s="196">
        <v>6.94</v>
      </c>
    </row>
    <row r="19" spans="1:3">
      <c r="A19" s="196">
        <v>3.5</v>
      </c>
      <c r="B19" s="196">
        <v>6.83</v>
      </c>
      <c r="C19" s="196">
        <v>6.95</v>
      </c>
    </row>
    <row r="20" spans="1:3">
      <c r="A20" s="196">
        <v>3.75</v>
      </c>
      <c r="B20" s="196">
        <v>6.83</v>
      </c>
      <c r="C20" s="196">
        <v>6.95</v>
      </c>
    </row>
    <row r="21" spans="1:3">
      <c r="A21" s="196">
        <v>4</v>
      </c>
      <c r="B21" s="196">
        <v>6.83</v>
      </c>
      <c r="C21" s="196">
        <v>6.95</v>
      </c>
    </row>
    <row r="22" spans="1:3">
      <c r="A22" s="196">
        <v>4.25</v>
      </c>
      <c r="B22" s="196">
        <v>6.82</v>
      </c>
      <c r="C22" s="196">
        <v>6.94</v>
      </c>
    </row>
    <row r="23" spans="1:3">
      <c r="A23" s="196">
        <v>4.5</v>
      </c>
      <c r="B23" s="196">
        <v>6.82</v>
      </c>
      <c r="C23" s="196">
        <v>6.94</v>
      </c>
    </row>
    <row r="24" spans="1:3">
      <c r="A24" s="196">
        <v>4.75</v>
      </c>
      <c r="B24" s="196">
        <v>6.82</v>
      </c>
      <c r="C24" s="196">
        <v>6.94</v>
      </c>
    </row>
    <row r="25" spans="1:3">
      <c r="A25" s="196">
        <v>5</v>
      </c>
      <c r="B25" s="196">
        <v>6.84</v>
      </c>
      <c r="C25" s="196">
        <v>6.96</v>
      </c>
    </row>
    <row r="26" spans="1:3">
      <c r="A26" s="196">
        <v>5.25</v>
      </c>
      <c r="B26" s="196">
        <v>6.86</v>
      </c>
      <c r="C26" s="196">
        <v>6.97</v>
      </c>
    </row>
    <row r="27" spans="1:3">
      <c r="A27" s="196">
        <v>5.5</v>
      </c>
      <c r="B27" s="196">
        <v>6.88</v>
      </c>
      <c r="C27" s="196">
        <v>7</v>
      </c>
    </row>
    <row r="28" spans="1:3">
      <c r="A28" s="196">
        <v>5.75</v>
      </c>
      <c r="B28" s="196">
        <v>6.89</v>
      </c>
      <c r="C28" s="196">
        <v>7.01</v>
      </c>
    </row>
    <row r="29" spans="1:3">
      <c r="A29" s="196">
        <v>6</v>
      </c>
      <c r="B29" s="196">
        <v>6.89</v>
      </c>
      <c r="C29" s="196">
        <v>7.01</v>
      </c>
    </row>
    <row r="30" spans="1:3">
      <c r="A30" s="196">
        <v>6.25</v>
      </c>
      <c r="B30" s="196">
        <v>6.88</v>
      </c>
      <c r="C30" s="196">
        <v>7</v>
      </c>
    </row>
    <row r="31" spans="1:3">
      <c r="A31" s="196">
        <v>6.5</v>
      </c>
      <c r="B31" s="196">
        <v>6.88</v>
      </c>
      <c r="C31" s="196">
        <v>6.99</v>
      </c>
    </row>
    <row r="32" spans="1:3">
      <c r="A32" s="196">
        <v>6.75</v>
      </c>
      <c r="B32" s="196">
        <v>6.88</v>
      </c>
      <c r="C32" s="196">
        <v>6.99</v>
      </c>
    </row>
    <row r="33" spans="1:3">
      <c r="A33" s="196">
        <v>7</v>
      </c>
      <c r="B33" s="196">
        <v>6.89</v>
      </c>
      <c r="C33" s="196">
        <v>7.01</v>
      </c>
    </row>
    <row r="34" spans="1:3">
      <c r="A34" s="196">
        <v>7.25</v>
      </c>
      <c r="B34" s="196">
        <v>6.91</v>
      </c>
      <c r="C34" s="196">
        <v>7.03</v>
      </c>
    </row>
    <row r="35" spans="1:3">
      <c r="A35" s="196">
        <v>7.5</v>
      </c>
      <c r="B35" s="196">
        <v>6.93</v>
      </c>
      <c r="C35" s="196">
        <v>7.05</v>
      </c>
    </row>
    <row r="36" spans="1:3">
      <c r="A36" s="196">
        <v>7.75</v>
      </c>
      <c r="B36" s="196">
        <v>6.93</v>
      </c>
      <c r="C36" s="196">
        <v>7.05</v>
      </c>
    </row>
    <row r="37" spans="1:3">
      <c r="A37" s="196">
        <v>8</v>
      </c>
      <c r="B37" s="196">
        <v>6.94</v>
      </c>
      <c r="C37" s="196">
        <v>7.06</v>
      </c>
    </row>
    <row r="38" spans="1:3">
      <c r="A38" s="196">
        <v>8.25</v>
      </c>
      <c r="B38" s="196">
        <v>6.95</v>
      </c>
      <c r="C38" s="196">
        <v>7.07</v>
      </c>
    </row>
    <row r="39" spans="1:3">
      <c r="A39" s="196">
        <v>8.5</v>
      </c>
      <c r="B39" s="196">
        <v>6.96</v>
      </c>
      <c r="C39" s="196">
        <v>7.08</v>
      </c>
    </row>
    <row r="40" spans="1:3">
      <c r="A40" s="196">
        <v>8.75</v>
      </c>
      <c r="B40" s="196">
        <v>6.96</v>
      </c>
      <c r="C40" s="196">
        <v>7.08</v>
      </c>
    </row>
    <row r="41" spans="1:3">
      <c r="A41" s="196">
        <v>9</v>
      </c>
      <c r="B41" s="196">
        <v>6.95</v>
      </c>
      <c r="C41" s="196">
        <v>7.07</v>
      </c>
    </row>
    <row r="42" spans="1:3">
      <c r="A42" s="196">
        <v>9.25</v>
      </c>
      <c r="B42" s="196">
        <v>6.93</v>
      </c>
      <c r="C42" s="196">
        <v>7.05</v>
      </c>
    </row>
    <row r="43" spans="1:3">
      <c r="A43" s="196">
        <v>9.5</v>
      </c>
      <c r="B43" s="196">
        <v>6.92</v>
      </c>
      <c r="C43" s="196">
        <v>7.04</v>
      </c>
    </row>
    <row r="44" spans="1:3">
      <c r="A44" s="196">
        <v>9.75</v>
      </c>
      <c r="B44" s="196">
        <v>6.93</v>
      </c>
      <c r="C44" s="196">
        <v>7.05</v>
      </c>
    </row>
    <row r="45" spans="1:3">
      <c r="A45" s="196">
        <v>10</v>
      </c>
      <c r="B45" s="196">
        <v>6.96</v>
      </c>
      <c r="C45" s="196">
        <v>7.08</v>
      </c>
    </row>
    <row r="46" spans="1:3">
      <c r="A46" s="196">
        <v>10.25</v>
      </c>
      <c r="B46" s="196">
        <v>6.99</v>
      </c>
      <c r="C46" s="196">
        <v>7.11</v>
      </c>
    </row>
    <row r="47" spans="1:3">
      <c r="A47" s="196">
        <v>10.5</v>
      </c>
      <c r="B47" s="196">
        <v>7.01</v>
      </c>
      <c r="C47" s="196">
        <v>7.13</v>
      </c>
    </row>
    <row r="48" spans="1:3">
      <c r="A48" s="196">
        <v>10.75</v>
      </c>
      <c r="B48" s="196">
        <v>7.01</v>
      </c>
      <c r="C48" s="196">
        <v>7.13</v>
      </c>
    </row>
    <row r="49" spans="1:3">
      <c r="A49" s="196">
        <v>11</v>
      </c>
      <c r="B49" s="196">
        <v>7</v>
      </c>
      <c r="C49" s="196">
        <v>7.12</v>
      </c>
    </row>
    <row r="50" spans="1:3">
      <c r="A50" s="196">
        <v>11.25</v>
      </c>
      <c r="B50" s="196">
        <v>6.99</v>
      </c>
      <c r="C50" s="196">
        <v>7.11</v>
      </c>
    </row>
    <row r="51" spans="1:3">
      <c r="A51" s="196">
        <v>11.5</v>
      </c>
      <c r="B51" s="196">
        <v>6.99</v>
      </c>
      <c r="C51" s="196">
        <v>7.11</v>
      </c>
    </row>
    <row r="52" spans="1:3">
      <c r="A52" s="196">
        <v>11.75</v>
      </c>
      <c r="B52" s="196">
        <v>6.98</v>
      </c>
      <c r="C52" s="196">
        <v>7.1</v>
      </c>
    </row>
    <row r="53" spans="1:3">
      <c r="A53" s="196">
        <v>12</v>
      </c>
      <c r="B53" s="196">
        <v>6.98</v>
      </c>
      <c r="C53" s="196">
        <v>7.1</v>
      </c>
    </row>
    <row r="54" spans="1:3">
      <c r="A54" s="196">
        <v>12.25</v>
      </c>
      <c r="B54" s="196">
        <v>6.97</v>
      </c>
      <c r="C54" s="196">
        <v>7.1</v>
      </c>
    </row>
    <row r="55" spans="1:3">
      <c r="A55" s="196">
        <v>12.5</v>
      </c>
      <c r="B55" s="196">
        <v>6.98</v>
      </c>
      <c r="C55" s="196">
        <v>7.1</v>
      </c>
    </row>
    <row r="56" spans="1:3">
      <c r="A56" s="196">
        <v>12.75</v>
      </c>
      <c r="B56" s="196">
        <v>6.98</v>
      </c>
      <c r="C56" s="196">
        <v>7.1</v>
      </c>
    </row>
    <row r="57" spans="1:3">
      <c r="A57" s="196">
        <v>13</v>
      </c>
      <c r="B57" s="196">
        <v>6.98</v>
      </c>
      <c r="C57" s="196">
        <v>7.1</v>
      </c>
    </row>
    <row r="58" spans="1:3">
      <c r="A58" s="196">
        <v>13.25</v>
      </c>
      <c r="B58" s="196">
        <v>6.98</v>
      </c>
      <c r="C58" s="196">
        <v>7.1</v>
      </c>
    </row>
    <row r="59" spans="1:3">
      <c r="A59" s="196">
        <v>13.5</v>
      </c>
      <c r="B59" s="196">
        <v>6.99</v>
      </c>
      <c r="C59" s="196">
        <v>7.11</v>
      </c>
    </row>
    <row r="60" spans="1:3">
      <c r="A60" s="196">
        <v>13.75</v>
      </c>
      <c r="B60" s="196">
        <v>6.99</v>
      </c>
      <c r="C60" s="196">
        <v>7.11</v>
      </c>
    </row>
    <row r="61" spans="1:3">
      <c r="A61" s="196">
        <v>14</v>
      </c>
      <c r="B61" s="196">
        <v>6.99</v>
      </c>
      <c r="C61" s="196">
        <v>7.11</v>
      </c>
    </row>
    <row r="62" spans="1:3">
      <c r="A62" s="196">
        <v>14.25</v>
      </c>
      <c r="B62" s="196">
        <v>6.99</v>
      </c>
      <c r="C62" s="196">
        <v>7.11</v>
      </c>
    </row>
    <row r="63" spans="1:3">
      <c r="A63" s="196">
        <v>14.5</v>
      </c>
      <c r="B63" s="196">
        <v>7</v>
      </c>
      <c r="C63" s="196">
        <v>7.12</v>
      </c>
    </row>
    <row r="64" spans="1:3">
      <c r="A64" s="196">
        <v>14.75</v>
      </c>
      <c r="B64" s="196">
        <v>7</v>
      </c>
      <c r="C64" s="196">
        <v>7.12</v>
      </c>
    </row>
    <row r="65" spans="1:3">
      <c r="A65" s="196">
        <v>15</v>
      </c>
      <c r="B65" s="196">
        <v>7</v>
      </c>
      <c r="C65" s="196">
        <v>7.12</v>
      </c>
    </row>
    <row r="66" spans="1:3">
      <c r="A66" s="196">
        <v>15.25</v>
      </c>
      <c r="B66" s="196">
        <v>7</v>
      </c>
      <c r="C66" s="196">
        <v>7.12</v>
      </c>
    </row>
    <row r="67" spans="1:3">
      <c r="A67" s="196">
        <v>15.5</v>
      </c>
      <c r="B67" s="196">
        <v>7</v>
      </c>
      <c r="C67" s="196">
        <v>7.12</v>
      </c>
    </row>
    <row r="68" spans="1:3">
      <c r="A68" s="196">
        <v>15.75</v>
      </c>
      <c r="B68" s="196">
        <v>7</v>
      </c>
      <c r="C68" s="196">
        <v>7.12</v>
      </c>
    </row>
    <row r="69" spans="1:3">
      <c r="A69" s="196">
        <v>16</v>
      </c>
      <c r="B69" s="196">
        <v>7</v>
      </c>
      <c r="C69" s="196">
        <v>7.13</v>
      </c>
    </row>
    <row r="70" spans="1:3">
      <c r="A70" s="196">
        <v>16.25</v>
      </c>
      <c r="B70" s="196">
        <v>7</v>
      </c>
      <c r="C70" s="196">
        <v>7.13</v>
      </c>
    </row>
    <row r="71" spans="1:3">
      <c r="A71" s="196">
        <v>16.5</v>
      </c>
      <c r="B71" s="196">
        <v>7.01</v>
      </c>
      <c r="C71" s="196">
        <v>7.13</v>
      </c>
    </row>
    <row r="72" spans="1:3">
      <c r="A72" s="196">
        <v>16.75</v>
      </c>
      <c r="B72" s="196">
        <v>7.01</v>
      </c>
      <c r="C72" s="196">
        <v>7.13</v>
      </c>
    </row>
    <row r="73" spans="1:3">
      <c r="A73" s="196">
        <v>17</v>
      </c>
      <c r="B73" s="196">
        <v>7.01</v>
      </c>
      <c r="C73" s="196">
        <v>7.13</v>
      </c>
    </row>
    <row r="74" spans="1:3">
      <c r="A74" s="196">
        <v>17.25</v>
      </c>
      <c r="B74" s="196">
        <v>7.01</v>
      </c>
      <c r="C74" s="196">
        <v>7.13</v>
      </c>
    </row>
    <row r="75" spans="1:3">
      <c r="A75" s="196">
        <v>17.5</v>
      </c>
      <c r="B75" s="196">
        <v>7.01</v>
      </c>
      <c r="C75" s="196">
        <v>7.13</v>
      </c>
    </row>
    <row r="76" spans="1:3">
      <c r="A76" s="196">
        <v>17.75</v>
      </c>
      <c r="B76" s="196">
        <v>7.01</v>
      </c>
      <c r="C76" s="196">
        <v>7.13</v>
      </c>
    </row>
    <row r="77" spans="1:3">
      <c r="A77" s="196">
        <v>18</v>
      </c>
      <c r="B77" s="196">
        <v>7.01</v>
      </c>
      <c r="C77" s="196">
        <v>7.14</v>
      </c>
    </row>
    <row r="78" spans="1:3">
      <c r="A78" s="196">
        <v>18.25</v>
      </c>
      <c r="B78" s="196">
        <v>7.01</v>
      </c>
      <c r="C78" s="196">
        <v>7.14</v>
      </c>
    </row>
    <row r="79" spans="1:3">
      <c r="A79" s="196">
        <v>18.5</v>
      </c>
      <c r="B79" s="196">
        <v>7.02</v>
      </c>
      <c r="C79" s="196">
        <v>7.14</v>
      </c>
    </row>
    <row r="80" spans="1:3">
      <c r="A80" s="196">
        <v>18.75</v>
      </c>
      <c r="B80" s="196">
        <v>7.01</v>
      </c>
      <c r="C80" s="196">
        <v>7.14</v>
      </c>
    </row>
    <row r="81" spans="1:3">
      <c r="A81" s="196">
        <v>19</v>
      </c>
      <c r="B81" s="196">
        <v>7.02</v>
      </c>
      <c r="C81" s="196">
        <v>7.14</v>
      </c>
    </row>
    <row r="82" spans="1:3">
      <c r="A82" s="196">
        <v>19.25</v>
      </c>
      <c r="B82" s="196">
        <v>7.02</v>
      </c>
      <c r="C82" s="196">
        <v>7.14</v>
      </c>
    </row>
    <row r="83" spans="1:3">
      <c r="A83" s="196">
        <v>19.5</v>
      </c>
      <c r="B83" s="196">
        <v>7.02</v>
      </c>
      <c r="C83" s="196">
        <v>7.14</v>
      </c>
    </row>
    <row r="84" spans="1:3">
      <c r="A84" s="196">
        <v>19.75</v>
      </c>
      <c r="B84" s="196">
        <v>7.02</v>
      </c>
      <c r="C84" s="196">
        <v>7.14</v>
      </c>
    </row>
    <row r="85" spans="1:3">
      <c r="A85" s="196">
        <v>20</v>
      </c>
      <c r="B85" s="196">
        <v>7.02</v>
      </c>
      <c r="C85" s="196">
        <v>7.14</v>
      </c>
    </row>
    <row r="86" spans="1:3">
      <c r="A86" s="196">
        <v>20.25</v>
      </c>
      <c r="B86" s="196">
        <v>7.02</v>
      </c>
      <c r="C86" s="196">
        <v>7.14</v>
      </c>
    </row>
    <row r="87" spans="1:3">
      <c r="A87" s="196">
        <v>20.5</v>
      </c>
      <c r="B87" s="196">
        <v>7.02</v>
      </c>
      <c r="C87" s="196">
        <v>7.14</v>
      </c>
    </row>
    <row r="88" spans="1:3">
      <c r="A88" s="196">
        <v>20.75</v>
      </c>
      <c r="B88" s="196">
        <v>7.02</v>
      </c>
      <c r="C88" s="196">
        <v>7.14</v>
      </c>
    </row>
    <row r="89" spans="1:3">
      <c r="A89" s="196">
        <v>21</v>
      </c>
      <c r="B89" s="196">
        <v>7.02</v>
      </c>
      <c r="C89" s="196">
        <v>7.14</v>
      </c>
    </row>
    <row r="90" spans="1:3">
      <c r="A90" s="196">
        <v>21.25</v>
      </c>
      <c r="B90" s="196">
        <v>7.02</v>
      </c>
      <c r="C90" s="196">
        <v>7.14</v>
      </c>
    </row>
    <row r="91" spans="1:3">
      <c r="A91" s="196">
        <v>21.5</v>
      </c>
      <c r="B91" s="196">
        <v>7.02</v>
      </c>
      <c r="C91" s="196">
        <v>7.15</v>
      </c>
    </row>
    <row r="92" spans="1:3">
      <c r="A92" s="196">
        <v>21.75</v>
      </c>
      <c r="B92" s="196">
        <v>7.02</v>
      </c>
      <c r="C92" s="196">
        <v>7.14</v>
      </c>
    </row>
    <row r="93" spans="1:3">
      <c r="A93" s="196">
        <v>22</v>
      </c>
      <c r="B93" s="196">
        <v>7.02</v>
      </c>
      <c r="C93" s="196">
        <v>7.15</v>
      </c>
    </row>
    <row r="94" spans="1:3">
      <c r="A94" s="196">
        <v>22.25</v>
      </c>
      <c r="B94" s="196">
        <v>7.02</v>
      </c>
      <c r="C94" s="196">
        <v>7.14</v>
      </c>
    </row>
    <row r="95" spans="1:3">
      <c r="A95" s="196">
        <v>22.5</v>
      </c>
      <c r="B95" s="196">
        <v>7.02</v>
      </c>
      <c r="C95" s="196">
        <v>7.15</v>
      </c>
    </row>
    <row r="96" spans="1:3">
      <c r="A96" s="196">
        <v>22.75</v>
      </c>
      <c r="B96" s="196">
        <v>7.02</v>
      </c>
      <c r="C96" s="196">
        <v>7.15</v>
      </c>
    </row>
    <row r="97" spans="1:3">
      <c r="A97" s="196">
        <v>23</v>
      </c>
      <c r="B97" s="196">
        <v>7.02</v>
      </c>
      <c r="C97" s="196">
        <v>7.15</v>
      </c>
    </row>
    <row r="98" spans="1:3">
      <c r="A98" s="196">
        <v>23.25</v>
      </c>
      <c r="B98" s="196">
        <v>7.02</v>
      </c>
      <c r="C98" s="196">
        <v>7.15</v>
      </c>
    </row>
    <row r="99" spans="1:3">
      <c r="A99" s="196">
        <v>23.5</v>
      </c>
      <c r="B99" s="196">
        <v>7.02</v>
      </c>
      <c r="C99" s="196">
        <v>7.15</v>
      </c>
    </row>
    <row r="100" spans="1:3">
      <c r="A100" s="196">
        <v>23.75</v>
      </c>
      <c r="B100" s="196">
        <v>7.02</v>
      </c>
      <c r="C100" s="196">
        <v>7.15</v>
      </c>
    </row>
    <row r="101" spans="1:3">
      <c r="A101" s="196">
        <v>24</v>
      </c>
      <c r="B101" s="196">
        <v>7.03</v>
      </c>
      <c r="C101" s="196">
        <v>7.15</v>
      </c>
    </row>
    <row r="102" spans="1:3">
      <c r="A102" s="196">
        <v>24.25</v>
      </c>
      <c r="B102" s="196">
        <v>7.03</v>
      </c>
      <c r="C102" s="196">
        <v>7.15</v>
      </c>
    </row>
    <row r="103" spans="1:3">
      <c r="A103" s="196">
        <v>24.5</v>
      </c>
      <c r="B103" s="196">
        <v>7.03</v>
      </c>
      <c r="C103" s="196">
        <v>7.15</v>
      </c>
    </row>
    <row r="104" spans="1:3">
      <c r="A104" s="196">
        <v>24.75</v>
      </c>
      <c r="B104" s="196">
        <v>7.03</v>
      </c>
      <c r="C104" s="196">
        <v>7.15</v>
      </c>
    </row>
    <row r="105" spans="1:3">
      <c r="A105" s="196">
        <v>25</v>
      </c>
      <c r="B105" s="196">
        <v>7.03</v>
      </c>
      <c r="C105" s="196">
        <v>7.15</v>
      </c>
    </row>
    <row r="106" spans="1:3">
      <c r="A106" s="196">
        <v>25.25</v>
      </c>
      <c r="B106" s="196">
        <v>7.03</v>
      </c>
      <c r="C106" s="196">
        <v>7.15</v>
      </c>
    </row>
    <row r="107" spans="1:3">
      <c r="A107" s="196">
        <v>25.5</v>
      </c>
      <c r="B107" s="196">
        <v>7.03</v>
      </c>
      <c r="C107" s="196">
        <v>7.15</v>
      </c>
    </row>
    <row r="108" spans="1:3">
      <c r="A108" s="196">
        <v>25.75</v>
      </c>
      <c r="B108" s="196">
        <v>7.03</v>
      </c>
      <c r="C108" s="196">
        <v>7.15</v>
      </c>
    </row>
    <row r="109" spans="1:3">
      <c r="A109" s="196">
        <v>26</v>
      </c>
      <c r="B109" s="196">
        <v>7.03</v>
      </c>
      <c r="C109" s="196">
        <v>7.16</v>
      </c>
    </row>
    <row r="110" spans="1:3">
      <c r="A110" s="196">
        <v>26.25</v>
      </c>
      <c r="B110" s="196">
        <v>7.03</v>
      </c>
      <c r="C110" s="196">
        <v>7.16</v>
      </c>
    </row>
    <row r="111" spans="1:3">
      <c r="A111" s="196">
        <v>26.5</v>
      </c>
      <c r="B111" s="196">
        <v>7.03</v>
      </c>
      <c r="C111" s="196">
        <v>7.16</v>
      </c>
    </row>
    <row r="112" spans="1:3">
      <c r="A112" s="196">
        <v>26.75</v>
      </c>
      <c r="B112" s="196">
        <v>7.03</v>
      </c>
      <c r="C112" s="196">
        <v>7.16</v>
      </c>
    </row>
    <row r="113" spans="1:3">
      <c r="A113" s="196">
        <v>27</v>
      </c>
      <c r="B113" s="196">
        <v>7.04</v>
      </c>
      <c r="C113" s="196">
        <v>7.16</v>
      </c>
    </row>
    <row r="114" spans="1:3">
      <c r="A114" s="196">
        <v>27.25</v>
      </c>
      <c r="B114" s="196">
        <v>7.04</v>
      </c>
      <c r="C114" s="196">
        <v>7.16</v>
      </c>
    </row>
    <row r="115" spans="1:3">
      <c r="A115" s="196">
        <v>27.5</v>
      </c>
      <c r="B115" s="196">
        <v>7.04</v>
      </c>
      <c r="C115" s="196">
        <v>7.16</v>
      </c>
    </row>
    <row r="116" spans="1:3">
      <c r="A116" s="196">
        <v>27.75</v>
      </c>
      <c r="B116" s="196">
        <v>7.04</v>
      </c>
      <c r="C116" s="196">
        <v>7.16</v>
      </c>
    </row>
    <row r="117" spans="1:3">
      <c r="A117" s="196">
        <v>28</v>
      </c>
      <c r="B117" s="196">
        <v>7.04</v>
      </c>
      <c r="C117" s="196">
        <v>7.16</v>
      </c>
    </row>
    <row r="118" spans="1:3">
      <c r="A118" s="196">
        <v>28.25</v>
      </c>
      <c r="B118" s="196">
        <v>7.04</v>
      </c>
      <c r="C118" s="196">
        <v>7.16</v>
      </c>
    </row>
    <row r="119" spans="1:3">
      <c r="A119" s="196">
        <v>28.5</v>
      </c>
      <c r="B119" s="196">
        <v>7.04</v>
      </c>
      <c r="C119" s="196">
        <v>7.17</v>
      </c>
    </row>
    <row r="120" spans="1:3">
      <c r="A120" s="196">
        <v>28.75</v>
      </c>
      <c r="B120" s="196">
        <v>7.04</v>
      </c>
      <c r="C120" s="196">
        <v>7.16</v>
      </c>
    </row>
    <row r="121" spans="1:3">
      <c r="A121" s="196">
        <v>29</v>
      </c>
      <c r="B121" s="196">
        <v>7.04</v>
      </c>
      <c r="C121" s="196">
        <v>7.17</v>
      </c>
    </row>
    <row r="122" spans="1:3">
      <c r="A122" s="196">
        <v>29.25</v>
      </c>
      <c r="B122" s="196">
        <v>7.04</v>
      </c>
      <c r="C122" s="196">
        <v>7.16</v>
      </c>
    </row>
    <row r="123" spans="1:3">
      <c r="A123" s="196">
        <v>29.5</v>
      </c>
      <c r="B123" s="196">
        <v>7.04</v>
      </c>
      <c r="C123" s="196">
        <v>7.17</v>
      </c>
    </row>
    <row r="124" spans="1:3">
      <c r="A124" s="196">
        <v>29.75</v>
      </c>
      <c r="B124" s="196">
        <v>7.04</v>
      </c>
      <c r="C124" s="196">
        <v>7.16</v>
      </c>
    </row>
    <row r="125" spans="1:3">
      <c r="A125" s="196">
        <v>30</v>
      </c>
      <c r="B125" s="196">
        <v>7.04</v>
      </c>
      <c r="C125" s="196">
        <v>7.17</v>
      </c>
    </row>
    <row r="126" spans="1:3">
      <c r="A126" s="196">
        <v>30.25</v>
      </c>
      <c r="B126" s="196">
        <v>7.04</v>
      </c>
      <c r="C126" s="196">
        <v>7.16</v>
      </c>
    </row>
    <row r="127" spans="1:3">
      <c r="A127" s="196">
        <v>30.5</v>
      </c>
      <c r="B127" s="196">
        <v>7.04</v>
      </c>
      <c r="C127" s="196">
        <v>7.17</v>
      </c>
    </row>
    <row r="128" spans="1:3">
      <c r="A128" s="196">
        <v>30.75</v>
      </c>
      <c r="B128" s="196">
        <v>7.04</v>
      </c>
      <c r="C128" s="196">
        <v>7.16</v>
      </c>
    </row>
    <row r="129" spans="1:3">
      <c r="A129" s="196">
        <v>31</v>
      </c>
      <c r="B129" s="196">
        <v>7.04</v>
      </c>
      <c r="C129" s="196">
        <v>7.17</v>
      </c>
    </row>
    <row r="130" spans="1:3">
      <c r="A130" s="196">
        <v>31.25</v>
      </c>
      <c r="B130" s="196">
        <v>7.04</v>
      </c>
      <c r="C130" s="196">
        <v>7.17</v>
      </c>
    </row>
    <row r="131" spans="1:3">
      <c r="A131" s="196">
        <v>31.5</v>
      </c>
      <c r="B131" s="196">
        <v>7.04</v>
      </c>
      <c r="C131" s="196">
        <v>7.17</v>
      </c>
    </row>
    <row r="132" spans="1:3">
      <c r="A132" s="196">
        <v>31.75</v>
      </c>
      <c r="B132" s="196">
        <v>7.04</v>
      </c>
      <c r="C132" s="196">
        <v>7.17</v>
      </c>
    </row>
    <row r="133" spans="1:3">
      <c r="A133" s="196">
        <v>32</v>
      </c>
      <c r="B133" s="196">
        <v>7.05</v>
      </c>
      <c r="C133" s="196">
        <v>7.17</v>
      </c>
    </row>
    <row r="134" spans="1:3">
      <c r="A134" s="196">
        <v>32.25</v>
      </c>
      <c r="B134" s="196">
        <v>7.05</v>
      </c>
      <c r="C134" s="196">
        <v>7.17</v>
      </c>
    </row>
    <row r="135" spans="1:3">
      <c r="A135" s="196">
        <v>32.5</v>
      </c>
      <c r="B135" s="196">
        <v>7.05</v>
      </c>
      <c r="C135" s="196">
        <v>7.17</v>
      </c>
    </row>
    <row r="136" spans="1:3">
      <c r="A136" s="196">
        <v>32.75</v>
      </c>
      <c r="B136" s="196">
        <v>7.05</v>
      </c>
      <c r="C136" s="196">
        <v>7.17</v>
      </c>
    </row>
    <row r="137" spans="1:3">
      <c r="A137" s="196">
        <v>33</v>
      </c>
      <c r="B137" s="196">
        <v>7.05</v>
      </c>
      <c r="C137" s="196">
        <v>7.17</v>
      </c>
    </row>
    <row r="138" spans="1:3">
      <c r="A138" s="196">
        <v>33.25</v>
      </c>
      <c r="B138" s="196">
        <v>7.05</v>
      </c>
      <c r="C138" s="196">
        <v>7.18</v>
      </c>
    </row>
    <row r="139" spans="1:3">
      <c r="A139" s="196">
        <v>33.5</v>
      </c>
      <c r="B139" s="196">
        <v>7.05</v>
      </c>
      <c r="C139" s="196">
        <v>7.18</v>
      </c>
    </row>
    <row r="140" spans="1:3">
      <c r="A140" s="196">
        <v>33.75</v>
      </c>
      <c r="B140" s="196">
        <v>7.05</v>
      </c>
      <c r="C140" s="196">
        <v>7.18</v>
      </c>
    </row>
    <row r="141" spans="1:3">
      <c r="A141" s="196">
        <v>34</v>
      </c>
      <c r="B141" s="196">
        <v>7.06</v>
      </c>
      <c r="C141" s="196">
        <v>7.18</v>
      </c>
    </row>
    <row r="142" spans="1:3">
      <c r="A142" s="196">
        <v>34.25</v>
      </c>
      <c r="B142" s="196">
        <v>7.06</v>
      </c>
      <c r="C142" s="196">
        <v>7.18</v>
      </c>
    </row>
    <row r="143" spans="1:3">
      <c r="A143" s="196">
        <v>34.5</v>
      </c>
      <c r="B143" s="196">
        <v>7.06</v>
      </c>
      <c r="C143" s="196">
        <v>7.19</v>
      </c>
    </row>
    <row r="144" spans="1:3">
      <c r="A144" s="196">
        <v>34.75</v>
      </c>
      <c r="B144" s="196">
        <v>7.06</v>
      </c>
      <c r="C144" s="196">
        <v>7.19</v>
      </c>
    </row>
    <row r="145" spans="1:3">
      <c r="A145" s="196">
        <v>35</v>
      </c>
      <c r="B145" s="196">
        <v>7.06</v>
      </c>
      <c r="C145" s="196">
        <v>7.19</v>
      </c>
    </row>
    <row r="146" spans="1:3">
      <c r="A146" s="196">
        <v>35.25</v>
      </c>
      <c r="B146" s="196">
        <v>7.06</v>
      </c>
      <c r="C146" s="196">
        <v>7.19</v>
      </c>
    </row>
    <row r="147" spans="1:3">
      <c r="A147" s="196">
        <v>35.5</v>
      </c>
      <c r="B147" s="196">
        <v>7.07</v>
      </c>
      <c r="C147" s="196">
        <v>7.19</v>
      </c>
    </row>
    <row r="148" spans="1:3">
      <c r="A148" s="196">
        <v>35.75</v>
      </c>
      <c r="B148" s="196">
        <v>7.07</v>
      </c>
      <c r="C148" s="196">
        <v>7.19</v>
      </c>
    </row>
    <row r="149" spans="1:3">
      <c r="A149" s="196">
        <v>36</v>
      </c>
      <c r="B149" s="196">
        <v>7.07</v>
      </c>
      <c r="C149" s="196">
        <v>7.2</v>
      </c>
    </row>
    <row r="150" spans="1:3">
      <c r="A150" s="196">
        <v>36.25</v>
      </c>
      <c r="B150" s="196">
        <v>7.07</v>
      </c>
      <c r="C150" s="196">
        <v>7.2</v>
      </c>
    </row>
    <row r="151" spans="1:3">
      <c r="A151" s="196">
        <v>36.5</v>
      </c>
      <c r="B151" s="196">
        <v>7.08</v>
      </c>
      <c r="C151" s="196">
        <v>7.2</v>
      </c>
    </row>
    <row r="152" spans="1:3">
      <c r="A152" s="196">
        <v>36.75</v>
      </c>
      <c r="B152" s="196">
        <v>7.08</v>
      </c>
      <c r="C152" s="196">
        <v>7.2</v>
      </c>
    </row>
    <row r="153" spans="1:3">
      <c r="A153" s="196">
        <v>37</v>
      </c>
      <c r="B153" s="196">
        <v>7.08</v>
      </c>
      <c r="C153" s="196">
        <v>7.2</v>
      </c>
    </row>
    <row r="154" spans="1:3">
      <c r="A154" s="196">
        <v>37.25</v>
      </c>
      <c r="B154" s="196">
        <v>7.08</v>
      </c>
      <c r="C154" s="196">
        <v>7.2</v>
      </c>
    </row>
    <row r="155" spans="1:3">
      <c r="A155" s="196">
        <v>37.5</v>
      </c>
      <c r="B155" s="196">
        <v>7.08</v>
      </c>
      <c r="C155" s="196">
        <v>7.21</v>
      </c>
    </row>
    <row r="156" spans="1:3">
      <c r="A156" s="196">
        <v>37.75</v>
      </c>
      <c r="B156" s="196">
        <v>7.08</v>
      </c>
      <c r="C156" s="196">
        <v>7.21</v>
      </c>
    </row>
    <row r="157" spans="1:3">
      <c r="A157" s="196">
        <v>38</v>
      </c>
      <c r="B157" s="196">
        <v>7.08</v>
      </c>
      <c r="C157" s="196">
        <v>7.21</v>
      </c>
    </row>
    <row r="158" spans="1:3">
      <c r="A158" s="196">
        <v>38.25</v>
      </c>
      <c r="B158" s="196">
        <v>7.09</v>
      </c>
      <c r="C158" s="196">
        <v>7.21</v>
      </c>
    </row>
    <row r="159" spans="1:3">
      <c r="A159" s="196">
        <v>38.5</v>
      </c>
      <c r="B159" s="196">
        <v>7.09</v>
      </c>
      <c r="C159" s="196">
        <v>7.21</v>
      </c>
    </row>
    <row r="160" spans="1:3">
      <c r="A160" s="196">
        <v>38.75</v>
      </c>
      <c r="B160" s="196">
        <v>7.09</v>
      </c>
      <c r="C160" s="196">
        <v>7.21</v>
      </c>
    </row>
    <row r="161" spans="1:3">
      <c r="A161" s="196">
        <v>39</v>
      </c>
      <c r="B161" s="196">
        <v>7.09</v>
      </c>
      <c r="C161" s="196">
        <v>7.22</v>
      </c>
    </row>
    <row r="162" spans="1:3">
      <c r="A162" s="196">
        <v>39.25</v>
      </c>
      <c r="B162" s="196">
        <v>7.09</v>
      </c>
      <c r="C162" s="196">
        <v>7.22</v>
      </c>
    </row>
    <row r="163" spans="1:3">
      <c r="A163" s="196">
        <v>39.5</v>
      </c>
      <c r="B163" s="196">
        <v>7.09</v>
      </c>
      <c r="C163" s="196">
        <v>7.22</v>
      </c>
    </row>
    <row r="164" spans="1:3">
      <c r="A164" s="196">
        <v>39.75</v>
      </c>
      <c r="B164" s="196">
        <v>7.09</v>
      </c>
      <c r="C164" s="196">
        <v>7.22</v>
      </c>
    </row>
    <row r="165" spans="1:3">
      <c r="A165" s="196">
        <v>40</v>
      </c>
      <c r="B165" s="196">
        <v>7.09</v>
      </c>
      <c r="C165" s="196">
        <v>7.22</v>
      </c>
    </row>
    <row r="166" spans="1:3">
      <c r="A166" s="196">
        <v>40.25</v>
      </c>
      <c r="B166" s="196">
        <v>7.09</v>
      </c>
      <c r="C166" s="196">
        <v>7.22</v>
      </c>
    </row>
    <row r="167" spans="1:3">
      <c r="A167" s="196">
        <v>40.5</v>
      </c>
      <c r="B167" s="196">
        <v>7.1</v>
      </c>
      <c r="C167" s="196">
        <v>7.22</v>
      </c>
    </row>
    <row r="168" spans="1:3">
      <c r="A168" s="196">
        <v>40.75</v>
      </c>
      <c r="B168" s="196">
        <v>7.09</v>
      </c>
      <c r="C168" s="196">
        <v>7.22</v>
      </c>
    </row>
    <row r="169" spans="1:3">
      <c r="A169" s="196">
        <v>41</v>
      </c>
      <c r="B169" s="196">
        <v>7.1</v>
      </c>
      <c r="C169" s="196">
        <v>7.22</v>
      </c>
    </row>
    <row r="170" spans="1:3">
      <c r="A170" s="196">
        <v>41.25</v>
      </c>
      <c r="B170" s="196">
        <v>7.1</v>
      </c>
      <c r="C170" s="196">
        <v>7.22</v>
      </c>
    </row>
    <row r="171" spans="1:3">
      <c r="A171" s="196">
        <v>41.5</v>
      </c>
      <c r="B171" s="196">
        <v>7.1</v>
      </c>
      <c r="C171" s="196">
        <v>7.22</v>
      </c>
    </row>
    <row r="172" spans="1:3">
      <c r="A172" s="196">
        <v>41.75</v>
      </c>
      <c r="B172" s="196">
        <v>7.1</v>
      </c>
      <c r="C172" s="196">
        <v>7.22</v>
      </c>
    </row>
    <row r="173" spans="1:3">
      <c r="A173" s="196">
        <v>42</v>
      </c>
      <c r="B173" s="196">
        <v>7.1</v>
      </c>
      <c r="C173" s="196">
        <v>7.22</v>
      </c>
    </row>
    <row r="174" spans="1:3">
      <c r="A174" s="196">
        <v>42.25</v>
      </c>
      <c r="B174" s="196">
        <v>7.1</v>
      </c>
      <c r="C174" s="196">
        <v>7.22</v>
      </c>
    </row>
    <row r="175" spans="1:3">
      <c r="A175" s="196">
        <v>42.5</v>
      </c>
      <c r="B175" s="196">
        <v>7.1</v>
      </c>
      <c r="C175" s="196">
        <v>7.23</v>
      </c>
    </row>
    <row r="176" spans="1:3">
      <c r="A176" s="196">
        <v>42.75</v>
      </c>
      <c r="B176" s="196">
        <v>7.1</v>
      </c>
      <c r="C176" s="196">
        <v>7.22</v>
      </c>
    </row>
    <row r="177" spans="1:3">
      <c r="A177" s="196">
        <v>43</v>
      </c>
      <c r="B177" s="196">
        <v>7.1</v>
      </c>
      <c r="C177" s="196">
        <v>7.23</v>
      </c>
    </row>
    <row r="178" spans="1:3">
      <c r="A178" s="196">
        <v>43.25</v>
      </c>
      <c r="B178" s="196">
        <v>7.1</v>
      </c>
      <c r="C178" s="196">
        <v>7.22</v>
      </c>
    </row>
    <row r="179" spans="1:3">
      <c r="A179" s="196">
        <v>43.5</v>
      </c>
      <c r="B179" s="196">
        <v>7.1</v>
      </c>
      <c r="C179" s="196">
        <v>7.23</v>
      </c>
    </row>
    <row r="180" spans="1:3">
      <c r="A180" s="196">
        <v>43.75</v>
      </c>
      <c r="B180" s="196">
        <v>7.1</v>
      </c>
      <c r="C180" s="196">
        <v>7.22</v>
      </c>
    </row>
    <row r="181" spans="1:3">
      <c r="A181" s="196">
        <v>44</v>
      </c>
      <c r="B181" s="196">
        <v>7.1</v>
      </c>
      <c r="C181" s="196">
        <v>7.23</v>
      </c>
    </row>
    <row r="182" spans="1:3">
      <c r="A182" s="196">
        <v>44.25</v>
      </c>
      <c r="B182" s="196">
        <v>7.1</v>
      </c>
      <c r="C182" s="196">
        <v>7.23</v>
      </c>
    </row>
    <row r="183" spans="1:3">
      <c r="A183" s="196">
        <v>44.5</v>
      </c>
      <c r="B183" s="196">
        <v>7.1</v>
      </c>
      <c r="C183" s="196">
        <v>7.23</v>
      </c>
    </row>
    <row r="184" spans="1:3">
      <c r="A184" s="196">
        <v>44.75</v>
      </c>
      <c r="B184" s="196">
        <v>7.1</v>
      </c>
      <c r="C184" s="196">
        <v>7.23</v>
      </c>
    </row>
    <row r="185" spans="1:3">
      <c r="A185" s="196">
        <v>45</v>
      </c>
      <c r="B185" s="196">
        <v>7.1</v>
      </c>
      <c r="C185" s="196">
        <v>7.23</v>
      </c>
    </row>
    <row r="186" spans="1:3">
      <c r="A186" s="196">
        <v>45.25</v>
      </c>
      <c r="B186" s="196">
        <v>7.1</v>
      </c>
      <c r="C186" s="196">
        <v>7.23</v>
      </c>
    </row>
    <row r="187" spans="1:3">
      <c r="A187" s="196">
        <v>45.5</v>
      </c>
      <c r="B187" s="196">
        <v>7.1</v>
      </c>
      <c r="C187" s="196">
        <v>7.23</v>
      </c>
    </row>
    <row r="188" spans="1:3">
      <c r="A188" s="196">
        <v>45.75</v>
      </c>
      <c r="B188" s="196">
        <v>7.1</v>
      </c>
      <c r="C188" s="196">
        <v>7.23</v>
      </c>
    </row>
    <row r="189" spans="1:3">
      <c r="A189" s="196">
        <v>46</v>
      </c>
      <c r="B189" s="196">
        <v>7.1</v>
      </c>
      <c r="C189" s="196">
        <v>7.23</v>
      </c>
    </row>
    <row r="190" spans="1:3">
      <c r="A190" s="196">
        <v>46.25</v>
      </c>
      <c r="B190" s="196">
        <v>7.1</v>
      </c>
      <c r="C190" s="196">
        <v>7.23</v>
      </c>
    </row>
    <row r="191" spans="1:3">
      <c r="A191" s="196">
        <v>46.5</v>
      </c>
      <c r="B191" s="196">
        <v>7.1</v>
      </c>
      <c r="C191" s="196">
        <v>7.23</v>
      </c>
    </row>
    <row r="192" spans="1:3">
      <c r="A192" s="196">
        <v>46.75</v>
      </c>
      <c r="B192" s="196">
        <v>7.1</v>
      </c>
      <c r="C192" s="196">
        <v>7.22</v>
      </c>
    </row>
    <row r="193" spans="1:3">
      <c r="A193" s="196">
        <v>47</v>
      </c>
      <c r="B193" s="196">
        <v>7.1</v>
      </c>
      <c r="C193" s="196">
        <v>7.23</v>
      </c>
    </row>
    <row r="194" spans="1:3">
      <c r="A194" s="196">
        <v>47.25</v>
      </c>
      <c r="B194" s="196">
        <v>7.1</v>
      </c>
      <c r="C194" s="196">
        <v>7.22</v>
      </c>
    </row>
    <row r="195" spans="1:3">
      <c r="A195" s="196">
        <v>47.5</v>
      </c>
      <c r="B195" s="196">
        <v>7.1</v>
      </c>
      <c r="C195" s="196">
        <v>7.23</v>
      </c>
    </row>
    <row r="196" spans="1:3">
      <c r="A196" s="196">
        <v>47.75</v>
      </c>
      <c r="B196" s="196">
        <v>7.1</v>
      </c>
      <c r="C196" s="196">
        <v>7.22</v>
      </c>
    </row>
    <row r="197" spans="1:3">
      <c r="A197" s="196">
        <v>48</v>
      </c>
      <c r="B197" s="196">
        <v>7.1</v>
      </c>
      <c r="C197" s="196">
        <v>7.23</v>
      </c>
    </row>
    <row r="198" spans="1:3">
      <c r="A198" s="196">
        <v>48.25</v>
      </c>
      <c r="B198" s="196">
        <v>7.1</v>
      </c>
      <c r="C198" s="196">
        <v>7.22</v>
      </c>
    </row>
    <row r="199" spans="1:3">
      <c r="A199" s="196">
        <v>48.5</v>
      </c>
      <c r="B199" s="196">
        <v>7.1</v>
      </c>
      <c r="C199" s="196">
        <v>7.23</v>
      </c>
    </row>
    <row r="200" spans="1:3">
      <c r="A200" s="196">
        <v>48.75</v>
      </c>
      <c r="B200" s="196">
        <v>7.1</v>
      </c>
      <c r="C200" s="196">
        <v>7.22</v>
      </c>
    </row>
    <row r="201" spans="1:3">
      <c r="A201" s="196">
        <v>49</v>
      </c>
      <c r="B201" s="196">
        <v>7.1</v>
      </c>
      <c r="C201" s="196">
        <v>7.22</v>
      </c>
    </row>
    <row r="202" spans="1:3">
      <c r="A202" s="196">
        <v>49.25</v>
      </c>
      <c r="B202" s="196">
        <v>7.1</v>
      </c>
      <c r="C202" s="196">
        <v>7.22</v>
      </c>
    </row>
    <row r="203" spans="1:3">
      <c r="A203" s="196">
        <v>49.5</v>
      </c>
      <c r="B203" s="196">
        <v>7.1</v>
      </c>
      <c r="C203" s="196">
        <v>7.22</v>
      </c>
    </row>
    <row r="204" spans="1:3">
      <c r="A204" s="196">
        <v>49.75</v>
      </c>
      <c r="B204" s="196">
        <v>7.1</v>
      </c>
      <c r="C204" s="196">
        <v>7.22</v>
      </c>
    </row>
    <row r="205" spans="1:3">
      <c r="A205" s="196">
        <v>50</v>
      </c>
      <c r="B205" s="196">
        <v>7.1</v>
      </c>
      <c r="C205" s="196">
        <v>7.22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F207-145A-4558-9290-D6BE3CB47340}">
  <sheetPr>
    <tabColor rgb="FF4BD0FF"/>
    <pageSetUpPr fitToPage="1"/>
  </sheetPr>
  <dimension ref="A1:N8"/>
  <sheetViews>
    <sheetView showGridLines="0" topLeftCell="A2" zoomScale="80" zoomScaleNormal="80" workbookViewId="0">
      <selection activeCell="N4" sqref="N4"/>
    </sheetView>
  </sheetViews>
  <sheetFormatPr defaultColWidth="8.796875" defaultRowHeight="14.95" customHeight="1"/>
  <cols>
    <col min="1" max="1" width="13" style="197" customWidth="1"/>
    <col min="2" max="2" width="10.19921875" style="197" bestFit="1" customWidth="1"/>
    <col min="3" max="3" width="16.59765625" style="197" bestFit="1" customWidth="1"/>
    <col min="4" max="4" width="13.19921875" style="197" bestFit="1" customWidth="1"/>
    <col min="5" max="5" width="7.09765625" style="197" bestFit="1" customWidth="1"/>
    <col min="6" max="6" width="6.8984375" style="197" bestFit="1" customWidth="1"/>
    <col min="7" max="7" width="38.796875" style="197" bestFit="1" customWidth="1"/>
    <col min="8" max="8" width="8.796875" style="197"/>
    <col min="9" max="10" width="9.5" style="197" bestFit="1" customWidth="1"/>
    <col min="11" max="11" width="15.19921875" style="197" bestFit="1" customWidth="1"/>
    <col min="12" max="12" width="6.796875" style="197" bestFit="1" customWidth="1"/>
    <col min="13" max="13" width="7.796875" style="197" bestFit="1" customWidth="1"/>
    <col min="14" max="14" width="11.5" style="197" bestFit="1" customWidth="1"/>
    <col min="15" max="16384" width="8.796875" style="197"/>
  </cols>
  <sheetData>
    <row r="1" spans="1:14" ht="26.05" customHeight="1">
      <c r="A1" s="382" t="s">
        <v>161</v>
      </c>
      <c r="B1" s="383"/>
      <c r="C1" s="383"/>
      <c r="D1" s="383"/>
      <c r="E1" s="383"/>
      <c r="F1" s="383"/>
      <c r="G1" s="383"/>
      <c r="H1" s="383"/>
      <c r="I1" s="383"/>
    </row>
    <row r="2" spans="1:14" ht="273.05" customHeight="1">
      <c r="A2" s="384" t="s">
        <v>162</v>
      </c>
      <c r="B2" s="383"/>
      <c r="C2" s="383"/>
      <c r="D2" s="383"/>
      <c r="E2" s="383"/>
      <c r="F2" s="383"/>
      <c r="G2" s="383"/>
      <c r="H2" s="383"/>
      <c r="I2" s="383"/>
    </row>
    <row r="3" spans="1:14" s="165" customFormat="1" ht="53.2">
      <c r="A3" s="206" t="s">
        <v>50</v>
      </c>
      <c r="B3" s="206" t="s">
        <v>51</v>
      </c>
      <c r="C3" s="206" t="s">
        <v>52</v>
      </c>
      <c r="D3" s="206" t="s">
        <v>53</v>
      </c>
      <c r="E3" s="166" t="s">
        <v>0</v>
      </c>
      <c r="F3" s="166" t="s">
        <v>1</v>
      </c>
      <c r="G3" s="166" t="s">
        <v>2</v>
      </c>
      <c r="H3" s="167" t="s">
        <v>67</v>
      </c>
      <c r="I3" s="166" t="s">
        <v>68</v>
      </c>
      <c r="J3" s="200" t="s">
        <v>69</v>
      </c>
      <c r="K3" s="167" t="s">
        <v>6</v>
      </c>
      <c r="L3" s="166" t="s">
        <v>7</v>
      </c>
      <c r="M3" s="167" t="s">
        <v>148</v>
      </c>
      <c r="N3" s="167" t="s">
        <v>149</v>
      </c>
    </row>
    <row r="4" spans="1:14" ht="14.95" customHeight="1">
      <c r="A4" s="207">
        <v>1</v>
      </c>
      <c r="B4" s="207" t="s">
        <v>54</v>
      </c>
      <c r="C4" s="207">
        <v>1</v>
      </c>
      <c r="D4" s="207">
        <v>78</v>
      </c>
      <c r="E4" s="168">
        <v>64797</v>
      </c>
      <c r="F4" s="168" t="s">
        <v>12</v>
      </c>
      <c r="G4" s="169" t="s">
        <v>13</v>
      </c>
      <c r="H4" s="170">
        <v>7.5</v>
      </c>
      <c r="I4" s="171">
        <v>45474</v>
      </c>
      <c r="J4" s="201">
        <v>46568</v>
      </c>
      <c r="K4" s="172">
        <v>2282844.77</v>
      </c>
      <c r="L4" s="169"/>
      <c r="M4" s="172">
        <v>0</v>
      </c>
      <c r="N4" s="172">
        <v>24768313.02</v>
      </c>
    </row>
    <row r="5" spans="1:14" ht="14.95" customHeight="1">
      <c r="A5" s="207">
        <v>2</v>
      </c>
      <c r="B5" s="207" t="s">
        <v>54</v>
      </c>
      <c r="C5" s="207">
        <v>1</v>
      </c>
      <c r="D5" s="207">
        <v>80</v>
      </c>
      <c r="E5" s="168">
        <v>64806</v>
      </c>
      <c r="F5" s="168" t="s">
        <v>12</v>
      </c>
      <c r="G5" s="169" t="s">
        <v>13</v>
      </c>
      <c r="H5" s="170">
        <v>7.5</v>
      </c>
      <c r="I5" s="171">
        <v>45505</v>
      </c>
      <c r="J5" s="201">
        <v>46599</v>
      </c>
      <c r="K5" s="172">
        <v>30008866</v>
      </c>
      <c r="L5" s="169"/>
      <c r="M5" s="172">
        <v>0</v>
      </c>
      <c r="N5" s="172">
        <v>325588930.22001898</v>
      </c>
    </row>
    <row r="6" spans="1:14" ht="14.95" customHeight="1">
      <c r="A6" s="207">
        <v>3</v>
      </c>
      <c r="B6" s="207" t="s">
        <v>54</v>
      </c>
      <c r="C6" s="207">
        <v>1</v>
      </c>
      <c r="D6" s="207">
        <v>81</v>
      </c>
      <c r="E6" s="168">
        <v>64807</v>
      </c>
      <c r="F6" s="168" t="s">
        <v>12</v>
      </c>
      <c r="G6" s="169" t="s">
        <v>13</v>
      </c>
      <c r="H6" s="170">
        <v>7.5</v>
      </c>
      <c r="I6" s="171">
        <v>45505</v>
      </c>
      <c r="J6" s="201">
        <v>46599</v>
      </c>
      <c r="K6" s="172">
        <v>3678645.58</v>
      </c>
      <c r="L6" s="169"/>
      <c r="M6" s="172">
        <v>0</v>
      </c>
      <c r="N6" s="172">
        <v>39912413.849963002</v>
      </c>
    </row>
    <row r="7" spans="1:14" ht="14.95" customHeight="1">
      <c r="A7" s="207">
        <v>4</v>
      </c>
      <c r="B7" s="207" t="s">
        <v>54</v>
      </c>
      <c r="C7" s="207">
        <v>1</v>
      </c>
      <c r="D7" s="207">
        <v>89</v>
      </c>
      <c r="E7" s="168">
        <v>64418</v>
      </c>
      <c r="F7" s="168" t="s">
        <v>18</v>
      </c>
      <c r="G7" s="169" t="s">
        <v>136</v>
      </c>
      <c r="H7" s="170">
        <v>7.4850000000000003</v>
      </c>
      <c r="I7" s="171">
        <v>45336</v>
      </c>
      <c r="J7" s="201">
        <v>47162</v>
      </c>
      <c r="K7" s="172">
        <v>2700000</v>
      </c>
      <c r="L7" s="169"/>
      <c r="M7" s="172">
        <v>0</v>
      </c>
      <c r="N7" s="172">
        <v>143796656.71000001</v>
      </c>
    </row>
    <row r="8" spans="1:14" ht="14.95" customHeight="1">
      <c r="A8" s="207">
        <v>5</v>
      </c>
      <c r="B8" s="207" t="s">
        <v>163</v>
      </c>
      <c r="C8" s="207"/>
      <c r="D8" s="207"/>
      <c r="E8" s="168">
        <v>64418</v>
      </c>
      <c r="F8" s="202" t="s">
        <v>18</v>
      </c>
      <c r="G8" s="203" t="s">
        <v>136</v>
      </c>
      <c r="H8" s="204">
        <v>7.57</v>
      </c>
      <c r="I8" s="205">
        <v>45606</v>
      </c>
      <c r="J8" s="171">
        <v>47163</v>
      </c>
      <c r="K8" s="172">
        <v>960825</v>
      </c>
      <c r="L8" s="169"/>
      <c r="M8" s="172">
        <v>0</v>
      </c>
      <c r="N8" s="172">
        <v>42900492.689999998</v>
      </c>
    </row>
  </sheetData>
  <mergeCells count="2">
    <mergeCell ref="A1:I1"/>
    <mergeCell ref="A2:I2"/>
  </mergeCells>
  <pageMargins left="0.7" right="0.7" top="0.75" bottom="0.75" header="0.3" footer="0.3"/>
  <pageSetup fitToHeight="0" orientation="portrait" r:id="rId1"/>
  <headerFooter>
    <oddFooter>&amp;L&amp;9&amp;F, &amp;A 
Printed: &amp;D&amp;C&amp;9&amp;P&amp;R&amp;9Reviewed by .................................
&amp;9Date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F36D4CAE154F4694A7B7C9454AD10A" ma:contentTypeVersion="10" ma:contentTypeDescription="Create a new document." ma:contentTypeScope="" ma:versionID="53a685ce880025e7a4ed868bf52983b7">
  <xsd:schema xmlns:xsd="http://www.w3.org/2001/XMLSchema" xmlns:xs="http://www.w3.org/2001/XMLSchema" xmlns:p="http://schemas.microsoft.com/office/2006/metadata/properties" xmlns:ns2="c118a2db-4a39-4476-8095-f445207d78b4" xmlns:ns3="8b6d6404-85e8-4ec7-a646-962f9cee2389" targetNamespace="http://schemas.microsoft.com/office/2006/metadata/properties" ma:root="true" ma:fieldsID="73d8590617e89a649e1a70a6a9bfe26d" ns2:_="" ns3:_="">
    <xsd:import namespace="c118a2db-4a39-4476-8095-f445207d78b4"/>
    <xsd:import namespace="8b6d6404-85e8-4ec7-a646-962f9cee23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18a2db-4a39-4476-8095-f445207d78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6d6404-85e8-4ec7-a646-962f9cee238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8106833-61a2-4f86-83a5-ace9ad145853}" ma:internalName="TaxCatchAll" ma:showField="CatchAllData" ma:web="8b6d6404-85e8-4ec7-a646-962f9cee23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DAEMSEngagementItemInfo xmlns="http://schemas.microsoft.com/DAEMSEngagementItemInfoXML">
  <EngagementID>-5329317534999996758</EngagementID>
  <LogicalEMSServerID>4553756098282626098</LogicalEMSServerID>
  <WorkingPaperID>4038951086900000258</WorkingPaperID>
</DAEMSEngagementItemInfo>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118a2db-4a39-4476-8095-f445207d78b4">
      <Terms xmlns="http://schemas.microsoft.com/office/infopath/2007/PartnerControls"/>
    </lcf76f155ced4ddcb4097134ff3c332f>
    <TaxCatchAll xmlns="8b6d6404-85e8-4ec7-a646-962f9cee2389"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53DD05-7862-4369-961C-59EFE634C0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18a2db-4a39-4476-8095-f445207d78b4"/>
    <ds:schemaRef ds:uri="8b6d6404-85e8-4ec7-a646-962f9cee23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A22117-52E6-4990-91C3-BFE0F28D617F}">
  <ds:schemaRefs>
    <ds:schemaRef ds:uri="http://schemas.microsoft.com/DAEMSEngagementItemInfoXML"/>
  </ds:schemaRefs>
</ds:datastoreItem>
</file>

<file path=customXml/itemProps3.xml><?xml version="1.0" encoding="utf-8"?>
<ds:datastoreItem xmlns:ds="http://schemas.openxmlformats.org/officeDocument/2006/customXml" ds:itemID="{4942B107-7E9C-461C-A0D5-CC6491E638E0}">
  <ds:schemaRefs>
    <ds:schemaRef ds:uri="http://purl.org/dc/elements/1.1/"/>
    <ds:schemaRef ds:uri="http://schemas.openxmlformats.org/package/2006/metadata/core-properties"/>
    <ds:schemaRef ds:uri="8b6d6404-85e8-4ec7-a646-962f9cee2389"/>
    <ds:schemaRef ds:uri="http://schemas.microsoft.com/office/infopath/2007/PartnerControls"/>
    <ds:schemaRef ds:uri="http://schemas.microsoft.com/office/2006/documentManagement/types"/>
    <ds:schemaRef ds:uri="c118a2db-4a39-4476-8095-f445207d78b4"/>
    <ds:schemaRef ds:uri="http://purl.org/dc/terms/"/>
    <ds:schemaRef ds:uri="http://schemas.microsoft.com/office/2006/metadata/properties"/>
    <ds:schemaRef ds:uri="http://www.w3.org/XML/1998/namespace"/>
    <ds:schemaRef ds:uri="http://purl.org/dc/dcmitype/"/>
  </ds:schemaRefs>
</ds:datastoreItem>
</file>

<file path=customXml/itemProps4.xml><?xml version="1.0" encoding="utf-8"?>
<ds:datastoreItem xmlns:ds="http://schemas.openxmlformats.org/officeDocument/2006/customXml" ds:itemID="{D001BC17-BFD2-4872-AF44-24A882A50BD5}">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Scope</vt:lpstr>
      <vt:lpstr>Notes to Account</vt:lpstr>
      <vt:lpstr>Summary</vt:lpstr>
      <vt:lpstr>Testing</vt:lpstr>
      <vt:lpstr>Vehicle Policy Analysis</vt:lpstr>
      <vt:lpstr>Details 25-26</vt:lpstr>
      <vt:lpstr>Rate impact</vt:lpstr>
      <vt:lpstr>MMF-59308</vt:lpstr>
      <vt:lpstr>MMF-66353</vt:lpstr>
      <vt:lpstr>MMF-66354</vt:lpstr>
      <vt:lpstr>ITC-57772</vt:lpstr>
      <vt:lpstr>ITC-56754</vt:lpstr>
      <vt:lpstr>ITC- 65449</vt:lpstr>
      <vt:lpstr>ITC-64802</vt:lpstr>
      <vt:lpstr>ITC-64753</vt:lpstr>
      <vt:lpstr>ITC-64754</vt:lpstr>
      <vt:lpstr>ITC-62007</vt:lpstr>
      <vt:lpstr>ITC- 60756</vt:lpstr>
      <vt:lpstr>ITC- 59268</vt:lpstr>
      <vt:lpstr>ITC- 53818</vt:lpstr>
      <vt:lpstr>Wind- Rent Alpha</vt:lpstr>
      <vt:lpstr>OCL 64418-1</vt:lpstr>
      <vt:lpstr>OCL 64418-2</vt:lpstr>
      <vt:lpstr>ITC-64807</vt:lpstr>
      <vt:lpstr>ITC-64806</vt:lpstr>
      <vt:lpstr>ITC-64797</vt:lpstr>
      <vt:lpstr>ITC-60014</vt:lpstr>
      <vt:lpstr>ITC- 63100</vt:lpstr>
      <vt:lpstr>ITC-62561</vt:lpstr>
      <vt:lpstr>Security Deposit Discounting</vt:lpstr>
      <vt:lpstr>G-Sec 1 Aug</vt:lpstr>
      <vt:lpstr>G-Sec 1 March</vt:lpstr>
      <vt:lpstr>G-Sec 29 Sept</vt:lpstr>
      <vt:lpstr>G Sec 1 Apr</vt:lpstr>
      <vt:lpstr>G Sec 11 Nov</vt:lpstr>
      <vt:lpstr>G Sec 1 July</vt:lpstr>
      <vt:lpstr>G Sec 1 Aug</vt:lpstr>
      <vt:lpstr>MUS Sample Additions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Ali, Mohammad (GE Global Operations)</dc:creator>
  <cp:lastModifiedBy>Sharma, Akshit</cp:lastModifiedBy>
  <dcterms:created xsi:type="dcterms:W3CDTF">2022-07-08T03:45:00Z</dcterms:created>
  <dcterms:modified xsi:type="dcterms:W3CDTF">2026-08-15T15:31:28Z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2022-08-22T07:26:47Z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ad35bd43-4412-4957-bcc6-7d9f0d746184</vt:lpwstr>
  </property>
  <property fmtid="{D5CDD505-2E9C-101B-9397-08002B2CF9AE}" pid="8" name="MSIP_Label_ea60d57e-af5b-4752-ac57-3e4f28ca11dc_ContentBits">
    <vt:lpwstr>0</vt:lpwstr>
  </property>
  <property fmtid="{D5CDD505-2E9C-101B-9397-08002B2CF9AE}" pid="9" name="ContentTypeId">
    <vt:lpwstr>0x0101002CF36D4CAE154F4694A7B7C9454AD10A</vt:lpwstr>
  </property>
  <property fmtid="{D5CDD505-2E9C-101B-9397-08002B2CF9AE}" pid="10" name="Order">
    <vt:r8>42800</vt:r8>
  </property>
  <property fmtid="{D5CDD505-2E9C-101B-9397-08002B2CF9AE}" pid="11" name="MediaServiceImageTags">
    <vt:lpwstr/>
  </property>
</Properties>
</file>