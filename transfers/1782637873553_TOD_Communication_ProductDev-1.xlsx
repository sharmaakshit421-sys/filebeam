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-100" windowWidth="21467" windowHeight="11443" tabRatio="600" firstSheet="0" activeTab="0" autoFilterDateGrouping="1"/>
  </bookViews>
  <sheets>
    <sheet xmlns:r="http://schemas.openxmlformats.org/officeDocument/2006/relationships" name="TO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d/mmm/yy;@"/>
    <numFmt numFmtId="165" formatCode="_ * #,##0_ ;_ * \-#,##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00C00000"/>
        <bgColor rgb="00C000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  <fill>
      <patternFill patternType="solid">
        <fgColor rgb="00DAEEF3"/>
        <bgColor rgb="00DAEEF3"/>
      </patternFill>
    </fill>
    <fill>
      <patternFill patternType="solid">
        <fgColor rgb="00EBF1DE"/>
        <bgColor rgb="00EBF1DE"/>
      </patternFill>
    </fill>
    <fill>
      <patternFill patternType="solid">
        <fgColor rgb="00E6D0DE"/>
        <bgColor rgb="00E6D0DE"/>
      </patternFill>
    </fill>
    <fill>
      <patternFill patternType="solid">
        <fgColor rgb="00FFF9E6"/>
        <bgColor rgb="00FFF9E6"/>
      </patternFill>
    </fill>
    <fill>
      <patternFill patternType="solid">
        <fgColor rgb="00EBF8FC"/>
        <bgColor rgb="00EBF8FC"/>
      </patternFill>
    </fill>
    <fill>
      <patternFill patternType="solid">
        <fgColor rgb="00F5FAF0"/>
        <bgColor rgb="00F5FAF0"/>
      </patternFill>
    </fill>
    <fill>
      <patternFill patternType="solid">
        <fgColor rgb="00F3EAF6"/>
        <bgColor rgb="00F3EAF6"/>
      </patternFill>
    </fill>
    <fill>
      <patternFill patternType="solid">
        <fgColor rgb="001A3A5C"/>
        <bgColor rgb="001A3A5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3">
    <xf numFmtId="0" fontId="2" fillId="0" borderId="0"/>
    <xf numFmtId="43" fontId="2" fillId="0" borderId="0"/>
    <xf numFmtId="0" fontId="1" fillId="0" borderId="0"/>
  </cellStyleXfs>
  <cellXfs count="44">
    <xf numFmtId="0" fontId="0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wrapText="1"/>
    </xf>
    <xf numFmtId="0" fontId="3" fillId="2" borderId="1" applyAlignment="1" pivotButton="0" quotePrefix="0" xfId="2">
      <alignment horizontal="left" vertical="center"/>
    </xf>
    <xf numFmtId="0" fontId="4" fillId="2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pivotButton="0" quotePrefix="0" xfId="0"/>
    <xf numFmtId="165" fontId="5" fillId="0" borderId="1" pivotButton="0" quotePrefix="0" xfId="1"/>
    <xf numFmtId="0" fontId="0" fillId="0" borderId="1" pivotButton="0" quotePrefix="0" xfId="0"/>
    <xf numFmtId="165" fontId="0" fillId="0" borderId="1" pivotButton="0" quotePrefix="0" xfId="0"/>
    <xf numFmtId="0" fontId="9" fillId="1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center" vertical="top" wrapText="1"/>
    </xf>
    <xf numFmtId="0" fontId="7" fillId="3" borderId="2" applyAlignment="1" pivotButton="0" quotePrefix="0" xfId="2">
      <alignment horizontal="center" vertical="top" wrapText="1"/>
    </xf>
    <xf numFmtId="0" fontId="7" fillId="3" borderId="2" applyAlignment="1" pivotButton="0" quotePrefix="0" xfId="0">
      <alignment horizontal="center" vertical="top" wrapText="1"/>
    </xf>
    <xf numFmtId="0" fontId="7" fillId="4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164" fontId="8" fillId="7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3" fontId="8" fillId="7" borderId="2" applyAlignment="1" pivotButton="0" quotePrefix="0" xfId="1">
      <alignment vertical="top" wrapText="1"/>
    </xf>
    <xf numFmtId="0" fontId="0" fillId="8" borderId="0" pivotButton="0" quotePrefix="0" xfId="0"/>
    <xf numFmtId="0" fontId="8" fillId="9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3" fontId="8" fillId="10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164" fontId="8" fillId="12" borderId="2" applyAlignment="1" pivotButton="0" quotePrefix="0" xfId="0">
      <alignment vertical="top" wrapText="1"/>
    </xf>
    <xf numFmtId="0" fontId="8" fillId="12" borderId="2" applyAlignment="1" pivotButton="0" quotePrefix="0" xfId="0">
      <alignment vertical="top" wrapText="1"/>
    </xf>
    <xf numFmtId="3" fontId="8" fillId="12" borderId="2" applyAlignment="1" pivotButton="0" quotePrefix="0" xfId="1">
      <alignment vertical="top" wrapText="1"/>
    </xf>
    <xf numFmtId="0" fontId="8" fillId="13" borderId="2" applyAlignment="1" pivotButton="0" quotePrefix="0" xfId="0">
      <alignment vertical="top" wrapText="1"/>
    </xf>
    <xf numFmtId="0" fontId="8" fillId="14" borderId="2" applyAlignment="1" pivotButton="0" quotePrefix="0" xfId="0">
      <alignment vertical="top" wrapText="1"/>
    </xf>
    <xf numFmtId="3" fontId="8" fillId="14" borderId="2" applyAlignment="1" pivotButton="0" quotePrefix="0" xfId="0">
      <alignment vertical="top" wrapText="1"/>
    </xf>
    <xf numFmtId="0" fontId="8" fillId="15" borderId="2" applyAlignment="1" pivotButton="0" quotePrefix="0" xfId="0">
      <alignment vertical="top" wrapText="1"/>
    </xf>
    <xf numFmtId="3" fontId="8" fillId="15" borderId="2" applyAlignment="1" pivotButton="0" quotePrefix="0" xfId="0">
      <alignment vertical="top" wrapText="1"/>
    </xf>
    <xf numFmtId="3" fontId="8" fillId="12" borderId="2" applyAlignment="1" pivotButton="0" quotePrefix="0" xfId="0">
      <alignment vertical="top" wrapText="1"/>
    </xf>
    <xf numFmtId="3" fontId="8" fillId="7" borderId="2" applyAlignment="1" pivotButton="0" quotePrefix="0" xfId="0">
      <alignment vertical="top" wrapText="1"/>
    </xf>
    <xf numFmtId="3" fontId="8" fillId="11" borderId="2" applyAlignment="1" pivotButton="0" quotePrefix="0" xfId="0">
      <alignment vertical="top" wrapText="1"/>
    </xf>
    <xf numFmtId="1" fontId="8" fillId="7" borderId="2" applyAlignment="1" pivotButton="0" quotePrefix="0" xfId="0">
      <alignment vertical="top" wrapText="1"/>
    </xf>
    <xf numFmtId="1" fontId="8" fillId="12" borderId="2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8"/>
  <sheetViews>
    <sheetView showGridLines="0" tabSelected="1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B6" sqref="B6"/>
    </sheetView>
  </sheetViews>
  <sheetFormatPr baseColWidth="8" defaultRowHeight="14.4"/>
  <cols>
    <col width="4" customWidth="1" min="1" max="1"/>
    <col width="10" bestFit="1" customWidth="1" min="2" max="2"/>
    <col width="12" customWidth="1" min="3" max="3"/>
    <col width="35" customWidth="1" min="4" max="4"/>
    <col width="28" customWidth="1" min="5" max="5"/>
    <col width="18" bestFit="1" customWidth="1" min="6" max="6"/>
    <col width="12" bestFit="1" customWidth="1" min="7" max="7"/>
    <col width="14" bestFit="1" customWidth="1" min="8" max="8"/>
    <col width="2" customWidth="1" min="9" max="9"/>
    <col width="12" customWidth="1" min="10" max="13"/>
    <col width="12" customWidth="1" min="11" max="11"/>
    <col width="38" customWidth="1" min="12" max="12"/>
    <col width="14" customWidth="1" min="13" max="13"/>
    <col width="2" customWidth="1" min="14" max="14"/>
    <col width="16" customWidth="1" min="15" max="17"/>
    <col width="12" customWidth="1" min="16" max="16"/>
    <col width="38" customWidth="1" min="17" max="17"/>
    <col width="14" bestFit="1" customWidth="1" min="18" max="18"/>
    <col width="14" customWidth="1" min="19" max="19"/>
    <col width="14" customWidth="1" min="20" max="20"/>
    <col width="2" bestFit="1" customWidth="1" min="21" max="21"/>
    <col width="14" customWidth="1" min="22" max="22"/>
    <col width="22" bestFit="1" customWidth="1" min="23" max="23"/>
    <col width="14" customWidth="1" min="24" max="24"/>
    <col width="14" customWidth="1" min="25" max="25"/>
    <col width="18" customWidth="1" min="26" max="26"/>
  </cols>
  <sheetData>
    <row r="1" ht="25" customHeight="1">
      <c r="B1" s="12" t="inlineStr">
        <is>
          <t>TEST OF DETAILS - COMMUNICATION / PRODUCT DEVELOPMENT EXPENSES</t>
        </is>
      </c>
    </row>
    <row r="2" ht="18" customHeight="1">
      <c r="B2" s="13" t="inlineStr">
        <is>
          <t>GE India Industrial Private Limited | JFWTC | FY 2025-26 | Prepared by: ______ | Date: ______</t>
        </is>
      </c>
    </row>
    <row r="3" ht="18" customHeight="1">
      <c r="B3" s="14" t="inlineStr">
        <is>
          <t>Sample Details</t>
        </is>
      </c>
      <c r="J3" s="15" t="inlineStr">
        <is>
          <t>PO Details</t>
        </is>
      </c>
      <c r="O3" s="16" t="inlineStr">
        <is>
          <t>Invoice Details</t>
        </is>
      </c>
      <c r="V3" s="17" t="inlineStr">
        <is>
          <t>Payment Details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</row>
    <row r="5" ht="40" customHeight="1">
      <c r="B5" s="18" t="inlineStr">
        <is>
          <t>SL No.</t>
        </is>
      </c>
      <c r="C5" s="19" t="inlineStr">
        <is>
          <t>GL Posted Date</t>
        </is>
      </c>
      <c r="D5" s="18" t="inlineStr">
        <is>
          <t>Journal Description</t>
        </is>
      </c>
      <c r="E5" s="19" t="inlineStr">
        <is>
          <t>Vendor</t>
        </is>
      </c>
      <c r="F5" s="19" t="inlineStr">
        <is>
          <t>Invoice (GL)</t>
        </is>
      </c>
      <c r="G5" s="19" t="inlineStr">
        <is>
          <t>PO (GL)</t>
        </is>
      </c>
      <c r="H5" s="19" t="inlineStr">
        <is>
          <t>Accounted Amount</t>
        </is>
      </c>
      <c r="J5" s="20" t="inlineStr">
        <is>
          <t>PO Number</t>
        </is>
      </c>
      <c r="K5" s="20" t="inlineStr">
        <is>
          <t>PO Date</t>
        </is>
      </c>
      <c r="L5" s="20" t="inlineStr">
        <is>
          <t>PO Description</t>
        </is>
      </c>
      <c r="M5" s="20" t="inlineStr">
        <is>
          <t>PO Amount</t>
        </is>
      </c>
      <c r="O5" s="21" t="inlineStr">
        <is>
          <t>Invoice Number</t>
        </is>
      </c>
      <c r="P5" s="21" t="inlineStr">
        <is>
          <t>Invoice Date</t>
        </is>
      </c>
      <c r="Q5" s="21" t="inlineStr">
        <is>
          <t>Invoice Description</t>
        </is>
      </c>
      <c r="R5" s="21" t="inlineStr">
        <is>
          <t>Invoice Amount (Incl. GST)</t>
        </is>
      </c>
      <c r="S5" s="21" t="inlineStr">
        <is>
          <t>Invoice Amount (Excl. GST)</t>
        </is>
      </c>
      <c r="T5" s="21" t="inlineStr">
        <is>
          <t>Difference
(Accounted - Excl. GST)</t>
        </is>
      </c>
      <c r="V5" s="22" t="inlineStr">
        <is>
          <t>Payment Date</t>
        </is>
      </c>
      <c r="W5" s="22" t="inlineStr">
        <is>
          <t>UTR / Ref. No.</t>
        </is>
      </c>
      <c r="X5" s="22" t="inlineStr">
        <is>
          <t>Payment Amount</t>
        </is>
      </c>
      <c r="Y5" s="22" t="inlineStr">
        <is>
          <t>Difference
(Payment-Invoice Excl GST)</t>
        </is>
      </c>
      <c r="Z5" s="22" t="inlineStr">
        <is>
          <t>Payment Mode</t>
        </is>
      </c>
    </row>
    <row r="6" ht="80" customHeight="1">
      <c r="B6" s="42" t="n">
        <v>1</v>
      </c>
      <c r="C6" s="23" t="inlineStr">
        <is>
          <t>18-Dec-2025</t>
        </is>
      </c>
      <c r="D6" s="24" t="inlineStr">
        <is>
          <t>Engineering Services - Onsite Full Stack Developer (Finger Snake Team) | Duration: 17-Jan-2026 to 16-Jan-2027 | GE Aerospace</t>
        </is>
      </c>
      <c r="E6" s="24" t="inlineStr">
        <is>
          <t>Neudesic Technologies Private Limited A38249</t>
        </is>
      </c>
      <c r="F6" s="24" t="inlineStr">
        <is>
          <t>GEI2526-35-1345</t>
        </is>
      </c>
      <c r="G6" s="24" t="inlineStr">
        <is>
          <t>100070436</t>
        </is>
      </c>
      <c r="H6" s="25" t="n">
        <v>443808</v>
      </c>
      <c r="I6" s="26" t="n"/>
      <c r="J6" s="27" t="inlineStr">
        <is>
          <t>100070436</t>
        </is>
      </c>
      <c r="K6" s="27" t="inlineStr">
        <is>
          <t>14-Jan-2026</t>
        </is>
      </c>
      <c r="L6" s="27" t="inlineStr">
        <is>
          <t>Engineering Services - Onsite Full Stack Developer (Finger Snake &amp; Eddy Current Teams)</t>
        </is>
      </c>
      <c r="M6" s="27" t="inlineStr">
        <is>
          <t>6,072,000 INR</t>
        </is>
      </c>
      <c r="N6" s="26" t="n"/>
      <c r="O6" s="28" t="inlineStr">
        <is>
          <t>GEI2526-35-1345</t>
        </is>
      </c>
      <c r="P6" s="28" t="inlineStr">
        <is>
          <t>Feb-2026</t>
        </is>
      </c>
      <c r="Q6" s="28" t="inlineStr">
        <is>
          <t>IT Consulting Services - Jan'26</t>
        </is>
      </c>
      <c r="R6" s="29" t="n">
        <v>454064</v>
      </c>
      <c r="S6" s="29" t="n">
        <v>384800</v>
      </c>
      <c r="T6" s="29">
        <f>H6-S6</f>
        <v/>
      </c>
      <c r="U6" s="26" t="n"/>
      <c r="V6" s="30" t="inlineStr">
        <is>
          <t>Not Provided</t>
        </is>
      </c>
      <c r="W6" s="30" t="inlineStr">
        <is>
          <t>Not Provided</t>
        </is>
      </c>
      <c r="X6" s="30" t="inlineStr">
        <is>
          <t>Not Provided</t>
        </is>
      </c>
      <c r="Y6" s="30" t="inlineStr">
        <is>
          <t>Refer screenshot</t>
        </is>
      </c>
      <c r="Z6" s="30" t="inlineStr">
        <is>
          <t>NEFT/RTGS</t>
        </is>
      </c>
    </row>
    <row r="7" ht="80" customHeight="1">
      <c r="B7" s="43" t="n">
        <v>2</v>
      </c>
      <c r="C7" s="31" t="inlineStr">
        <is>
          <t>16-Jan-2026</t>
        </is>
      </c>
      <c r="D7" s="32" t="inlineStr">
        <is>
          <t>Open PO towards Manufacturing services as per GE Aerospace design - Wire EDM, Machining | Jun'25 to Dec'25</t>
        </is>
      </c>
      <c r="E7" s="32" t="inlineStr">
        <is>
          <t>Bharathi Engineering A37664</t>
        </is>
      </c>
      <c r="F7" s="32" t="inlineStr">
        <is>
          <t>220/25-26</t>
        </is>
      </c>
      <c r="G7" s="32" t="inlineStr">
        <is>
          <t>100066899</t>
        </is>
      </c>
      <c r="H7" s="33" t="n">
        <v>1024250</v>
      </c>
      <c r="I7" s="26" t="n"/>
      <c r="J7" s="34" t="inlineStr">
        <is>
          <t>100066899</t>
        </is>
      </c>
      <c r="K7" s="34" t="inlineStr">
        <is>
          <t>03-Jun-2025 (Rev: 23-Dec-2025)</t>
        </is>
      </c>
      <c r="L7" s="34" t="inlineStr">
        <is>
          <t>Manufacturing services as per GE Aerospace design and requirement</t>
        </is>
      </c>
      <c r="M7" s="34" t="inlineStr">
        <is>
          <t>1,200,000 INR</t>
        </is>
      </c>
      <c r="N7" s="26" t="n"/>
      <c r="O7" s="35" t="inlineStr">
        <is>
          <t>220/25-26</t>
        </is>
      </c>
      <c r="P7" s="35" t="inlineStr">
        <is>
          <t>22-Dec-2025</t>
        </is>
      </c>
      <c r="Q7" s="35" t="inlineStr">
        <is>
          <t>Manufacturing services - Stator Ring, Disc &amp; Flate Pins Wire EDM and Machining</t>
        </is>
      </c>
      <c r="R7" s="36" t="n">
        <v>1312750</v>
      </c>
      <c r="S7" s="36" t="n">
        <v>1112500</v>
      </c>
      <c r="T7" s="36">
        <f>H7-S7</f>
        <v/>
      </c>
      <c r="U7" s="26" t="n"/>
      <c r="V7" s="37" t="inlineStr">
        <is>
          <t>02-Feb-2026</t>
        </is>
      </c>
      <c r="W7" s="37" t="inlineStr">
        <is>
          <t>HSBCN09315969374</t>
        </is>
      </c>
      <c r="X7" s="38" t="n">
        <v>1280500</v>
      </c>
      <c r="Y7" s="38">
        <f>X7-S7</f>
        <v/>
      </c>
      <c r="Z7" s="37" t="inlineStr">
        <is>
          <t>NEFT/RTGS - CANARA BANK</t>
        </is>
      </c>
    </row>
    <row r="8" ht="80" customHeight="1">
      <c r="B8" s="42" t="n">
        <v>3</v>
      </c>
      <c r="C8" s="23" t="inlineStr">
        <is>
          <t>20-Jan-2026</t>
        </is>
      </c>
      <c r="D8" s="24" t="inlineStr">
        <is>
          <t>Charges for TCNI and MOBNi6 perpetual license of Nickel Thermodynamic and Mobility databases - Quote 20251111</t>
        </is>
      </c>
      <c r="E8" s="24" t="inlineStr">
        <is>
          <t>Thermo-Calc Software AB A41210</t>
        </is>
      </c>
      <c r="F8" s="24" t="inlineStr">
        <is>
          <t>1012931</t>
        </is>
      </c>
      <c r="G8" s="24" t="inlineStr">
        <is>
          <t>100069607</t>
        </is>
      </c>
      <c r="H8" s="25" t="n">
        <v>3612319</v>
      </c>
      <c r="I8" s="26" t="n"/>
      <c r="J8" s="27" t="inlineStr">
        <is>
          <t>100069607</t>
        </is>
      </c>
      <c r="K8" s="27" t="inlineStr">
        <is>
          <t>20-Nov-2025</t>
        </is>
      </c>
      <c r="L8" s="27" t="inlineStr">
        <is>
          <t>Thermo-Calc Software Maintenance and TCNI / MOBNi6 perpetual license</t>
        </is>
      </c>
      <c r="M8" s="27" t="inlineStr">
        <is>
          <t>52,200 EUR</t>
        </is>
      </c>
      <c r="N8" s="26" t="n"/>
      <c r="O8" s="28" t="inlineStr">
        <is>
          <t>1012931</t>
        </is>
      </c>
      <c r="P8" s="28" t="inlineStr">
        <is>
          <t>12-Jan-2026</t>
        </is>
      </c>
      <c r="Q8" s="28" t="inlineStr">
        <is>
          <t>TCNI and MOBNi6 Perpetual License - Nickel Thermodynamic and Mobility Databases</t>
        </is>
      </c>
      <c r="R8" s="29" t="n">
        <v>34000</v>
      </c>
      <c r="S8" s="29" t="n">
        <v>34000</v>
      </c>
      <c r="T8" s="29">
        <f>H8-S8</f>
        <v/>
      </c>
      <c r="U8" s="26" t="n"/>
      <c r="V8" s="30" t="inlineStr">
        <is>
          <t>Refer Screenshot</t>
        </is>
      </c>
      <c r="W8" s="30" t="inlineStr">
        <is>
          <t>NONREF (FX Transfer)</t>
        </is>
      </c>
      <c r="X8" s="30" t="inlineStr">
        <is>
          <t>EUR 34,000 (INR equiv ~₹31,11,552)</t>
        </is>
      </c>
      <c r="Y8" s="30" t="inlineStr">
        <is>
          <t>Refer screenshot</t>
        </is>
      </c>
      <c r="Z8" s="30" t="inlineStr">
        <is>
          <t>Foreign Remittance - SWIFT</t>
        </is>
      </c>
    </row>
    <row r="9" ht="80" customHeight="1">
      <c r="B9" s="43" t="n">
        <v>4</v>
      </c>
      <c r="C9" s="31" t="inlineStr">
        <is>
          <t>05-Dec-2025</t>
        </is>
      </c>
      <c r="D9" s="32" t="inlineStr">
        <is>
          <t>Charges for DEFORM Premier Annual Lease License (4 CPU) I-R65 Property Optimization | MAN: GEGEN00128651</t>
        </is>
      </c>
      <c r="E9" s="32" t="inlineStr">
        <is>
          <t>Advanced Forming Technology Center A38227</t>
        </is>
      </c>
      <c r="F9" s="32" t="inlineStr">
        <is>
          <t>038/2025-26</t>
        </is>
      </c>
      <c r="G9" s="32" t="inlineStr">
        <is>
          <t>100069328</t>
        </is>
      </c>
      <c r="H9" s="33" t="n">
        <v>1260500</v>
      </c>
      <c r="I9" s="26" t="n"/>
      <c r="J9" s="34" t="inlineStr">
        <is>
          <t>100069328</t>
        </is>
      </c>
      <c r="K9" s="34" t="inlineStr">
        <is>
          <t>06-Nov-2025</t>
        </is>
      </c>
      <c r="L9" s="34" t="inlineStr">
        <is>
          <t>DEFORM Premier Annual Lease License (4 CPU) - R65 Property Optimization</t>
        </is>
      </c>
      <c r="M9" s="34" t="inlineStr">
        <is>
          <t>3,780,000 INR</t>
        </is>
      </c>
      <c r="N9" s="26" t="n"/>
      <c r="O9" s="35" t="inlineStr">
        <is>
          <t>038-2025-26</t>
        </is>
      </c>
      <c r="P9" s="35" t="inlineStr">
        <is>
          <t>25-Nov-2025</t>
        </is>
      </c>
      <c r="Q9" s="35" t="inlineStr">
        <is>
          <t>DEFORM Premier Annual Lease License (4 CPU) - R65 Property Optimization</t>
        </is>
      </c>
      <c r="R9" s="36" t="n">
        <v>1487390</v>
      </c>
      <c r="S9" s="36" t="n">
        <v>1260500</v>
      </c>
      <c r="T9" s="36">
        <f>H9-S9</f>
        <v/>
      </c>
      <c r="U9" s="26" t="n"/>
      <c r="V9" s="37" t="inlineStr">
        <is>
          <t>22-Dec-2025</t>
        </is>
      </c>
      <c r="W9" s="37" t="inlineStr">
        <is>
          <t>HSBCN3S603208663</t>
        </is>
      </c>
      <c r="X9" s="38" t="n">
        <v>4082400</v>
      </c>
      <c r="Y9" s="38">
        <f>X9-S9</f>
        <v/>
      </c>
      <c r="Z9" s="37" t="inlineStr">
        <is>
          <t>NEFT/RTGS - CENTRAL BANK OF INDIA</t>
        </is>
      </c>
    </row>
    <row r="10" ht="80" customHeight="1">
      <c r="B10" s="42" t="n">
        <v>5</v>
      </c>
      <c r="C10" s="23" t="inlineStr">
        <is>
          <t>24-Nov-2025</t>
        </is>
      </c>
      <c r="D10" s="24" t="inlineStr">
        <is>
          <t>Supply of MTS Series Linear Hydraulic Actuator Assembly for Model 244.12, 25 kN (5.5 kip) - Quote 2025-262948</t>
        </is>
      </c>
      <c r="E10" s="24" t="inlineStr">
        <is>
          <t>MTS Systems, Corp. A43553</t>
        </is>
      </c>
      <c r="F10" s="24" t="inlineStr">
        <is>
          <t>80595428</t>
        </is>
      </c>
      <c r="G10" s="24" t="inlineStr">
        <is>
          <t>100066291</t>
        </is>
      </c>
      <c r="H10" s="25" t="n">
        <v>848049</v>
      </c>
      <c r="I10" s="26" t="n"/>
      <c r="J10" s="27" t="inlineStr">
        <is>
          <t>100066291</t>
        </is>
      </c>
      <c r="K10" s="27" t="inlineStr">
        <is>
          <t>21-Apr-2025</t>
        </is>
      </c>
      <c r="L10" s="27" t="inlineStr">
        <is>
          <t>Supply of MTS Series Linear Hydraulic Actuator Assembly for Model 244.12, 25 kN</t>
        </is>
      </c>
      <c r="M10" s="27" t="inlineStr">
        <is>
          <t>32,000 USD</t>
        </is>
      </c>
      <c r="N10" s="26" t="n"/>
      <c r="O10" s="28" t="inlineStr">
        <is>
          <t>80595428</t>
        </is>
      </c>
      <c r="P10" s="28" t="inlineStr">
        <is>
          <t>10-Jun-2025</t>
        </is>
      </c>
      <c r="Q10" s="28" t="inlineStr">
        <is>
          <t>Supply of MTS Series Linear Hydraulic Actuator Assembly for Model 244.12, 25 kN</t>
        </is>
      </c>
      <c r="R10" s="29" t="n">
        <v>32000</v>
      </c>
      <c r="S10" s="29" t="n">
        <v>32000</v>
      </c>
      <c r="T10" s="29">
        <f>H10-S10</f>
        <v/>
      </c>
      <c r="U10" s="26" t="n"/>
      <c r="V10" s="30" t="inlineStr">
        <is>
          <t>Refer Screenshot</t>
        </is>
      </c>
      <c r="W10" s="30" t="inlineStr">
        <is>
          <t>NONREF 65116169</t>
        </is>
      </c>
      <c r="X10" s="30" t="inlineStr">
        <is>
          <t>USD 32,000 (INR equiv)</t>
        </is>
      </c>
      <c r="Y10" s="30" t="inlineStr">
        <is>
          <t>Refer screenshot</t>
        </is>
      </c>
      <c r="Z10" s="30" t="inlineStr">
        <is>
          <t>Foreign Remittance - NFEX</t>
        </is>
      </c>
    </row>
    <row r="11" ht="80" customHeight="1">
      <c r="B11" s="43" t="n">
        <v>6</v>
      </c>
      <c r="C11" s="32" t="inlineStr">
        <is>
          <t>22-Dec-2025</t>
        </is>
      </c>
      <c r="D11" s="32" t="inlineStr">
        <is>
          <t>Supply of GPU: NVIDIA RTX 6000 Ada, 48 GB DDR6 - Quote RAL/SALES/20112025-UN25-039</t>
        </is>
      </c>
      <c r="E11" s="32" t="inlineStr">
        <is>
          <t>Ralco Synergy Pvt. Ltd A37570</t>
        </is>
      </c>
      <c r="F11" s="32" t="inlineStr">
        <is>
          <t>SIBLR2526/1741</t>
        </is>
      </c>
      <c r="G11" s="32" t="inlineStr">
        <is>
          <t>100069699</t>
        </is>
      </c>
      <c r="H11" s="39" t="n">
        <v>633400</v>
      </c>
      <c r="I11" s="26" t="n"/>
      <c r="J11" s="34" t="inlineStr">
        <is>
          <t>100069699</t>
        </is>
      </c>
      <c r="K11" s="34" t="inlineStr">
        <is>
          <t>25-Nov-2025</t>
        </is>
      </c>
      <c r="L11" s="34" t="inlineStr">
        <is>
          <t>Supply of GPU, HDD and Memory Card</t>
        </is>
      </c>
      <c r="M11" s="34" t="inlineStr">
        <is>
          <t>1,905,400 INR</t>
        </is>
      </c>
      <c r="N11" s="26" t="n"/>
      <c r="O11" s="35" t="inlineStr">
        <is>
          <t>SIBLR2526/1741</t>
        </is>
      </c>
      <c r="P11" s="35" t="inlineStr">
        <is>
          <t>28-Nov-2025</t>
        </is>
      </c>
      <c r="Q11" s="35" t="inlineStr">
        <is>
          <t>Supply of GPU NVIDIA RTX 6000 Ada and HDD</t>
        </is>
      </c>
      <c r="R11" s="36" t="n">
        <v>747412</v>
      </c>
      <c r="S11" s="36" t="n">
        <v>633400</v>
      </c>
      <c r="T11" s="36">
        <f>H11-S11</f>
        <v/>
      </c>
      <c r="U11" s="26" t="n"/>
      <c r="V11" s="37" t="inlineStr">
        <is>
          <t>08-Jan-2026</t>
        </is>
      </c>
      <c r="W11" s="37" t="inlineStr">
        <is>
          <t>HSBCN00808209172</t>
        </is>
      </c>
      <c r="X11" s="38" t="n">
        <v>748779</v>
      </c>
      <c r="Y11" s="38">
        <f>X11-S11</f>
        <v/>
      </c>
      <c r="Z11" s="37" t="inlineStr">
        <is>
          <t>NEFT/RTGS - ICICI BANK</t>
        </is>
      </c>
    </row>
    <row r="12" ht="80" customHeight="1">
      <c r="B12" s="42" t="n">
        <v>7</v>
      </c>
      <c r="C12" s="24" t="inlineStr">
        <is>
          <t>24-Sep-2025</t>
        </is>
      </c>
      <c r="D12" s="24" t="inlineStr">
        <is>
          <t>Supply of Secondary Cold Plate - DMLS Process EN25F0069 - Quote Q2535781-9 dtd 12-Jun-2025</t>
        </is>
      </c>
      <c r="E12" s="24" t="inlineStr">
        <is>
          <t>Imaginarium Rapid Private Limited A36778</t>
        </is>
      </c>
      <c r="F12" s="24" t="inlineStr">
        <is>
          <t>252601002314</t>
        </is>
      </c>
      <c r="G12" s="24" t="inlineStr">
        <is>
          <t>100067200</t>
        </is>
      </c>
      <c r="H12" s="40" t="n">
        <v>494230</v>
      </c>
      <c r="I12" s="26" t="n"/>
      <c r="J12" s="27" t="inlineStr">
        <is>
          <t>100067200</t>
        </is>
      </c>
      <c r="K12" s="27" t="inlineStr">
        <is>
          <t>24-Jun-2025</t>
        </is>
      </c>
      <c r="L12" s="27" t="inlineStr">
        <is>
          <t>Supply of Secondary Cold Plate - DMLS Process</t>
        </is>
      </c>
      <c r="M12" s="27" t="inlineStr">
        <is>
          <t>988,460 INR</t>
        </is>
      </c>
      <c r="N12" s="26" t="n"/>
      <c r="O12" s="28" t="inlineStr">
        <is>
          <t>252601002314</t>
        </is>
      </c>
      <c r="P12" s="28" t="inlineStr">
        <is>
          <t>10-Sep-2025</t>
        </is>
      </c>
      <c r="Q12" s="28" t="inlineStr">
        <is>
          <t>Supply of Secondary Cold Plate - DMLS Process</t>
        </is>
      </c>
      <c r="R12" s="29" t="n">
        <v>583191</v>
      </c>
      <c r="S12" s="29" t="n">
        <v>494230</v>
      </c>
      <c r="T12" s="29">
        <f>H12-S12</f>
        <v/>
      </c>
      <c r="U12" s="26" t="n"/>
      <c r="V12" s="30" t="inlineStr">
        <is>
          <t>07-Oct-2025</t>
        </is>
      </c>
      <c r="W12" s="30" t="inlineStr">
        <is>
          <t>HSBCN28062283079</t>
        </is>
      </c>
      <c r="X12" s="41" t="n">
        <v>1197781</v>
      </c>
      <c r="Y12" s="41">
        <f>X12-S12</f>
        <v/>
      </c>
      <c r="Z12" s="30" t="inlineStr">
        <is>
          <t>NEFT/RTGS - AXIS BANK</t>
        </is>
      </c>
    </row>
    <row r="13" ht="80" customHeight="1">
      <c r="B13" s="43" t="n">
        <v>8</v>
      </c>
      <c r="C13" s="32" t="inlineStr">
        <is>
          <t>01-Jan-2026</t>
        </is>
      </c>
      <c r="D13" s="32" t="inlineStr">
        <is>
          <t>Supply of RC612 Multi Phase Carbon/Water Determinator Package (a) RC612 Determinator (b) Windows-based software</t>
        </is>
      </c>
      <c r="E13" s="32" t="inlineStr">
        <is>
          <t>I R Technology Services Private Limited A38165</t>
        </is>
      </c>
      <c r="F13" s="32" t="inlineStr">
        <is>
          <t>B25G26TI/110454</t>
        </is>
      </c>
      <c r="G13" s="32" t="inlineStr">
        <is>
          <t>100070009</t>
        </is>
      </c>
      <c r="H13" s="39" t="n">
        <v>7382500</v>
      </c>
      <c r="I13" s="26" t="n"/>
      <c r="J13" s="34" t="inlineStr">
        <is>
          <t>100070009</t>
        </is>
      </c>
      <c r="K13" s="34" t="inlineStr">
        <is>
          <t>10-Dec-2025 (Rev: 31-Dec-2025)</t>
        </is>
      </c>
      <c r="L13" s="34" t="inlineStr">
        <is>
          <t>Supply of RC612 Multi Phase Carbon/Water Determinator Package</t>
        </is>
      </c>
      <c r="M13" s="34" t="inlineStr">
        <is>
          <t>12,158,125 INR</t>
        </is>
      </c>
      <c r="N13" s="26" t="n"/>
      <c r="O13" s="35" t="inlineStr">
        <is>
          <t>B25G26TI/110454</t>
        </is>
      </c>
      <c r="P13" s="35" t="inlineStr">
        <is>
          <t>Dec-2025</t>
        </is>
      </c>
      <c r="Q13" s="35" t="inlineStr">
        <is>
          <t>Supply of RC612 Multi Phase Carbon/Water Determinator Package</t>
        </is>
      </c>
      <c r="R13" s="36" t="n">
        <v>8711150</v>
      </c>
      <c r="S13" s="36" t="n">
        <v>7382500</v>
      </c>
      <c r="T13" s="36">
        <f>H13-S13</f>
        <v/>
      </c>
      <c r="U13" s="26" t="n"/>
      <c r="V13" s="37" t="inlineStr">
        <is>
          <t>01-Jan-2026</t>
        </is>
      </c>
      <c r="W13" s="37" t="inlineStr">
        <is>
          <t>HSBCN00106788924</t>
        </is>
      </c>
      <c r="X13" s="38" t="n">
        <v>10836336</v>
      </c>
      <c r="Y13" s="38">
        <f>X13-S13</f>
        <v/>
      </c>
      <c r="Z13" s="37" t="inlineStr">
        <is>
          <t>NEFT/RTGS - ICICI BANK</t>
        </is>
      </c>
    </row>
    <row r="14" ht="80" customHeight="1">
      <c r="B14" s="42" t="n">
        <v>9</v>
      </c>
      <c r="C14" s="24" t="inlineStr">
        <is>
          <t>01-Oct-2025</t>
        </is>
      </c>
      <c r="D14" s="24" t="inlineStr">
        <is>
          <t>Supply, commissioning and validation of 3 Nos PLC control panels and SCADA runtime software for warm fuel rig</t>
        </is>
      </c>
      <c r="E14" s="24" t="inlineStr">
        <is>
          <t>Symbiotic Automation Systems Pvt. Ltd A37634</t>
        </is>
      </c>
      <c r="F14" s="24" t="inlineStr">
        <is>
          <t>25260788</t>
        </is>
      </c>
      <c r="G14" s="24" t="inlineStr">
        <is>
          <t>100067100</t>
        </is>
      </c>
      <c r="H14" s="40" t="n">
        <v>4669333</v>
      </c>
      <c r="I14" s="26" t="n"/>
      <c r="J14" s="27" t="inlineStr">
        <is>
          <t>100067100</t>
        </is>
      </c>
      <c r="K14" s="27" t="inlineStr">
        <is>
          <t>17-Jun-2025</t>
        </is>
      </c>
      <c r="L14" s="27" t="inlineStr">
        <is>
          <t>Supply, commissioning and validation of PLC control panels and SCADA software for warm fuel rig</t>
        </is>
      </c>
      <c r="M14" s="27" t="inlineStr">
        <is>
          <t>7,154,000 INR</t>
        </is>
      </c>
      <c r="N14" s="26" t="n"/>
      <c r="O14" s="28" t="inlineStr">
        <is>
          <t>25260788</t>
        </is>
      </c>
      <c r="P14" s="28" t="inlineStr">
        <is>
          <t>10-Sep-2025</t>
        </is>
      </c>
      <c r="Q14" s="28" t="inlineStr">
        <is>
          <t>Supply of PLC control panels for warm fuel rig</t>
        </is>
      </c>
      <c r="R14" s="29" t="n">
        <v>5509813</v>
      </c>
      <c r="S14" s="29" t="n">
        <v>4669333</v>
      </c>
      <c r="T14" s="29">
        <f>H14-S14</f>
        <v/>
      </c>
      <c r="U14" s="26" t="n"/>
      <c r="V14" s="30" t="inlineStr">
        <is>
          <t>07-Oct-2025</t>
        </is>
      </c>
      <c r="W14" s="30" t="inlineStr">
        <is>
          <t>HSBCN26062282081</t>
        </is>
      </c>
      <c r="X14" s="41" t="n">
        <v>5051440</v>
      </c>
      <c r="Y14" s="41">
        <f>X14-S14</f>
        <v/>
      </c>
      <c r="Z14" s="30" t="inlineStr">
        <is>
          <t>NEFT/RTGS - ICICI BANK LTD</t>
        </is>
      </c>
    </row>
    <row r="15" ht="80" customHeight="1">
      <c r="B15" s="43" t="n">
        <v>10</v>
      </c>
      <c r="C15" s="32" t="inlineStr">
        <is>
          <t>07-Jul-2025</t>
        </is>
      </c>
      <c r="D15" s="32" t="inlineStr">
        <is>
          <t>Electronic Components and Supplies - Details as per annexure (14-page commercial invoice)</t>
        </is>
      </c>
      <c r="E15" s="32" t="inlineStr">
        <is>
          <t>Mouser Electronics, Inc. A02649</t>
        </is>
      </c>
      <c r="F15" s="32" t="inlineStr">
        <is>
          <t>85083263</t>
        </is>
      </c>
      <c r="G15" s="32" t="inlineStr">
        <is>
          <t>100067059</t>
        </is>
      </c>
      <c r="H15" s="39" t="n">
        <v>849175</v>
      </c>
      <c r="I15" s="26" t="n"/>
      <c r="J15" s="34" t="inlineStr">
        <is>
          <t>100067059</t>
        </is>
      </c>
      <c r="K15" s="34" t="inlineStr">
        <is>
          <t>13-Jun-2025</t>
        </is>
      </c>
      <c r="L15" s="34" t="inlineStr">
        <is>
          <t>Electronic Components and Supplies</t>
        </is>
      </c>
      <c r="M15" s="34" t="inlineStr">
        <is>
          <t>4,928 USD</t>
        </is>
      </c>
      <c r="N15" s="26" t="n"/>
      <c r="O15" s="35" t="inlineStr">
        <is>
          <t>85083263</t>
        </is>
      </c>
      <c r="P15" s="35" t="inlineStr">
        <is>
          <t>19-Jun-2025</t>
        </is>
      </c>
      <c r="Q15" s="35" t="inlineStr">
        <is>
          <t>Electronic Components and Supplies</t>
        </is>
      </c>
      <c r="R15" s="36" t="n">
        <v>9856</v>
      </c>
      <c r="S15" s="36" t="n">
        <v>9856</v>
      </c>
      <c r="T15" s="36">
        <f>H15-S15</f>
        <v/>
      </c>
      <c r="U15" s="26" t="n"/>
      <c r="V15" s="37" t="inlineStr">
        <is>
          <t>Refer Screenshot</t>
        </is>
      </c>
      <c r="W15" s="37" t="inlineStr">
        <is>
          <t>NONREF | Ref: 370620</t>
        </is>
      </c>
      <c r="X15" s="37" t="inlineStr">
        <is>
          <t>USD 9,855.78 (INR equiv)</t>
        </is>
      </c>
      <c r="Y15" s="37" t="inlineStr">
        <is>
          <t>Refer screenshot</t>
        </is>
      </c>
      <c r="Z15" s="37" t="inlineStr">
        <is>
          <t>Foreign Remittance - NFEX</t>
        </is>
      </c>
    </row>
    <row r="16" ht="80" customHeight="1">
      <c r="B16" s="42" t="n">
        <v>11</v>
      </c>
      <c r="C16" s="24" t="inlineStr">
        <is>
          <t>18-Dec-2025</t>
        </is>
      </c>
      <c r="D16" s="24" t="inlineStr">
        <is>
          <t>Charges towards Notch Installation on HPT Blade Coupons as per GEIIPL request</t>
        </is>
      </c>
      <c r="E16" s="24" t="inlineStr">
        <is>
          <t>United Western Technologies Corp. A26352</t>
        </is>
      </c>
      <c r="F16" s="24" t="inlineStr">
        <is>
          <t>88660B-1</t>
        </is>
      </c>
      <c r="G16" s="24" t="inlineStr">
        <is>
          <t>100068167</t>
        </is>
      </c>
      <c r="H16" s="40" t="n">
        <v>581661</v>
      </c>
      <c r="I16" s="26" t="n"/>
      <c r="J16" s="27" t="inlineStr">
        <is>
          <t>100068167</t>
        </is>
      </c>
      <c r="K16" s="27" t="inlineStr">
        <is>
          <t>01-Sep-2025</t>
        </is>
      </c>
      <c r="L16" s="27" t="inlineStr">
        <is>
          <t>Notch Installation on HPT Blade Coupons</t>
        </is>
      </c>
      <c r="M16" s="27" t="inlineStr">
        <is>
          <t>13,000 USD</t>
        </is>
      </c>
      <c r="N16" s="26" t="n"/>
      <c r="O16" s="28" t="inlineStr">
        <is>
          <t>88660B-1</t>
        </is>
      </c>
      <c r="P16" s="28" t="inlineStr">
        <is>
          <t>09-Sep-2025</t>
        </is>
      </c>
      <c r="Q16" s="28" t="inlineStr">
        <is>
          <t>Notch Installation on HPT Blade Coupons</t>
        </is>
      </c>
      <c r="R16" s="29" t="n">
        <v>6500</v>
      </c>
      <c r="S16" s="29" t="n">
        <v>6500</v>
      </c>
      <c r="T16" s="29">
        <f>H16-S16</f>
        <v/>
      </c>
      <c r="U16" s="26" t="n"/>
      <c r="V16" s="30" t="inlineStr">
        <is>
          <t>Refer Screenshot</t>
        </is>
      </c>
      <c r="W16" s="30" t="inlineStr">
        <is>
          <t>MVP14025816273</t>
        </is>
      </c>
      <c r="X16" s="30" t="inlineStr">
        <is>
          <t>USD 6,500 (INR equiv ~₹5,81,661)</t>
        </is>
      </c>
      <c r="Y16" s="30" t="inlineStr">
        <is>
          <t>Refer screenshot</t>
        </is>
      </c>
      <c r="Z16" s="30" t="inlineStr">
        <is>
          <t>Foreign Remittance - NEFT/RTGS</t>
        </is>
      </c>
    </row>
    <row r="17" ht="80" customHeight="1">
      <c r="B17" s="43" t="n">
        <v>12</v>
      </c>
      <c r="C17" s="32" t="inlineStr">
        <is>
          <t>24-Sep-2025</t>
        </is>
      </c>
      <c r="D17" s="32" t="inlineStr">
        <is>
          <t>Supply of Ring-on-Ring (ROR) Ultra-High Temperature Test Kit - Quote Y24SS2409-38 dtd 26-Feb-2025</t>
        </is>
      </c>
      <c r="E17" s="32" t="inlineStr">
        <is>
          <t>Bruker Singapore Pte. Ltd. A39057</t>
        </is>
      </c>
      <c r="F17" s="32" t="inlineStr">
        <is>
          <t>90854150</t>
        </is>
      </c>
      <c r="G17" s="32" t="inlineStr">
        <is>
          <t>100065595</t>
        </is>
      </c>
      <c r="H17" s="39" t="n">
        <v>3145046</v>
      </c>
      <c r="I17" s="26" t="n"/>
      <c r="J17" s="34" t="inlineStr">
        <is>
          <t>100065595</t>
        </is>
      </c>
      <c r="K17" s="34" t="inlineStr">
        <is>
          <t>03-Mar-2025 (Rev: 01-Apr-2025)</t>
        </is>
      </c>
      <c r="L17" s="34" t="inlineStr">
        <is>
          <t>Supply of Ring-on-Ring Ultra-High Temperature Test Kit</t>
        </is>
      </c>
      <c r="M17" s="34" t="inlineStr">
        <is>
          <t>45,040 USD</t>
        </is>
      </c>
      <c r="N17" s="26" t="n"/>
      <c r="O17" s="35" t="inlineStr">
        <is>
          <t>90854150</t>
        </is>
      </c>
      <c r="P17" s="35" t="inlineStr">
        <is>
          <t>28-Aug-2025</t>
        </is>
      </c>
      <c r="Q17" s="35" t="inlineStr">
        <is>
          <t>Supply of Ring-on-Ring Ultra-High Temperature Test Kit</t>
        </is>
      </c>
      <c r="R17" s="36" t="n">
        <v>35840</v>
      </c>
      <c r="S17" s="36" t="n">
        <v>35840</v>
      </c>
      <c r="T17" s="36">
        <f>H17-S17</f>
        <v/>
      </c>
      <c r="U17" s="26" t="n"/>
      <c r="V17" s="37" t="inlineStr">
        <is>
          <t>Refer Screenshot</t>
        </is>
      </c>
      <c r="W17" s="37" t="inlineStr">
        <is>
          <t>Refer 100065595.png</t>
        </is>
      </c>
      <c r="X17" s="37" t="inlineStr">
        <is>
          <t>USD 35,840 (INR equiv ~₹31,45,046)</t>
        </is>
      </c>
      <c r="Y17" s="37" t="inlineStr">
        <is>
          <t>Refer screenshot</t>
        </is>
      </c>
      <c r="Z17" s="37" t="inlineStr">
        <is>
          <t>Foreign Remittance</t>
        </is>
      </c>
    </row>
    <row r="18" ht="80" customHeight="1">
      <c r="B18" s="42" t="n">
        <v>13</v>
      </c>
      <c r="C18" s="24" t="inlineStr">
        <is>
          <t>18-Dec-2025</t>
        </is>
      </c>
      <c r="D18" s="24" t="inlineStr">
        <is>
          <t>Supply of Miniature Cameras Model XD-D31108LH-93-11/12/13 RSM-CYC-360/361/362 ISS.A.</t>
        </is>
      </c>
      <c r="E18" s="24" t="inlineStr">
        <is>
          <t>SR Techtronics A39006</t>
        </is>
      </c>
      <c r="F18" s="24" t="inlineStr">
        <is>
          <t>SRT-CI/25-26/827</t>
        </is>
      </c>
      <c r="G18" s="24" t="inlineStr">
        <is>
          <t>100068106</t>
        </is>
      </c>
      <c r="H18" s="40" t="n">
        <v>433996</v>
      </c>
      <c r="I18" s="26" t="n"/>
      <c r="J18" s="27" t="inlineStr">
        <is>
          <t>100068106</t>
        </is>
      </c>
      <c r="K18" s="27" t="inlineStr">
        <is>
          <t>26-Aug-2025</t>
        </is>
      </c>
      <c r="L18" s="27" t="inlineStr">
        <is>
          <t>Supply of Miniature Cameras</t>
        </is>
      </c>
      <c r="M18" s="27" t="inlineStr">
        <is>
          <t>1,288,676 INR</t>
        </is>
      </c>
      <c r="N18" s="26" t="n"/>
      <c r="O18" s="28" t="inlineStr">
        <is>
          <t>SRT-CI/25-26/827</t>
        </is>
      </c>
      <c r="P18" s="28" t="inlineStr">
        <is>
          <t>10-Dec-2025</t>
        </is>
      </c>
      <c r="Q18" s="28" t="inlineStr">
        <is>
          <t>Supply of Miniature Cameras</t>
        </is>
      </c>
      <c r="R18" s="29" t="n">
        <v>1520637</v>
      </c>
      <c r="S18" s="29" t="n">
        <v>1288676</v>
      </c>
      <c r="T18" s="29">
        <f>H18-S18</f>
        <v/>
      </c>
      <c r="U18" s="26" t="n"/>
      <c r="V18" s="30" t="inlineStr">
        <is>
          <t>23-Jan-2026</t>
        </is>
      </c>
      <c r="W18" s="30" t="inlineStr">
        <is>
          <t>HSBCN02312286121</t>
        </is>
      </c>
      <c r="X18" s="41" t="n">
        <v>1747243</v>
      </c>
      <c r="Y18" s="41">
        <f>X18-S18</f>
        <v/>
      </c>
      <c r="Z18" s="30" t="inlineStr">
        <is>
          <t>NEFT/RTGS - YES BANK</t>
        </is>
      </c>
    </row>
  </sheetData>
  <mergeCells count="6">
    <mergeCell ref="V3:Z3"/>
    <mergeCell ref="B2:Z2"/>
    <mergeCell ref="J3:M3"/>
    <mergeCell ref="B1:Z1"/>
    <mergeCell ref="O3:T3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Sharma, Akshit</dc:creator>
  <dcterms:created xmlns:dcterms="http://purl.org/dc/terms/" xmlns:xsi="http://www.w3.org/2001/XMLSchema-instance" xsi:type="dcterms:W3CDTF">2026-06-27T15:33:55Z</dcterms:created>
  <dcterms:modified xmlns:dcterms="http://purl.org/dc/terms/" xmlns:xsi="http://www.w3.org/2001/XMLSchema-instance" xsi:type="dcterms:W3CDTF">2026-06-28T08:55:04Z</dcterms:modified>
  <cp:lastModifiedBy>Sharma, Akshit</cp:lastModifiedBy>
</cp:coreProperties>
</file>