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2673" sheetId="1" state="visible" r:id="rId3"/>
    <sheet name="22687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<sst xmlns="http://schemas.openxmlformats.org/spreadsheetml/2006/main" count="191" uniqueCount="115">
  <si>
    <t xml:space="preserve">GE India Industrial Pvt. Ltd. (John F Welch Technology Centre)</t>
  </si>
  <si>
    <t xml:space="preserve">Test of Details (TOD) - PPE Addition Testing - Asset No. 22673</t>
  </si>
  <si>
    <t xml:space="preserve">Purpose: To perform test of details verifying PO vs Invoice (Excl. GST, GST, Incl. GST) vs GRN for CWIP/Asset additions</t>
  </si>
  <si>
    <t xml:space="preserve">Asset No</t>
  </si>
  <si>
    <t xml:space="preserve">Invoice Number</t>
  </si>
  <si>
    <t xml:space="preserve">Invoice Date</t>
  </si>
  <si>
    <t xml:space="preserve">Vendor (as per Invoice)</t>
  </si>
  <si>
    <t xml:space="preserve">Invoice / Item Description</t>
  </si>
  <si>
    <t xml:space="preserve">Qty</t>
  </si>
  <si>
    <t xml:space="preserve">Taxable Value (Excl. GST)</t>
  </si>
  <si>
    <t xml:space="preserve">GST Amount</t>
  </si>
  <si>
    <t xml:space="preserve">Invoice Amount (Incl. GST)</t>
  </si>
  <si>
    <t xml:space="preserve">PO Number</t>
  </si>
  <si>
    <t xml:space="preserve">PO Date</t>
  </si>
  <si>
    <t xml:space="preserve">PO Description</t>
  </si>
  <si>
    <t xml:space="preserve">Vendor (as per PO)</t>
  </si>
  <si>
    <t xml:space="preserve">PO Amount (Excl. GST)</t>
  </si>
  <si>
    <t xml:space="preserve">Difference Amount
(Taxable Value - PO Amount)</t>
  </si>
  <si>
    <t xml:space="preserve">GRN No.</t>
  </si>
  <si>
    <t xml:space="preserve">GRN Date</t>
  </si>
  <si>
    <t xml:space="preserve">Remarks</t>
  </si>
  <si>
    <t xml:space="preserve">22673</t>
  </si>
  <si>
    <t xml:space="preserve">10022815</t>
  </si>
  <si>
    <t xml:space="preserve">Bangalore Fluid System Components Pvt. Ltd.</t>
  </si>
  <si>
    <t xml:space="preserve">Supply of Swagelok Tube Fittings, SS Valves, Tubes &amp; Fittings for CVD Infrastructure</t>
  </si>
  <si>
    <t xml:space="preserve">100068651</t>
  </si>
  <si>
    <t xml:space="preserve">Supply of Proportional Relief Valves &amp; Swagelok Tube Fitting for CVD Infrastructure at JFWTC</t>
  </si>
  <si>
    <t xml:space="preserve">67186</t>
  </si>
  <si>
    <t xml:space="preserve">10022860</t>
  </si>
  <si>
    <t xml:space="preserve">Supply of Proportional Relief Valve Assembly (CVD Infrastructure)</t>
  </si>
  <si>
    <t xml:space="preserve">67232</t>
  </si>
  <si>
    <t xml:space="preserve">2592114</t>
  </si>
  <si>
    <t xml:space="preserve">Kewaunee Labway India Pvt Ltd</t>
  </si>
  <si>
    <t xml:space="preserve">Supply of Laboratory Fume Hood and Accessories + Freight Charges</t>
  </si>
  <si>
    <t xml:space="preserve">100068668</t>
  </si>
  <si>
    <t xml:space="preserve">Supply of Laboratory Fume Hood and Accessories</t>
  </si>
  <si>
    <t xml:space="preserve">Kewaunee Labway India Pvt ltd</t>
  </si>
  <si>
    <t xml:space="preserve">67987</t>
  </si>
  <si>
    <t xml:space="preserve">480251869</t>
  </si>
  <si>
    <t xml:space="preserve">GCE India Pvt Ltd</t>
  </si>
  <si>
    <t xml:space="preserve">Supply of Manual Change Over Panel, Regulator, SS Pressure Gauge &amp; Flexible Hose</t>
  </si>
  <si>
    <t xml:space="preserve">100068632</t>
  </si>
  <si>
    <t xml:space="preserve">Supply of Manual change Over Panel, regulator, SS pressure gauge and flexible hose for CVD instrument JFWTC</t>
  </si>
  <si>
    <t xml:space="preserve">67393</t>
  </si>
  <si>
    <t xml:space="preserve">AI/TI/142/25-26</t>
  </si>
  <si>
    <t xml:space="preserve">Ants Innovations Private Limited</t>
  </si>
  <si>
    <t xml:space="preserve">Supply of Vertical CVD System as per GE requirement</t>
  </si>
  <si>
    <t xml:space="preserve">100065491</t>
  </si>
  <si>
    <t xml:space="preserve">Supply of Vertical CVD system as per GE requirement</t>
  </si>
  <si>
    <t xml:space="preserve">67416</t>
  </si>
  <si>
    <t xml:space="preserve">EF276/2025-26</t>
  </si>
  <si>
    <t xml:space="preserve">Equipment Fabricators</t>
  </si>
  <si>
    <t xml:space="preserve">Supply of Associated Gas Lining Works Material for Gas Bank</t>
  </si>
  <si>
    <t xml:space="preserve">100068672</t>
  </si>
  <si>
    <t xml:space="preserve">Associated Gas lining works for gas bank (Supply &amp; Installation)</t>
  </si>
  <si>
    <t xml:space="preserve">67256</t>
  </si>
  <si>
    <t xml:space="preserve">EF396/2025-26</t>
  </si>
  <si>
    <t xml:space="preserve">Installation of Associated Gas Lining Works for Gas Bank</t>
  </si>
  <si>
    <t xml:space="preserve">Service</t>
  </si>
  <si>
    <t xml:space="preserve">-</t>
  </si>
  <si>
    <t xml:space="preserve">GRN not applicable - Installation/Service line</t>
  </si>
  <si>
    <t xml:space="preserve">MVE/25-2026/048</t>
  </si>
  <si>
    <t xml:space="preserve">M V Engineering</t>
  </si>
  <si>
    <t xml:space="preserve">Charges towards Robotic Machine &amp; Acoustic Panel Room Dismantling Work</t>
  </si>
  <si>
    <t xml:space="preserve">100067120</t>
  </si>
  <si>
    <t xml:space="preserve">Associated dismantling works in Acoustic Panel room at Ph 2 Highbay</t>
  </si>
  <si>
    <t xml:space="preserve">MV Engineering</t>
  </si>
  <si>
    <t xml:space="preserve">GRN not applicable - Service line</t>
  </si>
  <si>
    <t xml:space="preserve">SUP/197/25-26</t>
  </si>
  <si>
    <t xml:space="preserve">Shobha Electricals</t>
  </si>
  <si>
    <t xml:space="preserve">Supply of Electrical Items - MCCB Feeder, Cables, Raceways, Earth Pad, Plug Sockets (Supply portion only)</t>
  </si>
  <si>
    <t xml:space="preserve">100068779</t>
  </si>
  <si>
    <t xml:space="preserve">Supply and installation of Electrical Work at PH2 GF High Bay - New proposed CVD (Fume Hood) area</t>
  </si>
  <si>
    <t xml:space="preserve">67287</t>
  </si>
  <si>
    <t xml:space="preserve">PO covers supply + installation; this invoice bills supply portion only - installation to be billed separately</t>
  </si>
  <si>
    <t xml:space="preserve">TOTAL - Asset 22673</t>
  </si>
  <si>
    <t xml:space="preserve">Legend:</t>
  </si>
  <si>
    <t xml:space="preserve">Green - Invoice Taxable Value matches PO Amount (Excl. GST)</t>
  </si>
  <si>
    <t xml:space="preserve">Red - Difference between Invoice Taxable Value and PO Amount - review required</t>
  </si>
  <si>
    <t xml:space="preserve">'Service' under GRN - Service PO line, GRN not applicable in system</t>
  </si>
  <si>
    <t xml:space="preserve">Test of Details (TOD) - PPE Addition Testing - Asset No. 22687</t>
  </si>
  <si>
    <t xml:space="preserve">22687</t>
  </si>
  <si>
    <t xml:space="preserve">FP/25-26/452</t>
  </si>
  <si>
    <t xml:space="preserve">Freezing Point</t>
  </si>
  <si>
    <t xml:space="preserve">Supply of VRF Outdoor/Indoor Units, Cable Trays, Ducting &amp; Insulation - RA-1 Supply</t>
  </si>
  <si>
    <t xml:space="preserve">100068394</t>
  </si>
  <si>
    <t xml:space="preserve">Associated HVAC works towards creation of BEC Thermal Lab at JFWTC (incl. amendment)</t>
  </si>
  <si>
    <t xml:space="preserve">Not provided</t>
  </si>
  <si>
    <t xml:space="preserve">GRN data not shared for this asset batch - to be updated on receipt</t>
  </si>
  <si>
    <t xml:space="preserve">FP/25-26/469</t>
  </si>
  <si>
    <t xml:space="preserve">Supply of VRF Outdoor/Indoor Units, Cable Trays, Ducting &amp; Insulation - RA-2 Supply (30% against material delivery)</t>
  </si>
  <si>
    <t xml:space="preserve">FP/25-26/488</t>
  </si>
  <si>
    <t xml:space="preserve">Supply of AHU Units, Sheet Metal Ducting, Exhaust Blowers - RA-3 Supply</t>
  </si>
  <si>
    <t xml:space="preserve">FP/25-26/654</t>
  </si>
  <si>
    <t xml:space="preserve">Associated HVAC Works towards creation of BEC Thermal Lab at JFWTC - RA-04 Supply</t>
  </si>
  <si>
    <t xml:space="preserve">PO value only ~67% invoiced to date (installation/balance supply pending) - ongoing project, verify with subsequent RA bills</t>
  </si>
  <si>
    <t xml:space="preserve">SUP/184/25-26</t>
  </si>
  <si>
    <t xml:space="preserve">Supply of Al./Cu. XLPE &amp; Flexible Cables and GI Cable Raceways for BEC Thermal Lab Electricals</t>
  </si>
  <si>
    <t xml:space="preserve">100068402</t>
  </si>
  <si>
    <t xml:space="preserve">Associated Electrical works towards creation of BEC Thermal Lab at JFWTC</t>
  </si>
  <si>
    <t xml:space="preserve">SUP/205/25-26</t>
  </si>
  <si>
    <t xml:space="preserve">Supply of Al./Cu. XLPE &amp; Flexible Cables and GI Cable Raceways for BEC Thermal Lab Electricals - RA02</t>
  </si>
  <si>
    <t xml:space="preserve">SUP/212/25-26</t>
  </si>
  <si>
    <t xml:space="preserve">Supply of Metallic Raceways and IP65/67 Industrial Sockets &amp; Switches for BEC Thermal Lab</t>
  </si>
  <si>
    <t xml:space="preserve">SUP/236/25-26</t>
  </si>
  <si>
    <t xml:space="preserve">Supply of New LT Panel, Raw Power Panel, HVAC Panel, UPS Sub Panel &amp; Emergency Panel as per SLD</t>
  </si>
  <si>
    <t xml:space="preserve">PO value only ~79% invoiced to date - ongoing project, verify with subsequent RA bills</t>
  </si>
  <si>
    <t xml:space="preserve">801783</t>
  </si>
  <si>
    <t xml:space="preserve">Central Data Systems Private Limited</t>
  </si>
  <si>
    <t xml:space="preserve">Supply of Cisco C9200L-48PXG-2Y-E Switches and C9130AXI-D Access Points for Thermal Lab</t>
  </si>
  <si>
    <t xml:space="preserve">100068796</t>
  </si>
  <si>
    <t xml:space="preserve">Supply of Cisco C9200L-48PXG-2Y-E Switches and C9130AXI-D Access Points 3 Qty for Thermal Lab</t>
  </si>
  <si>
    <t xml:space="preserve">TOTAL - Asset 22687</t>
  </si>
  <si>
    <t xml:space="preserve">Red - Difference between Invoice Taxable Value and PO Amount - review required (often partial/RA billing on ongoing projects)</t>
  </si>
  <si>
    <t xml:space="preserve">GRN No./Date marked 'Not provided' - CWIP/GRN tracker not shared for this asset; to be updated once received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</si>
</sst>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"/>
    <numFmt numFmtId="166" formatCode="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04A5A"/>
        <bgColor rgb="FF333399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  <col collapsed="false" customWidth="true" hidden="false" outlineLevel="0" max="5" min="5" style="1" width="30"/>
    <col collapsed="false" customWidth="true" hidden="false" outlineLevel="0" max="6" min="6" style="1" width="6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1" min="10" style="1" width="12"/>
    <col collapsed="false" customWidth="true" hidden="false" outlineLevel="0" max="12" min="12" style="1" width="30"/>
    <col collapsed="false" customWidth="true" hidden="false" outlineLevel="0" max="13" min="13" style="1" width="24"/>
    <col collapsed="false" customWidth="true" hidden="false" outlineLevel="0" max="14" min="14" style="1" width="16"/>
    <col collapsed="false" customWidth="true" hidden="false" outlineLevel="0" max="15" min="15" style="1" width="18"/>
    <col collapsed="false" customWidth="true" hidden="false" outlineLevel="0" max="16" min="16" style="1" width="10"/>
    <col collapsed="false" customWidth="true" hidden="false" outlineLevel="0" max="17" min="17" style="1" width="12"/>
    <col collapsed="false" customWidth="true" hidden="false" outlineLevel="0" max="18" min="18" style="1" width="2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customFormat="false" ht="34.5" hidden="false" customHeight="true" outlineLevel="0" collapsed="false">
      <c r="A6" s="6" t="s">
        <v>21</v>
      </c>
      <c r="B6" s="6" t="s">
        <v>22</v>
      </c>
      <c r="C6" s="7" t="n">
        <v>45947</v>
      </c>
      <c r="D6" s="8" t="s">
        <v>23</v>
      </c>
      <c r="E6" s="8" t="s">
        <v>24</v>
      </c>
      <c r="F6" s="6" t="n">
        <v>1</v>
      </c>
      <c r="G6" s="9" t="n">
        <v>651930.02</v>
      </c>
      <c r="H6" s="9" t="n">
        <v>117347.4</v>
      </c>
      <c r="I6" s="9" t="n">
        <v>769277.42</v>
      </c>
      <c r="J6" s="6" t="s">
        <v>25</v>
      </c>
      <c r="K6" s="7" t="n">
        <v>45929</v>
      </c>
      <c r="L6" s="8" t="s">
        <v>26</v>
      </c>
      <c r="M6" s="8" t="s">
        <v>23</v>
      </c>
      <c r="N6" s="9" t="n">
        <v>815080</v>
      </c>
      <c r="O6" s="10" t="n">
        <f aca="false">(G6+G7)-N6</f>
        <v>-36210.54</v>
      </c>
      <c r="P6" s="6" t="s">
        <v>27</v>
      </c>
      <c r="Q6" s="7" t="n">
        <v>45955</v>
      </c>
      <c r="R6" s="11"/>
    </row>
    <row r="7" customFormat="false" ht="23.25" hidden="false" customHeight="true" outlineLevel="0" collapsed="false">
      <c r="A7" s="6" t="s">
        <v>21</v>
      </c>
      <c r="B7" s="6" t="s">
        <v>28</v>
      </c>
      <c r="C7" s="7" t="n">
        <v>45954</v>
      </c>
      <c r="D7" s="8" t="s">
        <v>23</v>
      </c>
      <c r="E7" s="8" t="s">
        <v>29</v>
      </c>
      <c r="F7" s="6" t="n">
        <v>1</v>
      </c>
      <c r="G7" s="9" t="n">
        <v>126939.44</v>
      </c>
      <c r="H7" s="9" t="n">
        <v>22849.1</v>
      </c>
      <c r="I7" s="9" t="n">
        <v>149788.54</v>
      </c>
      <c r="J7" s="6"/>
      <c r="K7" s="6"/>
      <c r="L7" s="6"/>
      <c r="M7" s="6"/>
      <c r="N7" s="6"/>
      <c r="O7" s="10"/>
      <c r="P7" s="6" t="s">
        <v>30</v>
      </c>
      <c r="Q7" s="7" t="n">
        <v>45954</v>
      </c>
      <c r="R7" s="11"/>
    </row>
    <row r="8" customFormat="false" ht="23.25" hidden="false" customHeight="true" outlineLevel="0" collapsed="false">
      <c r="A8" s="6" t="s">
        <v>21</v>
      </c>
      <c r="B8" s="6" t="s">
        <v>31</v>
      </c>
      <c r="C8" s="7" t="n">
        <v>45996</v>
      </c>
      <c r="D8" s="8" t="s">
        <v>32</v>
      </c>
      <c r="E8" s="8" t="s">
        <v>33</v>
      </c>
      <c r="F8" s="6" t="n">
        <v>1</v>
      </c>
      <c r="G8" s="9" t="n">
        <v>882982</v>
      </c>
      <c r="H8" s="9" t="n">
        <v>158936.76</v>
      </c>
      <c r="I8" s="9" t="n">
        <v>1041918.76</v>
      </c>
      <c r="J8" s="6" t="s">
        <v>34</v>
      </c>
      <c r="K8" s="7" t="n">
        <v>45929</v>
      </c>
      <c r="L8" s="8" t="s">
        <v>35</v>
      </c>
      <c r="M8" s="8" t="s">
        <v>36</v>
      </c>
      <c r="N8" s="9" t="n">
        <v>882982</v>
      </c>
      <c r="O8" s="10" t="n">
        <f aca="false">(G8)-N8</f>
        <v>0</v>
      </c>
      <c r="P8" s="6" t="s">
        <v>37</v>
      </c>
      <c r="Q8" s="7" t="n">
        <v>45996</v>
      </c>
      <c r="R8" s="11"/>
    </row>
    <row r="9" customFormat="false" ht="45.75" hidden="false" customHeight="true" outlineLevel="0" collapsed="false">
      <c r="A9" s="6" t="s">
        <v>21</v>
      </c>
      <c r="B9" s="6" t="s">
        <v>38</v>
      </c>
      <c r="C9" s="7" t="n">
        <v>45961</v>
      </c>
      <c r="D9" s="8" t="s">
        <v>39</v>
      </c>
      <c r="E9" s="8" t="s">
        <v>40</v>
      </c>
      <c r="F9" s="6" t="n">
        <v>1</v>
      </c>
      <c r="G9" s="9" t="n">
        <v>584949</v>
      </c>
      <c r="H9" s="9" t="n">
        <v>105291</v>
      </c>
      <c r="I9" s="9" t="n">
        <v>690240</v>
      </c>
      <c r="J9" s="6" t="s">
        <v>41</v>
      </c>
      <c r="K9" s="7" t="n">
        <v>45926</v>
      </c>
      <c r="L9" s="8" t="s">
        <v>42</v>
      </c>
      <c r="M9" s="8" t="s">
        <v>39</v>
      </c>
      <c r="N9" s="9" t="n">
        <v>584949</v>
      </c>
      <c r="O9" s="10" t="n">
        <f aca="false">(G9)-N9</f>
        <v>0</v>
      </c>
      <c r="P9" s="6" t="s">
        <v>43</v>
      </c>
      <c r="Q9" s="7" t="n">
        <v>45966</v>
      </c>
      <c r="R9" s="11"/>
    </row>
    <row r="10" customFormat="false" ht="23.25" hidden="false" customHeight="true" outlineLevel="0" collapsed="false">
      <c r="A10" s="6" t="s">
        <v>21</v>
      </c>
      <c r="B10" s="6" t="s">
        <v>44</v>
      </c>
      <c r="C10" s="7" t="n">
        <v>45964</v>
      </c>
      <c r="D10" s="8" t="s">
        <v>45</v>
      </c>
      <c r="E10" s="8" t="s">
        <v>46</v>
      </c>
      <c r="F10" s="6" t="n">
        <v>1</v>
      </c>
      <c r="G10" s="9" t="n">
        <v>4075000</v>
      </c>
      <c r="H10" s="9" t="n">
        <v>733500</v>
      </c>
      <c r="I10" s="9" t="n">
        <v>4808500</v>
      </c>
      <c r="J10" s="6" t="s">
        <v>47</v>
      </c>
      <c r="K10" s="7" t="n">
        <v>45711</v>
      </c>
      <c r="L10" s="8" t="s">
        <v>48</v>
      </c>
      <c r="M10" s="8" t="s">
        <v>45</v>
      </c>
      <c r="N10" s="9" t="n">
        <v>4075000</v>
      </c>
      <c r="O10" s="10" t="n">
        <f aca="false">(G10)-N10</f>
        <v>0</v>
      </c>
      <c r="P10" s="6" t="s">
        <v>49</v>
      </c>
      <c r="Q10" s="7" t="n">
        <v>45967</v>
      </c>
      <c r="R10" s="11"/>
    </row>
    <row r="11" customFormat="false" ht="23.25" hidden="false" customHeight="true" outlineLevel="0" collapsed="false">
      <c r="A11" s="6" t="s">
        <v>21</v>
      </c>
      <c r="B11" s="6" t="s">
        <v>50</v>
      </c>
      <c r="C11" s="7" t="n">
        <v>45954</v>
      </c>
      <c r="D11" s="8" t="s">
        <v>51</v>
      </c>
      <c r="E11" s="8" t="s">
        <v>52</v>
      </c>
      <c r="F11" s="6" t="n">
        <v>1</v>
      </c>
      <c r="G11" s="9" t="n">
        <v>65791</v>
      </c>
      <c r="H11" s="9" t="n">
        <v>11842.38</v>
      </c>
      <c r="I11" s="9" t="n">
        <v>77633.38</v>
      </c>
      <c r="J11" s="6" t="s">
        <v>53</v>
      </c>
      <c r="K11" s="7" t="n">
        <v>45929</v>
      </c>
      <c r="L11" s="8" t="s">
        <v>54</v>
      </c>
      <c r="M11" s="8" t="s">
        <v>51</v>
      </c>
      <c r="N11" s="9" t="n">
        <v>561416</v>
      </c>
      <c r="O11" s="10" t="n">
        <f aca="false">(G11+G12)-N11</f>
        <v>-40119</v>
      </c>
      <c r="P11" s="6" t="s">
        <v>55</v>
      </c>
      <c r="Q11" s="7" t="n">
        <v>45958</v>
      </c>
      <c r="R11" s="11"/>
    </row>
    <row r="12" customFormat="false" ht="23.25" hidden="false" customHeight="true" outlineLevel="0" collapsed="false">
      <c r="A12" s="6" t="s">
        <v>21</v>
      </c>
      <c r="B12" s="6" t="s">
        <v>56</v>
      </c>
      <c r="C12" s="7" t="n">
        <v>46027</v>
      </c>
      <c r="D12" s="8" t="s">
        <v>51</v>
      </c>
      <c r="E12" s="8" t="s">
        <v>57</v>
      </c>
      <c r="F12" s="6" t="n">
        <v>1</v>
      </c>
      <c r="G12" s="9" t="n">
        <v>455506</v>
      </c>
      <c r="H12" s="9" t="n">
        <v>81991.08</v>
      </c>
      <c r="I12" s="9" t="n">
        <v>537497.08</v>
      </c>
      <c r="J12" s="6"/>
      <c r="K12" s="6"/>
      <c r="L12" s="6"/>
      <c r="M12" s="6"/>
      <c r="N12" s="6"/>
      <c r="O12" s="10"/>
      <c r="P12" s="6" t="s">
        <v>58</v>
      </c>
      <c r="Q12" s="6" t="s">
        <v>59</v>
      </c>
      <c r="R12" s="11" t="s">
        <v>60</v>
      </c>
    </row>
    <row r="13" customFormat="false" ht="34.5" hidden="false" customHeight="true" outlineLevel="0" collapsed="false">
      <c r="A13" s="6" t="s">
        <v>21</v>
      </c>
      <c r="B13" s="6" t="s">
        <v>61</v>
      </c>
      <c r="C13" s="7" t="n">
        <v>45870</v>
      </c>
      <c r="D13" s="8" t="s">
        <v>62</v>
      </c>
      <c r="E13" s="8" t="s">
        <v>63</v>
      </c>
      <c r="F13" s="6" t="n">
        <v>1</v>
      </c>
      <c r="G13" s="9" t="n">
        <v>223250</v>
      </c>
      <c r="H13" s="9" t="n">
        <v>40185</v>
      </c>
      <c r="I13" s="9" t="n">
        <v>263435</v>
      </c>
      <c r="J13" s="6" t="s">
        <v>64</v>
      </c>
      <c r="K13" s="7" t="n">
        <v>45826</v>
      </c>
      <c r="L13" s="8" t="s">
        <v>65</v>
      </c>
      <c r="M13" s="8" t="s">
        <v>66</v>
      </c>
      <c r="N13" s="9" t="n">
        <v>223250</v>
      </c>
      <c r="O13" s="10" t="n">
        <f aca="false">(G13)-N13</f>
        <v>0</v>
      </c>
      <c r="P13" s="6" t="s">
        <v>58</v>
      </c>
      <c r="Q13" s="6" t="s">
        <v>59</v>
      </c>
      <c r="R13" s="11" t="s">
        <v>67</v>
      </c>
    </row>
    <row r="14" customFormat="false" ht="45.75" hidden="false" customHeight="true" outlineLevel="0" collapsed="false">
      <c r="A14" s="6" t="s">
        <v>21</v>
      </c>
      <c r="B14" s="6" t="s">
        <v>68</v>
      </c>
      <c r="C14" s="7" t="n">
        <v>45958</v>
      </c>
      <c r="D14" s="8" t="s">
        <v>69</v>
      </c>
      <c r="E14" s="8" t="s">
        <v>70</v>
      </c>
      <c r="F14" s="6" t="n">
        <v>1</v>
      </c>
      <c r="G14" s="9" t="n">
        <v>169250</v>
      </c>
      <c r="H14" s="9" t="n">
        <v>30465</v>
      </c>
      <c r="I14" s="9" t="n">
        <v>199715</v>
      </c>
      <c r="J14" s="6" t="s">
        <v>71</v>
      </c>
      <c r="K14" s="7" t="n">
        <v>45937</v>
      </c>
      <c r="L14" s="8" t="s">
        <v>72</v>
      </c>
      <c r="M14" s="8" t="s">
        <v>69</v>
      </c>
      <c r="N14" s="9" t="n">
        <v>239245</v>
      </c>
      <c r="O14" s="10" t="n">
        <f aca="false">(G14)-N14</f>
        <v>-69995</v>
      </c>
      <c r="P14" s="6" t="s">
        <v>73</v>
      </c>
      <c r="Q14" s="7" t="n">
        <v>45959</v>
      </c>
      <c r="R14" s="11" t="s">
        <v>74</v>
      </c>
    </row>
    <row r="16" customFormat="false" ht="15" hidden="false" customHeight="true" outlineLevel="0" collapsed="false">
      <c r="A16" s="12" t="s">
        <v>75</v>
      </c>
      <c r="B16" s="12"/>
      <c r="C16" s="12"/>
      <c r="D16" s="12"/>
      <c r="E16" s="12"/>
      <c r="F16" s="12"/>
      <c r="G16" s="13" t="n">
        <f aca="false">SUM(G6:G14)</f>
        <v>7235597.46</v>
      </c>
      <c r="H16" s="13" t="n">
        <f aca="false">SUM(H6:H14)</f>
        <v>1302407.72</v>
      </c>
      <c r="I16" s="13" t="n">
        <f aca="false">SUM(I6:I14)</f>
        <v>8538005.18</v>
      </c>
      <c r="J16" s="14"/>
      <c r="K16" s="14"/>
      <c r="L16" s="14"/>
      <c r="M16" s="14"/>
      <c r="N16" s="13" t="n">
        <f aca="false">(N6+N8+N9+N10+N11+N13+N14)</f>
        <v>7381922</v>
      </c>
      <c r="O16" s="13" t="n">
        <f aca="false">(O6+O8+O9+O10+O11+O13+O14)</f>
        <v>-146324.54</v>
      </c>
      <c r="P16" s="14"/>
      <c r="Q16" s="14"/>
      <c r="R16" s="14"/>
    </row>
    <row r="18" customFormat="false" ht="15" hidden="false" customHeight="true" outlineLevel="0" collapsed="false">
      <c r="A18" s="15" t="s">
        <v>76</v>
      </c>
      <c r="B18" s="15"/>
      <c r="C18" s="15"/>
      <c r="D18" s="15"/>
      <c r="E18" s="15"/>
      <c r="F18" s="15"/>
    </row>
    <row r="19" customFormat="false" ht="15" hidden="false" customHeight="true" outlineLevel="0" collapsed="false">
      <c r="A19" s="16" t="s">
        <v>77</v>
      </c>
      <c r="B19" s="16"/>
      <c r="C19" s="16"/>
      <c r="D19" s="16"/>
      <c r="E19" s="16"/>
      <c r="F19" s="16"/>
    </row>
    <row r="20" customFormat="false" ht="15" hidden="false" customHeight="true" outlineLevel="0" collapsed="false">
      <c r="A20" s="17" t="s">
        <v>78</v>
      </c>
      <c r="B20" s="17"/>
      <c r="C20" s="17"/>
      <c r="D20" s="17"/>
      <c r="E20" s="17"/>
      <c r="F20" s="17"/>
    </row>
    <row r="21" customFormat="false" ht="15" hidden="false" customHeight="true" outlineLevel="0" collapsed="false">
      <c r="A21" s="4" t="s">
        <v>79</v>
      </c>
      <c r="B21" s="4"/>
      <c r="C21" s="4"/>
      <c r="D21" s="4"/>
      <c r="E21" s="4"/>
      <c r="F21" s="4"/>
    </row>
  </sheetData>
  <mergeCells count="20">
    <mergeCell ref="A1:R1"/>
    <mergeCell ref="A2:R2"/>
    <mergeCell ref="A3:R3"/>
    <mergeCell ref="J6:J7"/>
    <mergeCell ref="K6:K7"/>
    <mergeCell ref="L6:L7"/>
    <mergeCell ref="M6:M7"/>
    <mergeCell ref="N6:N7"/>
    <mergeCell ref="O6:O7"/>
    <mergeCell ref="J11:J12"/>
    <mergeCell ref="K11:K12"/>
    <mergeCell ref="L11:L12"/>
    <mergeCell ref="M11:M12"/>
    <mergeCell ref="N11:N12"/>
    <mergeCell ref="O11:O12"/>
    <mergeCell ref="A16:F16"/>
    <mergeCell ref="A18:F18"/>
    <mergeCell ref="A19:F19"/>
    <mergeCell ref="A20:F20"/>
    <mergeCell ref="A21:F21"/>
  </mergeCells>
  <conditionalFormatting sqref="O6:O14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6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2"/>
    <col collapsed="false" customWidth="true" hidden="false" outlineLevel="0" max="12" min="12" style="0" width="34"/>
    <col collapsed="false" customWidth="true" hidden="false" outlineLevel="0" max="13" min="13" style="0" width="24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6"/>
    <col collapsed="false" customWidth="true" hidden="false" outlineLevel="0" max="17" min="17" style="0" width="12"/>
    <col collapsed="false" customWidth="true" hidden="false" outlineLevel="0" max="18" min="18" style="0" width="30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3" t="s">
        <v>80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5" customFormat="false" ht="31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</row>
    <row r="6" customFormat="false" ht="35.05" hidden="false" customHeight="true" outlineLevel="0" collapsed="false">
      <c r="A6" s="6" t="s">
        <v>81</v>
      </c>
      <c r="B6" s="6" t="s">
        <v>82</v>
      </c>
      <c r="C6" s="7" t="n">
        <v>45955</v>
      </c>
      <c r="D6" s="8" t="s">
        <v>83</v>
      </c>
      <c r="E6" s="8" t="s">
        <v>84</v>
      </c>
      <c r="F6" s="6" t="n">
        <v>1</v>
      </c>
      <c r="G6" s="9" t="n">
        <v>2293703.3</v>
      </c>
      <c r="H6" s="9" t="n">
        <v>412866.58</v>
      </c>
      <c r="I6" s="9" t="n">
        <v>2706570</v>
      </c>
      <c r="J6" s="6" t="s">
        <v>85</v>
      </c>
      <c r="K6" s="7" t="n">
        <v>45915</v>
      </c>
      <c r="L6" s="8" t="s">
        <v>86</v>
      </c>
      <c r="M6" s="8" t="s">
        <v>83</v>
      </c>
      <c r="N6" s="9" t="n">
        <v>11574131</v>
      </c>
      <c r="O6" s="10" t="n">
        <f aca="false">(G6+G7+G8+G9)-N6</f>
        <v>-3784470</v>
      </c>
      <c r="P6" s="6" t="s">
        <v>87</v>
      </c>
      <c r="Q6" s="6" t="s">
        <v>59</v>
      </c>
      <c r="R6" s="11" t="s">
        <v>88</v>
      </c>
    </row>
    <row r="7" customFormat="false" ht="35.05" hidden="false" customHeight="false" outlineLevel="0" collapsed="false">
      <c r="A7" s="6" t="s">
        <v>81</v>
      </c>
      <c r="B7" s="6" t="s">
        <v>89</v>
      </c>
      <c r="C7" s="7" t="n">
        <v>45967</v>
      </c>
      <c r="D7" s="8" t="s">
        <v>83</v>
      </c>
      <c r="E7" s="8" t="s">
        <v>90</v>
      </c>
      <c r="F7" s="6" t="n">
        <v>1</v>
      </c>
      <c r="G7" s="9" t="n">
        <v>983015.7</v>
      </c>
      <c r="H7" s="9" t="n">
        <v>176942.84</v>
      </c>
      <c r="I7" s="9" t="n">
        <v>1159959</v>
      </c>
      <c r="J7" s="6"/>
      <c r="K7" s="6"/>
      <c r="L7" s="6"/>
      <c r="M7" s="6"/>
      <c r="N7" s="6"/>
      <c r="O7" s="10"/>
      <c r="P7" s="6" t="s">
        <v>87</v>
      </c>
      <c r="Q7" s="6" t="s">
        <v>59</v>
      </c>
      <c r="R7" s="11"/>
    </row>
    <row r="8" customFormat="false" ht="23.85" hidden="false" customHeight="false" outlineLevel="0" collapsed="false">
      <c r="A8" s="6" t="s">
        <v>81</v>
      </c>
      <c r="B8" s="6" t="s">
        <v>91</v>
      </c>
      <c r="C8" s="7" t="n">
        <v>45980</v>
      </c>
      <c r="D8" s="8" t="s">
        <v>83</v>
      </c>
      <c r="E8" s="8" t="s">
        <v>92</v>
      </c>
      <c r="F8" s="6" t="n">
        <v>1</v>
      </c>
      <c r="G8" s="9" t="n">
        <v>3302540</v>
      </c>
      <c r="H8" s="9" t="n">
        <v>594457.2</v>
      </c>
      <c r="I8" s="9" t="n">
        <v>3896997</v>
      </c>
      <c r="J8" s="6"/>
      <c r="K8" s="6"/>
      <c r="L8" s="6"/>
      <c r="M8" s="6"/>
      <c r="N8" s="6"/>
      <c r="O8" s="10"/>
      <c r="P8" s="6" t="s">
        <v>87</v>
      </c>
      <c r="Q8" s="6" t="s">
        <v>59</v>
      </c>
      <c r="R8" s="11"/>
    </row>
    <row r="9" customFormat="false" ht="43.25" hidden="false" customHeight="false" outlineLevel="0" collapsed="false">
      <c r="A9" s="6" t="s">
        <v>81</v>
      </c>
      <c r="B9" s="6" t="s">
        <v>93</v>
      </c>
      <c r="C9" s="7" t="n">
        <v>46035</v>
      </c>
      <c r="D9" s="8" t="s">
        <v>83</v>
      </c>
      <c r="E9" s="8" t="s">
        <v>94</v>
      </c>
      <c r="F9" s="6" t="n">
        <v>1</v>
      </c>
      <c r="G9" s="9" t="n">
        <v>1210402</v>
      </c>
      <c r="H9" s="9" t="n">
        <v>217872.36</v>
      </c>
      <c r="I9" s="9" t="n">
        <v>1428274</v>
      </c>
      <c r="J9" s="6"/>
      <c r="K9" s="6"/>
      <c r="L9" s="6"/>
      <c r="M9" s="6"/>
      <c r="N9" s="6"/>
      <c r="O9" s="10"/>
      <c r="P9" s="6" t="s">
        <v>87</v>
      </c>
      <c r="Q9" s="6" t="s">
        <v>59</v>
      </c>
      <c r="R9" s="11" t="s">
        <v>95</v>
      </c>
    </row>
    <row r="10" customFormat="false" ht="35.05" hidden="false" customHeight="true" outlineLevel="0" collapsed="false">
      <c r="A10" s="6" t="s">
        <v>81</v>
      </c>
      <c r="B10" s="6" t="s">
        <v>96</v>
      </c>
      <c r="C10" s="7" t="n">
        <v>45946</v>
      </c>
      <c r="D10" s="8" t="s">
        <v>69</v>
      </c>
      <c r="E10" s="8" t="s">
        <v>97</v>
      </c>
      <c r="F10" s="6" t="n">
        <v>1</v>
      </c>
      <c r="G10" s="9" t="n">
        <v>3852448.6</v>
      </c>
      <c r="H10" s="9" t="n">
        <v>693440.74</v>
      </c>
      <c r="I10" s="9" t="n">
        <v>4545889</v>
      </c>
      <c r="J10" s="6" t="s">
        <v>98</v>
      </c>
      <c r="K10" s="7" t="n">
        <v>45915</v>
      </c>
      <c r="L10" s="8" t="s">
        <v>99</v>
      </c>
      <c r="M10" s="8" t="s">
        <v>69</v>
      </c>
      <c r="N10" s="9" t="n">
        <v>15323430</v>
      </c>
      <c r="O10" s="10" t="n">
        <f aca="false">(G10+G11+G12+G13)-N10</f>
        <v>-3255421.5</v>
      </c>
      <c r="P10" s="6" t="s">
        <v>87</v>
      </c>
      <c r="Q10" s="6" t="s">
        <v>59</v>
      </c>
      <c r="R10" s="11" t="s">
        <v>88</v>
      </c>
    </row>
    <row r="11" customFormat="false" ht="35.05" hidden="false" customHeight="false" outlineLevel="0" collapsed="false">
      <c r="A11" s="6" t="s">
        <v>81</v>
      </c>
      <c r="B11" s="6" t="s">
        <v>100</v>
      </c>
      <c r="C11" s="7" t="n">
        <v>45966</v>
      </c>
      <c r="D11" s="8" t="s">
        <v>69</v>
      </c>
      <c r="E11" s="8" t="s">
        <v>101</v>
      </c>
      <c r="F11" s="6" t="n">
        <v>1</v>
      </c>
      <c r="G11" s="9" t="n">
        <v>1890084.9</v>
      </c>
      <c r="H11" s="9" t="n">
        <v>340215.28</v>
      </c>
      <c r="I11" s="9" t="n">
        <v>2230300</v>
      </c>
      <c r="J11" s="6"/>
      <c r="K11" s="6"/>
      <c r="L11" s="6"/>
      <c r="M11" s="6"/>
      <c r="N11" s="6"/>
      <c r="O11" s="10"/>
      <c r="P11" s="6" t="s">
        <v>87</v>
      </c>
      <c r="Q11" s="6" t="s">
        <v>59</v>
      </c>
      <c r="R11" s="11"/>
    </row>
    <row r="12" customFormat="false" ht="35.05" hidden="false" customHeight="false" outlineLevel="0" collapsed="false">
      <c r="A12" s="6" t="s">
        <v>81</v>
      </c>
      <c r="B12" s="6" t="s">
        <v>102</v>
      </c>
      <c r="C12" s="7" t="n">
        <v>45963</v>
      </c>
      <c r="D12" s="8" t="s">
        <v>69</v>
      </c>
      <c r="E12" s="8" t="s">
        <v>103</v>
      </c>
      <c r="F12" s="6" t="n">
        <v>1</v>
      </c>
      <c r="G12" s="9" t="n">
        <v>1495567</v>
      </c>
      <c r="H12" s="9" t="n">
        <v>269202.06</v>
      </c>
      <c r="I12" s="9" t="n">
        <v>1764769</v>
      </c>
      <c r="J12" s="6"/>
      <c r="K12" s="6"/>
      <c r="L12" s="6"/>
      <c r="M12" s="6"/>
      <c r="N12" s="6"/>
      <c r="O12" s="10"/>
      <c r="P12" s="6" t="s">
        <v>87</v>
      </c>
      <c r="Q12" s="6" t="s">
        <v>59</v>
      </c>
      <c r="R12" s="11"/>
    </row>
    <row r="13" customFormat="false" ht="35.05" hidden="false" customHeight="false" outlineLevel="0" collapsed="false">
      <c r="A13" s="6" t="s">
        <v>81</v>
      </c>
      <c r="B13" s="6" t="s">
        <v>104</v>
      </c>
      <c r="C13" s="7" t="n">
        <v>45996</v>
      </c>
      <c r="D13" s="8" t="s">
        <v>69</v>
      </c>
      <c r="E13" s="8" t="s">
        <v>105</v>
      </c>
      <c r="F13" s="6" t="n">
        <v>1</v>
      </c>
      <c r="G13" s="9" t="n">
        <v>4829908</v>
      </c>
      <c r="H13" s="9" t="n">
        <v>869383.44</v>
      </c>
      <c r="I13" s="9" t="n">
        <v>5699291</v>
      </c>
      <c r="J13" s="6"/>
      <c r="K13" s="6"/>
      <c r="L13" s="6"/>
      <c r="M13" s="6"/>
      <c r="N13" s="6"/>
      <c r="O13" s="10"/>
      <c r="P13" s="6" t="s">
        <v>87</v>
      </c>
      <c r="Q13" s="6" t="s">
        <v>59</v>
      </c>
      <c r="R13" s="11" t="s">
        <v>106</v>
      </c>
    </row>
    <row r="14" customFormat="false" ht="35.05" hidden="false" customHeight="false" outlineLevel="0" collapsed="false">
      <c r="A14" s="6" t="s">
        <v>81</v>
      </c>
      <c r="B14" s="6" t="s">
        <v>107</v>
      </c>
      <c r="C14" s="7" t="n">
        <v>45987</v>
      </c>
      <c r="D14" s="8" t="s">
        <v>108</v>
      </c>
      <c r="E14" s="8" t="s">
        <v>109</v>
      </c>
      <c r="F14" s="6" t="n">
        <v>1</v>
      </c>
      <c r="G14" s="9" t="n">
        <v>962637.05</v>
      </c>
      <c r="H14" s="9" t="n">
        <v>173274.66</v>
      </c>
      <c r="I14" s="9" t="n">
        <v>1135911.72</v>
      </c>
      <c r="J14" s="6" t="s">
        <v>110</v>
      </c>
      <c r="K14" s="7" t="n">
        <v>45937</v>
      </c>
      <c r="L14" s="8" t="s">
        <v>111</v>
      </c>
      <c r="M14" s="8" t="s">
        <v>108</v>
      </c>
      <c r="N14" s="9" t="n">
        <v>1217149</v>
      </c>
      <c r="O14" s="10" t="n">
        <f aca="false">(G14)-N14</f>
        <v>-254511.95</v>
      </c>
      <c r="P14" s="6" t="s">
        <v>87</v>
      </c>
      <c r="Q14" s="6" t="s">
        <v>59</v>
      </c>
      <c r="R14" s="11" t="s">
        <v>88</v>
      </c>
    </row>
    <row r="16" customFormat="false" ht="15" hidden="false" customHeight="true" outlineLevel="0" collapsed="false">
      <c r="A16" s="12" t="s">
        <v>112</v>
      </c>
      <c r="B16" s="12"/>
      <c r="C16" s="12"/>
      <c r="D16" s="12"/>
      <c r="E16" s="12"/>
      <c r="F16" s="12"/>
      <c r="G16" s="13" t="n">
        <f aca="false">SUM(G6:G14)</f>
        <v>20820306.55</v>
      </c>
      <c r="H16" s="13" t="n">
        <f aca="false">SUM(H6:H14)</f>
        <v>3747655.16</v>
      </c>
      <c r="I16" s="13" t="n">
        <f aca="false">SUM(I6:I14)</f>
        <v>24567960.72</v>
      </c>
      <c r="J16" s="14"/>
      <c r="K16" s="14"/>
      <c r="L16" s="14"/>
      <c r="M16" s="14"/>
      <c r="N16" s="13" t="n">
        <f aca="false">(N6+N10+N14)</f>
        <v>28114710</v>
      </c>
      <c r="O16" s="13" t="n">
        <f aca="false">(O6+O10+O14)</f>
        <v>-7294403.45</v>
      </c>
      <c r="P16" s="14"/>
      <c r="Q16" s="14"/>
      <c r="R16" s="14"/>
    </row>
    <row r="18" customFormat="false" ht="15" hidden="false" customHeight="false" outlineLevel="0" collapsed="false">
      <c r="A18" s="15" t="s">
        <v>76</v>
      </c>
      <c r="B18" s="15"/>
      <c r="C18" s="15"/>
      <c r="D18" s="15"/>
      <c r="E18" s="15"/>
      <c r="F18" s="15"/>
    </row>
    <row r="19" customFormat="false" ht="15" hidden="false" customHeight="false" outlineLevel="0" collapsed="false">
      <c r="A19" s="16" t="s">
        <v>77</v>
      </c>
      <c r="B19" s="16"/>
      <c r="C19" s="16"/>
      <c r="D19" s="16"/>
      <c r="E19" s="16"/>
      <c r="F19" s="16"/>
    </row>
    <row r="20" customFormat="false" ht="15" hidden="false" customHeight="false" outlineLevel="0" collapsed="false">
      <c r="A20" s="17" t="s">
        <v>113</v>
      </c>
      <c r="B20" s="17"/>
      <c r="C20" s="17"/>
      <c r="D20" s="17"/>
      <c r="E20" s="17"/>
      <c r="F20" s="17"/>
    </row>
    <row r="21" customFormat="false" ht="15" hidden="false" customHeight="false" outlineLevel="0" collapsed="false">
      <c r="A21" s="4" t="s">
        <v>114</v>
      </c>
      <c r="B21" s="4"/>
      <c r="C21" s="4"/>
      <c r="D21" s="4"/>
      <c r="E21" s="4"/>
      <c r="F21" s="4"/>
    </row>
  </sheetData>
  <mergeCells count="20">
    <mergeCell ref="A1:R1"/>
    <mergeCell ref="A2:R2"/>
    <mergeCell ref="A3:R3"/>
    <mergeCell ref="J6:J9"/>
    <mergeCell ref="K6:K9"/>
    <mergeCell ref="L6:L9"/>
    <mergeCell ref="M6:M9"/>
    <mergeCell ref="N6:N9"/>
    <mergeCell ref="O6:O9"/>
    <mergeCell ref="J10:J13"/>
    <mergeCell ref="K10:K13"/>
    <mergeCell ref="L10:L13"/>
    <mergeCell ref="M10:M13"/>
    <mergeCell ref="N10:N13"/>
    <mergeCell ref="O10:O13"/>
    <mergeCell ref="A16:F16"/>
    <mergeCell ref="A18:F18"/>
    <mergeCell ref="A19:F19"/>
    <mergeCell ref="A20:F20"/>
    <mergeCell ref="A21:F21"/>
  </mergeCells>
  <conditionalFormatting sqref="O6:O14">
    <cfRule type="cellIs" priority="2" operator="notEqual" aboveAverage="0" equalAverage="0" bottom="0" percent="0" rank="0" text="" dxfId="2">
      <formula>0</formula>
    </cfRule>
    <cfRule type="cellIs" priority="3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2026-07-12T13:14:04Z</dcterms:created>
  <dc:creator>openpyxl</dc:creator>
  <dc:description/>
  <dc:language>en-US</dc:language>
  <cp:lastModifiedBy/>
  <dcterms:modified xsi:type="dcterms:W3CDTF">2026-07-12T13:21:31Z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