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GE India\jet geipl\"/>
    </mc:Choice>
  </mc:AlternateContent>
  <xr:revisionPtr revIDLastSave="0" documentId="13_ncr:1_{D6D2B63D-14F6-4A41-BB46-684F65FA53C3}" xr6:coauthVersionLast="47" xr6:coauthVersionMax="47" xr10:uidLastSave="{00000000-0000-0000-0000-000000000000}"/>
  <bookViews>
    <workbookView xWindow="-100" yWindow="-100" windowWidth="21467" windowHeight="11443" firstSheet="1" activeTab="2" xr2:uid="{41F7E65A-0ABE-4E02-9F0B-138325B9DBB1}"/>
  </bookViews>
  <sheets>
    <sheet name="Sheet1" sheetId="1" state="hidden" r:id="rId1"/>
    <sheet name="further" sheetId="2" r:id="rId2"/>
    <sheet name="debits to revenue" sheetId="3" r:id="rId3"/>
    <sheet name="users with few interest" sheetId="4" r:id="rId4"/>
  </sheets>
  <definedNames>
    <definedName name="_xlnm._FilterDatabase" localSheetId="1" hidden="1">further!$A$2:$Q$21</definedName>
    <definedName name="_xlnm._FilterDatabase" localSheetId="0" hidden="1">Sheet1!$A$1:$S$190</definedName>
    <definedName name="_xlnm._FilterDatabase" localSheetId="3" hidden="1">'users with few interest'!$A$1:$R$44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1" i="3" l="1"/>
  <c r="S10" i="3"/>
</calcChain>
</file>

<file path=xl/sharedStrings.xml><?xml version="1.0" encoding="utf-8"?>
<sst xmlns="http://schemas.openxmlformats.org/spreadsheetml/2006/main" count="1803" uniqueCount="381">
  <si>
    <t>Grouping Level</t>
  </si>
  <si>
    <t>Type Of Entry</t>
  </si>
  <si>
    <t>Number of Postings to the account</t>
  </si>
  <si>
    <t>Journal Entry Number</t>
  </si>
  <si>
    <t>Description</t>
  </si>
  <si>
    <t>Entity ID</t>
  </si>
  <si>
    <t>Account Number</t>
  </si>
  <si>
    <t>Account Description</t>
  </si>
  <si>
    <t>Debit</t>
  </si>
  <si>
    <t>Credit</t>
  </si>
  <si>
    <t>User ID</t>
  </si>
  <si>
    <t>Posted Date (MM/DD/YYYY)</t>
  </si>
  <si>
    <t>Effective Date (MM/DD/YYYY)</t>
  </si>
  <si>
    <t>Location</t>
  </si>
  <si>
    <t>Financial Statement Line</t>
  </si>
  <si>
    <t>Financial Statement Category</t>
  </si>
  <si>
    <t>Number of Lines</t>
  </si>
  <si>
    <t>Entry for Further Evaluation?</t>
  </si>
  <si>
    <t>Entry</t>
  </si>
  <si>
    <t>N</t>
  </si>
  <si>
    <t>CCLFGL.APAVIN.CCLJEES.102192 CCL_AP_INTERFACE A 20250416212631802 54493188 N</t>
  </si>
  <si>
    <t>Line</t>
  </si>
  <si>
    <t>Journal Import 54493188:</t>
  </si>
  <si>
    <t>OCL</t>
  </si>
  <si>
    <t>All Other Costs Of Sale-lease Rental-fleet</t>
  </si>
  <si>
    <t>NA</t>
  </si>
  <si>
    <t>RENT</t>
  </si>
  <si>
    <t>EXPENSES</t>
  </si>
  <si>
    <t>ARM_Open Items Closure_ MJE_23042025 Spreadsheet A 300001566647330 54568213 N</t>
  </si>
  <si>
    <t>No</t>
  </si>
  <si>
    <t>ARM_Open Items Closure_ MJE_23042025</t>
  </si>
  <si>
    <t>RESIDUAL</t>
  </si>
  <si>
    <t>Nonus-nationalinctxpay-2ndpytx-1/1</t>
  </si>
  <si>
    <t>PROVISION FOR TAX - BS</t>
  </si>
  <si>
    <t>LIABILITIES</t>
  </si>
  <si>
    <t>ARM_Open Items Closure_Account Reclass_ MJE_30042025 Spreadsheet A 300001605691072 54731868 N</t>
  </si>
  <si>
    <t>ARM_Open Items Closure_Account Reclass_ MJE_30042025</t>
  </si>
  <si>
    <t>VERNOVA RESIDUAL</t>
  </si>
  <si>
    <t>Nonus-nationalinctxpay-pytx-other Changes</t>
  </si>
  <si>
    <t>NONUS-NATIONALINCTXPAY-PYTX-OTHER CHANGES</t>
  </si>
  <si>
    <t>CCLFGL.TAE.TAEJEES.102940 GE_TAE A 20250513191446179 54840207 N</t>
  </si>
  <si>
    <t>Journal Import 54840207:</t>
  </si>
  <si>
    <t>All Other Sga Costs-employee Educ And Welfare-training/seminars</t>
  </si>
  <si>
    <t>TRAINING AND SEMINAR</t>
  </si>
  <si>
    <t>PRV4_Reversal_Audit Fees Accrual FY 2023-24_ MJE May-25 Spreadsheet A 300001358091797 54905772 N</t>
  </si>
  <si>
    <t>PRV4_Reversal_Audit Fees Accrual FY 2023-24_ MJE May-25</t>
  </si>
  <si>
    <t>PRV4</t>
  </si>
  <si>
    <t>Othliab-current-audit Fee</t>
  </si>
  <si>
    <t>OTHLIAB-CURRENT-AUDIT FEE</t>
  </si>
  <si>
    <t>CCLFGL.APAVIN.CCLJEES.104061 CCL_AP_INTERFACE A 20250618212610898 55302938 N</t>
  </si>
  <si>
    <t>Journal Import 55302938:</t>
  </si>
  <si>
    <t>All Other Sga Costs-maintenance</t>
  </si>
  <si>
    <t>ALL OTHER SGA COSTS-MAINTENANCE</t>
  </si>
  <si>
    <t>CCLFGL.TAE.TAEJEES.104309 GE_TAE A 20250627011437239 55411454 N</t>
  </si>
  <si>
    <t>Journal Import 55411454:</t>
  </si>
  <si>
    <t>Other Sga-other-misc Services-building+office Cleaning</t>
  </si>
  <si>
    <t>OFFICE MAINTENANCE</t>
  </si>
  <si>
    <t>FAS109 for Mar-2024 Spreadsheet A 2108523 55465299 N</t>
  </si>
  <si>
    <t>FAS109 for Mar-2024</t>
  </si>
  <si>
    <t>AVIATION</t>
  </si>
  <si>
    <t>Provision For Nonus Income Taxes Payable On Earnings-py Adj</t>
  </si>
  <si>
    <t>AUTOMICUSER</t>
  </si>
  <si>
    <t>PROVISION FOR TAX - CURRENT TAX</t>
  </si>
  <si>
    <t>Provision For Nonus Income Taxes Deferred-other-py</t>
  </si>
  <si>
    <t>PROVISION FOR TAX - DEFERRED TAX</t>
  </si>
  <si>
    <t>Jun25 Closing and RTA2024_Open_Items_30062025 Spreadsheet A 2108669 55476488 N</t>
  </si>
  <si>
    <t>Jun25 Closing and RTA2024_Open_Items_30062025</t>
  </si>
  <si>
    <t>PROVISION FOR NONUS INCOME TAXES DEFERRED-OTHER-PY</t>
  </si>
  <si>
    <t>ONE EHS</t>
  </si>
  <si>
    <t>Nonus-nationalinctxpay-2ndpytx-adjustment Through Net Earnings</t>
  </si>
  <si>
    <t>NONUS-NATIONALINCTXPAY-2NDPYTX-ADJUSTMENT THROUGH NET EARNINGS</t>
  </si>
  <si>
    <t>All Other Costs Of Sale-penalties-int/late Charges (nondeduct)</t>
  </si>
  <si>
    <t>RATES AND TAXES</t>
  </si>
  <si>
    <t>GIN3_KS02_F&amp;F correction, Edit check_Jun 25 Spreadsheet A 2107195 55482519 N</t>
  </si>
  <si>
    <t>GIN3_KS02_F&amp;F correction, Edit check_Jun 25</t>
  </si>
  <si>
    <t>Othliab-noncur</t>
  </si>
  <si>
    <t>OTHLIAB-NONCUR</t>
  </si>
  <si>
    <t>GING_True-up provision_Jun25 Spreadsheet A 2110461 55496821 N</t>
  </si>
  <si>
    <t>Yes</t>
  </si>
  <si>
    <t>GING_True-up provision_Jun25</t>
  </si>
  <si>
    <t>Accrual-payroll-other</t>
  </si>
  <si>
    <t>CURRENT LIABILITIES- OTHERS</t>
  </si>
  <si>
    <t>Reserve-employee Comp And Ben</t>
  </si>
  <si>
    <t>RESERVE-EMPLOYEE COMP AND BEN</t>
  </si>
  <si>
    <t>All Other C&amp;b Costs-comp-salary</t>
  </si>
  <si>
    <t>SALARIES, ALLOWANCES, WAGES AND BONUS - ALL</t>
  </si>
  <si>
    <t>LR4S PL Reclass SB_Aug25 Spreadsheet A 2136473 56146383 N</t>
  </si>
  <si>
    <t>LR4S PL Reclass SB_Aug25</t>
  </si>
  <si>
    <t>Cost Of Sale C&amp;b-benefits-pension Costs</t>
  </si>
  <si>
    <t>2025_9_14617418700_ISK_Multiple_DI Cleanup - PRM &amp; FCY Spreadsheet A 2232877 56738530 N</t>
  </si>
  <si>
    <t>2025_9_14617418700_ISK_Multiple_DI Cleanup - PRM &amp; FCY</t>
  </si>
  <si>
    <t>Ge-cta (pretax)-1/1 Hfm Non-usd Fc Based</t>
  </si>
  <si>
    <t>PROFIT AND LOSS ACCOUNT - OP BAL (BALANCE SHEET)</t>
  </si>
  <si>
    <t>EQUITY</t>
  </si>
  <si>
    <t>Ge-pension/post-retire Benefits Liab (deftax)-1/1</t>
  </si>
  <si>
    <t>GE-PENSION/POST-RETIRE BENEFITS LIAB (PRETAX)-CYCHG-OTHER PLANS</t>
  </si>
  <si>
    <t>GIN3_KS06_OCI Trueup_Sep 25 Spreadsheet A 2233023 56750319 N</t>
  </si>
  <si>
    <t>GIN3_KS06_OCI Trueup_Sep 25</t>
  </si>
  <si>
    <t>Ge-pension/post-retire Benefits Liab (pretax)-cychg-other Plans</t>
  </si>
  <si>
    <t>CCLFGL.TAE.TAEJEES.107461 GE_TAE A 20251014181432494 56914053 N</t>
  </si>
  <si>
    <t>Journal Import 56914053:</t>
  </si>
  <si>
    <t>Ovc-it-hardware &amp; Equipment</t>
  </si>
  <si>
    <t>OVC-IT-HARDWARE &amp; EQUIPMENT</t>
  </si>
  <si>
    <t>All Other Costs Of Sale-cvw-all Other Controllable Expenses</t>
  </si>
  <si>
    <t>MISCELLANEOUS EXPENSES</t>
  </si>
  <si>
    <t>BS Reclass-Karnataka RCM pre-deposit under Protest Spreadsheet A 2246420 57107518 N</t>
  </si>
  <si>
    <t>BS Reclass-Karnataka RCM pre-deposit under Protest</t>
  </si>
  <si>
    <t>Reserve-sundry Losses-other</t>
  </si>
  <si>
    <t>RESERVE-SUNDRY LOSSES-OTHER</t>
  </si>
  <si>
    <t>2025_11_14845767405 _DIG_Multiple_Immaterial Balance written off Spreadsheet A 2257500 57529166 N</t>
  </si>
  <si>
    <t>2025_11_14845767405 _DIG_Multiple_Immaterial Balance written off</t>
  </si>
  <si>
    <t>All Other Sga Costs-writeoff</t>
  </si>
  <si>
    <t>ALL OTHER SGA COSTS-WRITEOFF</t>
  </si>
  <si>
    <t>GING_FX Clearing Spreadsheet A 2257474 57527526 N</t>
  </si>
  <si>
    <t>GING_FX Clearing</t>
  </si>
  <si>
    <t>All Other Sga Costs-miscexp-systemrounding</t>
  </si>
  <si>
    <t>ALL OTHER SGA COSTS-MISCEXP-SYSTEMROUNDING</t>
  </si>
  <si>
    <t>GING_Balance written off Nov25 Spreadsheet A 2259597 57572873 N</t>
  </si>
  <si>
    <t>GING_Balance written off Nov25</t>
  </si>
  <si>
    <t>Trade Accounts Payable-sss Ap-liability</t>
  </si>
  <si>
    <t>TRADE ACCOUNTS PAYABLE-SSS AP-LIABILITY</t>
  </si>
  <si>
    <t>Taxes Withheld From Employee Earnings</t>
  </si>
  <si>
    <t>TDS PAYABLE - OTHER LIABILITIES</t>
  </si>
  <si>
    <t>Misctxpay-cy-other</t>
  </si>
  <si>
    <t>Misctxpay-other-wh From Supplier-goods</t>
  </si>
  <si>
    <t>2270403L01</t>
  </si>
  <si>
    <t>Misctxpay-cy-other-wh From Supplier-c&amp;i Tax-local1</t>
  </si>
  <si>
    <t>CCLFGL.TAE.TAEJEES.109328 GE_TAE A 20251216181442333 57781176 N</t>
  </si>
  <si>
    <t>Journal Import 57781176:</t>
  </si>
  <si>
    <t>All Other Costs Of Sale-service Tools</t>
  </si>
  <si>
    <t>MAINTANENCE EXPENSE</t>
  </si>
  <si>
    <t>GING_GIN3 Closing Dec25 Spreadsheet A 2264785 57972917 N</t>
  </si>
  <si>
    <t>GING_GIN3 Closing Dec25</t>
  </si>
  <si>
    <t>All Other Sga Costs-advertising</t>
  </si>
  <si>
    <t>GING_GST Balance clearing_Dec25 Spreadsheet A 2265885 57995361 N</t>
  </si>
  <si>
    <t>GING_GST Balance clearing_Dec25</t>
  </si>
  <si>
    <t>Misctxpay-output Vat-cgst Tds (india)</t>
  </si>
  <si>
    <t>VAT PAYABLE - OTHER LIABILITIES</t>
  </si>
  <si>
    <t>Misctxpay-output Vat-sgst Reverse Charge (india)</t>
  </si>
  <si>
    <t>MISCTXPAY-OUTPUT VAT-SGST REVERSE CHARGE (INDIA)</t>
  </si>
  <si>
    <t>Misctxpay-output Vat-cgst Reverse Charge (india)</t>
  </si>
  <si>
    <t>MISCTXPAY-OUTPUT VAT-CGST REVERSE CHARGE (INDIA)</t>
  </si>
  <si>
    <t>MJE_FX Clearing &amp; Balance writtenoff Spreadsheet A 2266374 58034615 N</t>
  </si>
  <si>
    <t>MJE_FX Clearing &amp; Balance writtenoff</t>
  </si>
  <si>
    <t>Sundry Receivables-current-taxes-nonvat-wh Tax -misc</t>
  </si>
  <si>
    <t>LOANS AND ADVANCES (UNSECURED, CONSIDERED GOOD): BALANCES WITH OTHER AUTHORITIES</t>
  </si>
  <si>
    <t>ASSETS</t>
  </si>
  <si>
    <t>Jan26 closing and Rec open items closure_MJE_23012026 Spreadsheet A 2279583 58360283 N</t>
  </si>
  <si>
    <t>Jan26 closing and Rec open items closure_MJE_23012026</t>
  </si>
  <si>
    <t>Nonus-nationalinctxpay-2ndpytx-payments To Intra/intercompany</t>
  </si>
  <si>
    <t>Otherinc-interest Income-other-on Cit Overpayments-refunds</t>
  </si>
  <si>
    <t>INTEREST INCOME FROM OTHER MISC SECURITIES</t>
  </si>
  <si>
    <t>REVENUE</t>
  </si>
  <si>
    <t>GIN3_AA02_Bank Jan 26 Spreadsheet A 2280783 58396523 N</t>
  </si>
  <si>
    <t>GIN3_AA02_Bank Jan 26</t>
  </si>
  <si>
    <t>Accrual-other Incentive Compensation/bonuses</t>
  </si>
  <si>
    <t>CURRENT LIABILITIES - BONUS PAYABLE</t>
  </si>
  <si>
    <t>GING GST Open item_Dec25 Spreadsheet A 2282591 58548272 N</t>
  </si>
  <si>
    <t>GING GST Open item_Dec25</t>
  </si>
  <si>
    <t>GING_FIN48_Account reclass_MJE_25022026 Spreadsheet A 2287719 58712726 N</t>
  </si>
  <si>
    <t>GING_FIN48_Account reclass_MJE_25022026</t>
  </si>
  <si>
    <t>Nonus-nationalinctxpay-fin48-other Changes</t>
  </si>
  <si>
    <t>GING _GST balance Reclass Spreadsheet A 2289088 58788765 N</t>
  </si>
  <si>
    <t>GING _GST balance Reclass</t>
  </si>
  <si>
    <t>Allowance-sundry Rec-current-cychg</t>
  </si>
  <si>
    <t>PROVISION FOR DOUBTFUL ADVANCES (SECURED) - BS</t>
  </si>
  <si>
    <t>CCLFGL.GPIN02.CCLJEES_03272026200325.151734 CCL_GPAS_PAYROLL A 20260327202625147 59106524 N</t>
  </si>
  <si>
    <t>Journal Import 59106524:</t>
  </si>
  <si>
    <t>Selling Costs C&amp;b-comp-commission</t>
  </si>
  <si>
    <t>COST OF GOODS SOLD</t>
  </si>
  <si>
    <t>Custom Duty Paid on behalf of GINB Spreadsheet A 2301665 59157356 N</t>
  </si>
  <si>
    <t>Custom Duty Paid on behalf of GINB</t>
  </si>
  <si>
    <t>Sundry Receivables-input Vat-extra Duty Deposit Of Customs (india)</t>
  </si>
  <si>
    <t>215586748 Credit Memos INR</t>
  </si>
  <si>
    <t>WIND</t>
  </si>
  <si>
    <t>Customers Accounts-current-external-adj</t>
  </si>
  <si>
    <t>SCHUSER</t>
  </si>
  <si>
    <t>CUSTOMERS ACCOUNTS-CURRENT-EXTERNAL-UNIDENTIFIED CASH</t>
  </si>
  <si>
    <t>216709008 Credit Memos INR</t>
  </si>
  <si>
    <t>Unbilled A/r-other-adj</t>
  </si>
  <si>
    <t>OTHER CURRENT ASSETS - UNBILLED REVENUE</t>
  </si>
  <si>
    <t>503180539OTHBank Open items 10047 &amp; GL reclassv18 Standing Entry INR MOR 10-APR-25</t>
  </si>
  <si>
    <t>Other Collections From Employees</t>
  </si>
  <si>
    <t>Othliab-current-expat/employee Related-tax Accrual</t>
  </si>
  <si>
    <t>Othliab-current-expat/employee Related-stock Options</t>
  </si>
  <si>
    <t>503244294OTHIncome tax refund_Y852_Apr25v18 Standing Entry INR MOR 10-APR-25</t>
  </si>
  <si>
    <t>Nonus-nationalinctxpay-2ndpytx-payments To External Authorities</t>
  </si>
  <si>
    <t>503244294OTHTax Entries_2025v18 Standing Entry INR MOR 10-MAY-25</t>
  </si>
  <si>
    <t>Nonus-nationalinctxpay-pytx-1/1</t>
  </si>
  <si>
    <t>Interest On Nonus Tax Deficiencies And Overassessments</t>
  </si>
  <si>
    <t>503167654OTH01_Accrual Material True upv17.5 Standing Entry INR MOR 10-MAY-25</t>
  </si>
  <si>
    <t>Otherinc-gainloss-sale Of Affiliates-cbs</t>
  </si>
  <si>
    <t>MISCELLANEOUS INCOME</t>
  </si>
  <si>
    <t>212542479OTHAR Reserve booking &amp; ECA Reversal for Renew Project During June2025v17.5 Standing E</t>
  </si>
  <si>
    <t>A/r-reserve-current-cychg</t>
  </si>
  <si>
    <t>PROVISION FOR DOUBTFUL DEBTORS</t>
  </si>
  <si>
    <t>230794776 Receiving INR</t>
  </si>
  <si>
    <t>All Other Sga Costs-prof Fees-accounting</t>
  </si>
  <si>
    <t>ALL OTHER SGA COSTS-PROF FEES-ACCOUNTING</t>
  </si>
  <si>
    <t>503426556OTH2Q-25 Obsolescence Reservev18.5 Standing Entry INR MOR 10-JUN-25</t>
  </si>
  <si>
    <t>Revaluation For Realized Obsolescence-rip</t>
  </si>
  <si>
    <t>PROVISION FOR OBSOLETE AND SLOW MOVING INVENTORY- RAW MATERIALS, PACKING MATERIAL AND COMPONENTS</t>
  </si>
  <si>
    <t>Revaluation For Realized Obsolescence-finishedgoods-nontaxdeduct</t>
  </si>
  <si>
    <t>PROVISION FOR OBSOLETE AND SLOW MOVING INVENTORY- TRADED GOODS</t>
  </si>
  <si>
    <t>236793543 Receiving INR</t>
  </si>
  <si>
    <t>Direct Material-consumables</t>
  </si>
  <si>
    <t>CONSUMPTION OF STORES, LOOSE TOOLS AND SPARE PARTS</t>
  </si>
  <si>
    <t>223130005OTHTax Reclass Entryv18 Standing Entry INR MOR 10-AUG-25</t>
  </si>
  <si>
    <t>503382308OTH1MJE1_BU45 Bank Ch,Guarantee,TDS, Reclass,FX Clear,Insurance Dec25v19 Standing Ent</t>
  </si>
  <si>
    <t>Othliab-current-misc</t>
  </si>
  <si>
    <t>503223109OTH6Royalty adjustmentv19 Standing Entry INR MOR 10-DEC-25</t>
  </si>
  <si>
    <t>All Other Sga Costs-royalty, Patent, Trademark, Licenses</t>
  </si>
  <si>
    <t>MISCELLENOUS EXPENSE</t>
  </si>
  <si>
    <t>503428609OTHFx Clearingv17.5 Standing Entry INR MOR 10-JAN-26</t>
  </si>
  <si>
    <t>Accrual-pension Cost-other Retirement Prog-noncur</t>
  </si>
  <si>
    <t>OTHER STATUTORY DUES PAYABLE - OTHER LIABILITIES</t>
  </si>
  <si>
    <t>503167654OTH06_Write off AP Adjustmentv17.5 Standing Entry INR MOR 10-JAN-26</t>
  </si>
  <si>
    <t>Trade Accounts Payable-domestic</t>
  </si>
  <si>
    <t>SUNDRY CREDITORS - OTHERS-LIABILITIES</t>
  </si>
  <si>
    <t>503382308OTH1IND3_BU45 Bank Ch,Guarantee,TDS, Reclass,Refund,FX Clear,Insurance Feb26v19 Stand</t>
  </si>
  <si>
    <t>Otherinc-interest Income-other</t>
  </si>
  <si>
    <t>INTEREST INCOME OTHERS</t>
  </si>
  <si>
    <t>560049785OTHCostar Accrual release to P&amp;Lv17.5 Standing Entry INR User 1</t>
  </si>
  <si>
    <t>Othliab-current-op.lease-leaseliabilityaccrual</t>
  </si>
  <si>
    <t>AR Automated Receivables A 1817277 20360732</t>
  </si>
  <si>
    <t>Trx No - 26629252023587 , Item Description - ESOP/RSU cost charge back for the FY 2024-25 , Bill To Cust Name - GENERAL ELECTRIC COMPANY , Transaction Type - Project Invoice-CRD</t>
  </si>
  <si>
    <t>GEITC</t>
  </si>
  <si>
    <t>Pdincap-stock Option Chargeback</t>
  </si>
  <si>
    <t>PDINCAP-STOCK OPTION CHARGEBACK</t>
  </si>
  <si>
    <t>AR Provision - March 2026 Spreadsheet A 300001429179698 31424278 N</t>
  </si>
  <si>
    <t>AR Provision - March 2026</t>
  </si>
  <si>
    <t>AR reserve @ 100% on Raphe invoice # 225000010</t>
  </si>
  <si>
    <t>ADDITIVE</t>
  </si>
  <si>
    <t>Provision For Receivable Losses (other)</t>
  </si>
  <si>
    <t>PROVISION FOR RECEIVABLE LOSSES (OTHER)</t>
  </si>
  <si>
    <t>AUTOMATED AP Payables A 1831343 20885344</t>
  </si>
  <si>
    <t>Inv Num - 202961 , Supplier Name - GE INDIA INDUSTRIAL PVT LTD A17978 , PO Num - , Inv Dist Desc - SUPPORT SERVICES INTER-DIVISIONAL TAX SETTLEMENT ANDDTA FOR AY 2024-25 (FY 2023-24)</t>
  </si>
  <si>
    <t>Nonus-nationalinctxpay-cytx-payments To Intra/intercompany</t>
  </si>
  <si>
    <t>Assets A 1834268 20891917</t>
  </si>
  <si>
    <t>Asset Num - 19306 , PO Num - , Inv Num - , Vendor Identifier - , Proj Identifier - , Task Identifier -</t>
  </si>
  <si>
    <t>Buildings-cost-dispositions</t>
  </si>
  <si>
    <t>TANGIBLE ASSETS (OWNED) - PLANT AND MACHINERY (DELETIONS/ADJUSTMENT DURING THE YEAR)</t>
  </si>
  <si>
    <t>CALC GEA_TAX_TPC A 20260325080139 31613172 N</t>
  </si>
  <si>
    <t>Journal Import GEA_TAX_TPC 31613172:</t>
  </si>
  <si>
    <t>TBD line id</t>
  </si>
  <si>
    <t>Provision For Nonus Income Taxes Deferred-other-cy</t>
  </si>
  <si>
    <t>Cost Management A 7847273 83503644</t>
  </si>
  <si>
    <t>BATCH_NAME</t>
  </si>
  <si>
    <t>MMF</t>
  </si>
  <si>
    <t>Direct Material-invoice Price Variance</t>
  </si>
  <si>
    <t>Entry 08_VE09_AK_Pre-Deposit_June 25 Spreadsheet A 7844313 83431518</t>
  </si>
  <si>
    <t>Sundry Receivables-input Vat-gst Predeposit Asset (india)</t>
  </si>
  <si>
    <t>Entry 1_VE09_NS_Asset Reclass_May25 Spreadsheet A 7744299 82420272</t>
  </si>
  <si>
    <t>Cap Sw-purchased-int Use-first Cost-disp</t>
  </si>
  <si>
    <t>FIXED ASSETS TAKEN ON LEASE - OFFICE EQUIPMENT (DEPRECIATION FOR THE YEAR)</t>
  </si>
  <si>
    <t>Cap Sw-int Dev-int Use-amort-cy Disp</t>
  </si>
  <si>
    <t>INTANGIBLE ASSET - COMPUTER SOFTWARE (DEPRECIATION DURING THE YEAR)</t>
  </si>
  <si>
    <t>Entry 2_VE09_KS_Provision for tax true down_Sep 25 Spreadsheet A 8098266 85690985</t>
  </si>
  <si>
    <t>Entry 2_VE09_NS_Additional Security Deposit Reclass_May25 Spreadsheet A 7744300 82420857</t>
  </si>
  <si>
    <t>Sundryrec-noncur-deposits-other</t>
  </si>
  <si>
    <t>LOANS AND ADVANCES (UNSECURED, CONSIDERED GOOD): SECURITY DEPOSITS</t>
  </si>
  <si>
    <t>Entry 4_VE09_KS_Deferred tax_Sep 25 Spreadsheet A 8099266 85691368</t>
  </si>
  <si>
    <t>Entry 5_VE09_AB_Stat-All Adjustment Entries MJE-Nov-25 Spreadsheet A 8310455 87683488</t>
  </si>
  <si>
    <t>All Other Costs Of Sale-fx-realized-g/l</t>
  </si>
  <si>
    <t>FOREIGN EXCHANGE  LOSS</t>
  </si>
  <si>
    <t>Entry 7_VE09_AB_Gratuity_March-26 Spreadsheet A 8563721 91098795</t>
  </si>
  <si>
    <t>Entry 9_VE09_KS_Tax reclass_Sep 25 Spreadsheet A 8139372 86019613</t>
  </si>
  <si>
    <t>Nonus-nationalinctxpay-2ndpytx-other Changes</t>
  </si>
  <si>
    <t>FAS 109 True up for Mar-2024 Spreadsheet A 300001144696138 27234003 N</t>
  </si>
  <si>
    <t>FAS 109 True up for Mar-2024</t>
  </si>
  <si>
    <t>Current tax true up for Mar24</t>
  </si>
  <si>
    <t>Deferred tax true up for Mar24</t>
  </si>
  <si>
    <t>GEMMF UGAAP Assets A 8337789 88520137</t>
  </si>
  <si>
    <t>Cap Sw-purchased-int Use-first Cost-cy Exp</t>
  </si>
  <si>
    <t>GE_LEASE_ACCOUNTING A 85911369</t>
  </si>
  <si>
    <t>Rou-operatinglease-external-dispositions</t>
  </si>
  <si>
    <t>APPWX_SCHED</t>
  </si>
  <si>
    <t>FIXED ASSETS TAKEN ON LEASE - VEHICLES (DELETIONS/ADJUSTMENT DURING THE YEAR)</t>
  </si>
  <si>
    <t>Ltop.leaseliability-external-dispositions</t>
  </si>
  <si>
    <t>GL041.IBSCOSTAD.ADDFJEES.67798 GEA_IBS_COST_EXTRACT A 20251129104346 29754047 N</t>
  </si>
  <si>
    <t>Journal Import GEA_IBS_COST_EXTRACT 29754047:</t>
  </si>
  <si>
    <t>STAT AUDIT FEES FINAL BILL FY 2024-25  20663887</t>
  </si>
  <si>
    <t>Audit Fees-other</t>
  </si>
  <si>
    <t>LEGAL AND PROFESSIONAL FEES - AUDITORS REMUNERATION</t>
  </si>
  <si>
    <t>GL041.IBSCOSTAD.ADDFJEES.70269 GEA_IBS_COST_EXTRACT A 20260324104346 31597486 N</t>
  </si>
  <si>
    <t>Journal Import GEA_IBS_COST_EXTRACT 31597486:</t>
  </si>
  <si>
    <t>RECHARGE OF COSTS (DISBURSEMENTS) CSR PAYMENT CHARGEBACK</t>
  </si>
  <si>
    <t>All Other Sga Costs-external Contribution-deductible</t>
  </si>
  <si>
    <t>DONATIONS</t>
  </si>
  <si>
    <t>GPAS A 87638291</t>
  </si>
  <si>
    <t>Cost Of Sale C&amp;b-comp-vacation And Holiday Allowances</t>
  </si>
  <si>
    <t>GPAS A 91038400</t>
  </si>
  <si>
    <t>GR16-0226-PI-02-CP-Feb-26 GST Liability &amp; RCM Setoff &amp; Ineligible Credit entry Jan26 20890425</t>
  </si>
  <si>
    <t>Amendment-1: Open PO - Aerospace Communications and events</t>
  </si>
  <si>
    <t>All Other Sga Costs-outside Services-translation</t>
  </si>
  <si>
    <t>GR16_0126_MK04_Income Tax Provision FY 25-26 true down and TDS account reclass MJE_WF 20758330</t>
  </si>
  <si>
    <t>Provision correction for FY 2025-26 as per updated PBT projections</t>
  </si>
  <si>
    <t>Nonus-nationalinctxpay-pytx-adjustment Through Net Earnings</t>
  </si>
  <si>
    <t>GR16_27112025_MBT03_TLIN Payment entry and  BRS entry Spreadsheet A 1818414 20404497</t>
  </si>
  <si>
    <t>CN paid for #PL111825-000665</t>
  </si>
  <si>
    <t>All Other Sga Costs-employee Costs Rebilled-employee Relocation E</t>
  </si>
  <si>
    <t>OUTSOURCED SERVICE COSTS</t>
  </si>
  <si>
    <t>GST &amp; TDS Payment - Sep-2025 Spreadsheet A 300000083934882 28601081 N</t>
  </si>
  <si>
    <t>GST &amp; TDS Payment - Sep-2025</t>
  </si>
  <si>
    <t>Interest on GST Payment</t>
  </si>
  <si>
    <t>Income tax refund AY 21-22 Spreadsheet A 300001144696138 30714273 N</t>
  </si>
  <si>
    <t>Income tax refund AY 21-22</t>
  </si>
  <si>
    <t>Payables A 8520295 90529762</t>
  </si>
  <si>
    <t>All Other Sga Costs-customs Expense</t>
  </si>
  <si>
    <t>Payroll A 20991347</t>
  </si>
  <si>
    <t>PAY_CODE_ID: EHMCR PAY_CODE_DESC: EMPLOYEE HEALTH CHECKUP ES_COA_BASE_VARIABLE: COSLabor</t>
  </si>
  <si>
    <t>Cost Of Sale C&amp;b-benefits-health Care Costs</t>
  </si>
  <si>
    <t>PAY_CODE_ID: EOTA PAY_CODE_DESC: ARREAR OVERTIME ES_COA_BASE_VARIABLE: SGAProgram</t>
  </si>
  <si>
    <t>Other Sg&amp;a-c&amp;b Costs-comp-overtime-salary</t>
  </si>
  <si>
    <t>PAY_CODE_ID: ECFMPCRM PAY_CODE_DESC: FUEL &amp; MAIN PER CAR REIM ES_COA_BASE_VARIABLE: SGAProgram</t>
  </si>
  <si>
    <t>Other Sg&amp;a-c&amp;b Costs-comp-allowance-transportation</t>
  </si>
  <si>
    <t>Reverses GR16-0724-PI-CR-01-STAT books GST GST reclass entr22-SEP-25 06:30:59 - 20214400</t>
  </si>
  <si>
    <t>GST reclass entries-Mar25</t>
  </si>
  <si>
    <t>Misctxpay-output Vat-withheld From Suppliers</t>
  </si>
  <si>
    <t>MISCTXPAY-OUTPUT VAT-WITHHELD FROM SUPPLIERS</t>
  </si>
  <si>
    <t>V08</t>
  </si>
  <si>
    <t>302003376 - Billing to CSL Spreadsheet A 302003376 674667890</t>
  </si>
  <si>
    <t>Direct Material-std External Cost Of Sales-all Others</t>
  </si>
  <si>
    <t>Xline revenue recog. Spreadsheet A 300000083934882 27686681 N</t>
  </si>
  <si>
    <t>Xline revenue recog.</t>
  </si>
  <si>
    <t>Billing to Raphe vide invoice # 725000011</t>
  </si>
  <si>
    <t>Customers Accounts-current-external-control</t>
  </si>
  <si>
    <t>SUNDRY DEBTORS (GROSS, BEFORE PROVISION)</t>
  </si>
  <si>
    <t>Period</t>
  </si>
  <si>
    <t>PRV4 FD accrued &amp; Tax settlement Apr-25 Spreadsheet A 300001358091797 54541927 N</t>
  </si>
  <si>
    <t>CCLFGL.CBSJE.AM-032.12504- CBS_WORKFLOW A 20250701104155 55480221 N</t>
  </si>
  <si>
    <t>250438760 Revenue INR</t>
  </si>
  <si>
    <t>Number of Postings by User or User of Interest</t>
  </si>
  <si>
    <t>User Name</t>
  </si>
  <si>
    <t>2025_5_14059746461_ABG_TRNRES_Deffered Tax Clean Up Spreadsheet A 300001578716545 54936380 N</t>
  </si>
  <si>
    <t>2025_5_14059746461_ABG_TRNRES_Deffered Tax Clean Up</t>
  </si>
  <si>
    <t>Deferred Nonus National Inctax-other</t>
  </si>
  <si>
    <t>DEFERRED TAX ASSET / LIABILITY (NET) - BS</t>
  </si>
  <si>
    <t>FD INTEREST TDS_Mar26 Spreadsheet A 2300744 59146870 N</t>
  </si>
  <si>
    <t>FD INTEREST TDS_Mar26</t>
  </si>
  <si>
    <t>Nonus-nationalinctxpay-cytx-estpayments</t>
  </si>
  <si>
    <t>Cash In Banks</t>
  </si>
  <si>
    <t>BALANCES WITH SCHEDULED BANKS - ON CURRENT ACCOUNT</t>
  </si>
  <si>
    <t>502166797OTHReclass of BDR from G&amp;A to CM &amp; Selling  naturev17.5 Standing Entry INR MOR 10-JUL</t>
  </si>
  <si>
    <t>Provision For Receivable Losses (variable)</t>
  </si>
  <si>
    <t>PROVISION FOR DOUBTFUL DEBTS - P&amp;L</t>
  </si>
  <si>
    <t>502166797OTH6MMF GST Invoicesv19 Reversing Entry INR MOR 10-JAN-26</t>
  </si>
  <si>
    <t>Sundry Receivables-current Advance To Suppliers-inventory Purchase</t>
  </si>
  <si>
    <t>LOANS AND ADVANCES (UNSECURED, CONSIDERED GOOD): ADVANCES RECOVERABLE IN CASH OR IN KIND OR FOR VALUE TO BE RECEIVED</t>
  </si>
  <si>
    <t>Cost Of Sale C&amp;b-comp-salary</t>
  </si>
  <si>
    <t>Cost Management A 7677487 81887687</t>
  </si>
  <si>
    <t>Shinde, Atul Sheshrao</t>
  </si>
  <si>
    <t>Defchg-other</t>
  </si>
  <si>
    <t>DEFCHG-OTHER</t>
  </si>
  <si>
    <t>Raw And In Process Inventory (rip)-project/contractadj/other</t>
  </si>
  <si>
    <t>INVENTORY - RAW MATERIALS, PACKING MATERIALS AND COMPONENTS</t>
  </si>
  <si>
    <t>Raw And In Process Inventory (rip)-contractservices</t>
  </si>
  <si>
    <t>INVENTORY - WORK-IN-PROGRESS</t>
  </si>
  <si>
    <t>Raw And In Process Inventory (rip)-wip Labor</t>
  </si>
  <si>
    <t>RAW AND IN PROCESS INVENTORY (RIP)-WIP LABOR</t>
  </si>
  <si>
    <t>Raw And In Process Inventory (rip)-wip</t>
  </si>
  <si>
    <t>Raw And In Process Inventory (rip)-wip Material Overhead</t>
  </si>
  <si>
    <t>Cost Of Sale C&amp;b-cogs-var Labor And Overhead</t>
  </si>
  <si>
    <t>Raw And In Process Inventory (rip)-wip Labor Overhead</t>
  </si>
  <si>
    <t>Direct Material-cost Ctr Variance</t>
  </si>
  <si>
    <t>Interest Inc-marketable Securities</t>
  </si>
  <si>
    <t>PRV4 FD accrued &amp; Tax settlement Apr-25</t>
  </si>
  <si>
    <t>INTEREST INC-MARKETABLE SECURITIES</t>
  </si>
  <si>
    <t>Journal Import 55480221:</t>
  </si>
  <si>
    <t>OTHERINC-GAINLOSS-SALE OF AFFILIATES-CBS</t>
  </si>
  <si>
    <t>Sales Of Equipments To External Customers-other</t>
  </si>
  <si>
    <t>NET SALE OF TRADED GOODS</t>
  </si>
  <si>
    <t>Sales Of Services To External Customers - Manual Adj</t>
  </si>
  <si>
    <t>GR16_05012025_MBT04_CP_Duplicate_Inv_Apr25 Spreadsheet A 1783259 19002246</t>
  </si>
  <si>
    <t>Duplicate Trx No - 26629242021345</t>
  </si>
  <si>
    <t>Neetu Bansal (Finannce Executive, Ganpact)</t>
  </si>
  <si>
    <t>Michelle Rieger (Sr treasury staff manager)</t>
  </si>
  <si>
    <t>Craig Meza (Global Tax Controller)</t>
  </si>
  <si>
    <t xml:space="preserve">Tax provision entry </t>
  </si>
  <si>
    <t>done</t>
  </si>
  <si>
    <t>Abhishek gupta ( Tax Analyst)
Craig Meza (Global Tax Controller)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</si>
</sst>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5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Fill="0"/>
    <xf numFmtId="0" fontId="3" fillId="0" borderId="0"/>
    <xf numFmtId="0" fontId="6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/>
    </xf>
    <xf numFmtId="2" fontId="4" fillId="3" borderId="1" xfId="2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64" fontId="0" fillId="4" borderId="1" xfId="1" applyNumberFormat="1" applyFont="1" applyFill="1" applyBorder="1"/>
    <xf numFmtId="0" fontId="5" fillId="4" borderId="1" xfId="3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5" fillId="0" borderId="1" xfId="3" applyFont="1" applyBorder="1" applyAlignment="1" applyProtection="1">
      <alignment horizontal="center" vertical="center"/>
      <protection locked="0"/>
    </xf>
    <xf numFmtId="0" fontId="6" fillId="0" borderId="1" xfId="4" applyBorder="1"/>
    <xf numFmtId="0" fontId="6" fillId="4" borderId="1" xfId="4" applyFill="1" applyBorder="1"/>
    <xf numFmtId="0" fontId="7" fillId="0" borderId="1" xfId="0" applyFont="1" applyBorder="1"/>
    <xf numFmtId="0" fontId="2" fillId="2" borderId="1" xfId="0" applyFont="1" applyFill="1" applyBorder="1"/>
    <xf numFmtId="0" fontId="0" fillId="5" borderId="1" xfId="0" applyFill="1" applyBorder="1"/>
    <xf numFmtId="164" fontId="0" fillId="0" borderId="1" xfId="1" applyNumberFormat="1" applyFont="1" applyFill="1" applyBorder="1"/>
    <xf numFmtId="0" fontId="0" fillId="0" borderId="0" xfId="0" applyAlignment="1">
      <alignment wrapText="1"/>
    </xf>
    <xf numFmtId="164" fontId="0" fillId="5" borderId="1" xfId="1" applyNumberFormat="1" applyFont="1" applyFill="1" applyBorder="1"/>
    <xf numFmtId="164" fontId="0" fillId="0" borderId="0" xfId="1" applyNumberFormat="1" applyFont="1"/>
    <xf numFmtId="0" fontId="0" fillId="6" borderId="1" xfId="0" applyFill="1" applyBorder="1"/>
    <xf numFmtId="0" fontId="6" fillId="0" borderId="0" xfId="4"/>
    <xf numFmtId="0" fontId="0" fillId="7" borderId="1" xfId="0" applyFill="1" applyBorder="1"/>
  </cellXfs>
  <cellStyles count="5">
    <cellStyle name="Comma" xfId="1" builtinId="3"/>
    <cellStyle name="Normal" xfId="0" builtinId="0"/>
    <cellStyle name="Normal 2" xfId="3" xr:uid="{0F270D29-2D49-4204-A3B9-403792E84FE3}"/>
    <cellStyle name="Normal 6 3" xfId="4" xr:uid="{3AA5F0E5-EDC7-41D2-8D9F-5C8D064E85E4}"/>
    <cellStyle name="Normal_SHEET_Navigation Tab_Sample" xfId="2" xr:uid="{ED9CBEF7-B7F5-4451-A113-76673044D955}"/>
  </cellStyles>
  <dxfs count="0"/>
  <tableStyles count="1" defaultTableStyle="TableStyleMedium2" defaultPivotStyle="PivotStyleLight16">
    <tableStyle name="Invisible" pivot="0" table="0" count="0" xr9:uid="{E798E13D-35FD-4478-AD42-14E1E8546C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D0E7-EE66-432F-B00F-004ACA5BA28D}">
  <dimension ref="A1:R190"/>
  <sheetViews>
    <sheetView zoomScale="83" workbookViewId="0">
      <selection sqref="A1:C1 E1:R1 A30:C33 E30:R33 A102:C104 E102:R104 A111:C112 E111:R112 A128:C129 E128:R129 A134:C135 E134:R135 A141:C142 E141:R142 A147:C148 E147:R148 A158:C162 E158:R162 A177:C178 E177:R178"/>
    </sheetView>
  </sheetViews>
  <sheetFormatPr defaultRowHeight="14.4" x14ac:dyDescent="0.3"/>
  <cols>
    <col min="1" max="1" width="13.5" bestFit="1" customWidth="1"/>
    <col min="2" max="2" width="12.296875" bestFit="1" customWidth="1"/>
    <col min="3" max="3" width="17.59765625" bestFit="1" customWidth="1"/>
    <col min="4" max="4" width="30.59765625" hidden="1" customWidth="1"/>
    <col min="5" max="5" width="17.69921875" bestFit="1" customWidth="1"/>
    <col min="6" max="6" width="31.59765625" customWidth="1"/>
    <col min="7" max="7" width="167.09765625" bestFit="1" customWidth="1"/>
    <col min="8" max="8" width="15.09765625" bestFit="1" customWidth="1"/>
    <col min="9" max="9" width="59.19921875" bestFit="1" customWidth="1"/>
    <col min="10" max="11" width="14.8984375" bestFit="1" customWidth="1"/>
    <col min="12" max="12" width="13.3984375" bestFit="1" customWidth="1"/>
    <col min="13" max="13" width="25" bestFit="1" customWidth="1"/>
    <col min="14" max="14" width="26.3984375" bestFit="1" customWidth="1"/>
    <col min="15" max="15" width="8" bestFit="1" customWidth="1"/>
    <col min="16" max="16" width="101.19921875" bestFit="1" customWidth="1"/>
    <col min="17" max="17" width="25.796875" bestFit="1" customWidth="1"/>
    <col min="18" max="18" width="14.69921875" bestFit="1" customWidth="1"/>
  </cols>
  <sheetData>
    <row r="1" spans="1:18" ht="22.15" x14ac:dyDescent="0.3">
      <c r="A1" s="1" t="s">
        <v>0</v>
      </c>
      <c r="B1" s="1" t="s">
        <v>1</v>
      </c>
      <c r="C1" s="2" t="s">
        <v>17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idden="1" x14ac:dyDescent="0.3">
      <c r="A2" s="3" t="s">
        <v>18</v>
      </c>
      <c r="B2" s="3" t="s">
        <v>19</v>
      </c>
      <c r="C2" s="5"/>
      <c r="D2" s="3"/>
      <c r="E2" s="3"/>
      <c r="F2" s="3">
        <v>27453645</v>
      </c>
      <c r="G2" s="3" t="s">
        <v>20</v>
      </c>
      <c r="H2" s="3"/>
      <c r="I2" s="3"/>
      <c r="J2" s="4">
        <v>29451942.210000001</v>
      </c>
      <c r="K2" s="4">
        <v>29451942.210000001</v>
      </c>
      <c r="L2" s="3"/>
      <c r="M2" s="3"/>
      <c r="N2" s="3"/>
      <c r="O2" s="3"/>
      <c r="P2" s="3"/>
      <c r="Q2" s="3"/>
      <c r="R2" s="3">
        <v>350</v>
      </c>
    </row>
    <row r="3" spans="1:18" hidden="1" x14ac:dyDescent="0.3">
      <c r="A3" s="6" t="s">
        <v>21</v>
      </c>
      <c r="B3" s="6" t="s">
        <v>19</v>
      </c>
      <c r="C3" s="9"/>
      <c r="D3" s="6">
        <v>1</v>
      </c>
      <c r="E3" s="6" t="s">
        <v>23</v>
      </c>
      <c r="F3" s="6">
        <v>27453645</v>
      </c>
      <c r="G3" s="6" t="s">
        <v>22</v>
      </c>
      <c r="H3" s="6">
        <v>5060205000</v>
      </c>
      <c r="I3" s="6" t="s">
        <v>24</v>
      </c>
      <c r="J3" s="7">
        <v>104800</v>
      </c>
      <c r="K3" s="7">
        <v>0</v>
      </c>
      <c r="L3" s="6" t="s">
        <v>25</v>
      </c>
      <c r="M3" s="8">
        <v>45764</v>
      </c>
      <c r="N3" s="8">
        <v>45764</v>
      </c>
      <c r="O3" s="6"/>
      <c r="P3" s="6" t="s">
        <v>26</v>
      </c>
      <c r="Q3" s="6" t="s">
        <v>27</v>
      </c>
      <c r="R3" s="6"/>
    </row>
    <row r="4" spans="1:18" hidden="1" x14ac:dyDescent="0.3">
      <c r="A4" s="3" t="s">
        <v>18</v>
      </c>
      <c r="B4" s="3" t="s">
        <v>19</v>
      </c>
      <c r="C4" s="5" t="s">
        <v>29</v>
      </c>
      <c r="D4" s="3"/>
      <c r="E4" s="3"/>
      <c r="F4" s="3">
        <v>27457772</v>
      </c>
      <c r="G4" s="3" t="s">
        <v>28</v>
      </c>
      <c r="H4" s="3"/>
      <c r="I4" s="3"/>
      <c r="J4" s="4">
        <v>28268965</v>
      </c>
      <c r="K4" s="4">
        <v>28268965</v>
      </c>
      <c r="L4" s="3"/>
      <c r="M4" s="3"/>
      <c r="N4" s="3"/>
      <c r="O4" s="3"/>
      <c r="P4" s="3"/>
      <c r="Q4" s="3"/>
      <c r="R4" s="3">
        <v>8</v>
      </c>
    </row>
    <row r="5" spans="1:18" hidden="1" x14ac:dyDescent="0.3">
      <c r="A5" s="6" t="s">
        <v>21</v>
      </c>
      <c r="B5" s="6" t="s">
        <v>19</v>
      </c>
      <c r="C5" s="9" t="s">
        <v>29</v>
      </c>
      <c r="D5" s="6">
        <v>1</v>
      </c>
      <c r="E5" s="6" t="s">
        <v>31</v>
      </c>
      <c r="F5" s="6">
        <v>27457772</v>
      </c>
      <c r="G5" s="6" t="s">
        <v>30</v>
      </c>
      <c r="H5" s="6">
        <v>2220301000</v>
      </c>
      <c r="I5" s="6" t="s">
        <v>32</v>
      </c>
      <c r="J5" s="7">
        <v>0</v>
      </c>
      <c r="K5" s="7">
        <v>82208</v>
      </c>
      <c r="L5" s="6">
        <v>503355196</v>
      </c>
      <c r="M5" s="8">
        <v>45770</v>
      </c>
      <c r="N5" s="8">
        <v>45770</v>
      </c>
      <c r="O5" s="6"/>
      <c r="P5" s="6" t="s">
        <v>33</v>
      </c>
      <c r="Q5" s="6" t="s">
        <v>34</v>
      </c>
      <c r="R5" s="6"/>
    </row>
    <row r="6" spans="1:18" hidden="1" x14ac:dyDescent="0.3">
      <c r="A6" s="3" t="s">
        <v>18</v>
      </c>
      <c r="B6" s="3" t="s">
        <v>19</v>
      </c>
      <c r="C6" s="5" t="s">
        <v>29</v>
      </c>
      <c r="D6" s="3"/>
      <c r="E6" s="3"/>
      <c r="F6" s="3">
        <v>27469131</v>
      </c>
      <c r="G6" s="3" t="s">
        <v>35</v>
      </c>
      <c r="H6" s="3"/>
      <c r="I6" s="3"/>
      <c r="J6" s="4">
        <v>44656019</v>
      </c>
      <c r="K6" s="4">
        <v>44656019</v>
      </c>
      <c r="L6" s="3"/>
      <c r="M6" s="3"/>
      <c r="N6" s="3"/>
      <c r="O6" s="3"/>
      <c r="P6" s="3"/>
      <c r="Q6" s="3"/>
      <c r="R6" s="3">
        <v>2</v>
      </c>
    </row>
    <row r="7" spans="1:18" hidden="1" x14ac:dyDescent="0.3">
      <c r="A7" s="6" t="s">
        <v>21</v>
      </c>
      <c r="B7" s="6" t="s">
        <v>19</v>
      </c>
      <c r="C7" s="9" t="s">
        <v>29</v>
      </c>
      <c r="D7" s="6">
        <v>1</v>
      </c>
      <c r="E7" s="6" t="s">
        <v>37</v>
      </c>
      <c r="F7" s="6">
        <v>27469131</v>
      </c>
      <c r="G7" s="6" t="s">
        <v>36</v>
      </c>
      <c r="H7" s="6">
        <v>2220204000</v>
      </c>
      <c r="I7" s="6" t="s">
        <v>38</v>
      </c>
      <c r="J7" s="7">
        <v>44656019</v>
      </c>
      <c r="K7" s="7">
        <v>0</v>
      </c>
      <c r="L7" s="6">
        <v>503418055</v>
      </c>
      <c r="M7" s="8">
        <v>45782</v>
      </c>
      <c r="N7" s="8">
        <v>45782</v>
      </c>
      <c r="O7" s="6"/>
      <c r="P7" s="6" t="s">
        <v>39</v>
      </c>
      <c r="Q7" s="6" t="s">
        <v>34</v>
      </c>
      <c r="R7" s="6"/>
    </row>
    <row r="8" spans="1:18" hidden="1" x14ac:dyDescent="0.3">
      <c r="A8" s="3" t="s">
        <v>18</v>
      </c>
      <c r="B8" s="3" t="s">
        <v>19</v>
      </c>
      <c r="C8" s="5"/>
      <c r="D8" s="3"/>
      <c r="E8" s="3"/>
      <c r="F8" s="3">
        <v>27476441</v>
      </c>
      <c r="G8" s="3" t="s">
        <v>40</v>
      </c>
      <c r="H8" s="3"/>
      <c r="I8" s="3"/>
      <c r="J8" s="4">
        <v>1895912.28</v>
      </c>
      <c r="K8" s="4">
        <v>1895912.28</v>
      </c>
      <c r="L8" s="3"/>
      <c r="M8" s="3"/>
      <c r="N8" s="3"/>
      <c r="O8" s="3"/>
      <c r="P8" s="3"/>
      <c r="Q8" s="3"/>
      <c r="R8" s="3">
        <v>12</v>
      </c>
    </row>
    <row r="9" spans="1:18" hidden="1" x14ac:dyDescent="0.3">
      <c r="A9" s="6" t="s">
        <v>21</v>
      </c>
      <c r="B9" s="6" t="s">
        <v>19</v>
      </c>
      <c r="C9" s="9"/>
      <c r="D9" s="6">
        <v>1</v>
      </c>
      <c r="E9" s="6" t="s">
        <v>23</v>
      </c>
      <c r="F9" s="6">
        <v>27476441</v>
      </c>
      <c r="G9" s="6" t="s">
        <v>41</v>
      </c>
      <c r="H9" s="6">
        <v>5210101151</v>
      </c>
      <c r="I9" s="6" t="s">
        <v>42</v>
      </c>
      <c r="J9" s="7">
        <v>82788.800000000003</v>
      </c>
      <c r="K9" s="7">
        <v>0</v>
      </c>
      <c r="L9" s="6" t="s">
        <v>25</v>
      </c>
      <c r="M9" s="8">
        <v>45791</v>
      </c>
      <c r="N9" s="8">
        <v>45791</v>
      </c>
      <c r="O9" s="6"/>
      <c r="P9" s="6" t="s">
        <v>43</v>
      </c>
      <c r="Q9" s="6" t="s">
        <v>27</v>
      </c>
      <c r="R9" s="6"/>
    </row>
    <row r="10" spans="1:18" hidden="1" x14ac:dyDescent="0.3">
      <c r="A10" s="3" t="s">
        <v>18</v>
      </c>
      <c r="B10" s="3" t="s">
        <v>19</v>
      </c>
      <c r="C10" s="5"/>
      <c r="D10" s="3"/>
      <c r="E10" s="3"/>
      <c r="F10" s="3">
        <v>27477685</v>
      </c>
      <c r="G10" s="3" t="s">
        <v>44</v>
      </c>
      <c r="H10" s="3"/>
      <c r="I10" s="3"/>
      <c r="J10" s="4">
        <v>270000</v>
      </c>
      <c r="K10" s="4">
        <v>270000</v>
      </c>
      <c r="L10" s="3"/>
      <c r="M10" s="3"/>
      <c r="N10" s="3"/>
      <c r="O10" s="3"/>
      <c r="P10" s="3"/>
      <c r="Q10" s="3"/>
      <c r="R10" s="3">
        <v>2</v>
      </c>
    </row>
    <row r="11" spans="1:18" hidden="1" x14ac:dyDescent="0.3">
      <c r="A11" s="6" t="s">
        <v>21</v>
      </c>
      <c r="B11" s="6" t="s">
        <v>19</v>
      </c>
      <c r="C11" s="9"/>
      <c r="D11" s="6">
        <v>1</v>
      </c>
      <c r="E11" s="6" t="s">
        <v>46</v>
      </c>
      <c r="F11" s="6">
        <v>27477685</v>
      </c>
      <c r="G11" s="6" t="s">
        <v>45</v>
      </c>
      <c r="H11" s="6">
        <v>2290701091</v>
      </c>
      <c r="I11" s="6" t="s">
        <v>47</v>
      </c>
      <c r="J11" s="7">
        <v>270000</v>
      </c>
      <c r="K11" s="7">
        <v>0</v>
      </c>
      <c r="L11" s="6">
        <v>503304903</v>
      </c>
      <c r="M11" s="8">
        <v>45796</v>
      </c>
      <c r="N11" s="8">
        <v>45796</v>
      </c>
      <c r="O11" s="6"/>
      <c r="P11" s="6" t="s">
        <v>48</v>
      </c>
      <c r="Q11" s="6" t="s">
        <v>34</v>
      </c>
      <c r="R11" s="6"/>
    </row>
    <row r="12" spans="1:18" hidden="1" x14ac:dyDescent="0.3">
      <c r="A12" s="3" t="s">
        <v>18</v>
      </c>
      <c r="B12" s="3" t="s">
        <v>19</v>
      </c>
      <c r="C12" s="5"/>
      <c r="D12" s="3"/>
      <c r="E12" s="3"/>
      <c r="F12" s="3">
        <v>27505084</v>
      </c>
      <c r="G12" s="3" t="s">
        <v>49</v>
      </c>
      <c r="H12" s="3"/>
      <c r="I12" s="3"/>
      <c r="J12" s="4">
        <v>1959928.48</v>
      </c>
      <c r="K12" s="4">
        <v>1959928.48</v>
      </c>
      <c r="L12" s="3"/>
      <c r="M12" s="3"/>
      <c r="N12" s="3"/>
      <c r="O12" s="3"/>
      <c r="P12" s="3"/>
      <c r="Q12" s="3"/>
      <c r="R12" s="3">
        <v>63</v>
      </c>
    </row>
    <row r="13" spans="1:18" hidden="1" x14ac:dyDescent="0.3">
      <c r="A13" s="6" t="s">
        <v>21</v>
      </c>
      <c r="B13" s="6" t="s">
        <v>19</v>
      </c>
      <c r="C13" s="9"/>
      <c r="D13" s="6">
        <v>1</v>
      </c>
      <c r="E13" s="6" t="s">
        <v>23</v>
      </c>
      <c r="F13" s="6">
        <v>27505084</v>
      </c>
      <c r="G13" s="6" t="s">
        <v>50</v>
      </c>
      <c r="H13" s="6">
        <v>5210101290</v>
      </c>
      <c r="I13" s="6" t="s">
        <v>51</v>
      </c>
      <c r="J13" s="7">
        <v>50000</v>
      </c>
      <c r="K13" s="7">
        <v>0</v>
      </c>
      <c r="L13" s="6" t="s">
        <v>25</v>
      </c>
      <c r="M13" s="8">
        <v>45827</v>
      </c>
      <c r="N13" s="8">
        <v>45827</v>
      </c>
      <c r="O13" s="6"/>
      <c r="P13" s="6" t="s">
        <v>52</v>
      </c>
      <c r="Q13" s="6" t="s">
        <v>27</v>
      </c>
      <c r="R13" s="6"/>
    </row>
    <row r="14" spans="1:18" hidden="1" x14ac:dyDescent="0.3">
      <c r="A14" s="3" t="s">
        <v>18</v>
      </c>
      <c r="B14" s="3" t="s">
        <v>19</v>
      </c>
      <c r="C14" s="5"/>
      <c r="D14" s="3"/>
      <c r="E14" s="3"/>
      <c r="F14" s="3">
        <v>27511116</v>
      </c>
      <c r="G14" s="3" t="s">
        <v>53</v>
      </c>
      <c r="H14" s="3"/>
      <c r="I14" s="3"/>
      <c r="J14" s="4">
        <v>1743198.06</v>
      </c>
      <c r="K14" s="4">
        <v>1743198.06</v>
      </c>
      <c r="L14" s="3"/>
      <c r="M14" s="3"/>
      <c r="N14" s="3"/>
      <c r="O14" s="3"/>
      <c r="P14" s="3"/>
      <c r="Q14" s="3"/>
      <c r="R14" s="3">
        <v>18</v>
      </c>
    </row>
    <row r="15" spans="1:18" hidden="1" x14ac:dyDescent="0.3">
      <c r="A15" s="6" t="s">
        <v>21</v>
      </c>
      <c r="B15" s="6" t="s">
        <v>19</v>
      </c>
      <c r="C15" s="9"/>
      <c r="D15" s="6">
        <v>1</v>
      </c>
      <c r="E15" s="6" t="s">
        <v>23</v>
      </c>
      <c r="F15" s="6">
        <v>27511116</v>
      </c>
      <c r="G15" s="6" t="s">
        <v>54</v>
      </c>
      <c r="H15" s="6">
        <v>5110101321</v>
      </c>
      <c r="I15" s="6" t="s">
        <v>55</v>
      </c>
      <c r="J15" s="7">
        <v>9026.66</v>
      </c>
      <c r="K15" s="7">
        <v>0</v>
      </c>
      <c r="L15" s="6" t="s">
        <v>25</v>
      </c>
      <c r="M15" s="8">
        <v>45835</v>
      </c>
      <c r="N15" s="8">
        <v>45835</v>
      </c>
      <c r="O15" s="6"/>
      <c r="P15" s="6" t="s">
        <v>56</v>
      </c>
      <c r="Q15" s="6" t="s">
        <v>27</v>
      </c>
      <c r="R15" s="6"/>
    </row>
    <row r="16" spans="1:18" hidden="1" x14ac:dyDescent="0.3">
      <c r="A16" s="3" t="s">
        <v>18</v>
      </c>
      <c r="B16" s="3" t="s">
        <v>19</v>
      </c>
      <c r="C16" s="5" t="s">
        <v>29</v>
      </c>
      <c r="D16" s="3"/>
      <c r="E16" s="3"/>
      <c r="F16" s="3">
        <v>27516472</v>
      </c>
      <c r="G16" s="3" t="s">
        <v>57</v>
      </c>
      <c r="H16" s="3"/>
      <c r="I16" s="3"/>
      <c r="J16" s="4">
        <v>1904819.58</v>
      </c>
      <c r="K16" s="4">
        <v>1904819.58</v>
      </c>
      <c r="L16" s="3"/>
      <c r="M16" s="3"/>
      <c r="N16" s="3"/>
      <c r="O16" s="3"/>
      <c r="P16" s="3"/>
      <c r="Q16" s="3"/>
      <c r="R16" s="3">
        <v>4</v>
      </c>
    </row>
    <row r="17" spans="1:18" hidden="1" x14ac:dyDescent="0.3">
      <c r="A17" s="6" t="s">
        <v>21</v>
      </c>
      <c r="B17" s="6" t="s">
        <v>19</v>
      </c>
      <c r="C17" s="9" t="s">
        <v>29</v>
      </c>
      <c r="D17" s="6">
        <v>1</v>
      </c>
      <c r="E17" s="6" t="s">
        <v>59</v>
      </c>
      <c r="F17" s="6">
        <v>27516472</v>
      </c>
      <c r="G17" s="6" t="s">
        <v>58</v>
      </c>
      <c r="H17" s="6">
        <v>8040101002</v>
      </c>
      <c r="I17" s="6" t="s">
        <v>60</v>
      </c>
      <c r="J17" s="7">
        <v>933177.57</v>
      </c>
      <c r="K17" s="7">
        <v>0</v>
      </c>
      <c r="L17" s="6" t="s">
        <v>61</v>
      </c>
      <c r="M17" s="8">
        <v>45838</v>
      </c>
      <c r="N17" s="8">
        <v>45838</v>
      </c>
      <c r="O17" s="6"/>
      <c r="P17" s="6" t="s">
        <v>62</v>
      </c>
      <c r="Q17" s="6" t="s">
        <v>27</v>
      </c>
      <c r="R17" s="6"/>
    </row>
    <row r="18" spans="1:18" hidden="1" x14ac:dyDescent="0.3">
      <c r="A18" s="6" t="s">
        <v>21</v>
      </c>
      <c r="B18" s="6" t="s">
        <v>19</v>
      </c>
      <c r="C18" s="9" t="s">
        <v>29</v>
      </c>
      <c r="D18" s="6">
        <v>1</v>
      </c>
      <c r="E18" s="6" t="s">
        <v>59</v>
      </c>
      <c r="F18" s="6">
        <v>27516472</v>
      </c>
      <c r="G18" s="6" t="s">
        <v>58</v>
      </c>
      <c r="H18" s="6">
        <v>8040701001</v>
      </c>
      <c r="I18" s="6" t="s">
        <v>63</v>
      </c>
      <c r="J18" s="7">
        <v>971642.01</v>
      </c>
      <c r="K18" s="7">
        <v>0</v>
      </c>
      <c r="L18" s="6" t="s">
        <v>61</v>
      </c>
      <c r="M18" s="8">
        <v>45838</v>
      </c>
      <c r="N18" s="8">
        <v>45838</v>
      </c>
      <c r="O18" s="6"/>
      <c r="P18" s="6" t="s">
        <v>64</v>
      </c>
      <c r="Q18" s="6" t="s">
        <v>27</v>
      </c>
      <c r="R18" s="6"/>
    </row>
    <row r="19" spans="1:18" hidden="1" x14ac:dyDescent="0.3">
      <c r="A19" s="3" t="s">
        <v>18</v>
      </c>
      <c r="B19" s="3" t="s">
        <v>19</v>
      </c>
      <c r="C19" s="5" t="s">
        <v>29</v>
      </c>
      <c r="D19" s="3"/>
      <c r="E19" s="3"/>
      <c r="F19" s="3">
        <v>27518607</v>
      </c>
      <c r="G19" s="3" t="s">
        <v>65</v>
      </c>
      <c r="H19" s="3"/>
      <c r="I19" s="3"/>
      <c r="J19" s="4">
        <v>652258781.13</v>
      </c>
      <c r="K19" s="4">
        <v>652258781.13</v>
      </c>
      <c r="L19" s="3"/>
      <c r="M19" s="3"/>
      <c r="N19" s="3"/>
      <c r="O19" s="3"/>
      <c r="P19" s="3"/>
      <c r="Q19" s="3"/>
      <c r="R19" s="3">
        <v>12</v>
      </c>
    </row>
    <row r="20" spans="1:18" hidden="1" x14ac:dyDescent="0.3">
      <c r="A20" s="6" t="s">
        <v>21</v>
      </c>
      <c r="B20" s="6" t="s">
        <v>19</v>
      </c>
      <c r="C20" s="9" t="s">
        <v>29</v>
      </c>
      <c r="D20" s="6">
        <v>1</v>
      </c>
      <c r="E20" s="6" t="s">
        <v>23</v>
      </c>
      <c r="F20" s="6">
        <v>27518607</v>
      </c>
      <c r="G20" s="6" t="s">
        <v>66</v>
      </c>
      <c r="H20" s="6">
        <v>8040701001</v>
      </c>
      <c r="I20" s="6" t="s">
        <v>63</v>
      </c>
      <c r="J20" s="7">
        <v>0</v>
      </c>
      <c r="K20" s="7">
        <v>322482771.35000002</v>
      </c>
      <c r="L20" s="6" t="s">
        <v>25</v>
      </c>
      <c r="M20" s="8">
        <v>45839</v>
      </c>
      <c r="N20" s="8">
        <v>45839</v>
      </c>
      <c r="O20" s="6"/>
      <c r="P20" s="6" t="s">
        <v>67</v>
      </c>
      <c r="Q20" s="6" t="s">
        <v>27</v>
      </c>
      <c r="R20" s="6"/>
    </row>
    <row r="21" spans="1:18" hidden="1" x14ac:dyDescent="0.3">
      <c r="A21" s="3" t="s">
        <v>18</v>
      </c>
      <c r="B21" s="3" t="s">
        <v>19</v>
      </c>
      <c r="C21" s="5" t="s">
        <v>29</v>
      </c>
      <c r="D21" s="3"/>
      <c r="E21" s="3"/>
      <c r="F21" s="3">
        <v>27518607</v>
      </c>
      <c r="G21" s="3" t="s">
        <v>65</v>
      </c>
      <c r="H21" s="3"/>
      <c r="I21" s="3"/>
      <c r="J21" s="4">
        <v>585023</v>
      </c>
      <c r="K21" s="4">
        <v>585023</v>
      </c>
      <c r="L21" s="3"/>
      <c r="M21" s="3"/>
      <c r="N21" s="3"/>
      <c r="O21" s="3"/>
      <c r="P21" s="3"/>
      <c r="Q21" s="3"/>
      <c r="R21" s="3">
        <v>2</v>
      </c>
    </row>
    <row r="22" spans="1:18" hidden="1" x14ac:dyDescent="0.3">
      <c r="A22" s="6" t="s">
        <v>21</v>
      </c>
      <c r="B22" s="6" t="s">
        <v>19</v>
      </c>
      <c r="C22" s="9" t="s">
        <v>29</v>
      </c>
      <c r="D22" s="6">
        <v>1</v>
      </c>
      <c r="E22" s="6" t="s">
        <v>68</v>
      </c>
      <c r="F22" s="6">
        <v>27518607</v>
      </c>
      <c r="G22" s="6" t="s">
        <v>66</v>
      </c>
      <c r="H22" s="6">
        <v>2220302000</v>
      </c>
      <c r="I22" s="6" t="s">
        <v>69</v>
      </c>
      <c r="J22" s="7">
        <v>0</v>
      </c>
      <c r="K22" s="7">
        <v>585023</v>
      </c>
      <c r="L22" s="6">
        <v>270002051</v>
      </c>
      <c r="M22" s="8">
        <v>45839</v>
      </c>
      <c r="N22" s="8">
        <v>45839</v>
      </c>
      <c r="O22" s="6"/>
      <c r="P22" s="6" t="s">
        <v>33</v>
      </c>
      <c r="Q22" s="6" t="s">
        <v>34</v>
      </c>
      <c r="R22" s="6"/>
    </row>
    <row r="23" spans="1:18" hidden="1" x14ac:dyDescent="0.3">
      <c r="A23" s="6" t="s">
        <v>21</v>
      </c>
      <c r="B23" s="6" t="s">
        <v>19</v>
      </c>
      <c r="C23" s="9" t="s">
        <v>29</v>
      </c>
      <c r="D23" s="6">
        <v>1</v>
      </c>
      <c r="E23" s="6" t="s">
        <v>68</v>
      </c>
      <c r="F23" s="6">
        <v>27518607</v>
      </c>
      <c r="G23" s="6" t="s">
        <v>66</v>
      </c>
      <c r="H23" s="6">
        <v>8040101002</v>
      </c>
      <c r="I23" s="6" t="s">
        <v>60</v>
      </c>
      <c r="J23" s="7">
        <v>585023</v>
      </c>
      <c r="K23" s="7">
        <v>0</v>
      </c>
      <c r="L23" s="6">
        <v>270002051</v>
      </c>
      <c r="M23" s="8">
        <v>45839</v>
      </c>
      <c r="N23" s="8">
        <v>45839</v>
      </c>
      <c r="O23" s="6"/>
      <c r="P23" s="6" t="s">
        <v>62</v>
      </c>
      <c r="Q23" s="6" t="s">
        <v>27</v>
      </c>
      <c r="R23" s="6"/>
    </row>
    <row r="24" spans="1:18" hidden="1" x14ac:dyDescent="0.3">
      <c r="A24" s="3" t="s">
        <v>18</v>
      </c>
      <c r="B24" s="3" t="s">
        <v>19</v>
      </c>
      <c r="C24" s="5" t="s">
        <v>29</v>
      </c>
      <c r="D24" s="3"/>
      <c r="E24" s="3"/>
      <c r="F24" s="3">
        <v>27518607</v>
      </c>
      <c r="G24" s="3" t="s">
        <v>65</v>
      </c>
      <c r="H24" s="3"/>
      <c r="I24" s="3"/>
      <c r="J24" s="4">
        <v>694377</v>
      </c>
      <c r="K24" s="4">
        <v>694377</v>
      </c>
      <c r="L24" s="3"/>
      <c r="M24" s="3"/>
      <c r="N24" s="3"/>
      <c r="O24" s="3"/>
      <c r="P24" s="3"/>
      <c r="Q24" s="3"/>
      <c r="R24" s="3">
        <v>4</v>
      </c>
    </row>
    <row r="25" spans="1:18" hidden="1" x14ac:dyDescent="0.3">
      <c r="A25" s="6" t="s">
        <v>21</v>
      </c>
      <c r="B25" s="6" t="s">
        <v>19</v>
      </c>
      <c r="C25" s="9" t="s">
        <v>29</v>
      </c>
      <c r="D25" s="6">
        <v>1</v>
      </c>
      <c r="E25" s="6" t="s">
        <v>31</v>
      </c>
      <c r="F25" s="6">
        <v>27518607</v>
      </c>
      <c r="G25" s="6" t="s">
        <v>66</v>
      </c>
      <c r="H25" s="6">
        <v>2220302000</v>
      </c>
      <c r="I25" s="6" t="s">
        <v>69</v>
      </c>
      <c r="J25" s="7">
        <v>69487</v>
      </c>
      <c r="K25" s="7">
        <v>0</v>
      </c>
      <c r="L25" s="6">
        <v>270002051</v>
      </c>
      <c r="M25" s="8">
        <v>45839</v>
      </c>
      <c r="N25" s="8">
        <v>45839</v>
      </c>
      <c r="O25" s="6"/>
      <c r="P25" s="6" t="s">
        <v>70</v>
      </c>
      <c r="Q25" s="6" t="s">
        <v>34</v>
      </c>
      <c r="R25" s="6"/>
    </row>
    <row r="26" spans="1:18" hidden="1" x14ac:dyDescent="0.3">
      <c r="A26" s="3" t="s">
        <v>18</v>
      </c>
      <c r="B26" s="3" t="s">
        <v>19</v>
      </c>
      <c r="C26" s="5"/>
      <c r="D26" s="3"/>
      <c r="E26" s="3"/>
      <c r="F26" s="3">
        <v>27518607</v>
      </c>
      <c r="G26" s="3" t="s">
        <v>65</v>
      </c>
      <c r="H26" s="3"/>
      <c r="I26" s="3"/>
      <c r="J26" s="4">
        <v>303536961</v>
      </c>
      <c r="K26" s="4">
        <v>303536961</v>
      </c>
      <c r="L26" s="3"/>
      <c r="M26" s="3"/>
      <c r="N26" s="3"/>
      <c r="O26" s="3"/>
      <c r="P26" s="3"/>
      <c r="Q26" s="3"/>
      <c r="R26" s="3">
        <v>14</v>
      </c>
    </row>
    <row r="27" spans="1:18" hidden="1" x14ac:dyDescent="0.3">
      <c r="A27" s="6" t="s">
        <v>21</v>
      </c>
      <c r="B27" s="6" t="s">
        <v>19</v>
      </c>
      <c r="C27" s="9"/>
      <c r="D27" s="6">
        <v>1</v>
      </c>
      <c r="E27" s="6" t="s">
        <v>37</v>
      </c>
      <c r="F27" s="6">
        <v>27518607</v>
      </c>
      <c r="G27" s="6" t="s">
        <v>66</v>
      </c>
      <c r="H27" s="6">
        <v>5060201381</v>
      </c>
      <c r="I27" s="6" t="s">
        <v>71</v>
      </c>
      <c r="J27" s="7">
        <v>11230791</v>
      </c>
      <c r="K27" s="7">
        <v>0</v>
      </c>
      <c r="L27" s="6">
        <v>270002051</v>
      </c>
      <c r="M27" s="8">
        <v>45839</v>
      </c>
      <c r="N27" s="8">
        <v>45839</v>
      </c>
      <c r="O27" s="6"/>
      <c r="P27" s="6" t="s">
        <v>72</v>
      </c>
      <c r="Q27" s="6" t="s">
        <v>27</v>
      </c>
      <c r="R27" s="6"/>
    </row>
    <row r="28" spans="1:18" hidden="1" x14ac:dyDescent="0.3">
      <c r="A28" s="3" t="s">
        <v>18</v>
      </c>
      <c r="B28" s="3" t="s">
        <v>19</v>
      </c>
      <c r="C28" s="5"/>
      <c r="D28" s="3"/>
      <c r="E28" s="3"/>
      <c r="F28" s="3">
        <v>27520546</v>
      </c>
      <c r="G28" s="3" t="s">
        <v>73</v>
      </c>
      <c r="H28" s="3"/>
      <c r="I28" s="3"/>
      <c r="J28" s="4">
        <v>28820156.079999998</v>
      </c>
      <c r="K28" s="4">
        <v>28820156.079999998</v>
      </c>
      <c r="L28" s="3"/>
      <c r="M28" s="3"/>
      <c r="N28" s="3"/>
      <c r="O28" s="3"/>
      <c r="P28" s="3"/>
      <c r="Q28" s="3"/>
      <c r="R28" s="3">
        <v>169</v>
      </c>
    </row>
    <row r="29" spans="1:18" hidden="1" x14ac:dyDescent="0.3">
      <c r="A29" s="6" t="s">
        <v>21</v>
      </c>
      <c r="B29" s="6" t="s">
        <v>19</v>
      </c>
      <c r="C29" s="9"/>
      <c r="D29" s="6">
        <v>1</v>
      </c>
      <c r="E29" s="6" t="s">
        <v>23</v>
      </c>
      <c r="F29" s="6">
        <v>27520546</v>
      </c>
      <c r="G29" s="6" t="s">
        <v>74</v>
      </c>
      <c r="H29" s="6">
        <v>2632601000</v>
      </c>
      <c r="I29" s="6" t="s">
        <v>75</v>
      </c>
      <c r="J29" s="7">
        <v>109303.2</v>
      </c>
      <c r="K29" s="7">
        <v>0</v>
      </c>
      <c r="L29" s="6" t="s">
        <v>25</v>
      </c>
      <c r="M29" s="8">
        <v>45839</v>
      </c>
      <c r="N29" s="8">
        <v>45839</v>
      </c>
      <c r="O29" s="6"/>
      <c r="P29" s="6" t="s">
        <v>76</v>
      </c>
      <c r="Q29" s="6" t="s">
        <v>34</v>
      </c>
      <c r="R29" s="6"/>
    </row>
    <row r="30" spans="1:18" x14ac:dyDescent="0.3">
      <c r="A30" s="3" t="s">
        <v>18</v>
      </c>
      <c r="B30" s="3" t="s">
        <v>19</v>
      </c>
      <c r="C30" s="5" t="s">
        <v>78</v>
      </c>
      <c r="D30" s="3"/>
      <c r="E30" s="3"/>
      <c r="F30" s="3">
        <v>27522872</v>
      </c>
      <c r="G30" s="3" t="s">
        <v>77</v>
      </c>
      <c r="H30" s="3"/>
      <c r="I30" s="3"/>
      <c r="J30" s="4">
        <v>29253646.550000001</v>
      </c>
      <c r="K30" s="4">
        <v>29253646.550000001</v>
      </c>
      <c r="L30" s="3"/>
      <c r="M30" s="3"/>
      <c r="N30" s="3"/>
      <c r="O30" s="3"/>
      <c r="P30" s="3"/>
      <c r="Q30" s="3"/>
      <c r="R30" s="3">
        <v>5</v>
      </c>
    </row>
    <row r="31" spans="1:18" x14ac:dyDescent="0.3">
      <c r="A31" s="6" t="s">
        <v>21</v>
      </c>
      <c r="B31" s="6" t="s">
        <v>19</v>
      </c>
      <c r="C31" s="9" t="s">
        <v>78</v>
      </c>
      <c r="D31" s="6">
        <v>1</v>
      </c>
      <c r="E31" s="6" t="s">
        <v>37</v>
      </c>
      <c r="F31" s="6">
        <v>27522872</v>
      </c>
      <c r="G31" s="6" t="s">
        <v>79</v>
      </c>
      <c r="H31" s="6">
        <v>2291211000</v>
      </c>
      <c r="I31" s="6" t="s">
        <v>80</v>
      </c>
      <c r="J31" s="7">
        <v>9896989.3900000006</v>
      </c>
      <c r="K31" s="7">
        <v>0</v>
      </c>
      <c r="L31" s="6">
        <v>570004862</v>
      </c>
      <c r="M31" s="8">
        <v>45840</v>
      </c>
      <c r="N31" s="8">
        <v>45840</v>
      </c>
      <c r="O31" s="6"/>
      <c r="P31" s="6" t="s">
        <v>81</v>
      </c>
      <c r="Q31" s="6" t="s">
        <v>34</v>
      </c>
      <c r="R31" s="6"/>
    </row>
    <row r="32" spans="1:18" x14ac:dyDescent="0.3">
      <c r="A32" s="6" t="s">
        <v>21</v>
      </c>
      <c r="B32" s="6" t="s">
        <v>19</v>
      </c>
      <c r="C32" s="9" t="s">
        <v>78</v>
      </c>
      <c r="D32" s="6">
        <v>1</v>
      </c>
      <c r="E32" s="6" t="s">
        <v>37</v>
      </c>
      <c r="F32" s="6">
        <v>27522872</v>
      </c>
      <c r="G32" s="6" t="s">
        <v>79</v>
      </c>
      <c r="H32" s="6">
        <v>2601801000</v>
      </c>
      <c r="I32" s="6" t="s">
        <v>82</v>
      </c>
      <c r="J32" s="7">
        <v>187283.16</v>
      </c>
      <c r="K32" s="7">
        <v>0</v>
      </c>
      <c r="L32" s="6">
        <v>570004862</v>
      </c>
      <c r="M32" s="8">
        <v>45840</v>
      </c>
      <c r="N32" s="8">
        <v>45840</v>
      </c>
      <c r="O32" s="6"/>
      <c r="P32" s="6" t="s">
        <v>83</v>
      </c>
      <c r="Q32" s="6" t="s">
        <v>34</v>
      </c>
      <c r="R32" s="6"/>
    </row>
    <row r="33" spans="1:18" x14ac:dyDescent="0.3">
      <c r="A33" s="6" t="s">
        <v>21</v>
      </c>
      <c r="B33" s="6" t="s">
        <v>19</v>
      </c>
      <c r="C33" s="9" t="s">
        <v>78</v>
      </c>
      <c r="D33" s="6">
        <v>1</v>
      </c>
      <c r="E33" s="6" t="s">
        <v>37</v>
      </c>
      <c r="F33" s="6">
        <v>27522872</v>
      </c>
      <c r="G33" s="6" t="s">
        <v>79</v>
      </c>
      <c r="H33" s="6">
        <v>5250201100</v>
      </c>
      <c r="I33" s="6" t="s">
        <v>84</v>
      </c>
      <c r="J33" s="7">
        <v>0</v>
      </c>
      <c r="K33" s="7">
        <v>10084272.550000001</v>
      </c>
      <c r="L33" s="6">
        <v>570004862</v>
      </c>
      <c r="M33" s="8">
        <v>45840</v>
      </c>
      <c r="N33" s="8">
        <v>45840</v>
      </c>
      <c r="O33" s="6"/>
      <c r="P33" s="6" t="s">
        <v>85</v>
      </c>
      <c r="Q33" s="6" t="s">
        <v>27</v>
      </c>
      <c r="R33" s="6"/>
    </row>
    <row r="34" spans="1:18" hidden="1" x14ac:dyDescent="0.3">
      <c r="A34" s="3" t="s">
        <v>18</v>
      </c>
      <c r="B34" s="3" t="s">
        <v>19</v>
      </c>
      <c r="C34" s="5"/>
      <c r="D34" s="3"/>
      <c r="E34" s="3"/>
      <c r="F34" s="3">
        <v>27561291</v>
      </c>
      <c r="G34" s="3" t="s">
        <v>86</v>
      </c>
      <c r="H34" s="3"/>
      <c r="I34" s="3"/>
      <c r="J34" s="4">
        <v>3165400.9</v>
      </c>
      <c r="K34" s="4">
        <v>3165400.9</v>
      </c>
      <c r="L34" s="3"/>
      <c r="M34" s="3"/>
      <c r="N34" s="3"/>
      <c r="O34" s="3"/>
      <c r="P34" s="3"/>
      <c r="Q34" s="3"/>
      <c r="R34" s="3">
        <v>12</v>
      </c>
    </row>
    <row r="35" spans="1:18" hidden="1" x14ac:dyDescent="0.3">
      <c r="A35" s="6" t="s">
        <v>21</v>
      </c>
      <c r="B35" s="6" t="s">
        <v>19</v>
      </c>
      <c r="C35" s="9"/>
      <c r="D35" s="6">
        <v>1</v>
      </c>
      <c r="E35" s="6" t="s">
        <v>31</v>
      </c>
      <c r="F35" s="6">
        <v>27561291</v>
      </c>
      <c r="G35" s="6" t="s">
        <v>87</v>
      </c>
      <c r="H35" s="6">
        <v>5060102315</v>
      </c>
      <c r="I35" s="6" t="s">
        <v>88</v>
      </c>
      <c r="J35" s="7">
        <v>0</v>
      </c>
      <c r="K35" s="7">
        <v>855292.32</v>
      </c>
      <c r="L35" s="6">
        <v>570004862</v>
      </c>
      <c r="M35" s="8">
        <v>45890</v>
      </c>
      <c r="N35" s="8">
        <v>45890</v>
      </c>
      <c r="O35" s="6"/>
      <c r="P35" s="6" t="s">
        <v>85</v>
      </c>
      <c r="Q35" s="6" t="s">
        <v>27</v>
      </c>
      <c r="R35" s="6"/>
    </row>
    <row r="36" spans="1:18" hidden="1" x14ac:dyDescent="0.3">
      <c r="A36" s="3" t="s">
        <v>18</v>
      </c>
      <c r="B36" s="3" t="s">
        <v>19</v>
      </c>
      <c r="C36" s="5"/>
      <c r="D36" s="3"/>
      <c r="E36" s="3"/>
      <c r="F36" s="3">
        <v>27616178</v>
      </c>
      <c r="G36" s="3" t="s">
        <v>89</v>
      </c>
      <c r="H36" s="3"/>
      <c r="I36" s="3"/>
      <c r="J36" s="4">
        <v>12782.05</v>
      </c>
      <c r="K36" s="4">
        <v>12782.05</v>
      </c>
      <c r="L36" s="3"/>
      <c r="M36" s="3"/>
      <c r="N36" s="3"/>
      <c r="O36" s="3"/>
      <c r="P36" s="3"/>
      <c r="Q36" s="3"/>
      <c r="R36" s="3">
        <v>8</v>
      </c>
    </row>
    <row r="37" spans="1:18" hidden="1" x14ac:dyDescent="0.3">
      <c r="A37" s="6" t="s">
        <v>21</v>
      </c>
      <c r="B37" s="6" t="s">
        <v>19</v>
      </c>
      <c r="C37" s="9"/>
      <c r="D37" s="6">
        <v>1</v>
      </c>
      <c r="E37" s="6" t="s">
        <v>31</v>
      </c>
      <c r="F37" s="6">
        <v>27616178</v>
      </c>
      <c r="G37" s="6" t="s">
        <v>90</v>
      </c>
      <c r="H37" s="6">
        <v>3150101000</v>
      </c>
      <c r="I37" s="6" t="s">
        <v>91</v>
      </c>
      <c r="J37" s="7">
        <v>0.05</v>
      </c>
      <c r="K37" s="7">
        <v>0</v>
      </c>
      <c r="L37" s="6">
        <v>502669023</v>
      </c>
      <c r="M37" s="8">
        <v>45931</v>
      </c>
      <c r="N37" s="8">
        <v>45931</v>
      </c>
      <c r="O37" s="6"/>
      <c r="P37" s="6" t="s">
        <v>92</v>
      </c>
      <c r="Q37" s="6" t="s">
        <v>93</v>
      </c>
      <c r="R37" s="6"/>
    </row>
    <row r="38" spans="1:18" hidden="1" x14ac:dyDescent="0.3">
      <c r="A38" s="6" t="s">
        <v>21</v>
      </c>
      <c r="B38" s="6" t="s">
        <v>19</v>
      </c>
      <c r="C38" s="9"/>
      <c r="D38" s="6">
        <v>1</v>
      </c>
      <c r="E38" s="6" t="s">
        <v>31</v>
      </c>
      <c r="F38" s="6">
        <v>27616178</v>
      </c>
      <c r="G38" s="6" t="s">
        <v>90</v>
      </c>
      <c r="H38" s="6">
        <v>3350201000</v>
      </c>
      <c r="I38" s="6" t="s">
        <v>94</v>
      </c>
      <c r="J38" s="7">
        <v>0</v>
      </c>
      <c r="K38" s="7">
        <v>0.03</v>
      </c>
      <c r="L38" s="6">
        <v>502669023</v>
      </c>
      <c r="M38" s="8">
        <v>45931</v>
      </c>
      <c r="N38" s="8">
        <v>45931</v>
      </c>
      <c r="O38" s="6"/>
      <c r="P38" s="6" t="s">
        <v>95</v>
      </c>
      <c r="Q38" s="6" t="s">
        <v>93</v>
      </c>
      <c r="R38" s="6"/>
    </row>
    <row r="39" spans="1:18" hidden="1" x14ac:dyDescent="0.3">
      <c r="A39" s="3" t="s">
        <v>18</v>
      </c>
      <c r="B39" s="3" t="s">
        <v>19</v>
      </c>
      <c r="C39" s="5"/>
      <c r="D39" s="3"/>
      <c r="E39" s="3"/>
      <c r="F39" s="3">
        <v>27618415</v>
      </c>
      <c r="G39" s="3" t="s">
        <v>96</v>
      </c>
      <c r="H39" s="3"/>
      <c r="I39" s="3"/>
      <c r="J39" s="4">
        <v>1626457</v>
      </c>
      <c r="K39" s="4">
        <v>1626457</v>
      </c>
      <c r="L39" s="3"/>
      <c r="M39" s="3"/>
      <c r="N39" s="3"/>
      <c r="O39" s="3"/>
      <c r="P39" s="3"/>
      <c r="Q39" s="3"/>
      <c r="R39" s="3">
        <v>44</v>
      </c>
    </row>
    <row r="40" spans="1:18" hidden="1" x14ac:dyDescent="0.3">
      <c r="A40" s="6" t="s">
        <v>21</v>
      </c>
      <c r="B40" s="6" t="s">
        <v>19</v>
      </c>
      <c r="C40" s="9"/>
      <c r="D40" s="6">
        <v>1</v>
      </c>
      <c r="E40" s="6" t="s">
        <v>23</v>
      </c>
      <c r="F40" s="6">
        <v>27618415</v>
      </c>
      <c r="G40" s="6" t="s">
        <v>97</v>
      </c>
      <c r="H40" s="6">
        <v>3350102020</v>
      </c>
      <c r="I40" s="6" t="s">
        <v>98</v>
      </c>
      <c r="J40" s="7">
        <v>0</v>
      </c>
      <c r="K40" s="7">
        <v>1626457</v>
      </c>
      <c r="L40" s="6" t="s">
        <v>25</v>
      </c>
      <c r="M40" s="8">
        <v>45932</v>
      </c>
      <c r="N40" s="8">
        <v>45932</v>
      </c>
      <c r="O40" s="6"/>
      <c r="P40" s="6" t="s">
        <v>95</v>
      </c>
      <c r="Q40" s="6" t="s">
        <v>93</v>
      </c>
      <c r="R40" s="6"/>
    </row>
    <row r="41" spans="1:18" hidden="1" x14ac:dyDescent="0.3">
      <c r="A41" s="3" t="s">
        <v>18</v>
      </c>
      <c r="B41" s="3" t="s">
        <v>19</v>
      </c>
      <c r="C41" s="5"/>
      <c r="D41" s="3"/>
      <c r="E41" s="3"/>
      <c r="F41" s="3">
        <v>27627470</v>
      </c>
      <c r="G41" s="3" t="s">
        <v>99</v>
      </c>
      <c r="H41" s="3"/>
      <c r="I41" s="3"/>
      <c r="J41" s="4">
        <v>947317.43</v>
      </c>
      <c r="K41" s="4">
        <v>947317.43</v>
      </c>
      <c r="L41" s="3"/>
      <c r="M41" s="3"/>
      <c r="N41" s="3"/>
      <c r="O41" s="3"/>
      <c r="P41" s="3"/>
      <c r="Q41" s="3"/>
      <c r="R41" s="3">
        <v>22</v>
      </c>
    </row>
    <row r="42" spans="1:18" hidden="1" x14ac:dyDescent="0.3">
      <c r="A42" s="6" t="s">
        <v>21</v>
      </c>
      <c r="B42" s="6" t="s">
        <v>19</v>
      </c>
      <c r="C42" s="9"/>
      <c r="D42" s="6">
        <v>1</v>
      </c>
      <c r="E42" s="6" t="s">
        <v>23</v>
      </c>
      <c r="F42" s="6">
        <v>27627470</v>
      </c>
      <c r="G42" s="6" t="s">
        <v>100</v>
      </c>
      <c r="H42" s="6">
        <v>5060201241</v>
      </c>
      <c r="I42" s="6" t="s">
        <v>101</v>
      </c>
      <c r="J42" s="7">
        <v>4600</v>
      </c>
      <c r="K42" s="7">
        <v>0</v>
      </c>
      <c r="L42" s="6" t="s">
        <v>25</v>
      </c>
      <c r="M42" s="8">
        <v>45944</v>
      </c>
      <c r="N42" s="8">
        <v>45944</v>
      </c>
      <c r="O42" s="6"/>
      <c r="P42" s="6" t="s">
        <v>102</v>
      </c>
      <c r="Q42" s="6" t="s">
        <v>27</v>
      </c>
      <c r="R42" s="6"/>
    </row>
    <row r="43" spans="1:18" hidden="1" x14ac:dyDescent="0.3">
      <c r="A43" s="6" t="s">
        <v>21</v>
      </c>
      <c r="B43" s="6" t="s">
        <v>19</v>
      </c>
      <c r="C43" s="9"/>
      <c r="D43" s="6">
        <v>1</v>
      </c>
      <c r="E43" s="6" t="s">
        <v>23</v>
      </c>
      <c r="F43" s="6">
        <v>27627470</v>
      </c>
      <c r="G43" s="6" t="s">
        <v>100</v>
      </c>
      <c r="H43" s="6">
        <v>5060201771</v>
      </c>
      <c r="I43" s="6" t="s">
        <v>103</v>
      </c>
      <c r="J43" s="7">
        <v>7198</v>
      </c>
      <c r="K43" s="7">
        <v>0</v>
      </c>
      <c r="L43" s="6" t="s">
        <v>25</v>
      </c>
      <c r="M43" s="8">
        <v>45944</v>
      </c>
      <c r="N43" s="8">
        <v>45944</v>
      </c>
      <c r="O43" s="6"/>
      <c r="P43" s="6" t="s">
        <v>104</v>
      </c>
      <c r="Q43" s="6" t="s">
        <v>27</v>
      </c>
      <c r="R43" s="6"/>
    </row>
    <row r="44" spans="1:18" hidden="1" x14ac:dyDescent="0.3">
      <c r="A44" s="3" t="s">
        <v>18</v>
      </c>
      <c r="B44" s="3" t="s">
        <v>19</v>
      </c>
      <c r="C44" s="5"/>
      <c r="D44" s="3"/>
      <c r="E44" s="3"/>
      <c r="F44" s="3">
        <v>27638134</v>
      </c>
      <c r="G44" s="3" t="s">
        <v>105</v>
      </c>
      <c r="H44" s="3"/>
      <c r="I44" s="3"/>
      <c r="J44" s="4">
        <v>313528</v>
      </c>
      <c r="K44" s="4">
        <v>313528</v>
      </c>
      <c r="L44" s="3"/>
      <c r="M44" s="3"/>
      <c r="N44" s="3"/>
      <c r="O44" s="3"/>
      <c r="P44" s="3"/>
      <c r="Q44" s="3"/>
      <c r="R44" s="3">
        <v>2</v>
      </c>
    </row>
    <row r="45" spans="1:18" hidden="1" x14ac:dyDescent="0.3">
      <c r="A45" s="6" t="s">
        <v>21</v>
      </c>
      <c r="B45" s="6" t="s">
        <v>19</v>
      </c>
      <c r="C45" s="9"/>
      <c r="D45" s="6">
        <v>1</v>
      </c>
      <c r="E45" s="6" t="s">
        <v>23</v>
      </c>
      <c r="F45" s="6">
        <v>27638134</v>
      </c>
      <c r="G45" s="6" t="s">
        <v>106</v>
      </c>
      <c r="H45" s="6">
        <v>2650101000</v>
      </c>
      <c r="I45" s="6" t="s">
        <v>107</v>
      </c>
      <c r="J45" s="7">
        <v>313528</v>
      </c>
      <c r="K45" s="7">
        <v>0</v>
      </c>
      <c r="L45" s="6" t="s">
        <v>25</v>
      </c>
      <c r="M45" s="8">
        <v>45959</v>
      </c>
      <c r="N45" s="8">
        <v>45959</v>
      </c>
      <c r="O45" s="6"/>
      <c r="P45" s="6" t="s">
        <v>108</v>
      </c>
      <c r="Q45" s="6" t="s">
        <v>34</v>
      </c>
      <c r="R45" s="6"/>
    </row>
    <row r="46" spans="1:18" hidden="1" x14ac:dyDescent="0.3">
      <c r="A46" s="3" t="s">
        <v>18</v>
      </c>
      <c r="B46" s="3" t="s">
        <v>19</v>
      </c>
      <c r="C46" s="5"/>
      <c r="D46" s="3"/>
      <c r="E46" s="3"/>
      <c r="F46" s="3">
        <v>27663123</v>
      </c>
      <c r="G46" s="3" t="s">
        <v>109</v>
      </c>
      <c r="H46" s="3"/>
      <c r="I46" s="3"/>
      <c r="J46" s="4">
        <v>0.42</v>
      </c>
      <c r="K46" s="4">
        <v>0.42</v>
      </c>
      <c r="L46" s="3"/>
      <c r="M46" s="3"/>
      <c r="N46" s="3"/>
      <c r="O46" s="3"/>
      <c r="P46" s="3"/>
      <c r="Q46" s="3"/>
      <c r="R46" s="3">
        <v>2</v>
      </c>
    </row>
    <row r="47" spans="1:18" hidden="1" x14ac:dyDescent="0.3">
      <c r="A47" s="6" t="s">
        <v>21</v>
      </c>
      <c r="B47" s="6" t="s">
        <v>19</v>
      </c>
      <c r="C47" s="9"/>
      <c r="D47" s="6">
        <v>1</v>
      </c>
      <c r="E47" s="6" t="s">
        <v>31</v>
      </c>
      <c r="F47" s="6">
        <v>27663123</v>
      </c>
      <c r="G47" s="6" t="s">
        <v>110</v>
      </c>
      <c r="H47" s="6">
        <v>5210101670</v>
      </c>
      <c r="I47" s="6" t="s">
        <v>111</v>
      </c>
      <c r="J47" s="7">
        <v>0</v>
      </c>
      <c r="K47" s="7">
        <v>0.42</v>
      </c>
      <c r="L47" s="6">
        <v>570004688</v>
      </c>
      <c r="M47" s="8">
        <v>45989</v>
      </c>
      <c r="N47" s="8">
        <v>45989</v>
      </c>
      <c r="O47" s="6"/>
      <c r="P47" s="6" t="s">
        <v>112</v>
      </c>
      <c r="Q47" s="6" t="s">
        <v>27</v>
      </c>
      <c r="R47" s="6"/>
    </row>
    <row r="48" spans="1:18" hidden="1" x14ac:dyDescent="0.3">
      <c r="A48" s="3" t="s">
        <v>18</v>
      </c>
      <c r="B48" s="3" t="s">
        <v>19</v>
      </c>
      <c r="C48" s="5"/>
      <c r="D48" s="3"/>
      <c r="E48" s="3"/>
      <c r="F48" s="3">
        <v>27667751</v>
      </c>
      <c r="G48" s="3" t="s">
        <v>113</v>
      </c>
      <c r="H48" s="3"/>
      <c r="I48" s="3"/>
      <c r="J48" s="4">
        <v>85900308.25</v>
      </c>
      <c r="K48" s="4">
        <v>85900308.25</v>
      </c>
      <c r="L48" s="3"/>
      <c r="M48" s="3"/>
      <c r="N48" s="3"/>
      <c r="O48" s="3"/>
      <c r="P48" s="3"/>
      <c r="Q48" s="3"/>
      <c r="R48" s="3">
        <v>47</v>
      </c>
    </row>
    <row r="49" spans="1:18" hidden="1" x14ac:dyDescent="0.3">
      <c r="A49" s="6" t="s">
        <v>21</v>
      </c>
      <c r="B49" s="6" t="s">
        <v>19</v>
      </c>
      <c r="C49" s="9"/>
      <c r="D49" s="6">
        <v>1</v>
      </c>
      <c r="E49" s="6" t="s">
        <v>37</v>
      </c>
      <c r="F49" s="6">
        <v>27667751</v>
      </c>
      <c r="G49" s="6" t="s">
        <v>114</v>
      </c>
      <c r="H49" s="6">
        <v>5210101315</v>
      </c>
      <c r="I49" s="6" t="s">
        <v>115</v>
      </c>
      <c r="J49" s="7">
        <v>0.01</v>
      </c>
      <c r="K49" s="7">
        <v>0</v>
      </c>
      <c r="L49" s="6">
        <v>570004862</v>
      </c>
      <c r="M49" s="8">
        <v>45989</v>
      </c>
      <c r="N49" s="8">
        <v>45989</v>
      </c>
      <c r="O49" s="6"/>
      <c r="P49" s="6" t="s">
        <v>116</v>
      </c>
      <c r="Q49" s="6" t="s">
        <v>27</v>
      </c>
      <c r="R49" s="6"/>
    </row>
    <row r="50" spans="1:18" hidden="1" x14ac:dyDescent="0.3">
      <c r="A50" s="3" t="s">
        <v>18</v>
      </c>
      <c r="B50" s="3" t="s">
        <v>19</v>
      </c>
      <c r="C50" s="5"/>
      <c r="D50" s="3"/>
      <c r="E50" s="3"/>
      <c r="F50" s="3">
        <v>27671566</v>
      </c>
      <c r="G50" s="3" t="s">
        <v>117</v>
      </c>
      <c r="H50" s="3"/>
      <c r="I50" s="3"/>
      <c r="J50" s="4">
        <v>1576223.15</v>
      </c>
      <c r="K50" s="4">
        <v>1576223.15</v>
      </c>
      <c r="L50" s="3"/>
      <c r="M50" s="3"/>
      <c r="N50" s="3"/>
      <c r="O50" s="3"/>
      <c r="P50" s="3"/>
      <c r="Q50" s="3"/>
      <c r="R50" s="3">
        <v>9</v>
      </c>
    </row>
    <row r="51" spans="1:18" hidden="1" x14ac:dyDescent="0.3">
      <c r="A51" s="6" t="s">
        <v>21</v>
      </c>
      <c r="B51" s="6" t="s">
        <v>19</v>
      </c>
      <c r="C51" s="9"/>
      <c r="D51" s="6">
        <v>1</v>
      </c>
      <c r="E51" s="6" t="s">
        <v>37</v>
      </c>
      <c r="F51" s="6">
        <v>27671566</v>
      </c>
      <c r="G51" s="6" t="s">
        <v>118</v>
      </c>
      <c r="H51" s="6">
        <v>2070201022</v>
      </c>
      <c r="I51" s="6" t="s">
        <v>119</v>
      </c>
      <c r="J51" s="7">
        <v>0</v>
      </c>
      <c r="K51" s="7">
        <v>5810</v>
      </c>
      <c r="L51" s="6">
        <v>570004862</v>
      </c>
      <c r="M51" s="8">
        <v>46001</v>
      </c>
      <c r="N51" s="8">
        <v>46001</v>
      </c>
      <c r="O51" s="6"/>
      <c r="P51" s="6" t="s">
        <v>120</v>
      </c>
      <c r="Q51" s="6" t="s">
        <v>34</v>
      </c>
      <c r="R51" s="6"/>
    </row>
    <row r="52" spans="1:18" hidden="1" x14ac:dyDescent="0.3">
      <c r="A52" s="6" t="s">
        <v>21</v>
      </c>
      <c r="B52" s="6" t="s">
        <v>19</v>
      </c>
      <c r="C52" s="9"/>
      <c r="D52" s="6">
        <v>1</v>
      </c>
      <c r="E52" s="6" t="s">
        <v>37</v>
      </c>
      <c r="F52" s="6">
        <v>27671566</v>
      </c>
      <c r="G52" s="6" t="s">
        <v>118</v>
      </c>
      <c r="H52" s="6">
        <v>2074102000</v>
      </c>
      <c r="I52" s="6" t="s">
        <v>121</v>
      </c>
      <c r="J52" s="7">
        <v>0</v>
      </c>
      <c r="K52" s="7">
        <v>172153.07</v>
      </c>
      <c r="L52" s="6">
        <v>570004862</v>
      </c>
      <c r="M52" s="8">
        <v>46001</v>
      </c>
      <c r="N52" s="8">
        <v>46001</v>
      </c>
      <c r="O52" s="6"/>
      <c r="P52" s="6" t="s">
        <v>122</v>
      </c>
      <c r="Q52" s="6" t="s">
        <v>34</v>
      </c>
      <c r="R52" s="6"/>
    </row>
    <row r="53" spans="1:18" hidden="1" x14ac:dyDescent="0.3">
      <c r="A53" s="6" t="s">
        <v>21</v>
      </c>
      <c r="B53" s="6" t="s">
        <v>19</v>
      </c>
      <c r="C53" s="9"/>
      <c r="D53" s="6">
        <v>1</v>
      </c>
      <c r="E53" s="6" t="s">
        <v>37</v>
      </c>
      <c r="F53" s="6">
        <v>27671566</v>
      </c>
      <c r="G53" s="6" t="s">
        <v>118</v>
      </c>
      <c r="H53" s="6">
        <v>2270403000</v>
      </c>
      <c r="I53" s="6" t="s">
        <v>123</v>
      </c>
      <c r="J53" s="7">
        <v>0</v>
      </c>
      <c r="K53" s="7">
        <v>751.88</v>
      </c>
      <c r="L53" s="6">
        <v>570004862</v>
      </c>
      <c r="M53" s="8">
        <v>46001</v>
      </c>
      <c r="N53" s="8">
        <v>46001</v>
      </c>
      <c r="O53" s="6"/>
      <c r="P53" s="6" t="s">
        <v>33</v>
      </c>
      <c r="Q53" s="6" t="s">
        <v>34</v>
      </c>
      <c r="R53" s="6"/>
    </row>
    <row r="54" spans="1:18" hidden="1" x14ac:dyDescent="0.3">
      <c r="A54" s="6" t="s">
        <v>21</v>
      </c>
      <c r="B54" s="6" t="s">
        <v>19</v>
      </c>
      <c r="C54" s="9"/>
      <c r="D54" s="6">
        <v>1</v>
      </c>
      <c r="E54" s="6" t="s">
        <v>37</v>
      </c>
      <c r="F54" s="6">
        <v>27671566</v>
      </c>
      <c r="G54" s="6" t="s">
        <v>118</v>
      </c>
      <c r="H54" s="6">
        <v>2270403215</v>
      </c>
      <c r="I54" s="6" t="s">
        <v>124</v>
      </c>
      <c r="J54" s="7">
        <v>9806.31</v>
      </c>
      <c r="K54" s="7">
        <v>0</v>
      </c>
      <c r="L54" s="6">
        <v>570004862</v>
      </c>
      <c r="M54" s="8">
        <v>46001</v>
      </c>
      <c r="N54" s="8">
        <v>46001</v>
      </c>
      <c r="O54" s="6"/>
      <c r="P54" s="6" t="s">
        <v>122</v>
      </c>
      <c r="Q54" s="6" t="s">
        <v>34</v>
      </c>
      <c r="R54" s="6"/>
    </row>
    <row r="55" spans="1:18" hidden="1" x14ac:dyDescent="0.3">
      <c r="A55" s="6" t="s">
        <v>21</v>
      </c>
      <c r="B55" s="6" t="s">
        <v>19</v>
      </c>
      <c r="C55" s="9"/>
      <c r="D55" s="6">
        <v>1</v>
      </c>
      <c r="E55" s="6" t="s">
        <v>37</v>
      </c>
      <c r="F55" s="6">
        <v>27671566</v>
      </c>
      <c r="G55" s="6" t="s">
        <v>118</v>
      </c>
      <c r="H55" s="6" t="s">
        <v>125</v>
      </c>
      <c r="I55" s="6" t="s">
        <v>126</v>
      </c>
      <c r="J55" s="7">
        <v>0</v>
      </c>
      <c r="K55" s="7">
        <v>300674.90999999997</v>
      </c>
      <c r="L55" s="6">
        <v>570004862</v>
      </c>
      <c r="M55" s="8">
        <v>46001</v>
      </c>
      <c r="N55" s="8">
        <v>46001</v>
      </c>
      <c r="O55" s="6"/>
      <c r="P55" s="6" t="s">
        <v>122</v>
      </c>
      <c r="Q55" s="6" t="s">
        <v>34</v>
      </c>
      <c r="R55" s="6"/>
    </row>
    <row r="56" spans="1:18" hidden="1" x14ac:dyDescent="0.3">
      <c r="A56" s="3" t="s">
        <v>18</v>
      </c>
      <c r="B56" s="3" t="s">
        <v>19</v>
      </c>
      <c r="C56" s="5"/>
      <c r="D56" s="3"/>
      <c r="E56" s="3"/>
      <c r="F56" s="3">
        <v>27685402</v>
      </c>
      <c r="G56" s="3" t="s">
        <v>127</v>
      </c>
      <c r="H56" s="3"/>
      <c r="I56" s="3"/>
      <c r="J56" s="4">
        <v>2954315.76</v>
      </c>
      <c r="K56" s="4">
        <v>2954315.76</v>
      </c>
      <c r="L56" s="3"/>
      <c r="M56" s="3"/>
      <c r="N56" s="3"/>
      <c r="O56" s="3"/>
      <c r="P56" s="3"/>
      <c r="Q56" s="3"/>
      <c r="R56" s="3">
        <v>25</v>
      </c>
    </row>
    <row r="57" spans="1:18" hidden="1" x14ac:dyDescent="0.3">
      <c r="A57" s="6" t="s">
        <v>21</v>
      </c>
      <c r="B57" s="6" t="s">
        <v>19</v>
      </c>
      <c r="C57" s="9"/>
      <c r="D57" s="6">
        <v>1</v>
      </c>
      <c r="E57" s="6" t="s">
        <v>23</v>
      </c>
      <c r="F57" s="6">
        <v>27685402</v>
      </c>
      <c r="G57" s="6" t="s">
        <v>128</v>
      </c>
      <c r="H57" s="6">
        <v>5060201490</v>
      </c>
      <c r="I57" s="6" t="s">
        <v>129</v>
      </c>
      <c r="J57" s="7">
        <v>2709.28</v>
      </c>
      <c r="K57" s="7">
        <v>0</v>
      </c>
      <c r="L57" s="6" t="s">
        <v>25</v>
      </c>
      <c r="M57" s="8">
        <v>46007</v>
      </c>
      <c r="N57" s="8">
        <v>46007</v>
      </c>
      <c r="O57" s="6"/>
      <c r="P57" s="6" t="s">
        <v>130</v>
      </c>
      <c r="Q57" s="6" t="s">
        <v>27</v>
      </c>
      <c r="R57" s="6"/>
    </row>
    <row r="58" spans="1:18" hidden="1" x14ac:dyDescent="0.3">
      <c r="A58" s="3" t="s">
        <v>18</v>
      </c>
      <c r="B58" s="3" t="s">
        <v>19</v>
      </c>
      <c r="C58" s="5"/>
      <c r="D58" s="3"/>
      <c r="E58" s="3"/>
      <c r="F58" s="3">
        <v>27699419</v>
      </c>
      <c r="G58" s="3" t="s">
        <v>131</v>
      </c>
      <c r="H58" s="3"/>
      <c r="I58" s="3"/>
      <c r="J58" s="4">
        <v>626488.86</v>
      </c>
      <c r="K58" s="4">
        <v>626488.86</v>
      </c>
      <c r="L58" s="3"/>
      <c r="M58" s="3"/>
      <c r="N58" s="3"/>
      <c r="O58" s="3"/>
      <c r="P58" s="3"/>
      <c r="Q58" s="3"/>
      <c r="R58" s="3">
        <v>4</v>
      </c>
    </row>
    <row r="59" spans="1:18" hidden="1" x14ac:dyDescent="0.3">
      <c r="A59" s="6" t="s">
        <v>21</v>
      </c>
      <c r="B59" s="6" t="s">
        <v>19</v>
      </c>
      <c r="C59" s="9"/>
      <c r="D59" s="6">
        <v>1</v>
      </c>
      <c r="E59" s="6" t="s">
        <v>37</v>
      </c>
      <c r="F59" s="6">
        <v>27699419</v>
      </c>
      <c r="G59" s="6" t="s">
        <v>132</v>
      </c>
      <c r="H59" s="6">
        <v>5060201010</v>
      </c>
      <c r="I59" s="6" t="s">
        <v>133</v>
      </c>
      <c r="J59" s="7">
        <v>458726.40000000002</v>
      </c>
      <c r="K59" s="7">
        <v>0</v>
      </c>
      <c r="L59" s="6">
        <v>570004862</v>
      </c>
      <c r="M59" s="8">
        <v>46021</v>
      </c>
      <c r="N59" s="8">
        <v>46021</v>
      </c>
      <c r="O59" s="6"/>
      <c r="P59" s="6" t="s">
        <v>104</v>
      </c>
      <c r="Q59" s="6" t="s">
        <v>27</v>
      </c>
      <c r="R59" s="6"/>
    </row>
    <row r="60" spans="1:18" hidden="1" x14ac:dyDescent="0.3">
      <c r="A60" s="3" t="s">
        <v>18</v>
      </c>
      <c r="B60" s="3" t="s">
        <v>19</v>
      </c>
      <c r="C60" s="5"/>
      <c r="D60" s="3"/>
      <c r="E60" s="3"/>
      <c r="F60" s="3">
        <v>27702602</v>
      </c>
      <c r="G60" s="3" t="s">
        <v>134</v>
      </c>
      <c r="H60" s="3"/>
      <c r="I60" s="3"/>
      <c r="J60" s="4">
        <v>441386.62</v>
      </c>
      <c r="K60" s="4">
        <v>441386.62</v>
      </c>
      <c r="L60" s="3"/>
      <c r="M60" s="3"/>
      <c r="N60" s="3"/>
      <c r="O60" s="3"/>
      <c r="P60" s="3"/>
      <c r="Q60" s="3"/>
      <c r="R60" s="3">
        <v>10</v>
      </c>
    </row>
    <row r="61" spans="1:18" hidden="1" x14ac:dyDescent="0.3">
      <c r="A61" s="6" t="s">
        <v>21</v>
      </c>
      <c r="B61" s="6" t="s">
        <v>19</v>
      </c>
      <c r="C61" s="9"/>
      <c r="D61" s="6">
        <v>1</v>
      </c>
      <c r="E61" s="6" t="s">
        <v>37</v>
      </c>
      <c r="F61" s="6">
        <v>27702602</v>
      </c>
      <c r="G61" s="6" t="s">
        <v>135</v>
      </c>
      <c r="H61" s="6">
        <v>2076001303</v>
      </c>
      <c r="I61" s="6" t="s">
        <v>136</v>
      </c>
      <c r="J61" s="7">
        <v>0</v>
      </c>
      <c r="K61" s="7">
        <v>96857.18</v>
      </c>
      <c r="L61" s="6">
        <v>570004862</v>
      </c>
      <c r="M61" s="8">
        <v>46022</v>
      </c>
      <c r="N61" s="8">
        <v>46022</v>
      </c>
      <c r="O61" s="6"/>
      <c r="P61" s="6" t="s">
        <v>137</v>
      </c>
      <c r="Q61" s="6" t="s">
        <v>34</v>
      </c>
      <c r="R61" s="6"/>
    </row>
    <row r="62" spans="1:18" hidden="1" x14ac:dyDescent="0.3">
      <c r="A62" s="6" t="s">
        <v>21</v>
      </c>
      <c r="B62" s="6" t="s">
        <v>19</v>
      </c>
      <c r="C62" s="9"/>
      <c r="D62" s="6">
        <v>1</v>
      </c>
      <c r="E62" s="6" t="s">
        <v>37</v>
      </c>
      <c r="F62" s="6">
        <v>27702602</v>
      </c>
      <c r="G62" s="6" t="s">
        <v>135</v>
      </c>
      <c r="H62" s="6">
        <v>2076001325</v>
      </c>
      <c r="I62" s="6" t="s">
        <v>138</v>
      </c>
      <c r="J62" s="7">
        <v>0.06</v>
      </c>
      <c r="K62" s="7">
        <v>0</v>
      </c>
      <c r="L62" s="6">
        <v>570004862</v>
      </c>
      <c r="M62" s="8">
        <v>46022</v>
      </c>
      <c r="N62" s="8">
        <v>46022</v>
      </c>
      <c r="O62" s="6"/>
      <c r="P62" s="6" t="s">
        <v>139</v>
      </c>
      <c r="Q62" s="6" t="s">
        <v>34</v>
      </c>
      <c r="R62" s="6"/>
    </row>
    <row r="63" spans="1:18" hidden="1" x14ac:dyDescent="0.3">
      <c r="A63" s="6" t="s">
        <v>21</v>
      </c>
      <c r="B63" s="6" t="s">
        <v>19</v>
      </c>
      <c r="C63" s="9"/>
      <c r="D63" s="6">
        <v>1</v>
      </c>
      <c r="E63" s="6" t="s">
        <v>37</v>
      </c>
      <c r="F63" s="6">
        <v>27702602</v>
      </c>
      <c r="G63" s="6" t="s">
        <v>135</v>
      </c>
      <c r="H63" s="6">
        <v>2076001335</v>
      </c>
      <c r="I63" s="6" t="s">
        <v>140</v>
      </c>
      <c r="J63" s="7">
        <v>0.06</v>
      </c>
      <c r="K63" s="7">
        <v>0</v>
      </c>
      <c r="L63" s="6">
        <v>570004862</v>
      </c>
      <c r="M63" s="8">
        <v>46022</v>
      </c>
      <c r="N63" s="8">
        <v>46022</v>
      </c>
      <c r="O63" s="6"/>
      <c r="P63" s="6" t="s">
        <v>141</v>
      </c>
      <c r="Q63" s="6" t="s">
        <v>34</v>
      </c>
      <c r="R63" s="6"/>
    </row>
    <row r="64" spans="1:18" hidden="1" x14ac:dyDescent="0.3">
      <c r="A64" s="3" t="s">
        <v>18</v>
      </c>
      <c r="B64" s="3" t="s">
        <v>19</v>
      </c>
      <c r="C64" s="5"/>
      <c r="D64" s="3"/>
      <c r="E64" s="3"/>
      <c r="F64" s="3">
        <v>27709481</v>
      </c>
      <c r="G64" s="3" t="s">
        <v>142</v>
      </c>
      <c r="H64" s="3"/>
      <c r="I64" s="3"/>
      <c r="J64" s="4">
        <v>23171498.030000001</v>
      </c>
      <c r="K64" s="4">
        <v>23171498.030000001</v>
      </c>
      <c r="L64" s="3"/>
      <c r="M64" s="3"/>
      <c r="N64" s="3"/>
      <c r="O64" s="3"/>
      <c r="P64" s="3"/>
      <c r="Q64" s="3"/>
      <c r="R64" s="3">
        <v>18</v>
      </c>
    </row>
    <row r="65" spans="1:18" hidden="1" x14ac:dyDescent="0.3">
      <c r="A65" s="6" t="s">
        <v>21</v>
      </c>
      <c r="B65" s="6" t="s">
        <v>19</v>
      </c>
      <c r="C65" s="9"/>
      <c r="D65" s="6">
        <v>1</v>
      </c>
      <c r="E65" s="6" t="s">
        <v>23</v>
      </c>
      <c r="F65" s="6">
        <v>27709481</v>
      </c>
      <c r="G65" s="6" t="s">
        <v>143</v>
      </c>
      <c r="H65" s="6">
        <v>1100401023</v>
      </c>
      <c r="I65" s="6" t="s">
        <v>144</v>
      </c>
      <c r="J65" s="7">
        <v>0</v>
      </c>
      <c r="K65" s="7">
        <v>266.99</v>
      </c>
      <c r="L65" s="6" t="s">
        <v>25</v>
      </c>
      <c r="M65" s="8">
        <v>46024</v>
      </c>
      <c r="N65" s="8">
        <v>46024</v>
      </c>
      <c r="O65" s="6"/>
      <c r="P65" s="6" t="s">
        <v>145</v>
      </c>
      <c r="Q65" s="6" t="s">
        <v>146</v>
      </c>
      <c r="R65" s="6"/>
    </row>
    <row r="66" spans="1:18" hidden="1" x14ac:dyDescent="0.3">
      <c r="A66" s="3" t="s">
        <v>18</v>
      </c>
      <c r="B66" s="3" t="s">
        <v>19</v>
      </c>
      <c r="C66" s="5" t="s">
        <v>29</v>
      </c>
      <c r="D66" s="3"/>
      <c r="E66" s="3"/>
      <c r="F66" s="3">
        <v>27732740</v>
      </c>
      <c r="G66" s="3" t="s">
        <v>147</v>
      </c>
      <c r="H66" s="3"/>
      <c r="I66" s="3"/>
      <c r="J66" s="4">
        <v>228232.2</v>
      </c>
      <c r="K66" s="4">
        <v>228232.2</v>
      </c>
      <c r="L66" s="3"/>
      <c r="M66" s="3"/>
      <c r="N66" s="3"/>
      <c r="O66" s="3"/>
      <c r="P66" s="3"/>
      <c r="Q66" s="3"/>
      <c r="R66" s="3">
        <v>3</v>
      </c>
    </row>
    <row r="67" spans="1:18" hidden="1" x14ac:dyDescent="0.3">
      <c r="A67" s="6" t="s">
        <v>21</v>
      </c>
      <c r="B67" s="6" t="s">
        <v>19</v>
      </c>
      <c r="C67" s="9" t="s">
        <v>29</v>
      </c>
      <c r="D67" s="6">
        <v>1</v>
      </c>
      <c r="E67" s="6" t="s">
        <v>68</v>
      </c>
      <c r="F67" s="6">
        <v>27732740</v>
      </c>
      <c r="G67" s="6" t="s">
        <v>148</v>
      </c>
      <c r="H67" s="6">
        <v>2220306000</v>
      </c>
      <c r="I67" s="6" t="s">
        <v>149</v>
      </c>
      <c r="J67" s="7">
        <v>0</v>
      </c>
      <c r="K67" s="7">
        <v>186312</v>
      </c>
      <c r="L67" s="6">
        <v>503396794</v>
      </c>
      <c r="M67" s="8">
        <v>46050</v>
      </c>
      <c r="N67" s="8">
        <v>46050</v>
      </c>
      <c r="O67" s="6"/>
      <c r="P67" s="6" t="s">
        <v>33</v>
      </c>
      <c r="Q67" s="6" t="s">
        <v>34</v>
      </c>
      <c r="R67" s="6"/>
    </row>
    <row r="68" spans="1:18" hidden="1" x14ac:dyDescent="0.3">
      <c r="A68" s="6" t="s">
        <v>21</v>
      </c>
      <c r="B68" s="6" t="s">
        <v>19</v>
      </c>
      <c r="C68" s="9" t="s">
        <v>29</v>
      </c>
      <c r="D68" s="6">
        <v>1</v>
      </c>
      <c r="E68" s="6" t="s">
        <v>68</v>
      </c>
      <c r="F68" s="6">
        <v>27732740</v>
      </c>
      <c r="G68" s="6" t="s">
        <v>148</v>
      </c>
      <c r="H68" s="6">
        <v>4130403001</v>
      </c>
      <c r="I68" s="6" t="s">
        <v>150</v>
      </c>
      <c r="J68" s="7">
        <v>0</v>
      </c>
      <c r="K68" s="7">
        <v>41920.199999999997</v>
      </c>
      <c r="L68" s="6">
        <v>503396794</v>
      </c>
      <c r="M68" s="8">
        <v>46050</v>
      </c>
      <c r="N68" s="8">
        <v>46050</v>
      </c>
      <c r="O68" s="6"/>
      <c r="P68" s="6" t="s">
        <v>151</v>
      </c>
      <c r="Q68" s="6" t="s">
        <v>152</v>
      </c>
      <c r="R68" s="6"/>
    </row>
    <row r="69" spans="1:18" hidden="1" x14ac:dyDescent="0.3">
      <c r="A69" s="3" t="s">
        <v>18</v>
      </c>
      <c r="B69" s="3" t="s">
        <v>19</v>
      </c>
      <c r="C69" s="5"/>
      <c r="D69" s="3"/>
      <c r="E69" s="3"/>
      <c r="F69" s="3">
        <v>27732740</v>
      </c>
      <c r="G69" s="3" t="s">
        <v>147</v>
      </c>
      <c r="H69" s="3"/>
      <c r="I69" s="3"/>
      <c r="J69" s="4">
        <v>6460563.4500000002</v>
      </c>
      <c r="K69" s="4">
        <v>6460563.4500000002</v>
      </c>
      <c r="L69" s="3"/>
      <c r="M69" s="3"/>
      <c r="N69" s="3"/>
      <c r="O69" s="3"/>
      <c r="P69" s="3"/>
      <c r="Q69" s="3"/>
      <c r="R69" s="3">
        <v>3</v>
      </c>
    </row>
    <row r="70" spans="1:18" hidden="1" x14ac:dyDescent="0.3">
      <c r="A70" s="6" t="s">
        <v>21</v>
      </c>
      <c r="B70" s="6" t="s">
        <v>19</v>
      </c>
      <c r="C70" s="9"/>
      <c r="D70" s="6">
        <v>1</v>
      </c>
      <c r="E70" s="6" t="s">
        <v>37</v>
      </c>
      <c r="F70" s="6">
        <v>27732740</v>
      </c>
      <c r="G70" s="6" t="s">
        <v>148</v>
      </c>
      <c r="H70" s="6">
        <v>4130403001</v>
      </c>
      <c r="I70" s="6" t="s">
        <v>150</v>
      </c>
      <c r="J70" s="7">
        <v>0</v>
      </c>
      <c r="K70" s="7">
        <v>2004078</v>
      </c>
      <c r="L70" s="6">
        <v>503396794</v>
      </c>
      <c r="M70" s="8">
        <v>46050</v>
      </c>
      <c r="N70" s="8">
        <v>46050</v>
      </c>
      <c r="O70" s="6"/>
      <c r="P70" s="6" t="s">
        <v>151</v>
      </c>
      <c r="Q70" s="6" t="s">
        <v>152</v>
      </c>
      <c r="R70" s="6"/>
    </row>
    <row r="71" spans="1:18" hidden="1" x14ac:dyDescent="0.3">
      <c r="A71" s="3" t="s">
        <v>18</v>
      </c>
      <c r="B71" s="3" t="s">
        <v>19</v>
      </c>
      <c r="C71" s="5"/>
      <c r="D71" s="3"/>
      <c r="E71" s="3"/>
      <c r="F71" s="3">
        <v>27737551</v>
      </c>
      <c r="G71" s="3" t="s">
        <v>153</v>
      </c>
      <c r="H71" s="3"/>
      <c r="I71" s="3"/>
      <c r="J71" s="4">
        <v>57458372.299999997</v>
      </c>
      <c r="K71" s="4">
        <v>57458372.299999997</v>
      </c>
      <c r="L71" s="3"/>
      <c r="M71" s="3"/>
      <c r="N71" s="3"/>
      <c r="O71" s="3"/>
      <c r="P71" s="3"/>
      <c r="Q71" s="3"/>
      <c r="R71" s="3">
        <v>51</v>
      </c>
    </row>
    <row r="72" spans="1:18" hidden="1" x14ac:dyDescent="0.3">
      <c r="A72" s="6" t="s">
        <v>21</v>
      </c>
      <c r="B72" s="6" t="s">
        <v>19</v>
      </c>
      <c r="C72" s="9"/>
      <c r="D72" s="6">
        <v>1</v>
      </c>
      <c r="E72" s="6" t="s">
        <v>23</v>
      </c>
      <c r="F72" s="6">
        <v>27737551</v>
      </c>
      <c r="G72" s="6" t="s">
        <v>154</v>
      </c>
      <c r="H72" s="6">
        <v>2291202000</v>
      </c>
      <c r="I72" s="6" t="s">
        <v>155</v>
      </c>
      <c r="J72" s="7">
        <v>0</v>
      </c>
      <c r="K72" s="7">
        <v>195389</v>
      </c>
      <c r="L72" s="6" t="s">
        <v>25</v>
      </c>
      <c r="M72" s="8">
        <v>46052</v>
      </c>
      <c r="N72" s="8">
        <v>46052</v>
      </c>
      <c r="O72" s="6"/>
      <c r="P72" s="6" t="s">
        <v>156</v>
      </c>
      <c r="Q72" s="6" t="s">
        <v>34</v>
      </c>
      <c r="R72" s="6"/>
    </row>
    <row r="73" spans="1:18" hidden="1" x14ac:dyDescent="0.3">
      <c r="A73" s="3" t="s">
        <v>18</v>
      </c>
      <c r="B73" s="3" t="s">
        <v>19</v>
      </c>
      <c r="C73" s="5"/>
      <c r="D73" s="3"/>
      <c r="E73" s="3"/>
      <c r="F73" s="3">
        <v>27753560</v>
      </c>
      <c r="G73" s="3" t="s">
        <v>157</v>
      </c>
      <c r="H73" s="3"/>
      <c r="I73" s="3"/>
      <c r="J73" s="4">
        <v>34203620.259999998</v>
      </c>
      <c r="K73" s="4">
        <v>34203620.259999998</v>
      </c>
      <c r="L73" s="3"/>
      <c r="M73" s="3"/>
      <c r="N73" s="3"/>
      <c r="O73" s="3"/>
      <c r="P73" s="3"/>
      <c r="Q73" s="3"/>
      <c r="R73" s="3">
        <v>4</v>
      </c>
    </row>
    <row r="74" spans="1:18" hidden="1" x14ac:dyDescent="0.3">
      <c r="A74" s="6" t="s">
        <v>21</v>
      </c>
      <c r="B74" s="6" t="s">
        <v>19</v>
      </c>
      <c r="C74" s="9"/>
      <c r="D74" s="6">
        <v>1</v>
      </c>
      <c r="E74" s="6" t="s">
        <v>37</v>
      </c>
      <c r="F74" s="6">
        <v>27753560</v>
      </c>
      <c r="G74" s="6" t="s">
        <v>158</v>
      </c>
      <c r="H74" s="6">
        <v>2650101000</v>
      </c>
      <c r="I74" s="6" t="s">
        <v>107</v>
      </c>
      <c r="J74" s="7">
        <v>18734282</v>
      </c>
      <c r="K74" s="7">
        <v>0</v>
      </c>
      <c r="L74" s="6">
        <v>570004862</v>
      </c>
      <c r="M74" s="8">
        <v>46065</v>
      </c>
      <c r="N74" s="8">
        <v>46065</v>
      </c>
      <c r="O74" s="6"/>
      <c r="P74" s="6" t="s">
        <v>108</v>
      </c>
      <c r="Q74" s="6" t="s">
        <v>34</v>
      </c>
      <c r="R74" s="6"/>
    </row>
    <row r="75" spans="1:18" hidden="1" x14ac:dyDescent="0.3">
      <c r="A75" s="3" t="s">
        <v>18</v>
      </c>
      <c r="B75" s="3" t="s">
        <v>19</v>
      </c>
      <c r="C75" s="5" t="s">
        <v>29</v>
      </c>
      <c r="D75" s="3"/>
      <c r="E75" s="3"/>
      <c r="F75" s="3">
        <v>27760102</v>
      </c>
      <c r="G75" s="3" t="s">
        <v>159</v>
      </c>
      <c r="H75" s="3"/>
      <c r="I75" s="3"/>
      <c r="J75" s="4">
        <v>246583583.90000001</v>
      </c>
      <c r="K75" s="4">
        <v>246583583.90000001</v>
      </c>
      <c r="L75" s="3"/>
      <c r="M75" s="3"/>
      <c r="N75" s="3"/>
      <c r="O75" s="3"/>
      <c r="P75" s="3"/>
      <c r="Q75" s="3"/>
      <c r="R75" s="3">
        <v>2</v>
      </c>
    </row>
    <row r="76" spans="1:18" hidden="1" x14ac:dyDescent="0.3">
      <c r="A76" s="6" t="s">
        <v>21</v>
      </c>
      <c r="B76" s="6" t="s">
        <v>19</v>
      </c>
      <c r="C76" s="9" t="s">
        <v>29</v>
      </c>
      <c r="D76" s="6">
        <v>1</v>
      </c>
      <c r="E76" s="6" t="s">
        <v>37</v>
      </c>
      <c r="F76" s="6">
        <v>27760102</v>
      </c>
      <c r="G76" s="6" t="s">
        <v>160</v>
      </c>
      <c r="H76" s="6">
        <v>2652044000</v>
      </c>
      <c r="I76" s="6" t="s">
        <v>161</v>
      </c>
      <c r="J76" s="7">
        <v>0</v>
      </c>
      <c r="K76" s="7">
        <v>246583583.90000001</v>
      </c>
      <c r="L76" s="6">
        <v>570004862</v>
      </c>
      <c r="M76" s="8">
        <v>46078</v>
      </c>
      <c r="N76" s="8">
        <v>46078</v>
      </c>
      <c r="O76" s="6"/>
      <c r="P76" s="6" t="s">
        <v>33</v>
      </c>
      <c r="Q76" s="6" t="s">
        <v>34</v>
      </c>
      <c r="R76" s="6"/>
    </row>
    <row r="77" spans="1:18" hidden="1" x14ac:dyDescent="0.3">
      <c r="A77" s="3" t="s">
        <v>18</v>
      </c>
      <c r="B77" s="3" t="s">
        <v>19</v>
      </c>
      <c r="C77" s="5"/>
      <c r="D77" s="3"/>
      <c r="E77" s="3"/>
      <c r="F77" s="3">
        <v>27769014</v>
      </c>
      <c r="G77" s="3" t="s">
        <v>162</v>
      </c>
      <c r="H77" s="3"/>
      <c r="I77" s="3"/>
      <c r="J77" s="4">
        <v>15469338.26</v>
      </c>
      <c r="K77" s="4">
        <v>15469338.26</v>
      </c>
      <c r="L77" s="3"/>
      <c r="M77" s="3"/>
      <c r="N77" s="3"/>
      <c r="O77" s="3"/>
      <c r="P77" s="3"/>
      <c r="Q77" s="3"/>
      <c r="R77" s="3">
        <v>2</v>
      </c>
    </row>
    <row r="78" spans="1:18" hidden="1" x14ac:dyDescent="0.3">
      <c r="A78" s="6" t="s">
        <v>21</v>
      </c>
      <c r="B78" s="6" t="s">
        <v>19</v>
      </c>
      <c r="C78" s="9"/>
      <c r="D78" s="6">
        <v>1</v>
      </c>
      <c r="E78" s="6" t="s">
        <v>37</v>
      </c>
      <c r="F78" s="6">
        <v>27769014</v>
      </c>
      <c r="G78" s="6" t="s">
        <v>163</v>
      </c>
      <c r="H78" s="6">
        <v>1110102000</v>
      </c>
      <c r="I78" s="6" t="s">
        <v>164</v>
      </c>
      <c r="J78" s="7">
        <v>15469338.26</v>
      </c>
      <c r="K78" s="7">
        <v>0</v>
      </c>
      <c r="L78" s="6">
        <v>570004862</v>
      </c>
      <c r="M78" s="8">
        <v>46083</v>
      </c>
      <c r="N78" s="8">
        <v>46083</v>
      </c>
      <c r="O78" s="6"/>
      <c r="P78" s="6" t="s">
        <v>165</v>
      </c>
      <c r="Q78" s="6" t="s">
        <v>146</v>
      </c>
      <c r="R78" s="6"/>
    </row>
    <row r="79" spans="1:18" hidden="1" x14ac:dyDescent="0.3">
      <c r="A79" s="3" t="s">
        <v>18</v>
      </c>
      <c r="B79" s="3" t="s">
        <v>19</v>
      </c>
      <c r="C79" s="5"/>
      <c r="D79" s="3"/>
      <c r="E79" s="3"/>
      <c r="F79" s="3">
        <v>27792424</v>
      </c>
      <c r="G79" s="3" t="s">
        <v>166</v>
      </c>
      <c r="H79" s="3"/>
      <c r="I79" s="3"/>
      <c r="J79" s="4">
        <v>177069066.90000001</v>
      </c>
      <c r="K79" s="4">
        <v>177069066.90000001</v>
      </c>
      <c r="L79" s="3"/>
      <c r="M79" s="3"/>
      <c r="N79" s="3"/>
      <c r="O79" s="3"/>
      <c r="P79" s="3"/>
      <c r="Q79" s="3"/>
      <c r="R79" s="3">
        <v>257</v>
      </c>
    </row>
    <row r="80" spans="1:18" hidden="1" x14ac:dyDescent="0.3">
      <c r="A80" s="6" t="s">
        <v>21</v>
      </c>
      <c r="B80" s="6" t="s">
        <v>19</v>
      </c>
      <c r="C80" s="9"/>
      <c r="D80" s="6">
        <v>1</v>
      </c>
      <c r="E80" s="6" t="s">
        <v>23</v>
      </c>
      <c r="F80" s="6">
        <v>27792424</v>
      </c>
      <c r="G80" s="6" t="s">
        <v>167</v>
      </c>
      <c r="H80" s="6">
        <v>5060102270</v>
      </c>
      <c r="I80" s="6" t="s">
        <v>168</v>
      </c>
      <c r="J80" s="7">
        <v>16539322</v>
      </c>
      <c r="K80" s="7">
        <v>0</v>
      </c>
      <c r="L80" s="6" t="s">
        <v>25</v>
      </c>
      <c r="M80" s="8">
        <v>46108</v>
      </c>
      <c r="N80" s="8">
        <v>46108</v>
      </c>
      <c r="O80" s="6"/>
      <c r="P80" s="6" t="s">
        <v>169</v>
      </c>
      <c r="Q80" s="6" t="s">
        <v>27</v>
      </c>
      <c r="R80" s="6"/>
    </row>
    <row r="81" spans="1:18" hidden="1" x14ac:dyDescent="0.3">
      <c r="A81" s="3" t="s">
        <v>18</v>
      </c>
      <c r="B81" s="3" t="s">
        <v>19</v>
      </c>
      <c r="C81" s="5"/>
      <c r="D81" s="3"/>
      <c r="E81" s="3"/>
      <c r="F81" s="3">
        <v>27798569</v>
      </c>
      <c r="G81" s="3" t="s">
        <v>170</v>
      </c>
      <c r="H81" s="3"/>
      <c r="I81" s="3"/>
      <c r="J81" s="4">
        <v>2006858</v>
      </c>
      <c r="K81" s="4">
        <v>2006858</v>
      </c>
      <c r="L81" s="3"/>
      <c r="M81" s="3"/>
      <c r="N81" s="3"/>
      <c r="O81" s="3"/>
      <c r="P81" s="3"/>
      <c r="Q81" s="3"/>
      <c r="R81" s="3">
        <v>2</v>
      </c>
    </row>
    <row r="82" spans="1:18" hidden="1" x14ac:dyDescent="0.3">
      <c r="A82" s="6" t="s">
        <v>21</v>
      </c>
      <c r="B82" s="6" t="s">
        <v>19</v>
      </c>
      <c r="C82" s="9"/>
      <c r="D82" s="6">
        <v>1</v>
      </c>
      <c r="E82" s="6" t="s">
        <v>31</v>
      </c>
      <c r="F82" s="6">
        <v>27798569</v>
      </c>
      <c r="G82" s="6" t="s">
        <v>171</v>
      </c>
      <c r="H82" s="6">
        <v>1100301305</v>
      </c>
      <c r="I82" s="6" t="s">
        <v>172</v>
      </c>
      <c r="J82" s="7">
        <v>2006858</v>
      </c>
      <c r="K82" s="7">
        <v>0</v>
      </c>
      <c r="L82" s="6">
        <v>570004862</v>
      </c>
      <c r="M82" s="8">
        <v>46112</v>
      </c>
      <c r="N82" s="8">
        <v>46112</v>
      </c>
      <c r="O82" s="6"/>
      <c r="P82" s="6" t="s">
        <v>145</v>
      </c>
      <c r="Q82" s="6" t="s">
        <v>146</v>
      </c>
      <c r="R82" s="6"/>
    </row>
    <row r="83" spans="1:18" hidden="1" x14ac:dyDescent="0.3">
      <c r="A83" s="3" t="s">
        <v>18</v>
      </c>
      <c r="B83" s="3" t="s">
        <v>19</v>
      </c>
      <c r="C83" s="5"/>
      <c r="D83" s="3"/>
      <c r="E83" s="3"/>
      <c r="F83" s="3">
        <v>47760685</v>
      </c>
      <c r="G83" s="3" t="s">
        <v>173</v>
      </c>
      <c r="H83" s="3"/>
      <c r="I83" s="3"/>
      <c r="J83" s="4">
        <v>600000000</v>
      </c>
      <c r="K83" s="4">
        <v>600000000</v>
      </c>
      <c r="L83" s="3"/>
      <c r="M83" s="3"/>
      <c r="N83" s="3"/>
      <c r="O83" s="3"/>
      <c r="P83" s="3"/>
      <c r="Q83" s="3"/>
      <c r="R83" s="3">
        <v>3</v>
      </c>
    </row>
    <row r="84" spans="1:18" hidden="1" x14ac:dyDescent="0.3">
      <c r="A84" s="6" t="s">
        <v>21</v>
      </c>
      <c r="B84" s="6" t="s">
        <v>19</v>
      </c>
      <c r="C84" s="9"/>
      <c r="D84" s="6">
        <v>1</v>
      </c>
      <c r="E84" s="6" t="s">
        <v>174</v>
      </c>
      <c r="F84" s="6">
        <v>47760685</v>
      </c>
      <c r="G84" s="6" t="s">
        <v>173</v>
      </c>
      <c r="H84" s="6">
        <v>1080201002</v>
      </c>
      <c r="I84" s="6" t="s">
        <v>175</v>
      </c>
      <c r="J84" s="7">
        <v>585772533</v>
      </c>
      <c r="K84" s="7">
        <v>0</v>
      </c>
      <c r="L84" s="6" t="s">
        <v>176</v>
      </c>
      <c r="M84" s="8">
        <v>45772</v>
      </c>
      <c r="N84" s="8">
        <v>45772</v>
      </c>
      <c r="O84" s="6"/>
      <c r="P84" s="6" t="s">
        <v>177</v>
      </c>
      <c r="Q84" s="6" t="s">
        <v>146</v>
      </c>
      <c r="R84" s="6"/>
    </row>
    <row r="85" spans="1:18" hidden="1" x14ac:dyDescent="0.3">
      <c r="A85" s="3" t="s">
        <v>18</v>
      </c>
      <c r="B85" s="3" t="s">
        <v>19</v>
      </c>
      <c r="C85" s="5"/>
      <c r="D85" s="3"/>
      <c r="E85" s="3"/>
      <c r="F85" s="3">
        <v>47843071</v>
      </c>
      <c r="G85" s="3" t="s">
        <v>178</v>
      </c>
      <c r="H85" s="3"/>
      <c r="I85" s="3"/>
      <c r="J85" s="4">
        <v>14227467</v>
      </c>
      <c r="K85" s="4">
        <v>14227467</v>
      </c>
      <c r="L85" s="3"/>
      <c r="M85" s="3"/>
      <c r="N85" s="3"/>
      <c r="O85" s="3"/>
      <c r="P85" s="3"/>
      <c r="Q85" s="3"/>
      <c r="R85" s="3">
        <v>2</v>
      </c>
    </row>
    <row r="86" spans="1:18" hidden="1" x14ac:dyDescent="0.3">
      <c r="A86" s="6" t="s">
        <v>21</v>
      </c>
      <c r="B86" s="6" t="s">
        <v>19</v>
      </c>
      <c r="C86" s="9"/>
      <c r="D86" s="6">
        <v>1</v>
      </c>
      <c r="E86" s="6" t="s">
        <v>174</v>
      </c>
      <c r="F86" s="6">
        <v>47843071</v>
      </c>
      <c r="G86" s="6" t="s">
        <v>178</v>
      </c>
      <c r="H86" s="6">
        <v>1080801001</v>
      </c>
      <c r="I86" s="6" t="s">
        <v>179</v>
      </c>
      <c r="J86" s="7">
        <v>14227467</v>
      </c>
      <c r="K86" s="7">
        <v>0</v>
      </c>
      <c r="L86" s="6" t="s">
        <v>176</v>
      </c>
      <c r="M86" s="8">
        <v>45775</v>
      </c>
      <c r="N86" s="8">
        <v>45775</v>
      </c>
      <c r="O86" s="6"/>
      <c r="P86" s="6" t="s">
        <v>180</v>
      </c>
      <c r="Q86" s="6" t="s">
        <v>146</v>
      </c>
      <c r="R86" s="6"/>
    </row>
    <row r="87" spans="1:18" hidden="1" x14ac:dyDescent="0.3">
      <c r="A87" s="3" t="s">
        <v>18</v>
      </c>
      <c r="B87" s="3" t="s">
        <v>19</v>
      </c>
      <c r="C87" s="5"/>
      <c r="D87" s="3"/>
      <c r="E87" s="3"/>
      <c r="F87" s="3">
        <v>48006259</v>
      </c>
      <c r="G87" s="3" t="s">
        <v>181</v>
      </c>
      <c r="H87" s="3"/>
      <c r="I87" s="3"/>
      <c r="J87" s="4">
        <v>8288879.3200000003</v>
      </c>
      <c r="K87" s="4">
        <v>8288879.3200000003</v>
      </c>
      <c r="L87" s="3"/>
      <c r="M87" s="3"/>
      <c r="N87" s="3"/>
      <c r="O87" s="3"/>
      <c r="P87" s="3"/>
      <c r="Q87" s="3"/>
      <c r="R87" s="3">
        <v>31</v>
      </c>
    </row>
    <row r="88" spans="1:18" hidden="1" x14ac:dyDescent="0.3">
      <c r="A88" s="6" t="s">
        <v>21</v>
      </c>
      <c r="B88" s="6" t="s">
        <v>19</v>
      </c>
      <c r="C88" s="9"/>
      <c r="D88" s="6">
        <v>1</v>
      </c>
      <c r="E88" s="6" t="s">
        <v>174</v>
      </c>
      <c r="F88" s="6">
        <v>48006259</v>
      </c>
      <c r="G88" s="6" t="s">
        <v>181</v>
      </c>
      <c r="H88" s="6">
        <v>2074103000</v>
      </c>
      <c r="I88" s="6" t="s">
        <v>182</v>
      </c>
      <c r="J88" s="7">
        <v>533038.02</v>
      </c>
      <c r="K88" s="7">
        <v>0</v>
      </c>
      <c r="L88" s="6">
        <v>503180539</v>
      </c>
      <c r="M88" s="8">
        <v>45779</v>
      </c>
      <c r="N88" s="8">
        <v>45779</v>
      </c>
      <c r="O88" s="6"/>
      <c r="P88" s="6" t="s">
        <v>81</v>
      </c>
      <c r="Q88" s="6" t="s">
        <v>34</v>
      </c>
      <c r="R88" s="6"/>
    </row>
    <row r="89" spans="1:18" hidden="1" x14ac:dyDescent="0.3">
      <c r="A89" s="6" t="s">
        <v>21</v>
      </c>
      <c r="B89" s="6" t="s">
        <v>19</v>
      </c>
      <c r="C89" s="9"/>
      <c r="D89" s="6">
        <v>1</v>
      </c>
      <c r="E89" s="6" t="s">
        <v>174</v>
      </c>
      <c r="F89" s="6">
        <v>48006259</v>
      </c>
      <c r="G89" s="6" t="s">
        <v>181</v>
      </c>
      <c r="H89" s="6">
        <v>2290701307</v>
      </c>
      <c r="I89" s="6" t="s">
        <v>183</v>
      </c>
      <c r="J89" s="7">
        <v>0</v>
      </c>
      <c r="K89" s="7">
        <v>1130864.81</v>
      </c>
      <c r="L89" s="6">
        <v>503180539</v>
      </c>
      <c r="M89" s="8">
        <v>45779</v>
      </c>
      <c r="N89" s="8">
        <v>45779</v>
      </c>
      <c r="O89" s="6"/>
      <c r="P89" s="6" t="s">
        <v>81</v>
      </c>
      <c r="Q89" s="6" t="s">
        <v>34</v>
      </c>
      <c r="R89" s="6"/>
    </row>
    <row r="90" spans="1:18" hidden="1" x14ac:dyDescent="0.3">
      <c r="A90" s="6" t="s">
        <v>21</v>
      </c>
      <c r="B90" s="6" t="s">
        <v>19</v>
      </c>
      <c r="C90" s="9"/>
      <c r="D90" s="6">
        <v>1</v>
      </c>
      <c r="E90" s="6" t="s">
        <v>174</v>
      </c>
      <c r="F90" s="6">
        <v>48006259</v>
      </c>
      <c r="G90" s="6" t="s">
        <v>181</v>
      </c>
      <c r="H90" s="6">
        <v>2290701308</v>
      </c>
      <c r="I90" s="6" t="s">
        <v>184</v>
      </c>
      <c r="J90" s="7">
        <v>1130864.81</v>
      </c>
      <c r="K90" s="7">
        <v>0</v>
      </c>
      <c r="L90" s="6">
        <v>503180539</v>
      </c>
      <c r="M90" s="8">
        <v>45779</v>
      </c>
      <c r="N90" s="8">
        <v>45779</v>
      </c>
      <c r="O90" s="6"/>
      <c r="P90" s="6" t="s">
        <v>81</v>
      </c>
      <c r="Q90" s="6" t="s">
        <v>34</v>
      </c>
      <c r="R90" s="6"/>
    </row>
    <row r="91" spans="1:18" hidden="1" x14ac:dyDescent="0.3">
      <c r="A91" s="3" t="s">
        <v>18</v>
      </c>
      <c r="B91" s="3" t="s">
        <v>19</v>
      </c>
      <c r="C91" s="5" t="s">
        <v>29</v>
      </c>
      <c r="D91" s="3"/>
      <c r="E91" s="3"/>
      <c r="F91" s="3">
        <v>48116182</v>
      </c>
      <c r="G91" s="3" t="s">
        <v>185</v>
      </c>
      <c r="H91" s="3"/>
      <c r="I91" s="3"/>
      <c r="J91" s="4">
        <v>266372005</v>
      </c>
      <c r="K91" s="4">
        <v>266372005</v>
      </c>
      <c r="L91" s="3"/>
      <c r="M91" s="3"/>
      <c r="N91" s="3"/>
      <c r="O91" s="3"/>
      <c r="P91" s="3"/>
      <c r="Q91" s="3"/>
      <c r="R91" s="3">
        <v>2</v>
      </c>
    </row>
    <row r="92" spans="1:18" hidden="1" x14ac:dyDescent="0.3">
      <c r="A92" s="6" t="s">
        <v>21</v>
      </c>
      <c r="B92" s="6" t="s">
        <v>19</v>
      </c>
      <c r="C92" s="9" t="s">
        <v>29</v>
      </c>
      <c r="D92" s="6">
        <v>1</v>
      </c>
      <c r="E92" s="6" t="s">
        <v>174</v>
      </c>
      <c r="F92" s="6">
        <v>48116182</v>
      </c>
      <c r="G92" s="6" t="s">
        <v>185</v>
      </c>
      <c r="H92" s="6">
        <v>2220303000</v>
      </c>
      <c r="I92" s="6" t="s">
        <v>186</v>
      </c>
      <c r="J92" s="7">
        <v>0</v>
      </c>
      <c r="K92" s="7">
        <v>266372005</v>
      </c>
      <c r="L92" s="6">
        <v>503244294</v>
      </c>
      <c r="M92" s="8">
        <v>45783</v>
      </c>
      <c r="N92" s="8">
        <v>45783</v>
      </c>
      <c r="O92" s="6"/>
      <c r="P92" s="6" t="s">
        <v>33</v>
      </c>
      <c r="Q92" s="6" t="s">
        <v>34</v>
      </c>
      <c r="R92" s="6"/>
    </row>
    <row r="93" spans="1:18" hidden="1" x14ac:dyDescent="0.3">
      <c r="A93" s="3" t="s">
        <v>18</v>
      </c>
      <c r="B93" s="3" t="s">
        <v>19</v>
      </c>
      <c r="C93" s="5" t="s">
        <v>29</v>
      </c>
      <c r="D93" s="3"/>
      <c r="E93" s="3"/>
      <c r="F93" s="3">
        <v>48615330</v>
      </c>
      <c r="G93" s="3" t="s">
        <v>187</v>
      </c>
      <c r="H93" s="3"/>
      <c r="I93" s="3"/>
      <c r="J93" s="4">
        <v>410327302</v>
      </c>
      <c r="K93" s="4">
        <v>410327302</v>
      </c>
      <c r="L93" s="3"/>
      <c r="M93" s="3"/>
      <c r="N93" s="3"/>
      <c r="O93" s="3"/>
      <c r="P93" s="3"/>
      <c r="Q93" s="3"/>
      <c r="R93" s="3">
        <v>7</v>
      </c>
    </row>
    <row r="94" spans="1:18" hidden="1" x14ac:dyDescent="0.3">
      <c r="A94" s="6" t="s">
        <v>21</v>
      </c>
      <c r="B94" s="6" t="s">
        <v>19</v>
      </c>
      <c r="C94" s="9" t="s">
        <v>29</v>
      </c>
      <c r="D94" s="6">
        <v>1</v>
      </c>
      <c r="E94" s="6" t="s">
        <v>174</v>
      </c>
      <c r="F94" s="6">
        <v>48615330</v>
      </c>
      <c r="G94" s="6" t="s">
        <v>187</v>
      </c>
      <c r="H94" s="6">
        <v>2220201000</v>
      </c>
      <c r="I94" s="6" t="s">
        <v>188</v>
      </c>
      <c r="J94" s="7">
        <v>0</v>
      </c>
      <c r="K94" s="7">
        <v>94397375</v>
      </c>
      <c r="L94" s="6">
        <v>503244294</v>
      </c>
      <c r="M94" s="8">
        <v>45798</v>
      </c>
      <c r="N94" s="8">
        <v>45798</v>
      </c>
      <c r="O94" s="6"/>
      <c r="P94" s="6" t="s">
        <v>33</v>
      </c>
      <c r="Q94" s="6" t="s">
        <v>34</v>
      </c>
      <c r="R94" s="6"/>
    </row>
    <row r="95" spans="1:18" hidden="1" x14ac:dyDescent="0.3">
      <c r="A95" s="6" t="s">
        <v>21</v>
      </c>
      <c r="B95" s="6" t="s">
        <v>19</v>
      </c>
      <c r="C95" s="9" t="s">
        <v>29</v>
      </c>
      <c r="D95" s="6">
        <v>1</v>
      </c>
      <c r="E95" s="6" t="s">
        <v>174</v>
      </c>
      <c r="F95" s="6">
        <v>48615330</v>
      </c>
      <c r="G95" s="6" t="s">
        <v>187</v>
      </c>
      <c r="H95" s="6">
        <v>7270102000</v>
      </c>
      <c r="I95" s="6" t="s">
        <v>189</v>
      </c>
      <c r="J95" s="7">
        <v>80689205</v>
      </c>
      <c r="K95" s="7">
        <v>0</v>
      </c>
      <c r="L95" s="6">
        <v>503244294</v>
      </c>
      <c r="M95" s="8">
        <v>45798</v>
      </c>
      <c r="N95" s="8">
        <v>45798</v>
      </c>
      <c r="O95" s="6"/>
      <c r="P95" s="6" t="s">
        <v>104</v>
      </c>
      <c r="Q95" s="6" t="s">
        <v>27</v>
      </c>
      <c r="R95" s="6"/>
    </row>
    <row r="96" spans="1:18" hidden="1" x14ac:dyDescent="0.3">
      <c r="A96" s="3" t="s">
        <v>18</v>
      </c>
      <c r="B96" s="3" t="s">
        <v>19</v>
      </c>
      <c r="C96" s="5"/>
      <c r="D96" s="3"/>
      <c r="E96" s="3"/>
      <c r="F96" s="3">
        <v>49071670</v>
      </c>
      <c r="G96" s="3" t="s">
        <v>190</v>
      </c>
      <c r="H96" s="3"/>
      <c r="I96" s="3"/>
      <c r="J96" s="4">
        <v>5965039.5199999996</v>
      </c>
      <c r="K96" s="4">
        <v>5965039.5199999996</v>
      </c>
      <c r="L96" s="3"/>
      <c r="M96" s="3"/>
      <c r="N96" s="3"/>
      <c r="O96" s="3"/>
      <c r="P96" s="3"/>
      <c r="Q96" s="3"/>
      <c r="R96" s="3">
        <v>2</v>
      </c>
    </row>
    <row r="97" spans="1:18" hidden="1" x14ac:dyDescent="0.3">
      <c r="A97" s="6" t="s">
        <v>21</v>
      </c>
      <c r="B97" s="6" t="s">
        <v>19</v>
      </c>
      <c r="C97" s="9"/>
      <c r="D97" s="6">
        <v>1</v>
      </c>
      <c r="E97" s="6" t="s">
        <v>174</v>
      </c>
      <c r="F97" s="6">
        <v>49071670</v>
      </c>
      <c r="G97" s="6" t="s">
        <v>190</v>
      </c>
      <c r="H97" s="6">
        <v>4110310000</v>
      </c>
      <c r="I97" s="6" t="s">
        <v>191</v>
      </c>
      <c r="J97" s="7">
        <v>0</v>
      </c>
      <c r="K97" s="7">
        <v>5965039.5199999996</v>
      </c>
      <c r="L97" s="6">
        <v>503406157</v>
      </c>
      <c r="M97" s="8">
        <v>45811</v>
      </c>
      <c r="N97" s="8">
        <v>45811</v>
      </c>
      <c r="O97" s="6"/>
      <c r="P97" s="6" t="s">
        <v>192</v>
      </c>
      <c r="Q97" s="6" t="s">
        <v>152</v>
      </c>
      <c r="R97" s="6"/>
    </row>
    <row r="98" spans="1:18" hidden="1" x14ac:dyDescent="0.3">
      <c r="A98" s="3" t="s">
        <v>18</v>
      </c>
      <c r="B98" s="3" t="s">
        <v>19</v>
      </c>
      <c r="C98" s="5"/>
      <c r="D98" s="3"/>
      <c r="E98" s="3"/>
      <c r="F98" s="3">
        <v>49579951</v>
      </c>
      <c r="G98" s="3" t="s">
        <v>193</v>
      </c>
      <c r="H98" s="3"/>
      <c r="I98" s="3"/>
      <c r="J98" s="4">
        <v>211821185</v>
      </c>
      <c r="K98" s="4">
        <v>211821185</v>
      </c>
      <c r="L98" s="3"/>
      <c r="M98" s="3"/>
      <c r="N98" s="3"/>
      <c r="O98" s="3"/>
      <c r="P98" s="3"/>
      <c r="Q98" s="3"/>
      <c r="R98" s="3">
        <v>4</v>
      </c>
    </row>
    <row r="99" spans="1:18" hidden="1" x14ac:dyDescent="0.3">
      <c r="A99" s="6" t="s">
        <v>21</v>
      </c>
      <c r="B99" s="6" t="s">
        <v>19</v>
      </c>
      <c r="C99" s="9"/>
      <c r="D99" s="6">
        <v>1</v>
      </c>
      <c r="E99" s="6" t="s">
        <v>174</v>
      </c>
      <c r="F99" s="6">
        <v>49579951</v>
      </c>
      <c r="G99" s="6" t="s">
        <v>193</v>
      </c>
      <c r="H99" s="6">
        <v>1090102000</v>
      </c>
      <c r="I99" s="6" t="s">
        <v>194</v>
      </c>
      <c r="J99" s="7">
        <v>0</v>
      </c>
      <c r="K99" s="7">
        <v>149321185</v>
      </c>
      <c r="L99" s="6">
        <v>212542479</v>
      </c>
      <c r="M99" s="8">
        <v>45825</v>
      </c>
      <c r="N99" s="8">
        <v>45825</v>
      </c>
      <c r="O99" s="6"/>
      <c r="P99" s="6" t="s">
        <v>195</v>
      </c>
      <c r="Q99" s="6" t="s">
        <v>146</v>
      </c>
      <c r="R99" s="6"/>
    </row>
    <row r="100" spans="1:18" hidden="1" x14ac:dyDescent="0.3">
      <c r="A100" s="3" t="s">
        <v>18</v>
      </c>
      <c r="B100" s="3" t="s">
        <v>19</v>
      </c>
      <c r="C100" s="5"/>
      <c r="D100" s="3"/>
      <c r="E100" s="3"/>
      <c r="F100" s="3">
        <v>49868080</v>
      </c>
      <c r="G100" s="3" t="s">
        <v>196</v>
      </c>
      <c r="H100" s="3"/>
      <c r="I100" s="3"/>
      <c r="J100" s="4">
        <v>420000</v>
      </c>
      <c r="K100" s="4">
        <v>420000</v>
      </c>
      <c r="L100" s="3"/>
      <c r="M100" s="3"/>
      <c r="N100" s="3"/>
      <c r="O100" s="3"/>
      <c r="P100" s="3"/>
      <c r="Q100" s="3"/>
      <c r="R100" s="3">
        <v>2</v>
      </c>
    </row>
    <row r="101" spans="1:18" hidden="1" x14ac:dyDescent="0.3">
      <c r="A101" s="6" t="s">
        <v>21</v>
      </c>
      <c r="B101" s="6" t="s">
        <v>19</v>
      </c>
      <c r="C101" s="9"/>
      <c r="D101" s="6">
        <v>1</v>
      </c>
      <c r="E101" s="6" t="s">
        <v>174</v>
      </c>
      <c r="F101" s="6">
        <v>49868080</v>
      </c>
      <c r="G101" s="6" t="s">
        <v>196</v>
      </c>
      <c r="H101" s="6">
        <v>5210101401</v>
      </c>
      <c r="I101" s="6" t="s">
        <v>197</v>
      </c>
      <c r="J101" s="7">
        <v>0</v>
      </c>
      <c r="K101" s="7">
        <v>420000</v>
      </c>
      <c r="L101" s="6" t="s">
        <v>176</v>
      </c>
      <c r="M101" s="8">
        <v>45833</v>
      </c>
      <c r="N101" s="8">
        <v>45833</v>
      </c>
      <c r="O101" s="6"/>
      <c r="P101" s="6" t="s">
        <v>198</v>
      </c>
      <c r="Q101" s="6" t="s">
        <v>27</v>
      </c>
      <c r="R101" s="6"/>
    </row>
    <row r="102" spans="1:18" x14ac:dyDescent="0.3">
      <c r="A102" s="3" t="s">
        <v>18</v>
      </c>
      <c r="B102" s="3" t="s">
        <v>19</v>
      </c>
      <c r="C102" s="5" t="s">
        <v>78</v>
      </c>
      <c r="D102" s="3"/>
      <c r="E102" s="3"/>
      <c r="F102" s="3">
        <v>49873302</v>
      </c>
      <c r="G102" s="3" t="s">
        <v>199</v>
      </c>
      <c r="H102" s="3"/>
      <c r="I102" s="3"/>
      <c r="J102" s="4">
        <v>16752676.029999999</v>
      </c>
      <c r="K102" s="4">
        <v>16752676.029999999</v>
      </c>
      <c r="L102" s="3"/>
      <c r="M102" s="3"/>
      <c r="N102" s="3"/>
      <c r="O102" s="3"/>
      <c r="P102" s="3"/>
      <c r="Q102" s="3"/>
      <c r="R102" s="3">
        <v>4</v>
      </c>
    </row>
    <row r="103" spans="1:18" x14ac:dyDescent="0.3">
      <c r="A103" s="6" t="s">
        <v>21</v>
      </c>
      <c r="B103" s="6" t="s">
        <v>19</v>
      </c>
      <c r="C103" s="9" t="s">
        <v>78</v>
      </c>
      <c r="D103" s="6">
        <v>1</v>
      </c>
      <c r="E103" s="6" t="s">
        <v>174</v>
      </c>
      <c r="F103" s="6">
        <v>49873302</v>
      </c>
      <c r="G103" s="6" t="s">
        <v>199</v>
      </c>
      <c r="H103" s="6">
        <v>1131501000</v>
      </c>
      <c r="I103" s="6" t="s">
        <v>200</v>
      </c>
      <c r="J103" s="7">
        <v>2363047.5499999998</v>
      </c>
      <c r="K103" s="7">
        <v>0</v>
      </c>
      <c r="L103" s="6">
        <v>503426556</v>
      </c>
      <c r="M103" s="8">
        <v>45834</v>
      </c>
      <c r="N103" s="8">
        <v>45834</v>
      </c>
      <c r="O103" s="6"/>
      <c r="P103" s="6" t="s">
        <v>201</v>
      </c>
      <c r="Q103" s="6" t="s">
        <v>146</v>
      </c>
      <c r="R103" s="6"/>
    </row>
    <row r="104" spans="1:18" x14ac:dyDescent="0.3">
      <c r="A104" s="6" t="s">
        <v>21</v>
      </c>
      <c r="B104" s="6" t="s">
        <v>19</v>
      </c>
      <c r="C104" s="9" t="s">
        <v>78</v>
      </c>
      <c r="D104" s="6">
        <v>1</v>
      </c>
      <c r="E104" s="6" t="s">
        <v>174</v>
      </c>
      <c r="F104" s="6">
        <v>49873302</v>
      </c>
      <c r="G104" s="6" t="s">
        <v>199</v>
      </c>
      <c r="H104" s="6">
        <v>1131502010</v>
      </c>
      <c r="I104" s="6" t="s">
        <v>202</v>
      </c>
      <c r="J104" s="7">
        <v>14389628.48</v>
      </c>
      <c r="K104" s="7">
        <v>0</v>
      </c>
      <c r="L104" s="6">
        <v>503426556</v>
      </c>
      <c r="M104" s="8">
        <v>45834</v>
      </c>
      <c r="N104" s="8">
        <v>45834</v>
      </c>
      <c r="O104" s="6"/>
      <c r="P104" s="6" t="s">
        <v>203</v>
      </c>
      <c r="Q104" s="6" t="s">
        <v>146</v>
      </c>
      <c r="R104" s="6"/>
    </row>
    <row r="105" spans="1:18" hidden="1" x14ac:dyDescent="0.3">
      <c r="A105" s="3" t="s">
        <v>18</v>
      </c>
      <c r="B105" s="3" t="s">
        <v>19</v>
      </c>
      <c r="C105" s="5"/>
      <c r="D105" s="3"/>
      <c r="E105" s="3"/>
      <c r="F105" s="3">
        <v>51514853</v>
      </c>
      <c r="G105" s="3" t="s">
        <v>204</v>
      </c>
      <c r="H105" s="3"/>
      <c r="I105" s="3"/>
      <c r="J105" s="4">
        <v>80000</v>
      </c>
      <c r="K105" s="4">
        <v>80000</v>
      </c>
      <c r="L105" s="3"/>
      <c r="M105" s="3"/>
      <c r="N105" s="3"/>
      <c r="O105" s="3"/>
      <c r="P105" s="3"/>
      <c r="Q105" s="3"/>
      <c r="R105" s="3">
        <v>2</v>
      </c>
    </row>
    <row r="106" spans="1:18" hidden="1" x14ac:dyDescent="0.3">
      <c r="A106" s="6" t="s">
        <v>21</v>
      </c>
      <c r="B106" s="6" t="s">
        <v>19</v>
      </c>
      <c r="C106" s="9"/>
      <c r="D106" s="6">
        <v>1</v>
      </c>
      <c r="E106" s="6" t="s">
        <v>174</v>
      </c>
      <c r="F106" s="6">
        <v>51514853</v>
      </c>
      <c r="G106" s="6" t="s">
        <v>204</v>
      </c>
      <c r="H106" s="6">
        <v>5020101060</v>
      </c>
      <c r="I106" s="6" t="s">
        <v>205</v>
      </c>
      <c r="J106" s="7">
        <v>80000</v>
      </c>
      <c r="K106" s="7">
        <v>0</v>
      </c>
      <c r="L106" s="6" t="s">
        <v>176</v>
      </c>
      <c r="M106" s="8">
        <v>45881</v>
      </c>
      <c r="N106" s="8">
        <v>45881</v>
      </c>
      <c r="O106" s="6"/>
      <c r="P106" s="6" t="s">
        <v>206</v>
      </c>
      <c r="Q106" s="6" t="s">
        <v>27</v>
      </c>
      <c r="R106" s="6"/>
    </row>
    <row r="107" spans="1:18" hidden="1" x14ac:dyDescent="0.3">
      <c r="A107" s="3" t="s">
        <v>18</v>
      </c>
      <c r="B107" s="3" t="s">
        <v>19</v>
      </c>
      <c r="C107" s="5" t="s">
        <v>29</v>
      </c>
      <c r="D107" s="3"/>
      <c r="E107" s="3"/>
      <c r="F107" s="3">
        <v>51519990</v>
      </c>
      <c r="G107" s="3" t="s">
        <v>207</v>
      </c>
      <c r="H107" s="3"/>
      <c r="I107" s="3"/>
      <c r="J107" s="4">
        <v>331706776</v>
      </c>
      <c r="K107" s="4">
        <v>331706776</v>
      </c>
      <c r="L107" s="3"/>
      <c r="M107" s="3"/>
      <c r="N107" s="3"/>
      <c r="O107" s="3"/>
      <c r="P107" s="3"/>
      <c r="Q107" s="3"/>
      <c r="R107" s="3">
        <v>6</v>
      </c>
    </row>
    <row r="108" spans="1:18" hidden="1" x14ac:dyDescent="0.3">
      <c r="A108" s="6" t="s">
        <v>21</v>
      </c>
      <c r="B108" s="6" t="s">
        <v>19</v>
      </c>
      <c r="C108" s="9" t="s">
        <v>29</v>
      </c>
      <c r="D108" s="6">
        <v>1</v>
      </c>
      <c r="E108" s="6" t="s">
        <v>174</v>
      </c>
      <c r="F108" s="6">
        <v>51519990</v>
      </c>
      <c r="G108" s="6" t="s">
        <v>207</v>
      </c>
      <c r="H108" s="6">
        <v>8040701001</v>
      </c>
      <c r="I108" s="6" t="s">
        <v>63</v>
      </c>
      <c r="J108" s="7">
        <v>45174637</v>
      </c>
      <c r="K108" s="7">
        <v>0</v>
      </c>
      <c r="L108" s="6">
        <v>503303006</v>
      </c>
      <c r="M108" s="8">
        <v>45881</v>
      </c>
      <c r="N108" s="8">
        <v>45881</v>
      </c>
      <c r="O108" s="6"/>
      <c r="P108" s="6" t="s">
        <v>64</v>
      </c>
      <c r="Q108" s="6" t="s">
        <v>27</v>
      </c>
      <c r="R108" s="6"/>
    </row>
    <row r="109" spans="1:18" hidden="1" x14ac:dyDescent="0.3">
      <c r="A109" s="3" t="s">
        <v>18</v>
      </c>
      <c r="B109" s="3" t="s">
        <v>19</v>
      </c>
      <c r="C109" s="5"/>
      <c r="D109" s="3"/>
      <c r="E109" s="3"/>
      <c r="F109" s="3">
        <v>56024056</v>
      </c>
      <c r="G109" s="3" t="s">
        <v>208</v>
      </c>
      <c r="H109" s="3"/>
      <c r="I109" s="3"/>
      <c r="J109" s="4">
        <v>263367386.63</v>
      </c>
      <c r="K109" s="4">
        <v>263367386.63</v>
      </c>
      <c r="L109" s="3"/>
      <c r="M109" s="3"/>
      <c r="N109" s="3"/>
      <c r="O109" s="3"/>
      <c r="P109" s="3"/>
      <c r="Q109" s="3"/>
      <c r="R109" s="3">
        <v>46</v>
      </c>
    </row>
    <row r="110" spans="1:18" hidden="1" x14ac:dyDescent="0.3">
      <c r="A110" s="6" t="s">
        <v>21</v>
      </c>
      <c r="B110" s="6" t="s">
        <v>19</v>
      </c>
      <c r="C110" s="9"/>
      <c r="D110" s="6">
        <v>1</v>
      </c>
      <c r="E110" s="6" t="s">
        <v>174</v>
      </c>
      <c r="F110" s="6">
        <v>56024056</v>
      </c>
      <c r="G110" s="6" t="s">
        <v>208</v>
      </c>
      <c r="H110" s="6">
        <v>2290701000</v>
      </c>
      <c r="I110" s="6" t="s">
        <v>209</v>
      </c>
      <c r="J110" s="7">
        <v>0</v>
      </c>
      <c r="K110" s="7">
        <v>6700981</v>
      </c>
      <c r="L110" s="6">
        <v>503382308</v>
      </c>
      <c r="M110" s="8">
        <v>46024</v>
      </c>
      <c r="N110" s="8">
        <v>46024</v>
      </c>
      <c r="O110" s="6"/>
      <c r="P110" s="6" t="s">
        <v>81</v>
      </c>
      <c r="Q110" s="6" t="s">
        <v>34</v>
      </c>
      <c r="R110" s="6"/>
    </row>
    <row r="111" spans="1:18" x14ac:dyDescent="0.3">
      <c r="A111" s="3" t="s">
        <v>18</v>
      </c>
      <c r="B111" s="3" t="s">
        <v>19</v>
      </c>
      <c r="C111" s="5" t="s">
        <v>78</v>
      </c>
      <c r="D111" s="3"/>
      <c r="E111" s="3"/>
      <c r="F111" s="3">
        <v>56079692</v>
      </c>
      <c r="G111" s="3" t="s">
        <v>210</v>
      </c>
      <c r="H111" s="3"/>
      <c r="I111" s="3"/>
      <c r="J111" s="4">
        <v>338615756</v>
      </c>
      <c r="K111" s="4">
        <v>338615756</v>
      </c>
      <c r="L111" s="3"/>
      <c r="M111" s="3"/>
      <c r="N111" s="3"/>
      <c r="O111" s="3"/>
      <c r="P111" s="3"/>
      <c r="Q111" s="3"/>
      <c r="R111" s="3">
        <v>2</v>
      </c>
    </row>
    <row r="112" spans="1:18" x14ac:dyDescent="0.3">
      <c r="A112" s="6" t="s">
        <v>21</v>
      </c>
      <c r="B112" s="6" t="s">
        <v>19</v>
      </c>
      <c r="C112" s="9" t="s">
        <v>78</v>
      </c>
      <c r="D112" s="6">
        <v>1</v>
      </c>
      <c r="E112" s="6" t="s">
        <v>174</v>
      </c>
      <c r="F112" s="6">
        <v>56079692</v>
      </c>
      <c r="G112" s="6" t="s">
        <v>210</v>
      </c>
      <c r="H112" s="6">
        <v>5210101470</v>
      </c>
      <c r="I112" s="6" t="s">
        <v>211</v>
      </c>
      <c r="J112" s="7">
        <v>338615756</v>
      </c>
      <c r="K112" s="7">
        <v>0</v>
      </c>
      <c r="L112" s="6">
        <v>503223109</v>
      </c>
      <c r="M112" s="8">
        <v>46027</v>
      </c>
      <c r="N112" s="8">
        <v>46027</v>
      </c>
      <c r="O112" s="6"/>
      <c r="P112" s="6" t="s">
        <v>212</v>
      </c>
      <c r="Q112" s="6" t="s">
        <v>27</v>
      </c>
      <c r="R112" s="6"/>
    </row>
    <row r="113" spans="1:18" hidden="1" x14ac:dyDescent="0.3">
      <c r="A113" s="3" t="s">
        <v>18</v>
      </c>
      <c r="B113" s="3" t="s">
        <v>19</v>
      </c>
      <c r="C113" s="5"/>
      <c r="D113" s="3"/>
      <c r="E113" s="3"/>
      <c r="F113" s="3">
        <v>56815114</v>
      </c>
      <c r="G113" s="3" t="s">
        <v>213</v>
      </c>
      <c r="H113" s="3"/>
      <c r="I113" s="3"/>
      <c r="J113" s="4">
        <v>22091057.73</v>
      </c>
      <c r="K113" s="4">
        <v>22091057.73</v>
      </c>
      <c r="L113" s="3"/>
      <c r="M113" s="3"/>
      <c r="N113" s="3"/>
      <c r="O113" s="3"/>
      <c r="P113" s="3"/>
      <c r="Q113" s="3"/>
      <c r="R113" s="3">
        <v>18</v>
      </c>
    </row>
    <row r="114" spans="1:18" hidden="1" x14ac:dyDescent="0.3">
      <c r="A114" s="6" t="s">
        <v>21</v>
      </c>
      <c r="B114" s="6" t="s">
        <v>19</v>
      </c>
      <c r="C114" s="9"/>
      <c r="D114" s="6">
        <v>1</v>
      </c>
      <c r="E114" s="6" t="s">
        <v>174</v>
      </c>
      <c r="F114" s="6">
        <v>56815114</v>
      </c>
      <c r="G114" s="6" t="s">
        <v>213</v>
      </c>
      <c r="H114" s="6">
        <v>2601603000</v>
      </c>
      <c r="I114" s="6" t="s">
        <v>214</v>
      </c>
      <c r="J114" s="7">
        <v>131953.70000000001</v>
      </c>
      <c r="K114" s="7">
        <v>0</v>
      </c>
      <c r="L114" s="6">
        <v>503428609</v>
      </c>
      <c r="M114" s="8">
        <v>46051</v>
      </c>
      <c r="N114" s="8">
        <v>46051</v>
      </c>
      <c r="O114" s="6"/>
      <c r="P114" s="6" t="s">
        <v>215</v>
      </c>
      <c r="Q114" s="6" t="s">
        <v>34</v>
      </c>
      <c r="R114" s="6"/>
    </row>
    <row r="115" spans="1:18" hidden="1" x14ac:dyDescent="0.3">
      <c r="A115" s="3" t="s">
        <v>18</v>
      </c>
      <c r="B115" s="3" t="s">
        <v>19</v>
      </c>
      <c r="C115" s="5"/>
      <c r="D115" s="3"/>
      <c r="E115" s="3"/>
      <c r="F115" s="3">
        <v>56932994</v>
      </c>
      <c r="G115" s="3" t="s">
        <v>216</v>
      </c>
      <c r="H115" s="3"/>
      <c r="I115" s="3"/>
      <c r="J115" s="4">
        <v>1170005</v>
      </c>
      <c r="K115" s="4">
        <v>1170005</v>
      </c>
      <c r="L115" s="3"/>
      <c r="M115" s="3"/>
      <c r="N115" s="3"/>
      <c r="O115" s="3"/>
      <c r="P115" s="3"/>
      <c r="Q115" s="3"/>
      <c r="R115" s="3">
        <v>4</v>
      </c>
    </row>
    <row r="116" spans="1:18" hidden="1" x14ac:dyDescent="0.3">
      <c r="A116" s="6" t="s">
        <v>21</v>
      </c>
      <c r="B116" s="6" t="s">
        <v>19</v>
      </c>
      <c r="C116" s="9"/>
      <c r="D116" s="6">
        <v>1</v>
      </c>
      <c r="E116" s="6" t="s">
        <v>174</v>
      </c>
      <c r="F116" s="6">
        <v>56932994</v>
      </c>
      <c r="G116" s="6" t="s">
        <v>216</v>
      </c>
      <c r="H116" s="6">
        <v>2070201002</v>
      </c>
      <c r="I116" s="6" t="s">
        <v>217</v>
      </c>
      <c r="J116" s="7">
        <v>0</v>
      </c>
      <c r="K116" s="7">
        <v>1017528</v>
      </c>
      <c r="L116" s="6">
        <v>503406157</v>
      </c>
      <c r="M116" s="8">
        <v>46055</v>
      </c>
      <c r="N116" s="8">
        <v>46055</v>
      </c>
      <c r="O116" s="6"/>
      <c r="P116" s="6" t="s">
        <v>218</v>
      </c>
      <c r="Q116" s="6" t="s">
        <v>34</v>
      </c>
      <c r="R116" s="6"/>
    </row>
    <row r="117" spans="1:18" hidden="1" x14ac:dyDescent="0.3">
      <c r="A117" s="3" t="s">
        <v>18</v>
      </c>
      <c r="B117" s="3" t="s">
        <v>19</v>
      </c>
      <c r="C117" s="5"/>
      <c r="D117" s="3"/>
      <c r="E117" s="3"/>
      <c r="F117" s="3">
        <v>57662117</v>
      </c>
      <c r="G117" s="3" t="s">
        <v>219</v>
      </c>
      <c r="H117" s="3"/>
      <c r="I117" s="3"/>
      <c r="J117" s="4">
        <v>65498809.130000003</v>
      </c>
      <c r="K117" s="4">
        <v>65498809.130000003</v>
      </c>
      <c r="L117" s="3"/>
      <c r="M117" s="3"/>
      <c r="N117" s="3"/>
      <c r="O117" s="3"/>
      <c r="P117" s="3"/>
      <c r="Q117" s="3"/>
      <c r="R117" s="3">
        <v>40</v>
      </c>
    </row>
    <row r="118" spans="1:18" hidden="1" x14ac:dyDescent="0.3">
      <c r="A118" s="6" t="s">
        <v>21</v>
      </c>
      <c r="B118" s="6" t="s">
        <v>19</v>
      </c>
      <c r="C118" s="9"/>
      <c r="D118" s="6">
        <v>1</v>
      </c>
      <c r="E118" s="6" t="s">
        <v>174</v>
      </c>
      <c r="F118" s="6">
        <v>57662117</v>
      </c>
      <c r="G118" s="6" t="s">
        <v>219</v>
      </c>
      <c r="H118" s="6">
        <v>4130403000</v>
      </c>
      <c r="I118" s="6" t="s">
        <v>220</v>
      </c>
      <c r="J118" s="7">
        <v>0</v>
      </c>
      <c r="K118" s="7">
        <v>1315701</v>
      </c>
      <c r="L118" s="6">
        <v>503382308</v>
      </c>
      <c r="M118" s="8">
        <v>46084</v>
      </c>
      <c r="N118" s="8">
        <v>46084</v>
      </c>
      <c r="O118" s="6"/>
      <c r="P118" s="6" t="s">
        <v>221</v>
      </c>
      <c r="Q118" s="6" t="s">
        <v>152</v>
      </c>
      <c r="R118" s="6"/>
    </row>
    <row r="119" spans="1:18" hidden="1" x14ac:dyDescent="0.3">
      <c r="A119" s="3" t="s">
        <v>18</v>
      </c>
      <c r="B119" s="3" t="s">
        <v>19</v>
      </c>
      <c r="C119" s="5"/>
      <c r="D119" s="3"/>
      <c r="E119" s="3"/>
      <c r="F119" s="3">
        <v>58145999</v>
      </c>
      <c r="G119" s="3" t="s">
        <v>222</v>
      </c>
      <c r="H119" s="3"/>
      <c r="I119" s="3"/>
      <c r="J119" s="4">
        <v>10692405.99</v>
      </c>
      <c r="K119" s="4">
        <v>10692405.99</v>
      </c>
      <c r="L119" s="3"/>
      <c r="M119" s="3"/>
      <c r="N119" s="3"/>
      <c r="O119" s="3"/>
      <c r="P119" s="3"/>
      <c r="Q119" s="3"/>
      <c r="R119" s="3">
        <v>2</v>
      </c>
    </row>
    <row r="120" spans="1:18" hidden="1" x14ac:dyDescent="0.3">
      <c r="A120" s="6" t="s">
        <v>21</v>
      </c>
      <c r="B120" s="6" t="s">
        <v>19</v>
      </c>
      <c r="C120" s="9"/>
      <c r="D120" s="6">
        <v>1</v>
      </c>
      <c r="E120" s="6" t="s">
        <v>174</v>
      </c>
      <c r="F120" s="6">
        <v>58145999</v>
      </c>
      <c r="G120" s="6" t="s">
        <v>222</v>
      </c>
      <c r="H120" s="6">
        <v>2312001000</v>
      </c>
      <c r="I120" s="6" t="s">
        <v>223</v>
      </c>
      <c r="J120" s="7">
        <v>0</v>
      </c>
      <c r="K120" s="7">
        <v>10692405.99</v>
      </c>
      <c r="L120" s="6">
        <v>560049785</v>
      </c>
      <c r="M120" s="8">
        <v>46099</v>
      </c>
      <c r="N120" s="8">
        <v>46099</v>
      </c>
      <c r="O120" s="6"/>
      <c r="P120" s="6" t="s">
        <v>81</v>
      </c>
      <c r="Q120" s="6" t="s">
        <v>34</v>
      </c>
      <c r="R120" s="6"/>
    </row>
    <row r="121" spans="1:18" hidden="1" x14ac:dyDescent="0.3">
      <c r="A121" s="3" t="s">
        <v>18</v>
      </c>
      <c r="B121" s="3" t="s">
        <v>19</v>
      </c>
      <c r="C121" s="5"/>
      <c r="D121" s="3"/>
      <c r="E121" s="3"/>
      <c r="F121" s="3" t="s">
        <v>224</v>
      </c>
      <c r="G121" s="3" t="s">
        <v>224</v>
      </c>
      <c r="H121" s="3"/>
      <c r="I121" s="3"/>
      <c r="J121" s="4">
        <v>170363445.47</v>
      </c>
      <c r="K121" s="4">
        <v>170363445.47</v>
      </c>
      <c r="L121" s="3"/>
      <c r="M121" s="3"/>
      <c r="N121" s="3"/>
      <c r="O121" s="3"/>
      <c r="P121" s="3"/>
      <c r="Q121" s="3"/>
      <c r="R121" s="3">
        <v>26</v>
      </c>
    </row>
    <row r="122" spans="1:18" hidden="1" x14ac:dyDescent="0.3">
      <c r="A122" s="6" t="s">
        <v>21</v>
      </c>
      <c r="B122" s="6" t="s">
        <v>19</v>
      </c>
      <c r="C122" s="9"/>
      <c r="D122" s="6">
        <v>1</v>
      </c>
      <c r="E122" s="6" t="s">
        <v>226</v>
      </c>
      <c r="F122" s="6" t="s">
        <v>224</v>
      </c>
      <c r="G122" s="6" t="s">
        <v>225</v>
      </c>
      <c r="H122" s="6">
        <v>3610511000</v>
      </c>
      <c r="I122" s="6" t="s">
        <v>227</v>
      </c>
      <c r="J122" s="7">
        <v>0</v>
      </c>
      <c r="K122" s="7">
        <v>144473988.75</v>
      </c>
      <c r="L122" s="6" t="s">
        <v>25</v>
      </c>
      <c r="M122" s="8">
        <v>45979</v>
      </c>
      <c r="N122" s="8">
        <v>45979</v>
      </c>
      <c r="O122" s="6"/>
      <c r="P122" s="6" t="s">
        <v>228</v>
      </c>
      <c r="Q122" s="6" t="s">
        <v>93</v>
      </c>
      <c r="R122" s="6"/>
    </row>
    <row r="123" spans="1:18" hidden="1" x14ac:dyDescent="0.3">
      <c r="A123" s="3" t="s">
        <v>18</v>
      </c>
      <c r="B123" s="3" t="s">
        <v>19</v>
      </c>
      <c r="C123" s="5"/>
      <c r="D123" s="3"/>
      <c r="E123" s="3"/>
      <c r="F123" s="3" t="s">
        <v>229</v>
      </c>
      <c r="G123" s="3" t="s">
        <v>230</v>
      </c>
      <c r="H123" s="3"/>
      <c r="I123" s="3"/>
      <c r="J123" s="4">
        <v>2158058.2200000002</v>
      </c>
      <c r="K123" s="4">
        <v>2158058.2200000002</v>
      </c>
      <c r="L123" s="3"/>
      <c r="M123" s="3"/>
      <c r="N123" s="3"/>
      <c r="O123" s="3"/>
      <c r="P123" s="3"/>
      <c r="Q123" s="3"/>
      <c r="R123" s="3">
        <v>2</v>
      </c>
    </row>
    <row r="124" spans="1:18" hidden="1" x14ac:dyDescent="0.3">
      <c r="A124" s="6" t="s">
        <v>21</v>
      </c>
      <c r="B124" s="6" t="s">
        <v>19</v>
      </c>
      <c r="C124" s="9"/>
      <c r="D124" s="6">
        <v>1</v>
      </c>
      <c r="E124" s="6" t="s">
        <v>232</v>
      </c>
      <c r="F124" s="6" t="s">
        <v>229</v>
      </c>
      <c r="G124" s="6" t="s">
        <v>231</v>
      </c>
      <c r="H124" s="6">
        <v>1090102000</v>
      </c>
      <c r="I124" s="6" t="s">
        <v>194</v>
      </c>
      <c r="J124" s="7">
        <v>0</v>
      </c>
      <c r="K124" s="7">
        <v>2158058.2200000002</v>
      </c>
      <c r="L124" s="6" t="s">
        <v>25</v>
      </c>
      <c r="M124" s="8">
        <v>46094</v>
      </c>
      <c r="N124" s="8">
        <v>46094</v>
      </c>
      <c r="O124" s="6"/>
      <c r="P124" s="6" t="s">
        <v>195</v>
      </c>
      <c r="Q124" s="6" t="s">
        <v>146</v>
      </c>
      <c r="R124" s="6"/>
    </row>
    <row r="125" spans="1:18" hidden="1" x14ac:dyDescent="0.3">
      <c r="A125" s="6" t="s">
        <v>21</v>
      </c>
      <c r="B125" s="6" t="s">
        <v>19</v>
      </c>
      <c r="C125" s="9"/>
      <c r="D125" s="6">
        <v>1</v>
      </c>
      <c r="E125" s="6" t="s">
        <v>232</v>
      </c>
      <c r="F125" s="6" t="s">
        <v>229</v>
      </c>
      <c r="G125" s="6" t="s">
        <v>231</v>
      </c>
      <c r="H125" s="6">
        <v>5330103000</v>
      </c>
      <c r="I125" s="6" t="s">
        <v>233</v>
      </c>
      <c r="J125" s="7">
        <v>2158058.2200000002</v>
      </c>
      <c r="K125" s="7">
        <v>0</v>
      </c>
      <c r="L125" s="6" t="s">
        <v>25</v>
      </c>
      <c r="M125" s="8">
        <v>46094</v>
      </c>
      <c r="N125" s="8">
        <v>46094</v>
      </c>
      <c r="O125" s="6"/>
      <c r="P125" s="6" t="s">
        <v>234</v>
      </c>
      <c r="Q125" s="6" t="s">
        <v>27</v>
      </c>
      <c r="R125" s="6"/>
    </row>
    <row r="126" spans="1:18" hidden="1" x14ac:dyDescent="0.3">
      <c r="A126" s="3" t="s">
        <v>18</v>
      </c>
      <c r="B126" s="3" t="s">
        <v>19</v>
      </c>
      <c r="C126" s="5" t="s">
        <v>29</v>
      </c>
      <c r="D126" s="3"/>
      <c r="E126" s="3"/>
      <c r="F126" s="3" t="s">
        <v>235</v>
      </c>
      <c r="G126" s="3" t="s">
        <v>235</v>
      </c>
      <c r="H126" s="3"/>
      <c r="I126" s="3"/>
      <c r="J126" s="4">
        <v>176771522.53999999</v>
      </c>
      <c r="K126" s="4">
        <v>176771522.53999999</v>
      </c>
      <c r="L126" s="3"/>
      <c r="M126" s="3"/>
      <c r="N126" s="3"/>
      <c r="O126" s="3"/>
      <c r="P126" s="3"/>
      <c r="Q126" s="3"/>
      <c r="R126" s="3">
        <v>1147</v>
      </c>
    </row>
    <row r="127" spans="1:18" hidden="1" x14ac:dyDescent="0.3">
      <c r="A127" s="6" t="s">
        <v>21</v>
      </c>
      <c r="B127" s="6" t="s">
        <v>19</v>
      </c>
      <c r="C127" s="9" t="s">
        <v>29</v>
      </c>
      <c r="D127" s="6">
        <v>1</v>
      </c>
      <c r="E127" s="6" t="s">
        <v>226</v>
      </c>
      <c r="F127" s="6" t="s">
        <v>235</v>
      </c>
      <c r="G127" s="6" t="s">
        <v>236</v>
      </c>
      <c r="H127" s="6">
        <v>2220106000</v>
      </c>
      <c r="I127" s="6" t="s">
        <v>237</v>
      </c>
      <c r="J127" s="7">
        <v>26040599</v>
      </c>
      <c r="K127" s="7">
        <v>0</v>
      </c>
      <c r="L127" s="6" t="s">
        <v>25</v>
      </c>
      <c r="M127" s="8">
        <v>46070</v>
      </c>
      <c r="N127" s="8">
        <v>46070</v>
      </c>
      <c r="O127" s="6"/>
      <c r="P127" s="6" t="s">
        <v>33</v>
      </c>
      <c r="Q127" s="6" t="s">
        <v>34</v>
      </c>
      <c r="R127" s="6"/>
    </row>
    <row r="128" spans="1:18" x14ac:dyDescent="0.3">
      <c r="A128" s="3" t="s">
        <v>18</v>
      </c>
      <c r="B128" s="3" t="s">
        <v>19</v>
      </c>
      <c r="C128" s="5" t="s">
        <v>78</v>
      </c>
      <c r="D128" s="3"/>
      <c r="E128" s="3"/>
      <c r="F128" s="3" t="s">
        <v>238</v>
      </c>
      <c r="G128" s="3" t="s">
        <v>238</v>
      </c>
      <c r="H128" s="3"/>
      <c r="I128" s="3"/>
      <c r="J128" s="4">
        <v>311268046.19</v>
      </c>
      <c r="K128" s="4">
        <v>311268046.19</v>
      </c>
      <c r="L128" s="3"/>
      <c r="M128" s="3"/>
      <c r="N128" s="3"/>
      <c r="O128" s="3"/>
      <c r="P128" s="3"/>
      <c r="Q128" s="3"/>
      <c r="R128" s="3">
        <v>571</v>
      </c>
    </row>
    <row r="129" spans="1:18" x14ac:dyDescent="0.3">
      <c r="A129" s="6" t="s">
        <v>21</v>
      </c>
      <c r="B129" s="6" t="s">
        <v>19</v>
      </c>
      <c r="C129" s="9" t="s">
        <v>78</v>
      </c>
      <c r="D129" s="6">
        <v>1</v>
      </c>
      <c r="E129" s="6" t="s">
        <v>226</v>
      </c>
      <c r="F129" s="6" t="s">
        <v>238</v>
      </c>
      <c r="G129" s="6" t="s">
        <v>239</v>
      </c>
      <c r="H129" s="6">
        <v>1300203000</v>
      </c>
      <c r="I129" s="6" t="s">
        <v>240</v>
      </c>
      <c r="J129" s="7">
        <v>0</v>
      </c>
      <c r="K129" s="7">
        <v>14500</v>
      </c>
      <c r="L129" s="6" t="s">
        <v>25</v>
      </c>
      <c r="M129" s="8">
        <v>46076</v>
      </c>
      <c r="N129" s="8">
        <v>46076</v>
      </c>
      <c r="O129" s="6"/>
      <c r="P129" s="6" t="s">
        <v>241</v>
      </c>
      <c r="Q129" s="6" t="s">
        <v>146</v>
      </c>
      <c r="R129" s="6"/>
    </row>
    <row r="130" spans="1:18" hidden="1" x14ac:dyDescent="0.3">
      <c r="A130" s="3" t="s">
        <v>18</v>
      </c>
      <c r="B130" s="3" t="s">
        <v>19</v>
      </c>
      <c r="C130" s="5" t="s">
        <v>29</v>
      </c>
      <c r="D130" s="3"/>
      <c r="E130" s="3"/>
      <c r="F130" s="3" t="s">
        <v>242</v>
      </c>
      <c r="G130" s="3" t="s">
        <v>243</v>
      </c>
      <c r="H130" s="3"/>
      <c r="I130" s="3"/>
      <c r="J130" s="4">
        <v>722212.23</v>
      </c>
      <c r="K130" s="4">
        <v>722212.23</v>
      </c>
      <c r="L130" s="3"/>
      <c r="M130" s="3"/>
      <c r="N130" s="3"/>
      <c r="O130" s="3"/>
      <c r="P130" s="3"/>
      <c r="Q130" s="3"/>
      <c r="R130" s="3">
        <v>4</v>
      </c>
    </row>
    <row r="131" spans="1:18" hidden="1" x14ac:dyDescent="0.3">
      <c r="A131" s="6" t="s">
        <v>21</v>
      </c>
      <c r="B131" s="6" t="s">
        <v>19</v>
      </c>
      <c r="C131" s="9" t="s">
        <v>29</v>
      </c>
      <c r="D131" s="6">
        <v>1</v>
      </c>
      <c r="E131" s="6" t="s">
        <v>232</v>
      </c>
      <c r="F131" s="6" t="s">
        <v>242</v>
      </c>
      <c r="G131" s="6" t="s">
        <v>244</v>
      </c>
      <c r="H131" s="6">
        <v>8040701000</v>
      </c>
      <c r="I131" s="6" t="s">
        <v>245</v>
      </c>
      <c r="J131" s="7">
        <v>0</v>
      </c>
      <c r="K131" s="7">
        <v>543183.25</v>
      </c>
      <c r="L131" s="6" t="s">
        <v>25</v>
      </c>
      <c r="M131" s="8">
        <v>46106</v>
      </c>
      <c r="N131" s="8">
        <v>46106</v>
      </c>
      <c r="O131" s="6"/>
      <c r="P131" s="6" t="s">
        <v>64</v>
      </c>
      <c r="Q131" s="6" t="s">
        <v>27</v>
      </c>
      <c r="R131" s="6"/>
    </row>
    <row r="132" spans="1:18" hidden="1" x14ac:dyDescent="0.3">
      <c r="A132" s="3" t="s">
        <v>18</v>
      </c>
      <c r="B132" s="3" t="s">
        <v>19</v>
      </c>
      <c r="C132" s="5"/>
      <c r="D132" s="3"/>
      <c r="E132" s="3"/>
      <c r="F132" s="3" t="s">
        <v>246</v>
      </c>
      <c r="G132" s="3" t="s">
        <v>246</v>
      </c>
      <c r="H132" s="3"/>
      <c r="I132" s="3"/>
      <c r="J132" s="4">
        <v>14441827.92</v>
      </c>
      <c r="K132" s="4">
        <v>14441827.92</v>
      </c>
      <c r="L132" s="3"/>
      <c r="M132" s="3"/>
      <c r="N132" s="3"/>
      <c r="O132" s="3"/>
      <c r="P132" s="3"/>
      <c r="Q132" s="3"/>
      <c r="R132" s="3">
        <v>35</v>
      </c>
    </row>
    <row r="133" spans="1:18" hidden="1" x14ac:dyDescent="0.3">
      <c r="A133" s="6" t="s">
        <v>21</v>
      </c>
      <c r="B133" s="6" t="s">
        <v>19</v>
      </c>
      <c r="C133" s="9"/>
      <c r="D133" s="6">
        <v>1</v>
      </c>
      <c r="E133" s="6" t="s">
        <v>248</v>
      </c>
      <c r="F133" s="6" t="s">
        <v>246</v>
      </c>
      <c r="G133" s="6" t="s">
        <v>247</v>
      </c>
      <c r="H133" s="6">
        <v>5020101040</v>
      </c>
      <c r="I133" s="6" t="s">
        <v>249</v>
      </c>
      <c r="J133" s="7">
        <v>56745.72</v>
      </c>
      <c r="K133" s="7">
        <v>0</v>
      </c>
      <c r="L133" s="6">
        <v>223114315</v>
      </c>
      <c r="M133" s="8">
        <v>45838</v>
      </c>
      <c r="N133" s="8">
        <v>45838</v>
      </c>
      <c r="O133" s="6"/>
      <c r="P133" s="6" t="s">
        <v>169</v>
      </c>
      <c r="Q133" s="6" t="s">
        <v>27</v>
      </c>
      <c r="R133" s="6"/>
    </row>
    <row r="134" spans="1:18" x14ac:dyDescent="0.3">
      <c r="A134" s="3" t="s">
        <v>18</v>
      </c>
      <c r="B134" s="3" t="s">
        <v>19</v>
      </c>
      <c r="C134" s="5" t="s">
        <v>78</v>
      </c>
      <c r="D134" s="3"/>
      <c r="E134" s="3"/>
      <c r="F134" s="3" t="s">
        <v>250</v>
      </c>
      <c r="G134" s="3" t="s">
        <v>250</v>
      </c>
      <c r="H134" s="3"/>
      <c r="I134" s="3"/>
      <c r="J134" s="4">
        <v>4704758</v>
      </c>
      <c r="K134" s="4">
        <v>4704758</v>
      </c>
      <c r="L134" s="3"/>
      <c r="M134" s="3"/>
      <c r="N134" s="3"/>
      <c r="O134" s="3"/>
      <c r="P134" s="3"/>
      <c r="Q134" s="3"/>
      <c r="R134" s="3">
        <v>2</v>
      </c>
    </row>
    <row r="135" spans="1:18" x14ac:dyDescent="0.3">
      <c r="A135" s="6" t="s">
        <v>21</v>
      </c>
      <c r="B135" s="6" t="s">
        <v>19</v>
      </c>
      <c r="C135" s="9" t="s">
        <v>78</v>
      </c>
      <c r="D135" s="6">
        <v>1</v>
      </c>
      <c r="E135" s="6" t="s">
        <v>248</v>
      </c>
      <c r="F135" s="6" t="s">
        <v>250</v>
      </c>
      <c r="G135" s="6" t="s">
        <v>247</v>
      </c>
      <c r="H135" s="6">
        <v>1100301303</v>
      </c>
      <c r="I135" s="6" t="s">
        <v>251</v>
      </c>
      <c r="J135" s="7">
        <v>4704758</v>
      </c>
      <c r="K135" s="7">
        <v>0</v>
      </c>
      <c r="L135" s="6">
        <v>570000474</v>
      </c>
      <c r="M135" s="8">
        <v>45835</v>
      </c>
      <c r="N135" s="8">
        <v>45835</v>
      </c>
      <c r="O135" s="6"/>
      <c r="P135" s="6" t="s">
        <v>145</v>
      </c>
      <c r="Q135" s="6" t="s">
        <v>146</v>
      </c>
      <c r="R135" s="6"/>
    </row>
    <row r="136" spans="1:18" hidden="1" x14ac:dyDescent="0.3">
      <c r="A136" s="3" t="s">
        <v>18</v>
      </c>
      <c r="B136" s="3" t="s">
        <v>19</v>
      </c>
      <c r="C136" s="5"/>
      <c r="D136" s="3"/>
      <c r="E136" s="3"/>
      <c r="F136" s="3" t="s">
        <v>252</v>
      </c>
      <c r="G136" s="3" t="s">
        <v>252</v>
      </c>
      <c r="H136" s="3"/>
      <c r="I136" s="3"/>
      <c r="J136" s="4">
        <v>119754143.42</v>
      </c>
      <c r="K136" s="4">
        <v>119754143.42</v>
      </c>
      <c r="L136" s="3"/>
      <c r="M136" s="3"/>
      <c r="N136" s="3"/>
      <c r="O136" s="3"/>
      <c r="P136" s="3"/>
      <c r="Q136" s="3"/>
      <c r="R136" s="3">
        <v>3</v>
      </c>
    </row>
    <row r="137" spans="1:18" hidden="1" x14ac:dyDescent="0.3">
      <c r="A137" s="6" t="s">
        <v>21</v>
      </c>
      <c r="B137" s="6" t="s">
        <v>19</v>
      </c>
      <c r="C137" s="9"/>
      <c r="D137" s="6">
        <v>1</v>
      </c>
      <c r="E137" s="6" t="s">
        <v>248</v>
      </c>
      <c r="F137" s="6" t="s">
        <v>252</v>
      </c>
      <c r="G137" s="6" t="s">
        <v>247</v>
      </c>
      <c r="H137" s="6">
        <v>1400103000</v>
      </c>
      <c r="I137" s="6" t="s">
        <v>253</v>
      </c>
      <c r="J137" s="7">
        <v>0</v>
      </c>
      <c r="K137" s="7">
        <v>59877071.710000001</v>
      </c>
      <c r="L137" s="6">
        <v>503345013</v>
      </c>
      <c r="M137" s="8">
        <v>45799</v>
      </c>
      <c r="N137" s="8">
        <v>45799</v>
      </c>
      <c r="O137" s="6"/>
      <c r="P137" s="6" t="s">
        <v>254</v>
      </c>
      <c r="Q137" s="6" t="s">
        <v>146</v>
      </c>
      <c r="R137" s="6"/>
    </row>
    <row r="138" spans="1:18" hidden="1" x14ac:dyDescent="0.3">
      <c r="A138" s="6" t="s">
        <v>21</v>
      </c>
      <c r="B138" s="6" t="s">
        <v>19</v>
      </c>
      <c r="C138" s="9"/>
      <c r="D138" s="6">
        <v>1</v>
      </c>
      <c r="E138" s="6" t="s">
        <v>248</v>
      </c>
      <c r="F138" s="6" t="s">
        <v>252</v>
      </c>
      <c r="G138" s="6" t="s">
        <v>247</v>
      </c>
      <c r="H138" s="6">
        <v>1410203000</v>
      </c>
      <c r="I138" s="6" t="s">
        <v>255</v>
      </c>
      <c r="J138" s="7">
        <v>119754143.42</v>
      </c>
      <c r="K138" s="7">
        <v>0</v>
      </c>
      <c r="L138" s="6">
        <v>503345013</v>
      </c>
      <c r="M138" s="8">
        <v>45799</v>
      </c>
      <c r="N138" s="8">
        <v>45799</v>
      </c>
      <c r="O138" s="6"/>
      <c r="P138" s="6" t="s">
        <v>256</v>
      </c>
      <c r="Q138" s="6" t="s">
        <v>146</v>
      </c>
      <c r="R138" s="6"/>
    </row>
    <row r="139" spans="1:18" hidden="1" x14ac:dyDescent="0.3">
      <c r="A139" s="3" t="s">
        <v>18</v>
      </c>
      <c r="B139" s="3" t="s">
        <v>19</v>
      </c>
      <c r="C139" s="5" t="s">
        <v>29</v>
      </c>
      <c r="D139" s="3"/>
      <c r="E139" s="3"/>
      <c r="F139" s="3" t="s">
        <v>257</v>
      </c>
      <c r="G139" s="3" t="s">
        <v>257</v>
      </c>
      <c r="H139" s="3"/>
      <c r="I139" s="3"/>
      <c r="J139" s="4">
        <v>16303625</v>
      </c>
      <c r="K139" s="4">
        <v>16303625</v>
      </c>
      <c r="L139" s="3"/>
      <c r="M139" s="3"/>
      <c r="N139" s="3"/>
      <c r="O139" s="3"/>
      <c r="P139" s="3"/>
      <c r="Q139" s="3"/>
      <c r="R139" s="3">
        <v>3</v>
      </c>
    </row>
    <row r="140" spans="1:18" hidden="1" x14ac:dyDescent="0.3">
      <c r="A140" s="6" t="s">
        <v>21</v>
      </c>
      <c r="B140" s="6" t="s">
        <v>19</v>
      </c>
      <c r="C140" s="9" t="s">
        <v>29</v>
      </c>
      <c r="D140" s="6">
        <v>1</v>
      </c>
      <c r="E140" s="6" t="s">
        <v>248</v>
      </c>
      <c r="F140" s="6" t="s">
        <v>257</v>
      </c>
      <c r="G140" s="6" t="s">
        <v>247</v>
      </c>
      <c r="H140" s="6">
        <v>2220302000</v>
      </c>
      <c r="I140" s="6" t="s">
        <v>69</v>
      </c>
      <c r="J140" s="7">
        <v>12227719</v>
      </c>
      <c r="K140" s="7">
        <v>0</v>
      </c>
      <c r="L140" s="6">
        <v>503398365</v>
      </c>
      <c r="M140" s="8">
        <v>45918</v>
      </c>
      <c r="N140" s="8">
        <v>45918</v>
      </c>
      <c r="O140" s="6"/>
      <c r="P140" s="6" t="s">
        <v>33</v>
      </c>
      <c r="Q140" s="6" t="s">
        <v>34</v>
      </c>
      <c r="R140" s="6"/>
    </row>
    <row r="141" spans="1:18" x14ac:dyDescent="0.3">
      <c r="A141" s="3" t="s">
        <v>18</v>
      </c>
      <c r="B141" s="3" t="s">
        <v>19</v>
      </c>
      <c r="C141" s="5" t="s">
        <v>78</v>
      </c>
      <c r="D141" s="3"/>
      <c r="E141" s="3"/>
      <c r="F141" s="3" t="s">
        <v>258</v>
      </c>
      <c r="G141" s="3" t="s">
        <v>258</v>
      </c>
      <c r="H141" s="3"/>
      <c r="I141" s="3"/>
      <c r="J141" s="4">
        <v>887700</v>
      </c>
      <c r="K141" s="4">
        <v>887700</v>
      </c>
      <c r="L141" s="3"/>
      <c r="M141" s="3"/>
      <c r="N141" s="3"/>
      <c r="O141" s="3"/>
      <c r="P141" s="3"/>
      <c r="Q141" s="3"/>
      <c r="R141" s="3">
        <v>2</v>
      </c>
    </row>
    <row r="142" spans="1:18" x14ac:dyDescent="0.3">
      <c r="A142" s="6" t="s">
        <v>21</v>
      </c>
      <c r="B142" s="6" t="s">
        <v>19</v>
      </c>
      <c r="C142" s="9" t="s">
        <v>78</v>
      </c>
      <c r="D142" s="6">
        <v>1</v>
      </c>
      <c r="E142" s="6" t="s">
        <v>248</v>
      </c>
      <c r="F142" s="6" t="s">
        <v>258</v>
      </c>
      <c r="G142" s="6" t="s">
        <v>247</v>
      </c>
      <c r="H142" s="6">
        <v>1452001001</v>
      </c>
      <c r="I142" s="6" t="s">
        <v>259</v>
      </c>
      <c r="J142" s="7">
        <v>887700</v>
      </c>
      <c r="K142" s="7">
        <v>0</v>
      </c>
      <c r="L142" s="6">
        <v>503345013</v>
      </c>
      <c r="M142" s="8">
        <v>45799</v>
      </c>
      <c r="N142" s="8">
        <v>45799</v>
      </c>
      <c r="O142" s="6"/>
      <c r="P142" s="6" t="s">
        <v>260</v>
      </c>
      <c r="Q142" s="6" t="s">
        <v>146</v>
      </c>
      <c r="R142" s="6"/>
    </row>
    <row r="143" spans="1:18" hidden="1" x14ac:dyDescent="0.3">
      <c r="A143" s="3" t="s">
        <v>18</v>
      </c>
      <c r="B143" s="3" t="s">
        <v>19</v>
      </c>
      <c r="C143" s="5" t="s">
        <v>29</v>
      </c>
      <c r="D143" s="3"/>
      <c r="E143" s="3"/>
      <c r="F143" s="3" t="s">
        <v>261</v>
      </c>
      <c r="G143" s="3" t="s">
        <v>261</v>
      </c>
      <c r="H143" s="3"/>
      <c r="I143" s="3"/>
      <c r="J143" s="4">
        <v>10181156</v>
      </c>
      <c r="K143" s="4">
        <v>10181156</v>
      </c>
      <c r="L143" s="3"/>
      <c r="M143" s="3"/>
      <c r="N143" s="3"/>
      <c r="O143" s="3"/>
      <c r="P143" s="3"/>
      <c r="Q143" s="3"/>
      <c r="R143" s="3">
        <v>2</v>
      </c>
    </row>
    <row r="144" spans="1:18" hidden="1" x14ac:dyDescent="0.3">
      <c r="A144" s="6" t="s">
        <v>21</v>
      </c>
      <c r="B144" s="6" t="s">
        <v>19</v>
      </c>
      <c r="C144" s="9" t="s">
        <v>29</v>
      </c>
      <c r="D144" s="6">
        <v>1</v>
      </c>
      <c r="E144" s="6" t="s">
        <v>248</v>
      </c>
      <c r="F144" s="6" t="s">
        <v>261</v>
      </c>
      <c r="G144" s="6" t="s">
        <v>247</v>
      </c>
      <c r="H144" s="6">
        <v>8040701001</v>
      </c>
      <c r="I144" s="6" t="s">
        <v>63</v>
      </c>
      <c r="J144" s="7">
        <v>10181156</v>
      </c>
      <c r="K144" s="7">
        <v>0</v>
      </c>
      <c r="L144" s="6">
        <v>503398365</v>
      </c>
      <c r="M144" s="8">
        <v>45918</v>
      </c>
      <c r="N144" s="8">
        <v>45918</v>
      </c>
      <c r="O144" s="6"/>
      <c r="P144" s="6" t="s">
        <v>64</v>
      </c>
      <c r="Q144" s="6" t="s">
        <v>27</v>
      </c>
      <c r="R144" s="6"/>
    </row>
    <row r="145" spans="1:18" hidden="1" x14ac:dyDescent="0.3">
      <c r="A145" s="3" t="s">
        <v>18</v>
      </c>
      <c r="B145" s="3" t="s">
        <v>19</v>
      </c>
      <c r="C145" s="5"/>
      <c r="D145" s="3"/>
      <c r="E145" s="3"/>
      <c r="F145" s="3" t="s">
        <v>262</v>
      </c>
      <c r="G145" s="3" t="s">
        <v>262</v>
      </c>
      <c r="H145" s="3"/>
      <c r="I145" s="3"/>
      <c r="J145" s="4">
        <v>329766.61</v>
      </c>
      <c r="K145" s="4">
        <v>329766.61</v>
      </c>
      <c r="L145" s="3"/>
      <c r="M145" s="3"/>
      <c r="N145" s="3"/>
      <c r="O145" s="3"/>
      <c r="P145" s="3"/>
      <c r="Q145" s="3"/>
      <c r="R145" s="3">
        <v>11</v>
      </c>
    </row>
    <row r="146" spans="1:18" hidden="1" x14ac:dyDescent="0.3">
      <c r="A146" s="6" t="s">
        <v>21</v>
      </c>
      <c r="B146" s="6" t="s">
        <v>19</v>
      </c>
      <c r="C146" s="9"/>
      <c r="D146" s="6">
        <v>1</v>
      </c>
      <c r="E146" s="6" t="s">
        <v>248</v>
      </c>
      <c r="F146" s="6" t="s">
        <v>262</v>
      </c>
      <c r="G146" s="6" t="s">
        <v>247</v>
      </c>
      <c r="H146" s="6">
        <v>5060201660</v>
      </c>
      <c r="I146" s="6" t="s">
        <v>263</v>
      </c>
      <c r="J146" s="7">
        <v>29380.05</v>
      </c>
      <c r="K146" s="7">
        <v>0</v>
      </c>
      <c r="L146" s="6">
        <v>503419537</v>
      </c>
      <c r="M146" s="8">
        <v>45992</v>
      </c>
      <c r="N146" s="8">
        <v>45992</v>
      </c>
      <c r="O146" s="6"/>
      <c r="P146" s="6" t="s">
        <v>264</v>
      </c>
      <c r="Q146" s="6" t="s">
        <v>27</v>
      </c>
      <c r="R146" s="6"/>
    </row>
    <row r="147" spans="1:18" x14ac:dyDescent="0.3">
      <c r="A147" s="3" t="s">
        <v>18</v>
      </c>
      <c r="B147" s="3" t="s">
        <v>19</v>
      </c>
      <c r="C147" s="5" t="s">
        <v>78</v>
      </c>
      <c r="D147" s="3"/>
      <c r="E147" s="3"/>
      <c r="F147" s="3" t="s">
        <v>265</v>
      </c>
      <c r="G147" s="3" t="s">
        <v>265</v>
      </c>
      <c r="H147" s="3"/>
      <c r="I147" s="3"/>
      <c r="J147" s="4">
        <v>196708503.09</v>
      </c>
      <c r="K147" s="4">
        <v>196708503.09</v>
      </c>
      <c r="L147" s="3"/>
      <c r="M147" s="3"/>
      <c r="N147" s="3"/>
      <c r="O147" s="3"/>
      <c r="P147" s="3"/>
      <c r="Q147" s="3"/>
      <c r="R147" s="3">
        <v>26</v>
      </c>
    </row>
    <row r="148" spans="1:18" x14ac:dyDescent="0.3">
      <c r="A148" s="6" t="s">
        <v>21</v>
      </c>
      <c r="B148" s="6" t="s">
        <v>19</v>
      </c>
      <c r="C148" s="9" t="s">
        <v>78</v>
      </c>
      <c r="D148" s="6">
        <v>1</v>
      </c>
      <c r="E148" s="6" t="s">
        <v>248</v>
      </c>
      <c r="F148" s="6" t="s">
        <v>265</v>
      </c>
      <c r="G148" s="6" t="s">
        <v>247</v>
      </c>
      <c r="H148" s="6">
        <v>3350102020</v>
      </c>
      <c r="I148" s="6" t="s">
        <v>98</v>
      </c>
      <c r="J148" s="7">
        <v>56084812.090000004</v>
      </c>
      <c r="K148" s="7">
        <v>0</v>
      </c>
      <c r="L148" s="6">
        <v>503419537</v>
      </c>
      <c r="M148" s="8">
        <v>46111</v>
      </c>
      <c r="N148" s="8">
        <v>46111</v>
      </c>
      <c r="O148" s="6"/>
      <c r="P148" s="6" t="s">
        <v>95</v>
      </c>
      <c r="Q148" s="6" t="s">
        <v>93</v>
      </c>
      <c r="R148" s="6"/>
    </row>
    <row r="149" spans="1:18" hidden="1" x14ac:dyDescent="0.3">
      <c r="A149" s="3" t="s">
        <v>18</v>
      </c>
      <c r="B149" s="3" t="s">
        <v>19</v>
      </c>
      <c r="C149" s="5" t="s">
        <v>29</v>
      </c>
      <c r="D149" s="3"/>
      <c r="E149" s="3"/>
      <c r="F149" s="3" t="s">
        <v>266</v>
      </c>
      <c r="G149" s="3" t="s">
        <v>266</v>
      </c>
      <c r="H149" s="3"/>
      <c r="I149" s="3"/>
      <c r="J149" s="4">
        <v>1216426411</v>
      </c>
      <c r="K149" s="4">
        <v>1216426411</v>
      </c>
      <c r="L149" s="3"/>
      <c r="M149" s="3"/>
      <c r="N149" s="3"/>
      <c r="O149" s="3"/>
      <c r="P149" s="3"/>
      <c r="Q149" s="3"/>
      <c r="R149" s="3">
        <v>4</v>
      </c>
    </row>
    <row r="150" spans="1:18" hidden="1" x14ac:dyDescent="0.3">
      <c r="A150" s="6" t="s">
        <v>21</v>
      </c>
      <c r="B150" s="6" t="s">
        <v>19</v>
      </c>
      <c r="C150" s="9" t="s">
        <v>29</v>
      </c>
      <c r="D150" s="6">
        <v>1</v>
      </c>
      <c r="E150" s="6" t="s">
        <v>248</v>
      </c>
      <c r="F150" s="6" t="s">
        <v>266</v>
      </c>
      <c r="G150" s="6" t="s">
        <v>247</v>
      </c>
      <c r="H150" s="6">
        <v>2220204000</v>
      </c>
      <c r="I150" s="6" t="s">
        <v>38</v>
      </c>
      <c r="J150" s="7">
        <v>672455040</v>
      </c>
      <c r="K150" s="7">
        <v>0</v>
      </c>
      <c r="L150" s="6">
        <v>503398365</v>
      </c>
      <c r="M150" s="8">
        <v>45930</v>
      </c>
      <c r="N150" s="8">
        <v>45930</v>
      </c>
      <c r="O150" s="6"/>
      <c r="P150" s="6" t="s">
        <v>33</v>
      </c>
      <c r="Q150" s="6" t="s">
        <v>34</v>
      </c>
      <c r="R150" s="6"/>
    </row>
    <row r="151" spans="1:18" hidden="1" x14ac:dyDescent="0.3">
      <c r="A151" s="6" t="s">
        <v>21</v>
      </c>
      <c r="B151" s="6" t="s">
        <v>19</v>
      </c>
      <c r="C151" s="9" t="s">
        <v>29</v>
      </c>
      <c r="D151" s="6">
        <v>1</v>
      </c>
      <c r="E151" s="6" t="s">
        <v>248</v>
      </c>
      <c r="F151" s="6" t="s">
        <v>266</v>
      </c>
      <c r="G151" s="6" t="s">
        <v>247</v>
      </c>
      <c r="H151" s="6">
        <v>2220304000</v>
      </c>
      <c r="I151" s="6" t="s">
        <v>267</v>
      </c>
      <c r="J151" s="7">
        <v>543971371</v>
      </c>
      <c r="K151" s="7">
        <v>0</v>
      </c>
      <c r="L151" s="6">
        <v>503398365</v>
      </c>
      <c r="M151" s="8">
        <v>45930</v>
      </c>
      <c r="N151" s="8">
        <v>45930</v>
      </c>
      <c r="O151" s="6"/>
      <c r="P151" s="6" t="s">
        <v>33</v>
      </c>
      <c r="Q151" s="6" t="s">
        <v>34</v>
      </c>
      <c r="R151" s="6"/>
    </row>
    <row r="152" spans="1:18" hidden="1" x14ac:dyDescent="0.3">
      <c r="A152" s="3" t="s">
        <v>18</v>
      </c>
      <c r="B152" s="3" t="s">
        <v>19</v>
      </c>
      <c r="C152" s="5" t="s">
        <v>29</v>
      </c>
      <c r="D152" s="3"/>
      <c r="E152" s="3"/>
      <c r="F152" s="3" t="s">
        <v>268</v>
      </c>
      <c r="G152" s="3" t="s">
        <v>269</v>
      </c>
      <c r="H152" s="3"/>
      <c r="I152" s="3"/>
      <c r="J152" s="4">
        <v>33007297.940000001</v>
      </c>
      <c r="K152" s="4">
        <v>33007297.940000001</v>
      </c>
      <c r="L152" s="3"/>
      <c r="M152" s="3"/>
      <c r="N152" s="3"/>
      <c r="O152" s="3"/>
      <c r="P152" s="3"/>
      <c r="Q152" s="3"/>
      <c r="R152" s="3">
        <v>4</v>
      </c>
    </row>
    <row r="153" spans="1:18" hidden="1" x14ac:dyDescent="0.3">
      <c r="A153" s="6" t="s">
        <v>21</v>
      </c>
      <c r="B153" s="6" t="s">
        <v>19</v>
      </c>
      <c r="C153" s="9" t="s">
        <v>29</v>
      </c>
      <c r="D153" s="6">
        <v>1</v>
      </c>
      <c r="E153" s="6" t="s">
        <v>232</v>
      </c>
      <c r="F153" s="6" t="s">
        <v>268</v>
      </c>
      <c r="G153" s="6" t="s">
        <v>270</v>
      </c>
      <c r="H153" s="6">
        <v>2220302000</v>
      </c>
      <c r="I153" s="6" t="s">
        <v>69</v>
      </c>
      <c r="J153" s="7">
        <v>0</v>
      </c>
      <c r="K153" s="7">
        <v>16502316.640000001</v>
      </c>
      <c r="L153" s="6" t="s">
        <v>25</v>
      </c>
      <c r="M153" s="8">
        <v>45839</v>
      </c>
      <c r="N153" s="8">
        <v>45839</v>
      </c>
      <c r="O153" s="6"/>
      <c r="P153" s="6" t="s">
        <v>33</v>
      </c>
      <c r="Q153" s="6" t="s">
        <v>34</v>
      </c>
      <c r="R153" s="6"/>
    </row>
    <row r="154" spans="1:18" hidden="1" x14ac:dyDescent="0.3">
      <c r="A154" s="6" t="s">
        <v>21</v>
      </c>
      <c r="B154" s="6" t="s">
        <v>19</v>
      </c>
      <c r="C154" s="9" t="s">
        <v>29</v>
      </c>
      <c r="D154" s="6">
        <v>1</v>
      </c>
      <c r="E154" s="6" t="s">
        <v>232</v>
      </c>
      <c r="F154" s="6" t="s">
        <v>268</v>
      </c>
      <c r="G154" s="6" t="s">
        <v>270</v>
      </c>
      <c r="H154" s="6">
        <v>8040101002</v>
      </c>
      <c r="I154" s="6" t="s">
        <v>60</v>
      </c>
      <c r="J154" s="7">
        <v>16502316.640000001</v>
      </c>
      <c r="K154" s="7">
        <v>0</v>
      </c>
      <c r="L154" s="6" t="s">
        <v>25</v>
      </c>
      <c r="M154" s="8">
        <v>45839</v>
      </c>
      <c r="N154" s="8">
        <v>45839</v>
      </c>
      <c r="O154" s="6"/>
      <c r="P154" s="6" t="s">
        <v>62</v>
      </c>
      <c r="Q154" s="6" t="s">
        <v>27</v>
      </c>
      <c r="R154" s="6"/>
    </row>
    <row r="155" spans="1:18" hidden="1" x14ac:dyDescent="0.3">
      <c r="A155" s="6" t="s">
        <v>21</v>
      </c>
      <c r="B155" s="6" t="s">
        <v>19</v>
      </c>
      <c r="C155" s="9" t="s">
        <v>29</v>
      </c>
      <c r="D155" s="6">
        <v>1</v>
      </c>
      <c r="E155" s="6" t="s">
        <v>232</v>
      </c>
      <c r="F155" s="6" t="s">
        <v>268</v>
      </c>
      <c r="G155" s="6" t="s">
        <v>271</v>
      </c>
      <c r="H155" s="6">
        <v>8040701001</v>
      </c>
      <c r="I155" s="6" t="s">
        <v>63</v>
      </c>
      <c r="J155" s="7">
        <v>0</v>
      </c>
      <c r="K155" s="7">
        <v>16504981.300000001</v>
      </c>
      <c r="L155" s="6" t="s">
        <v>25</v>
      </c>
      <c r="M155" s="8">
        <v>45839</v>
      </c>
      <c r="N155" s="8">
        <v>45839</v>
      </c>
      <c r="O155" s="6"/>
      <c r="P155" s="6" t="s">
        <v>64</v>
      </c>
      <c r="Q155" s="6" t="s">
        <v>27</v>
      </c>
      <c r="R155" s="6"/>
    </row>
    <row r="156" spans="1:18" hidden="1" x14ac:dyDescent="0.3">
      <c r="A156" s="3" t="s">
        <v>18</v>
      </c>
      <c r="B156" s="3" t="s">
        <v>19</v>
      </c>
      <c r="C156" s="5"/>
      <c r="D156" s="3"/>
      <c r="E156" s="3"/>
      <c r="F156" s="3" t="s">
        <v>272</v>
      </c>
      <c r="G156" s="3" t="s">
        <v>272</v>
      </c>
      <c r="H156" s="3"/>
      <c r="I156" s="3"/>
      <c r="J156" s="4">
        <v>599958.21</v>
      </c>
      <c r="K156" s="4">
        <v>599958.21</v>
      </c>
      <c r="L156" s="3"/>
      <c r="M156" s="3"/>
      <c r="N156" s="3"/>
      <c r="O156" s="3"/>
      <c r="P156" s="3"/>
      <c r="Q156" s="3"/>
      <c r="R156" s="3">
        <v>8</v>
      </c>
    </row>
    <row r="157" spans="1:18" hidden="1" x14ac:dyDescent="0.3">
      <c r="A157" s="6" t="s">
        <v>21</v>
      </c>
      <c r="B157" s="6" t="s">
        <v>19</v>
      </c>
      <c r="C157" s="9"/>
      <c r="D157" s="6">
        <v>1</v>
      </c>
      <c r="E157" s="6" t="s">
        <v>248</v>
      </c>
      <c r="F157" s="6" t="s">
        <v>272</v>
      </c>
      <c r="G157" s="6" t="s">
        <v>247</v>
      </c>
      <c r="H157" s="6">
        <v>1400102000</v>
      </c>
      <c r="I157" s="6" t="s">
        <v>273</v>
      </c>
      <c r="J157" s="7">
        <v>199986.07</v>
      </c>
      <c r="K157" s="7">
        <v>0</v>
      </c>
      <c r="L157" s="6">
        <v>570000560</v>
      </c>
      <c r="M157" s="8">
        <v>46021</v>
      </c>
      <c r="N157" s="8">
        <v>46021</v>
      </c>
      <c r="O157" s="6"/>
      <c r="P157" s="6" t="s">
        <v>254</v>
      </c>
      <c r="Q157" s="6" t="s">
        <v>146</v>
      </c>
      <c r="R157" s="6"/>
    </row>
    <row r="158" spans="1:18" x14ac:dyDescent="0.3">
      <c r="A158" s="3" t="s">
        <v>18</v>
      </c>
      <c r="B158" s="3" t="s">
        <v>19</v>
      </c>
      <c r="C158" s="5" t="s">
        <v>78</v>
      </c>
      <c r="D158" s="3"/>
      <c r="E158" s="3"/>
      <c r="F158" s="3" t="s">
        <v>274</v>
      </c>
      <c r="G158" s="3" t="s">
        <v>274</v>
      </c>
      <c r="H158" s="3"/>
      <c r="I158" s="3"/>
      <c r="J158" s="4">
        <v>3059241.11</v>
      </c>
      <c r="K158" s="4">
        <v>3059241.11</v>
      </c>
      <c r="L158" s="3"/>
      <c r="M158" s="3"/>
      <c r="N158" s="3"/>
      <c r="O158" s="3"/>
      <c r="P158" s="3"/>
      <c r="Q158" s="3"/>
      <c r="R158" s="3">
        <v>37</v>
      </c>
    </row>
    <row r="159" spans="1:18" x14ac:dyDescent="0.3">
      <c r="A159" s="6" t="s">
        <v>21</v>
      </c>
      <c r="B159" s="6" t="s">
        <v>19</v>
      </c>
      <c r="C159" s="9" t="s">
        <v>78</v>
      </c>
      <c r="D159" s="6">
        <v>1</v>
      </c>
      <c r="E159" s="6" t="s">
        <v>248</v>
      </c>
      <c r="F159" s="6" t="s">
        <v>274</v>
      </c>
      <c r="G159" s="6" t="s">
        <v>247</v>
      </c>
      <c r="H159" s="6">
        <v>1300705000</v>
      </c>
      <c r="I159" s="6" t="s">
        <v>275</v>
      </c>
      <c r="J159" s="7">
        <v>0</v>
      </c>
      <c r="K159" s="7">
        <v>506278.03</v>
      </c>
      <c r="L159" s="6" t="s">
        <v>276</v>
      </c>
      <c r="M159" s="8">
        <v>45926</v>
      </c>
      <c r="N159" s="8">
        <v>45926</v>
      </c>
      <c r="O159" s="6"/>
      <c r="P159" s="6" t="s">
        <v>277</v>
      </c>
      <c r="Q159" s="6" t="s">
        <v>146</v>
      </c>
      <c r="R159" s="6"/>
    </row>
    <row r="160" spans="1:18" x14ac:dyDescent="0.3">
      <c r="A160" s="6" t="s">
        <v>21</v>
      </c>
      <c r="B160" s="6" t="s">
        <v>19</v>
      </c>
      <c r="C160" s="9" t="s">
        <v>78</v>
      </c>
      <c r="D160" s="6">
        <v>1</v>
      </c>
      <c r="E160" s="6" t="s">
        <v>248</v>
      </c>
      <c r="F160" s="6" t="s">
        <v>274</v>
      </c>
      <c r="G160" s="6" t="s">
        <v>247</v>
      </c>
      <c r="H160" s="6">
        <v>2311004000</v>
      </c>
      <c r="I160" s="6" t="s">
        <v>278</v>
      </c>
      <c r="J160" s="7">
        <v>506278.03</v>
      </c>
      <c r="K160" s="7">
        <v>0</v>
      </c>
      <c r="L160" s="6" t="s">
        <v>276</v>
      </c>
      <c r="M160" s="8">
        <v>45926</v>
      </c>
      <c r="N160" s="8">
        <v>45926</v>
      </c>
      <c r="O160" s="6"/>
      <c r="P160" s="6" t="s">
        <v>81</v>
      </c>
      <c r="Q160" s="6" t="s">
        <v>34</v>
      </c>
      <c r="R160" s="6"/>
    </row>
    <row r="161" spans="1:18" x14ac:dyDescent="0.3">
      <c r="A161" s="3" t="s">
        <v>18</v>
      </c>
      <c r="B161" s="3" t="s">
        <v>19</v>
      </c>
      <c r="C161" s="5" t="s">
        <v>78</v>
      </c>
      <c r="D161" s="3"/>
      <c r="E161" s="3"/>
      <c r="F161" s="3" t="s">
        <v>279</v>
      </c>
      <c r="G161" s="3" t="s">
        <v>280</v>
      </c>
      <c r="H161" s="3"/>
      <c r="I161" s="3"/>
      <c r="J161" s="4">
        <v>277256</v>
      </c>
      <c r="K161" s="4">
        <v>277256</v>
      </c>
      <c r="L161" s="3"/>
      <c r="M161" s="3"/>
      <c r="N161" s="3"/>
      <c r="O161" s="3"/>
      <c r="P161" s="3"/>
      <c r="Q161" s="3"/>
      <c r="R161" s="3">
        <v>2</v>
      </c>
    </row>
    <row r="162" spans="1:18" x14ac:dyDescent="0.3">
      <c r="A162" s="6" t="s">
        <v>21</v>
      </c>
      <c r="B162" s="6" t="s">
        <v>19</v>
      </c>
      <c r="C162" s="9" t="s">
        <v>78</v>
      </c>
      <c r="D162" s="6">
        <v>1</v>
      </c>
      <c r="E162" s="6" t="s">
        <v>232</v>
      </c>
      <c r="F162" s="6" t="s">
        <v>279</v>
      </c>
      <c r="G162" s="6" t="s">
        <v>281</v>
      </c>
      <c r="H162" s="6">
        <v>5350101000</v>
      </c>
      <c r="I162" s="6" t="s">
        <v>282</v>
      </c>
      <c r="J162" s="7">
        <v>277256</v>
      </c>
      <c r="K162" s="7">
        <v>0</v>
      </c>
      <c r="L162" s="6" t="s">
        <v>25</v>
      </c>
      <c r="M162" s="8">
        <v>45990</v>
      </c>
      <c r="N162" s="8">
        <v>45990</v>
      </c>
      <c r="O162" s="6"/>
      <c r="P162" s="6" t="s">
        <v>283</v>
      </c>
      <c r="Q162" s="6" t="s">
        <v>27</v>
      </c>
      <c r="R162" s="6"/>
    </row>
    <row r="163" spans="1:18" hidden="1" x14ac:dyDescent="0.3">
      <c r="A163" s="3" t="s">
        <v>18</v>
      </c>
      <c r="B163" s="3" t="s">
        <v>19</v>
      </c>
      <c r="C163" s="5"/>
      <c r="D163" s="3"/>
      <c r="E163" s="3"/>
      <c r="F163" s="3" t="s">
        <v>284</v>
      </c>
      <c r="G163" s="3" t="s">
        <v>285</v>
      </c>
      <c r="H163" s="3"/>
      <c r="I163" s="3"/>
      <c r="J163" s="4">
        <v>538180</v>
      </c>
      <c r="K163" s="4">
        <v>538180</v>
      </c>
      <c r="L163" s="3"/>
      <c r="M163" s="3"/>
      <c r="N163" s="3"/>
      <c r="O163" s="3"/>
      <c r="P163" s="3"/>
      <c r="Q163" s="3"/>
      <c r="R163" s="3">
        <v>2</v>
      </c>
    </row>
    <row r="164" spans="1:18" hidden="1" x14ac:dyDescent="0.3">
      <c r="A164" s="6" t="s">
        <v>21</v>
      </c>
      <c r="B164" s="6" t="s">
        <v>19</v>
      </c>
      <c r="C164" s="9"/>
      <c r="D164" s="6">
        <v>1</v>
      </c>
      <c r="E164" s="6" t="s">
        <v>232</v>
      </c>
      <c r="F164" s="6" t="s">
        <v>284</v>
      </c>
      <c r="G164" s="6" t="s">
        <v>286</v>
      </c>
      <c r="H164" s="6">
        <v>5210101170</v>
      </c>
      <c r="I164" s="6" t="s">
        <v>287</v>
      </c>
      <c r="J164" s="7">
        <v>538180</v>
      </c>
      <c r="K164" s="7">
        <v>0</v>
      </c>
      <c r="L164" s="6" t="s">
        <v>25</v>
      </c>
      <c r="M164" s="8">
        <v>46105</v>
      </c>
      <c r="N164" s="8">
        <v>46105</v>
      </c>
      <c r="O164" s="6"/>
      <c r="P164" s="6" t="s">
        <v>288</v>
      </c>
      <c r="Q164" s="6" t="s">
        <v>27</v>
      </c>
      <c r="R164" s="6"/>
    </row>
    <row r="165" spans="1:18" hidden="1" x14ac:dyDescent="0.3">
      <c r="A165" s="3" t="s">
        <v>18</v>
      </c>
      <c r="B165" s="3" t="s">
        <v>19</v>
      </c>
      <c r="C165" s="5"/>
      <c r="D165" s="3"/>
      <c r="E165" s="3"/>
      <c r="F165" s="3" t="s">
        <v>289</v>
      </c>
      <c r="G165" s="3" t="s">
        <v>289</v>
      </c>
      <c r="H165" s="3"/>
      <c r="I165" s="3"/>
      <c r="J165" s="4">
        <v>104440145.08</v>
      </c>
      <c r="K165" s="4">
        <v>104440145.08</v>
      </c>
      <c r="L165" s="3"/>
      <c r="M165" s="3"/>
      <c r="N165" s="3"/>
      <c r="O165" s="3"/>
      <c r="P165" s="3"/>
      <c r="Q165" s="3"/>
      <c r="R165" s="3">
        <v>194</v>
      </c>
    </row>
    <row r="166" spans="1:18" hidden="1" x14ac:dyDescent="0.3">
      <c r="A166" s="6" t="s">
        <v>21</v>
      </c>
      <c r="B166" s="6" t="s">
        <v>19</v>
      </c>
      <c r="C166" s="9"/>
      <c r="D166" s="6">
        <v>1</v>
      </c>
      <c r="E166" s="6" t="s">
        <v>248</v>
      </c>
      <c r="F166" s="6" t="s">
        <v>289</v>
      </c>
      <c r="G166" s="6" t="s">
        <v>247</v>
      </c>
      <c r="H166" s="6">
        <v>5060102280</v>
      </c>
      <c r="I166" s="6" t="s">
        <v>290</v>
      </c>
      <c r="J166" s="7">
        <v>189539.15</v>
      </c>
      <c r="K166" s="7">
        <v>0</v>
      </c>
      <c r="L166" s="6" t="s">
        <v>276</v>
      </c>
      <c r="M166" s="8">
        <v>45990</v>
      </c>
      <c r="N166" s="8">
        <v>45990</v>
      </c>
      <c r="O166" s="6"/>
      <c r="P166" s="6" t="s">
        <v>85</v>
      </c>
      <c r="Q166" s="6" t="s">
        <v>27</v>
      </c>
      <c r="R166" s="6"/>
    </row>
    <row r="167" spans="1:18" hidden="1" x14ac:dyDescent="0.3">
      <c r="A167" s="3" t="s">
        <v>18</v>
      </c>
      <c r="B167" s="3" t="s">
        <v>19</v>
      </c>
      <c r="C167" s="5"/>
      <c r="D167" s="3"/>
      <c r="E167" s="3"/>
      <c r="F167" s="3" t="s">
        <v>291</v>
      </c>
      <c r="G167" s="3" t="s">
        <v>291</v>
      </c>
      <c r="H167" s="3"/>
      <c r="I167" s="3"/>
      <c r="J167" s="4">
        <v>189370316.94</v>
      </c>
      <c r="K167" s="4">
        <v>189370316.94</v>
      </c>
      <c r="L167" s="3"/>
      <c r="M167" s="3"/>
      <c r="N167" s="3"/>
      <c r="O167" s="3"/>
      <c r="P167" s="3"/>
      <c r="Q167" s="3"/>
      <c r="R167" s="3">
        <v>239</v>
      </c>
    </row>
    <row r="168" spans="1:18" hidden="1" x14ac:dyDescent="0.3">
      <c r="A168" s="6" t="s">
        <v>21</v>
      </c>
      <c r="B168" s="6" t="s">
        <v>19</v>
      </c>
      <c r="C168" s="9"/>
      <c r="D168" s="6">
        <v>1</v>
      </c>
      <c r="E168" s="6" t="s">
        <v>248</v>
      </c>
      <c r="F168" s="6" t="s">
        <v>291</v>
      </c>
      <c r="G168" s="6" t="s">
        <v>247</v>
      </c>
      <c r="H168" s="6">
        <v>5060102270</v>
      </c>
      <c r="I168" s="6" t="s">
        <v>168</v>
      </c>
      <c r="J168" s="7">
        <v>964246.51</v>
      </c>
      <c r="K168" s="7">
        <v>0</v>
      </c>
      <c r="L168" s="6" t="s">
        <v>276</v>
      </c>
      <c r="M168" s="8">
        <v>46109</v>
      </c>
      <c r="N168" s="8">
        <v>46109</v>
      </c>
      <c r="O168" s="6"/>
      <c r="P168" s="6" t="s">
        <v>85</v>
      </c>
      <c r="Q168" s="6" t="s">
        <v>27</v>
      </c>
      <c r="R168" s="6"/>
    </row>
    <row r="169" spans="1:18" hidden="1" x14ac:dyDescent="0.3">
      <c r="A169" s="3" t="s">
        <v>18</v>
      </c>
      <c r="B169" s="3" t="s">
        <v>19</v>
      </c>
      <c r="C169" s="5"/>
      <c r="D169" s="3"/>
      <c r="E169" s="3"/>
      <c r="F169" s="3" t="s">
        <v>292</v>
      </c>
      <c r="G169" s="3" t="s">
        <v>292</v>
      </c>
      <c r="H169" s="3"/>
      <c r="I169" s="3"/>
      <c r="J169" s="4">
        <v>26213840.449999999</v>
      </c>
      <c r="K169" s="4">
        <v>26213840.449999999</v>
      </c>
      <c r="L169" s="3"/>
      <c r="M169" s="3"/>
      <c r="N169" s="3"/>
      <c r="O169" s="3"/>
      <c r="P169" s="3"/>
      <c r="Q169" s="3"/>
      <c r="R169" s="3">
        <v>418</v>
      </c>
    </row>
    <row r="170" spans="1:18" hidden="1" x14ac:dyDescent="0.3">
      <c r="A170" s="6" t="s">
        <v>21</v>
      </c>
      <c r="B170" s="6" t="s">
        <v>19</v>
      </c>
      <c r="C170" s="9"/>
      <c r="D170" s="6">
        <v>1</v>
      </c>
      <c r="E170" s="6" t="s">
        <v>226</v>
      </c>
      <c r="F170" s="6" t="s">
        <v>292</v>
      </c>
      <c r="G170" s="6" t="s">
        <v>293</v>
      </c>
      <c r="H170" s="6">
        <v>5210101372</v>
      </c>
      <c r="I170" s="6" t="s">
        <v>294</v>
      </c>
      <c r="J170" s="7">
        <v>3780.36</v>
      </c>
      <c r="K170" s="7">
        <v>0</v>
      </c>
      <c r="L170" s="6" t="s">
        <v>25</v>
      </c>
      <c r="M170" s="8">
        <v>46075</v>
      </c>
      <c r="N170" s="8">
        <v>46075</v>
      </c>
      <c r="O170" s="6"/>
      <c r="P170" s="6" t="s">
        <v>212</v>
      </c>
      <c r="Q170" s="6" t="s">
        <v>27</v>
      </c>
      <c r="R170" s="6"/>
    </row>
    <row r="171" spans="1:18" hidden="1" x14ac:dyDescent="0.3">
      <c r="A171" s="3" t="s">
        <v>18</v>
      </c>
      <c r="B171" s="3" t="s">
        <v>19</v>
      </c>
      <c r="C171" s="5" t="s">
        <v>29</v>
      </c>
      <c r="D171" s="3"/>
      <c r="E171" s="3"/>
      <c r="F171" s="3" t="s">
        <v>295</v>
      </c>
      <c r="G171" s="3" t="s">
        <v>295</v>
      </c>
      <c r="H171" s="3"/>
      <c r="I171" s="3"/>
      <c r="J171" s="4">
        <v>63295270.450000003</v>
      </c>
      <c r="K171" s="4">
        <v>63295270.450000003</v>
      </c>
      <c r="L171" s="3"/>
      <c r="M171" s="3"/>
      <c r="N171" s="3"/>
      <c r="O171" s="3"/>
      <c r="P171" s="3"/>
      <c r="Q171" s="3"/>
      <c r="R171" s="3">
        <v>4</v>
      </c>
    </row>
    <row r="172" spans="1:18" hidden="1" x14ac:dyDescent="0.3">
      <c r="A172" s="6" t="s">
        <v>21</v>
      </c>
      <c r="B172" s="6" t="s">
        <v>19</v>
      </c>
      <c r="C172" s="9" t="s">
        <v>29</v>
      </c>
      <c r="D172" s="6">
        <v>1</v>
      </c>
      <c r="E172" s="6" t="s">
        <v>226</v>
      </c>
      <c r="F172" s="6" t="s">
        <v>295</v>
      </c>
      <c r="G172" s="6" t="s">
        <v>296</v>
      </c>
      <c r="H172" s="6">
        <v>2220202000</v>
      </c>
      <c r="I172" s="6" t="s">
        <v>297</v>
      </c>
      <c r="J172" s="7">
        <v>63132278.450000003</v>
      </c>
      <c r="K172" s="7">
        <v>0</v>
      </c>
      <c r="L172" s="6" t="s">
        <v>25</v>
      </c>
      <c r="M172" s="8">
        <v>46050</v>
      </c>
      <c r="N172" s="8">
        <v>46050</v>
      </c>
      <c r="O172" s="6"/>
      <c r="P172" s="6" t="s">
        <v>33</v>
      </c>
      <c r="Q172" s="6" t="s">
        <v>34</v>
      </c>
      <c r="R172" s="6"/>
    </row>
    <row r="173" spans="1:18" hidden="1" x14ac:dyDescent="0.3">
      <c r="A173" s="3" t="s">
        <v>18</v>
      </c>
      <c r="B173" s="3" t="s">
        <v>19</v>
      </c>
      <c r="C173" s="5"/>
      <c r="D173" s="3"/>
      <c r="E173" s="3"/>
      <c r="F173" s="3" t="s">
        <v>298</v>
      </c>
      <c r="G173" s="3" t="s">
        <v>298</v>
      </c>
      <c r="H173" s="3"/>
      <c r="I173" s="3"/>
      <c r="J173" s="4">
        <v>161117625.37</v>
      </c>
      <c r="K173" s="4">
        <v>161117625.37</v>
      </c>
      <c r="L173" s="3"/>
      <c r="M173" s="3"/>
      <c r="N173" s="3"/>
      <c r="O173" s="3"/>
      <c r="P173" s="3"/>
      <c r="Q173" s="3"/>
      <c r="R173" s="3">
        <v>11</v>
      </c>
    </row>
    <row r="174" spans="1:18" hidden="1" x14ac:dyDescent="0.3">
      <c r="A174" s="6" t="s">
        <v>21</v>
      </c>
      <c r="B174" s="6" t="s">
        <v>19</v>
      </c>
      <c r="C174" s="9"/>
      <c r="D174" s="6">
        <v>1</v>
      </c>
      <c r="E174" s="6" t="s">
        <v>226</v>
      </c>
      <c r="F174" s="6" t="s">
        <v>298</v>
      </c>
      <c r="G174" s="6" t="s">
        <v>299</v>
      </c>
      <c r="H174" s="6">
        <v>5210101725</v>
      </c>
      <c r="I174" s="6" t="s">
        <v>300</v>
      </c>
      <c r="J174" s="7">
        <v>0</v>
      </c>
      <c r="K174" s="7">
        <v>35962.58</v>
      </c>
      <c r="L174" s="6" t="s">
        <v>25</v>
      </c>
      <c r="M174" s="8">
        <v>45988</v>
      </c>
      <c r="N174" s="8">
        <v>45988</v>
      </c>
      <c r="O174" s="6"/>
      <c r="P174" s="6" t="s">
        <v>301</v>
      </c>
      <c r="Q174" s="6" t="s">
        <v>27</v>
      </c>
      <c r="R174" s="6"/>
    </row>
    <row r="175" spans="1:18" hidden="1" x14ac:dyDescent="0.3">
      <c r="A175" s="3" t="s">
        <v>18</v>
      </c>
      <c r="B175" s="3" t="s">
        <v>19</v>
      </c>
      <c r="C175" s="5"/>
      <c r="D175" s="3"/>
      <c r="E175" s="3"/>
      <c r="F175" s="3" t="s">
        <v>302</v>
      </c>
      <c r="G175" s="3" t="s">
        <v>303</v>
      </c>
      <c r="H175" s="3"/>
      <c r="I175" s="3"/>
      <c r="J175" s="4">
        <v>1232585</v>
      </c>
      <c r="K175" s="4">
        <v>1232585</v>
      </c>
      <c r="L175" s="3"/>
      <c r="M175" s="3"/>
      <c r="N175" s="3"/>
      <c r="O175" s="3"/>
      <c r="P175" s="3"/>
      <c r="Q175" s="3"/>
      <c r="R175" s="3">
        <v>4</v>
      </c>
    </row>
    <row r="176" spans="1:18" hidden="1" x14ac:dyDescent="0.3">
      <c r="A176" s="6" t="s">
        <v>21</v>
      </c>
      <c r="B176" s="6" t="s">
        <v>19</v>
      </c>
      <c r="C176" s="9"/>
      <c r="D176" s="6">
        <v>1</v>
      </c>
      <c r="E176" s="6" t="s">
        <v>232</v>
      </c>
      <c r="F176" s="6" t="s">
        <v>302</v>
      </c>
      <c r="G176" s="6" t="s">
        <v>304</v>
      </c>
      <c r="H176" s="6">
        <v>5060201381</v>
      </c>
      <c r="I176" s="6" t="s">
        <v>71</v>
      </c>
      <c r="J176" s="7">
        <v>839</v>
      </c>
      <c r="K176" s="7">
        <v>0</v>
      </c>
      <c r="L176" s="6" t="s">
        <v>25</v>
      </c>
      <c r="M176" s="8">
        <v>45922</v>
      </c>
      <c r="N176" s="8">
        <v>45922</v>
      </c>
      <c r="O176" s="6"/>
      <c r="P176" s="6" t="s">
        <v>72</v>
      </c>
      <c r="Q176" s="6" t="s">
        <v>27</v>
      </c>
      <c r="R176" s="6"/>
    </row>
    <row r="177" spans="1:18" x14ac:dyDescent="0.3">
      <c r="A177" s="3" t="s">
        <v>18</v>
      </c>
      <c r="B177" s="3" t="s">
        <v>19</v>
      </c>
      <c r="C177" s="5" t="s">
        <v>78</v>
      </c>
      <c r="D177" s="3"/>
      <c r="E177" s="3"/>
      <c r="F177" s="3" t="s">
        <v>305</v>
      </c>
      <c r="G177" s="3" t="s">
        <v>306</v>
      </c>
      <c r="H177" s="3"/>
      <c r="I177" s="3"/>
      <c r="J177" s="4">
        <v>524688</v>
      </c>
      <c r="K177" s="4">
        <v>524688</v>
      </c>
      <c r="L177" s="3"/>
      <c r="M177" s="3"/>
      <c r="N177" s="3"/>
      <c r="O177" s="3"/>
      <c r="P177" s="3"/>
      <c r="Q177" s="3"/>
      <c r="R177" s="3">
        <v>3</v>
      </c>
    </row>
    <row r="178" spans="1:18" x14ac:dyDescent="0.3">
      <c r="A178" s="6" t="s">
        <v>21</v>
      </c>
      <c r="B178" s="6" t="s">
        <v>19</v>
      </c>
      <c r="C178" s="9" t="s">
        <v>78</v>
      </c>
      <c r="D178" s="6">
        <v>1</v>
      </c>
      <c r="E178" s="6" t="s">
        <v>232</v>
      </c>
      <c r="F178" s="6" t="s">
        <v>305</v>
      </c>
      <c r="G178" s="6" t="s">
        <v>306</v>
      </c>
      <c r="H178" s="6">
        <v>4130403001</v>
      </c>
      <c r="I178" s="6" t="s">
        <v>150</v>
      </c>
      <c r="J178" s="7">
        <v>0</v>
      </c>
      <c r="K178" s="7">
        <v>96371</v>
      </c>
      <c r="L178" s="6" t="s">
        <v>25</v>
      </c>
      <c r="M178" s="8">
        <v>46050</v>
      </c>
      <c r="N178" s="8">
        <v>46050</v>
      </c>
      <c r="O178" s="6"/>
      <c r="P178" s="6" t="s">
        <v>151</v>
      </c>
      <c r="Q178" s="6" t="s">
        <v>152</v>
      </c>
      <c r="R178" s="6"/>
    </row>
    <row r="179" spans="1:18" hidden="1" x14ac:dyDescent="0.3">
      <c r="A179" s="3" t="s">
        <v>18</v>
      </c>
      <c r="B179" s="3" t="s">
        <v>19</v>
      </c>
      <c r="C179" s="5"/>
      <c r="D179" s="3"/>
      <c r="E179" s="3"/>
      <c r="F179" s="3" t="s">
        <v>307</v>
      </c>
      <c r="G179" s="3" t="s">
        <v>307</v>
      </c>
      <c r="H179" s="3"/>
      <c r="I179" s="3"/>
      <c r="J179" s="4">
        <v>1109306332.1199999</v>
      </c>
      <c r="K179" s="4">
        <v>1109306332.1199999</v>
      </c>
      <c r="L179" s="3"/>
      <c r="M179" s="3"/>
      <c r="N179" s="3"/>
      <c r="O179" s="3"/>
      <c r="P179" s="3"/>
      <c r="Q179" s="3"/>
      <c r="R179" s="3">
        <v>58</v>
      </c>
    </row>
    <row r="180" spans="1:18" hidden="1" x14ac:dyDescent="0.3">
      <c r="A180" s="6" t="s">
        <v>21</v>
      </c>
      <c r="B180" s="6" t="s">
        <v>19</v>
      </c>
      <c r="C180" s="10"/>
      <c r="D180" s="6">
        <v>1</v>
      </c>
      <c r="E180" s="6" t="s">
        <v>248</v>
      </c>
      <c r="F180" s="6" t="s">
        <v>307</v>
      </c>
      <c r="G180" s="6" t="s">
        <v>247</v>
      </c>
      <c r="H180" s="6">
        <v>5210101110</v>
      </c>
      <c r="I180" s="6" t="s">
        <v>308</v>
      </c>
      <c r="J180" s="7">
        <v>642135.72</v>
      </c>
      <c r="K180" s="7">
        <v>0</v>
      </c>
      <c r="L180" s="6">
        <v>503265148</v>
      </c>
      <c r="M180" s="8">
        <v>46092</v>
      </c>
      <c r="N180" s="8">
        <v>46092</v>
      </c>
      <c r="O180" s="6"/>
      <c r="P180" s="6" t="s">
        <v>212</v>
      </c>
      <c r="Q180" s="6" t="s">
        <v>27</v>
      </c>
      <c r="R180" s="6"/>
    </row>
    <row r="181" spans="1:18" hidden="1" x14ac:dyDescent="0.3">
      <c r="A181" s="3" t="s">
        <v>18</v>
      </c>
      <c r="B181" s="3" t="s">
        <v>19</v>
      </c>
      <c r="C181" s="5"/>
      <c r="D181" s="3"/>
      <c r="E181" s="3"/>
      <c r="F181" s="3" t="s">
        <v>309</v>
      </c>
      <c r="G181" s="3" t="s">
        <v>309</v>
      </c>
      <c r="H181" s="3"/>
      <c r="I181" s="3"/>
      <c r="J181" s="4">
        <v>1891894558.8099999</v>
      </c>
      <c r="K181" s="4">
        <v>1891894558.8099999</v>
      </c>
      <c r="L181" s="3"/>
      <c r="M181" s="3"/>
      <c r="N181" s="3"/>
      <c r="O181" s="3"/>
      <c r="P181" s="3"/>
      <c r="Q181" s="3"/>
      <c r="R181" s="3">
        <v>32181</v>
      </c>
    </row>
    <row r="182" spans="1:18" hidden="1" x14ac:dyDescent="0.3">
      <c r="A182" s="6" t="s">
        <v>21</v>
      </c>
      <c r="B182" s="6" t="s">
        <v>19</v>
      </c>
      <c r="C182" s="10"/>
      <c r="D182" s="6">
        <v>1</v>
      </c>
      <c r="E182" s="6" t="s">
        <v>226</v>
      </c>
      <c r="F182" s="6" t="s">
        <v>309</v>
      </c>
      <c r="G182" s="6" t="s">
        <v>310</v>
      </c>
      <c r="H182" s="6">
        <v>5060102310</v>
      </c>
      <c r="I182" s="6" t="s">
        <v>311</v>
      </c>
      <c r="J182" s="7">
        <v>2050</v>
      </c>
      <c r="K182" s="7">
        <v>0</v>
      </c>
      <c r="L182" s="6" t="s">
        <v>25</v>
      </c>
      <c r="M182" s="8">
        <v>46109</v>
      </c>
      <c r="N182" s="8">
        <v>46109</v>
      </c>
      <c r="O182" s="6"/>
      <c r="P182" s="6" t="s">
        <v>85</v>
      </c>
      <c r="Q182" s="6" t="s">
        <v>27</v>
      </c>
      <c r="R182" s="6"/>
    </row>
    <row r="183" spans="1:18" hidden="1" x14ac:dyDescent="0.3">
      <c r="A183" s="6" t="s">
        <v>21</v>
      </c>
      <c r="B183" s="6" t="s">
        <v>19</v>
      </c>
      <c r="C183" s="10"/>
      <c r="D183" s="6">
        <v>1</v>
      </c>
      <c r="E183" s="6" t="s">
        <v>226</v>
      </c>
      <c r="F183" s="6" t="s">
        <v>309</v>
      </c>
      <c r="G183" s="6" t="s">
        <v>312</v>
      </c>
      <c r="H183" s="6">
        <v>5110102210</v>
      </c>
      <c r="I183" s="6" t="s">
        <v>313</v>
      </c>
      <c r="J183" s="7">
        <v>197.27</v>
      </c>
      <c r="K183" s="7">
        <v>0</v>
      </c>
      <c r="L183" s="6" t="s">
        <v>25</v>
      </c>
      <c r="M183" s="8">
        <v>46109</v>
      </c>
      <c r="N183" s="8">
        <v>46109</v>
      </c>
      <c r="O183" s="6"/>
      <c r="P183" s="6" t="s">
        <v>85</v>
      </c>
      <c r="Q183" s="6" t="s">
        <v>27</v>
      </c>
      <c r="R183" s="6"/>
    </row>
    <row r="184" spans="1:18" hidden="1" x14ac:dyDescent="0.3">
      <c r="A184" s="6" t="s">
        <v>21</v>
      </c>
      <c r="B184" s="6" t="s">
        <v>19</v>
      </c>
      <c r="C184" s="10"/>
      <c r="D184" s="6">
        <v>1</v>
      </c>
      <c r="E184" s="6" t="s">
        <v>226</v>
      </c>
      <c r="F184" s="6" t="s">
        <v>309</v>
      </c>
      <c r="G184" s="6" t="s">
        <v>314</v>
      </c>
      <c r="H184" s="6">
        <v>5110102299</v>
      </c>
      <c r="I184" s="6" t="s">
        <v>315</v>
      </c>
      <c r="J184" s="7">
        <v>21600</v>
      </c>
      <c r="K184" s="7">
        <v>0</v>
      </c>
      <c r="L184" s="6" t="s">
        <v>25</v>
      </c>
      <c r="M184" s="8">
        <v>46109</v>
      </c>
      <c r="N184" s="8">
        <v>46109</v>
      </c>
      <c r="O184" s="6"/>
      <c r="P184" s="6" t="s">
        <v>85</v>
      </c>
      <c r="Q184" s="6" t="s">
        <v>27</v>
      </c>
      <c r="R184" s="6"/>
    </row>
    <row r="185" spans="1:18" hidden="1" x14ac:dyDescent="0.3">
      <c r="A185" s="3" t="s">
        <v>18</v>
      </c>
      <c r="B185" s="3" t="s">
        <v>19</v>
      </c>
      <c r="C185" s="5"/>
      <c r="D185" s="3"/>
      <c r="E185" s="3"/>
      <c r="F185" s="3" t="s">
        <v>316</v>
      </c>
      <c r="G185" s="3" t="s">
        <v>316</v>
      </c>
      <c r="H185" s="3"/>
      <c r="I185" s="3"/>
      <c r="J185" s="4">
        <v>15938816.609999999</v>
      </c>
      <c r="K185" s="4">
        <v>15938816.609999999</v>
      </c>
      <c r="L185" s="3"/>
      <c r="M185" s="3"/>
      <c r="N185" s="3"/>
      <c r="O185" s="3"/>
      <c r="P185" s="3"/>
      <c r="Q185" s="3"/>
      <c r="R185" s="3">
        <v>16</v>
      </c>
    </row>
    <row r="186" spans="1:18" hidden="1" x14ac:dyDescent="0.3">
      <c r="A186" s="6" t="s">
        <v>21</v>
      </c>
      <c r="B186" s="6" t="s">
        <v>19</v>
      </c>
      <c r="C186" s="10"/>
      <c r="D186" s="6">
        <v>1</v>
      </c>
      <c r="E186" s="6" t="s">
        <v>226</v>
      </c>
      <c r="F186" s="6" t="s">
        <v>316</v>
      </c>
      <c r="G186" s="6" t="s">
        <v>317</v>
      </c>
      <c r="H186" s="6">
        <v>2076001016</v>
      </c>
      <c r="I186" s="6" t="s">
        <v>318</v>
      </c>
      <c r="J186" s="7">
        <v>1.76</v>
      </c>
      <c r="K186" s="7">
        <v>0</v>
      </c>
      <c r="L186" s="6" t="s">
        <v>25</v>
      </c>
      <c r="M186" s="8">
        <v>45922</v>
      </c>
      <c r="N186" s="8">
        <v>45922</v>
      </c>
      <c r="O186" s="6"/>
      <c r="P186" s="6" t="s">
        <v>319</v>
      </c>
      <c r="Q186" s="6" t="s">
        <v>34</v>
      </c>
      <c r="R186" s="6"/>
    </row>
    <row r="187" spans="1:18" hidden="1" x14ac:dyDescent="0.3">
      <c r="A187" s="3" t="s">
        <v>18</v>
      </c>
      <c r="B187" s="3" t="s">
        <v>19</v>
      </c>
      <c r="C187" s="5"/>
      <c r="D187" s="3"/>
      <c r="E187" s="3"/>
      <c r="F187" s="3" t="s">
        <v>320</v>
      </c>
      <c r="G187" s="3" t="s">
        <v>321</v>
      </c>
      <c r="H187" s="3"/>
      <c r="I187" s="3"/>
      <c r="J187" s="4">
        <v>3881041.58</v>
      </c>
      <c r="K187" s="4">
        <v>3881041.58</v>
      </c>
      <c r="L187" s="3"/>
      <c r="M187" s="3"/>
      <c r="N187" s="3"/>
      <c r="O187" s="3"/>
      <c r="P187" s="3"/>
      <c r="Q187" s="3"/>
      <c r="R187" s="3">
        <v>5064</v>
      </c>
    </row>
    <row r="188" spans="1:18" hidden="1" x14ac:dyDescent="0.3">
      <c r="A188" s="6" t="s">
        <v>21</v>
      </c>
      <c r="B188" s="6" t="s">
        <v>19</v>
      </c>
      <c r="C188" s="10"/>
      <c r="D188" s="6">
        <v>1</v>
      </c>
      <c r="E188" s="6" t="s">
        <v>23</v>
      </c>
      <c r="F188" s="6" t="s">
        <v>320</v>
      </c>
      <c r="G188" s="6"/>
      <c r="H188" s="6">
        <v>5020101175</v>
      </c>
      <c r="I188" s="6" t="s">
        <v>322</v>
      </c>
      <c r="J188" s="7">
        <v>36097.599999999999</v>
      </c>
      <c r="K188" s="7">
        <v>0</v>
      </c>
      <c r="L188" s="6" t="s">
        <v>25</v>
      </c>
      <c r="M188" s="8">
        <v>45862</v>
      </c>
      <c r="N188" s="8">
        <v>45862</v>
      </c>
      <c r="O188" s="6"/>
      <c r="P188" s="6" t="s">
        <v>169</v>
      </c>
      <c r="Q188" s="6" t="s">
        <v>27</v>
      </c>
      <c r="R188" s="6"/>
    </row>
    <row r="189" spans="1:18" hidden="1" x14ac:dyDescent="0.3">
      <c r="A189" s="3" t="s">
        <v>18</v>
      </c>
      <c r="B189" s="3" t="s">
        <v>19</v>
      </c>
      <c r="C189" s="11"/>
      <c r="D189" s="3"/>
      <c r="E189" s="3"/>
      <c r="F189" s="3" t="s">
        <v>323</v>
      </c>
      <c r="G189" s="3" t="s">
        <v>324</v>
      </c>
      <c r="H189" s="3"/>
      <c r="I189" s="3"/>
      <c r="J189" s="4">
        <v>5030235</v>
      </c>
      <c r="K189" s="4">
        <v>5030235</v>
      </c>
      <c r="L189" s="3"/>
      <c r="M189" s="3"/>
      <c r="N189" s="3"/>
      <c r="O189" s="3"/>
      <c r="P189" s="3"/>
      <c r="Q189" s="3"/>
      <c r="R189" s="3">
        <v>3</v>
      </c>
    </row>
    <row r="190" spans="1:18" hidden="1" x14ac:dyDescent="0.3">
      <c r="A190" s="6" t="s">
        <v>21</v>
      </c>
      <c r="B190" s="6" t="s">
        <v>19</v>
      </c>
      <c r="C190" s="10"/>
      <c r="D190" s="6">
        <v>1</v>
      </c>
      <c r="E190" s="6" t="s">
        <v>232</v>
      </c>
      <c r="F190" s="6" t="s">
        <v>323</v>
      </c>
      <c r="G190" s="6" t="s">
        <v>325</v>
      </c>
      <c r="H190" s="6">
        <v>1080201000</v>
      </c>
      <c r="I190" s="6" t="s">
        <v>326</v>
      </c>
      <c r="J190" s="7">
        <v>5030235</v>
      </c>
      <c r="K190" s="7">
        <v>0</v>
      </c>
      <c r="L190" s="6" t="s">
        <v>25</v>
      </c>
      <c r="M190" s="8">
        <v>45867</v>
      </c>
      <c r="N190" s="8">
        <v>45867</v>
      </c>
      <c r="O190" s="6"/>
      <c r="P190" s="6" t="s">
        <v>327</v>
      </c>
      <c r="Q190" s="6" t="s">
        <v>146</v>
      </c>
      <c r="R190" s="6"/>
    </row>
  </sheetData>
  <autoFilter ref="A1:S190" xr:uid="{5518D0E7-EE66-432F-B00F-004ACA5BA28D}"/>
  <dataValidations count="1">
    <dataValidation type="list" allowBlank="1" showInputMessage="1" showErrorMessage="1" promptTitle="Test Number" sqref="C187 C181 C185 C1:C179" xr:uid="{C5D4204E-6C6D-4619-ACEE-7CA03EE035D6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1814-1441-4868-804F-D453393B25D3}">
  <sheetPr>
    <tabColor rgb="FF92D050"/>
  </sheetPr>
  <dimension ref="A1:S24"/>
  <sheetViews>
    <sheetView zoomScale="74" workbookViewId="0">
      <selection activeCell="C23" sqref="C23"/>
    </sheetView>
  </sheetViews>
  <sheetFormatPr defaultRowHeight="14.4" x14ac:dyDescent="0.3"/>
  <cols>
    <col min="1" max="1" width="13.69921875" bestFit="1" customWidth="1"/>
    <col min="2" max="2" width="12.296875" bestFit="1" customWidth="1"/>
    <col min="3" max="3" width="27.5" bestFit="1" customWidth="1"/>
    <col min="4" max="4" width="17.8984375" bestFit="1" customWidth="1"/>
    <col min="5" max="5" width="82.296875" bestFit="1" customWidth="1"/>
    <col min="6" max="6" width="83.19921875" bestFit="1" customWidth="1"/>
    <col min="7" max="7" width="15.09765625" bestFit="1" customWidth="1"/>
    <col min="8" max="8" width="60.19921875" bestFit="1" customWidth="1"/>
    <col min="9" max="10" width="12.3984375" bestFit="1" customWidth="1"/>
    <col min="11" max="11" width="13.59765625" bestFit="1" customWidth="1"/>
    <col min="12" max="12" width="25.19921875" bestFit="1" customWidth="1"/>
    <col min="13" max="13" width="26.8984375" bestFit="1" customWidth="1"/>
    <col min="14" max="14" width="8" bestFit="1" customWidth="1"/>
    <col min="15" max="15" width="102.09765625" bestFit="1" customWidth="1"/>
    <col min="16" max="16" width="25.8984375" bestFit="1" customWidth="1"/>
    <col min="17" max="17" width="14.796875" bestFit="1" customWidth="1"/>
  </cols>
  <sheetData>
    <row r="1" spans="1:17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1" t="s">
        <v>0</v>
      </c>
      <c r="B2" s="1" t="s">
        <v>1</v>
      </c>
      <c r="C2" s="2" t="s">
        <v>17</v>
      </c>
      <c r="D2" s="1" t="s">
        <v>5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3">
      <c r="A3" s="3" t="s">
        <v>18</v>
      </c>
      <c r="B3" s="3" t="s">
        <v>19</v>
      </c>
      <c r="C3" s="5" t="s">
        <v>78</v>
      </c>
      <c r="D3" s="3"/>
      <c r="E3" s="3">
        <v>27522872</v>
      </c>
      <c r="F3" s="3" t="s">
        <v>77</v>
      </c>
      <c r="G3" s="3"/>
      <c r="H3" s="3"/>
      <c r="I3" s="4">
        <v>29253646.550000001</v>
      </c>
      <c r="J3" s="4">
        <v>29253646.550000001</v>
      </c>
      <c r="K3" s="3"/>
      <c r="L3" s="3"/>
      <c r="M3" s="3"/>
      <c r="N3" s="3"/>
      <c r="O3" s="3"/>
      <c r="P3" s="3"/>
      <c r="Q3" s="3">
        <v>5</v>
      </c>
    </row>
    <row r="4" spans="1:17" x14ac:dyDescent="0.3">
      <c r="A4" s="6" t="s">
        <v>21</v>
      </c>
      <c r="B4" s="6" t="s">
        <v>19</v>
      </c>
      <c r="C4" s="9" t="s">
        <v>78</v>
      </c>
      <c r="D4" s="19" t="s">
        <v>37</v>
      </c>
      <c r="E4" s="6">
        <v>27522872</v>
      </c>
      <c r="F4" s="6" t="s">
        <v>79</v>
      </c>
      <c r="G4" s="6">
        <v>2291211000</v>
      </c>
      <c r="H4" s="6" t="s">
        <v>80</v>
      </c>
      <c r="I4" s="7">
        <v>9896989.3900000006</v>
      </c>
      <c r="J4" s="7">
        <v>0</v>
      </c>
      <c r="K4" s="6">
        <v>570004862</v>
      </c>
      <c r="L4" s="8">
        <v>45840</v>
      </c>
      <c r="M4" s="8">
        <v>45840</v>
      </c>
      <c r="N4" s="6"/>
      <c r="O4" s="6" t="s">
        <v>81</v>
      </c>
      <c r="P4" s="6" t="s">
        <v>34</v>
      </c>
      <c r="Q4" s="6"/>
    </row>
    <row r="5" spans="1:17" x14ac:dyDescent="0.3">
      <c r="A5" s="6" t="s">
        <v>21</v>
      </c>
      <c r="B5" s="6" t="s">
        <v>19</v>
      </c>
      <c r="C5" s="9" t="s">
        <v>78</v>
      </c>
      <c r="D5" s="19" t="s">
        <v>37</v>
      </c>
      <c r="E5" s="6">
        <v>27522872</v>
      </c>
      <c r="F5" s="6" t="s">
        <v>79</v>
      </c>
      <c r="G5" s="6">
        <v>2601801000</v>
      </c>
      <c r="H5" s="6" t="s">
        <v>82</v>
      </c>
      <c r="I5" s="7">
        <v>187283.16</v>
      </c>
      <c r="J5" s="7">
        <v>0</v>
      </c>
      <c r="K5" s="6">
        <v>570004862</v>
      </c>
      <c r="L5" s="8">
        <v>45840</v>
      </c>
      <c r="M5" s="8">
        <v>45840</v>
      </c>
      <c r="N5" s="6"/>
      <c r="O5" s="6" t="s">
        <v>83</v>
      </c>
      <c r="P5" s="6" t="s">
        <v>34</v>
      </c>
      <c r="Q5" s="6"/>
    </row>
    <row r="6" spans="1:17" x14ac:dyDescent="0.3">
      <c r="A6" s="6" t="s">
        <v>21</v>
      </c>
      <c r="B6" s="6" t="s">
        <v>19</v>
      </c>
      <c r="C6" s="9" t="s">
        <v>78</v>
      </c>
      <c r="D6" s="19" t="s">
        <v>37</v>
      </c>
      <c r="E6" s="6">
        <v>27522872</v>
      </c>
      <c r="F6" s="6" t="s">
        <v>79</v>
      </c>
      <c r="G6" s="6">
        <v>5250201100</v>
      </c>
      <c r="H6" s="6" t="s">
        <v>84</v>
      </c>
      <c r="I6" s="7">
        <v>0</v>
      </c>
      <c r="J6" s="7">
        <v>10084272.550000001</v>
      </c>
      <c r="K6" s="6">
        <v>570004862</v>
      </c>
      <c r="L6" s="8">
        <v>45840</v>
      </c>
      <c r="M6" s="8">
        <v>45840</v>
      </c>
      <c r="N6" s="6"/>
      <c r="O6" s="6" t="s">
        <v>85</v>
      </c>
      <c r="P6" s="6" t="s">
        <v>27</v>
      </c>
      <c r="Q6" s="6"/>
    </row>
    <row r="7" spans="1:17" x14ac:dyDescent="0.3">
      <c r="A7" s="3" t="s">
        <v>18</v>
      </c>
      <c r="B7" s="3" t="s">
        <v>19</v>
      </c>
      <c r="C7" s="5" t="s">
        <v>78</v>
      </c>
      <c r="D7" s="3"/>
      <c r="E7" s="3">
        <v>49873302</v>
      </c>
      <c r="F7" s="3" t="s">
        <v>199</v>
      </c>
      <c r="G7" s="3"/>
      <c r="H7" s="3"/>
      <c r="I7" s="4">
        <v>16752676.029999999</v>
      </c>
      <c r="J7" s="4">
        <v>16752676.029999999</v>
      </c>
      <c r="K7" s="3"/>
      <c r="L7" s="3"/>
      <c r="M7" s="3"/>
      <c r="N7" s="3"/>
      <c r="O7" s="3"/>
      <c r="P7" s="3"/>
      <c r="Q7" s="3">
        <v>4</v>
      </c>
    </row>
    <row r="8" spans="1:17" x14ac:dyDescent="0.3">
      <c r="A8" s="6" t="s">
        <v>21</v>
      </c>
      <c r="B8" s="6" t="s">
        <v>19</v>
      </c>
      <c r="C8" s="9" t="s">
        <v>78</v>
      </c>
      <c r="D8" s="19" t="s">
        <v>174</v>
      </c>
      <c r="E8" s="6">
        <v>49873302</v>
      </c>
      <c r="F8" s="6" t="s">
        <v>199</v>
      </c>
      <c r="G8" s="6">
        <v>1131501000</v>
      </c>
      <c r="H8" s="6" t="s">
        <v>200</v>
      </c>
      <c r="I8" s="7">
        <v>2363047.5499999998</v>
      </c>
      <c r="J8" s="7">
        <v>0</v>
      </c>
      <c r="K8" s="6">
        <v>503426556</v>
      </c>
      <c r="L8" s="8">
        <v>45834</v>
      </c>
      <c r="M8" s="8">
        <v>45834</v>
      </c>
      <c r="N8" s="6"/>
      <c r="O8" s="6" t="s">
        <v>201</v>
      </c>
      <c r="P8" s="6" t="s">
        <v>146</v>
      </c>
      <c r="Q8" s="6"/>
    </row>
    <row r="9" spans="1:17" x14ac:dyDescent="0.3">
      <c r="A9" s="6" t="s">
        <v>21</v>
      </c>
      <c r="B9" s="6" t="s">
        <v>19</v>
      </c>
      <c r="C9" s="9" t="s">
        <v>78</v>
      </c>
      <c r="D9" s="6" t="s">
        <v>174</v>
      </c>
      <c r="E9" s="6">
        <v>49873302</v>
      </c>
      <c r="F9" s="6" t="s">
        <v>199</v>
      </c>
      <c r="G9" s="6">
        <v>1131502010</v>
      </c>
      <c r="H9" s="6" t="s">
        <v>202</v>
      </c>
      <c r="I9" s="7">
        <v>14389628.48</v>
      </c>
      <c r="J9" s="7">
        <v>0</v>
      </c>
      <c r="K9" s="6">
        <v>503426556</v>
      </c>
      <c r="L9" s="8">
        <v>45834</v>
      </c>
      <c r="M9" s="8">
        <v>45834</v>
      </c>
      <c r="N9" s="6"/>
      <c r="O9" s="6" t="s">
        <v>203</v>
      </c>
      <c r="P9" s="6" t="s">
        <v>146</v>
      </c>
      <c r="Q9" s="6"/>
    </row>
    <row r="10" spans="1:17" x14ac:dyDescent="0.3">
      <c r="A10" s="3" t="s">
        <v>18</v>
      </c>
      <c r="B10" s="3" t="s">
        <v>19</v>
      </c>
      <c r="C10" s="5" t="s">
        <v>78</v>
      </c>
      <c r="D10" s="3"/>
      <c r="E10" s="3">
        <v>56079692</v>
      </c>
      <c r="F10" s="3" t="s">
        <v>210</v>
      </c>
      <c r="G10" s="3"/>
      <c r="H10" s="3"/>
      <c r="I10" s="4">
        <v>338615756</v>
      </c>
      <c r="J10" s="4">
        <v>338615756</v>
      </c>
      <c r="K10" s="3"/>
      <c r="L10" s="3"/>
      <c r="M10" s="3"/>
      <c r="N10" s="3"/>
      <c r="O10" s="3"/>
      <c r="P10" s="3"/>
      <c r="Q10" s="3">
        <v>2</v>
      </c>
    </row>
    <row r="11" spans="1:17" x14ac:dyDescent="0.3">
      <c r="A11" s="6" t="s">
        <v>21</v>
      </c>
      <c r="B11" s="6" t="s">
        <v>19</v>
      </c>
      <c r="C11" s="9" t="s">
        <v>78</v>
      </c>
      <c r="D11" s="19" t="s">
        <v>174</v>
      </c>
      <c r="E11" s="6">
        <v>56079692</v>
      </c>
      <c r="F11" s="6" t="s">
        <v>210</v>
      </c>
      <c r="G11" s="6">
        <v>5210101470</v>
      </c>
      <c r="H11" s="6" t="s">
        <v>211</v>
      </c>
      <c r="I11" s="7">
        <v>338615756</v>
      </c>
      <c r="J11" s="7">
        <v>0</v>
      </c>
      <c r="K11" s="6">
        <v>503223109</v>
      </c>
      <c r="L11" s="8">
        <v>46027</v>
      </c>
      <c r="M11" s="8">
        <v>46027</v>
      </c>
      <c r="N11" s="6"/>
      <c r="O11" s="6" t="s">
        <v>212</v>
      </c>
      <c r="P11" s="6" t="s">
        <v>27</v>
      </c>
      <c r="Q11" s="6"/>
    </row>
    <row r="12" spans="1:17" x14ac:dyDescent="0.3">
      <c r="A12" s="3" t="s">
        <v>18</v>
      </c>
      <c r="B12" s="3" t="s">
        <v>19</v>
      </c>
      <c r="C12" s="5" t="s">
        <v>78</v>
      </c>
      <c r="D12" s="3"/>
      <c r="E12" s="3" t="s">
        <v>250</v>
      </c>
      <c r="F12" s="3" t="s">
        <v>250</v>
      </c>
      <c r="G12" s="3"/>
      <c r="H12" s="3"/>
      <c r="I12" s="4">
        <v>4704758</v>
      </c>
      <c r="J12" s="4">
        <v>4704758</v>
      </c>
      <c r="K12" s="3"/>
      <c r="L12" s="3"/>
      <c r="M12" s="3"/>
      <c r="N12" s="3"/>
      <c r="O12" s="3"/>
      <c r="P12" s="3"/>
      <c r="Q12" s="3">
        <v>2</v>
      </c>
    </row>
    <row r="13" spans="1:17" x14ac:dyDescent="0.3">
      <c r="A13" s="6" t="s">
        <v>21</v>
      </c>
      <c r="B13" s="6" t="s">
        <v>19</v>
      </c>
      <c r="C13" s="9" t="s">
        <v>78</v>
      </c>
      <c r="D13" s="19" t="s">
        <v>248</v>
      </c>
      <c r="E13" s="6" t="s">
        <v>250</v>
      </c>
      <c r="F13" s="6" t="s">
        <v>247</v>
      </c>
      <c r="G13" s="6">
        <v>1100301303</v>
      </c>
      <c r="H13" s="6" t="s">
        <v>251</v>
      </c>
      <c r="I13" s="7">
        <v>4704758</v>
      </c>
      <c r="J13" s="7">
        <v>0</v>
      </c>
      <c r="K13" s="6">
        <v>570000474</v>
      </c>
      <c r="L13" s="8">
        <v>45835</v>
      </c>
      <c r="M13" s="8">
        <v>45835</v>
      </c>
      <c r="N13" s="6"/>
      <c r="O13" s="6" t="s">
        <v>145</v>
      </c>
      <c r="P13" s="6" t="s">
        <v>146</v>
      </c>
      <c r="Q13" s="6"/>
    </row>
    <row r="14" spans="1:17" x14ac:dyDescent="0.3">
      <c r="A14" s="3" t="s">
        <v>18</v>
      </c>
      <c r="B14" s="3" t="s">
        <v>19</v>
      </c>
      <c r="C14" s="5" t="s">
        <v>78</v>
      </c>
      <c r="D14" s="3"/>
      <c r="E14" s="3" t="s">
        <v>258</v>
      </c>
      <c r="F14" s="3" t="s">
        <v>258</v>
      </c>
      <c r="G14" s="3"/>
      <c r="H14" s="3"/>
      <c r="I14" s="4">
        <v>887700</v>
      </c>
      <c r="J14" s="4">
        <v>887700</v>
      </c>
      <c r="K14" s="3"/>
      <c r="L14" s="3"/>
      <c r="M14" s="3"/>
      <c r="N14" s="3"/>
      <c r="O14" s="3"/>
      <c r="P14" s="3"/>
      <c r="Q14" s="3">
        <v>2</v>
      </c>
    </row>
    <row r="15" spans="1:17" x14ac:dyDescent="0.3">
      <c r="A15" s="6" t="s">
        <v>21</v>
      </c>
      <c r="B15" s="6" t="s">
        <v>19</v>
      </c>
      <c r="C15" s="9" t="s">
        <v>78</v>
      </c>
      <c r="D15" s="19" t="s">
        <v>248</v>
      </c>
      <c r="E15" s="6" t="s">
        <v>258</v>
      </c>
      <c r="F15" s="6" t="s">
        <v>247</v>
      </c>
      <c r="G15" s="6">
        <v>1452001001</v>
      </c>
      <c r="H15" s="6" t="s">
        <v>259</v>
      </c>
      <c r="I15" s="7">
        <v>887700</v>
      </c>
      <c r="J15" s="7">
        <v>0</v>
      </c>
      <c r="K15" s="6">
        <v>503345013</v>
      </c>
      <c r="L15" s="8">
        <v>45799</v>
      </c>
      <c r="M15" s="8">
        <v>45799</v>
      </c>
      <c r="N15" s="6"/>
      <c r="O15" s="6" t="s">
        <v>260</v>
      </c>
      <c r="P15" s="6" t="s">
        <v>146</v>
      </c>
      <c r="Q15" s="6"/>
    </row>
    <row r="16" spans="1:17" x14ac:dyDescent="0.3">
      <c r="A16" s="3" t="s">
        <v>18</v>
      </c>
      <c r="B16" s="3" t="s">
        <v>19</v>
      </c>
      <c r="C16" s="5" t="s">
        <v>78</v>
      </c>
      <c r="D16" s="3"/>
      <c r="E16" s="3" t="s">
        <v>265</v>
      </c>
      <c r="F16" s="3" t="s">
        <v>265</v>
      </c>
      <c r="G16" s="3"/>
      <c r="H16" s="3"/>
      <c r="I16" s="4">
        <v>196708503.09</v>
      </c>
      <c r="J16" s="4">
        <v>196708503.09</v>
      </c>
      <c r="K16" s="3"/>
      <c r="L16" s="3"/>
      <c r="M16" s="3"/>
      <c r="N16" s="3"/>
      <c r="O16" s="3"/>
      <c r="P16" s="3"/>
      <c r="Q16" s="3">
        <v>26</v>
      </c>
    </row>
    <row r="17" spans="1:19" x14ac:dyDescent="0.3">
      <c r="A17" s="6" t="s">
        <v>21</v>
      </c>
      <c r="B17" s="6" t="s">
        <v>19</v>
      </c>
      <c r="C17" s="9" t="s">
        <v>78</v>
      </c>
      <c r="D17" s="19" t="s">
        <v>248</v>
      </c>
      <c r="E17" s="6" t="s">
        <v>265</v>
      </c>
      <c r="F17" s="6" t="s">
        <v>247</v>
      </c>
      <c r="G17" s="6">
        <v>3350102020</v>
      </c>
      <c r="H17" s="6" t="s">
        <v>98</v>
      </c>
      <c r="I17" s="7">
        <v>56084812.090000004</v>
      </c>
      <c r="J17" s="7">
        <v>0</v>
      </c>
      <c r="K17" s="6">
        <v>503419537</v>
      </c>
      <c r="L17" s="8">
        <v>46111</v>
      </c>
      <c r="M17" s="8">
        <v>46111</v>
      </c>
      <c r="N17" s="6"/>
      <c r="O17" s="6" t="s">
        <v>95</v>
      </c>
      <c r="P17" s="6" t="s">
        <v>93</v>
      </c>
      <c r="Q17" s="6"/>
    </row>
    <row r="18" spans="1:19" x14ac:dyDescent="0.3">
      <c r="A18" s="3" t="s">
        <v>18</v>
      </c>
      <c r="B18" s="3" t="s">
        <v>19</v>
      </c>
      <c r="C18" s="5" t="s">
        <v>78</v>
      </c>
      <c r="D18" s="3"/>
      <c r="E18" s="3" t="s">
        <v>279</v>
      </c>
      <c r="F18" s="3" t="s">
        <v>280</v>
      </c>
      <c r="G18" s="3"/>
      <c r="H18" s="3"/>
      <c r="I18" s="4">
        <v>277256</v>
      </c>
      <c r="J18" s="4">
        <v>277256</v>
      </c>
      <c r="K18" s="3"/>
      <c r="L18" s="3"/>
      <c r="M18" s="3"/>
      <c r="N18" s="3"/>
      <c r="O18" s="3"/>
      <c r="P18" s="3"/>
      <c r="Q18" s="3">
        <v>2</v>
      </c>
    </row>
    <row r="19" spans="1:19" x14ac:dyDescent="0.3">
      <c r="A19" s="6" t="s">
        <v>21</v>
      </c>
      <c r="B19" s="6" t="s">
        <v>19</v>
      </c>
      <c r="C19" s="9" t="s">
        <v>78</v>
      </c>
      <c r="D19" s="19" t="s">
        <v>232</v>
      </c>
      <c r="E19" s="6" t="s">
        <v>279</v>
      </c>
      <c r="F19" s="6" t="s">
        <v>281</v>
      </c>
      <c r="G19" s="6">
        <v>5350101000</v>
      </c>
      <c r="H19" s="6" t="s">
        <v>282</v>
      </c>
      <c r="I19" s="7">
        <v>277256</v>
      </c>
      <c r="J19" s="7">
        <v>0</v>
      </c>
      <c r="K19" s="6" t="s">
        <v>25</v>
      </c>
      <c r="L19" s="8">
        <v>45990</v>
      </c>
      <c r="M19" s="8">
        <v>45990</v>
      </c>
      <c r="N19" s="6"/>
      <c r="O19" s="6" t="s">
        <v>283</v>
      </c>
      <c r="P19" s="6" t="s">
        <v>27</v>
      </c>
      <c r="Q19" s="6"/>
    </row>
    <row r="20" spans="1:19" x14ac:dyDescent="0.3">
      <c r="A20" s="3" t="s">
        <v>18</v>
      </c>
      <c r="B20" s="3" t="s">
        <v>19</v>
      </c>
      <c r="C20" s="5" t="s">
        <v>78</v>
      </c>
      <c r="D20" s="3"/>
      <c r="E20" s="3" t="s">
        <v>305</v>
      </c>
      <c r="F20" s="3" t="s">
        <v>306</v>
      </c>
      <c r="G20" s="3"/>
      <c r="H20" s="3"/>
      <c r="I20" s="4">
        <v>524688</v>
      </c>
      <c r="J20" s="4">
        <v>524688</v>
      </c>
      <c r="K20" s="3"/>
      <c r="L20" s="3"/>
      <c r="M20" s="3"/>
      <c r="N20" s="3"/>
      <c r="O20" s="3"/>
      <c r="P20" s="3"/>
      <c r="Q20" s="3">
        <v>3</v>
      </c>
    </row>
    <row r="21" spans="1:19" x14ac:dyDescent="0.3">
      <c r="A21" s="6" t="s">
        <v>21</v>
      </c>
      <c r="B21" s="6" t="s">
        <v>19</v>
      </c>
      <c r="C21" s="9" t="s">
        <v>78</v>
      </c>
      <c r="D21" s="19" t="s">
        <v>232</v>
      </c>
      <c r="E21" s="6" t="s">
        <v>305</v>
      </c>
      <c r="F21" s="6" t="s">
        <v>306</v>
      </c>
      <c r="G21" s="6">
        <v>4130403001</v>
      </c>
      <c r="H21" s="6" t="s">
        <v>150</v>
      </c>
      <c r="I21" s="7">
        <v>0</v>
      </c>
      <c r="J21" s="7">
        <v>96371</v>
      </c>
      <c r="K21" s="6" t="s">
        <v>25</v>
      </c>
      <c r="L21" s="8">
        <v>46050</v>
      </c>
      <c r="M21" s="8">
        <v>46050</v>
      </c>
      <c r="N21" s="6"/>
      <c r="O21" s="6" t="s">
        <v>151</v>
      </c>
      <c r="P21" s="6" t="s">
        <v>152</v>
      </c>
      <c r="Q21" s="6"/>
    </row>
    <row r="23" spans="1:19" s="20" customFormat="1" x14ac:dyDescent="0.3">
      <c r="A23" s="3" t="s">
        <v>18</v>
      </c>
      <c r="B23" s="3" t="s">
        <v>19</v>
      </c>
      <c r="C23" s="5" t="s">
        <v>78</v>
      </c>
      <c r="D23" s="3"/>
      <c r="E23" s="3">
        <v>27737551</v>
      </c>
      <c r="F23" s="3" t="s">
        <v>153</v>
      </c>
      <c r="G23" s="19"/>
      <c r="H23" s="3"/>
      <c r="I23" s="3"/>
      <c r="J23" s="4">
        <v>57458372.299999997</v>
      </c>
      <c r="K23" s="4">
        <v>57458372.299999997</v>
      </c>
      <c r="L23" s="3"/>
      <c r="M23" s="3"/>
      <c r="N23" s="3"/>
      <c r="O23" s="3"/>
      <c r="P23" s="3"/>
      <c r="Q23" s="3"/>
      <c r="R23" s="3">
        <v>51</v>
      </c>
      <c r="S23" s="5"/>
    </row>
    <row r="24" spans="1:19" s="20" customFormat="1" x14ac:dyDescent="0.3">
      <c r="A24" s="6" t="s">
        <v>21</v>
      </c>
      <c r="B24" s="6" t="s">
        <v>19</v>
      </c>
      <c r="C24" s="9" t="s">
        <v>78</v>
      </c>
      <c r="D24" s="6"/>
      <c r="E24" s="6">
        <v>27737551</v>
      </c>
      <c r="F24" s="6" t="s">
        <v>154</v>
      </c>
      <c r="G24" s="19" t="s">
        <v>23</v>
      </c>
      <c r="H24" s="6">
        <v>2291202000</v>
      </c>
      <c r="I24" s="21" t="s">
        <v>155</v>
      </c>
      <c r="J24" s="7">
        <v>0</v>
      </c>
      <c r="K24" s="7">
        <v>195389</v>
      </c>
      <c r="L24" s="6" t="s">
        <v>25</v>
      </c>
      <c r="M24" s="8">
        <v>46052</v>
      </c>
      <c r="N24" s="8">
        <v>46052</v>
      </c>
      <c r="O24" s="6"/>
      <c r="P24" s="6" t="s">
        <v>156</v>
      </c>
      <c r="Q24" s="6" t="s">
        <v>34</v>
      </c>
      <c r="R24" s="6"/>
      <c r="S24" s="9"/>
    </row>
  </sheetData>
  <autoFilter ref="A2:Q21" xr:uid="{61161814-1441-4868-804F-D453393B25D3}"/>
  <dataValidations count="1">
    <dataValidation type="list" allowBlank="1" showInputMessage="1" showErrorMessage="1" promptTitle="Test Number" sqref="S23:S24 C2:C21 C23:C24" xr:uid="{C85F19E4-8F9F-4884-BE7D-B0978E1BC3D7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6B16-819A-46EA-8C91-24C167388061}">
  <dimension ref="A1:T11"/>
  <sheetViews>
    <sheetView tabSelected="1" topLeftCell="G1" workbookViewId="0">
      <selection activeCell="G2" sqref="G2"/>
    </sheetView>
  </sheetViews>
  <sheetFormatPr defaultRowHeight="14.4" x14ac:dyDescent="0.3"/>
  <cols>
    <col min="1" max="1" width="13.5" bestFit="1" customWidth="1"/>
    <col min="2" max="2" width="12.296875" bestFit="1" customWidth="1"/>
    <col min="3" max="3" width="15.09765625" bestFit="1" customWidth="1"/>
    <col min="4" max="4" width="46.19921875" bestFit="1" customWidth="1"/>
    <col min="5" max="5" width="8.09765625" bestFit="1" customWidth="1"/>
    <col min="6" max="6" width="65.3984375" bestFit="1" customWidth="1"/>
    <col min="7" max="7" width="175.59765625" bestFit="1" customWidth="1"/>
    <col min="8" max="9" width="14" bestFit="1" customWidth="1"/>
    <col min="10" max="10" width="9.8984375" bestFit="1" customWidth="1"/>
    <col min="11" max="11" width="25" bestFit="1" customWidth="1"/>
    <col min="12" max="12" width="26.3984375" bestFit="1" customWidth="1"/>
    <col min="13" max="13" width="8" bestFit="1" customWidth="1"/>
    <col min="14" max="14" width="6.3984375" bestFit="1" customWidth="1"/>
    <col min="15" max="15" width="39.19921875" bestFit="1" customWidth="1"/>
    <col min="16" max="16" width="25.796875" bestFit="1" customWidth="1"/>
    <col min="17" max="17" width="14.69921875" bestFit="1" customWidth="1"/>
    <col min="19" max="19" width="38.296875" bestFit="1" customWidth="1"/>
    <col min="20" max="20" width="37" bestFit="1" customWidth="1"/>
  </cols>
  <sheetData>
    <row r="1" spans="1:20" x14ac:dyDescent="0.3">
      <c r="A1" s="12" t="s">
        <v>0</v>
      </c>
      <c r="B1" s="12" t="s">
        <v>1</v>
      </c>
      <c r="C1" s="12" t="s">
        <v>6</v>
      </c>
      <c r="D1" s="12" t="s">
        <v>7</v>
      </c>
      <c r="E1" s="12" t="s">
        <v>5</v>
      </c>
      <c r="F1" s="12" t="s">
        <v>3</v>
      </c>
      <c r="G1" s="12" t="s">
        <v>4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328</v>
      </c>
      <c r="O1" s="12" t="s">
        <v>14</v>
      </c>
      <c r="P1" s="12" t="s">
        <v>15</v>
      </c>
      <c r="Q1" s="12" t="s">
        <v>16</v>
      </c>
    </row>
    <row r="2" spans="1:20" x14ac:dyDescent="0.3">
      <c r="A2" s="6" t="s">
        <v>18</v>
      </c>
      <c r="B2" s="6" t="s">
        <v>19</v>
      </c>
      <c r="C2" s="6"/>
      <c r="D2" s="6"/>
      <c r="E2" s="6"/>
      <c r="F2" s="6">
        <v>27455538</v>
      </c>
      <c r="G2" s="6" t="s">
        <v>329</v>
      </c>
      <c r="H2" s="15">
        <v>313966.24</v>
      </c>
      <c r="I2" s="15">
        <v>313966.24</v>
      </c>
      <c r="J2" s="6"/>
      <c r="K2" s="6"/>
      <c r="L2" s="6"/>
      <c r="M2" s="6"/>
      <c r="N2" s="6"/>
      <c r="O2" s="6"/>
      <c r="P2" s="6"/>
      <c r="Q2" s="6">
        <v>6</v>
      </c>
    </row>
    <row r="3" spans="1:20" x14ac:dyDescent="0.3">
      <c r="A3" s="6" t="s">
        <v>21</v>
      </c>
      <c r="B3" s="6" t="s">
        <v>19</v>
      </c>
      <c r="C3" s="6">
        <v>4111502000</v>
      </c>
      <c r="D3" s="6" t="s">
        <v>365</v>
      </c>
      <c r="E3" s="6" t="s">
        <v>46</v>
      </c>
      <c r="F3" s="6">
        <v>27455538</v>
      </c>
      <c r="G3" s="6" t="s">
        <v>366</v>
      </c>
      <c r="H3" s="15">
        <v>130.05000000000001</v>
      </c>
      <c r="I3" s="15">
        <v>0</v>
      </c>
      <c r="J3" s="6">
        <v>503304903</v>
      </c>
      <c r="K3" s="8">
        <v>45768</v>
      </c>
      <c r="L3" s="8">
        <v>45768</v>
      </c>
      <c r="M3" s="6"/>
      <c r="N3" s="6">
        <v>4</v>
      </c>
      <c r="O3" s="6" t="s">
        <v>367</v>
      </c>
      <c r="P3" s="6" t="s">
        <v>152</v>
      </c>
      <c r="Q3" s="6"/>
      <c r="S3" t="s">
        <v>375</v>
      </c>
      <c r="T3" t="s">
        <v>376</v>
      </c>
    </row>
    <row r="4" spans="1:20" x14ac:dyDescent="0.3">
      <c r="A4" s="6" t="s">
        <v>18</v>
      </c>
      <c r="B4" s="6" t="s">
        <v>19</v>
      </c>
      <c r="C4" s="6"/>
      <c r="D4" s="6"/>
      <c r="E4" s="6"/>
      <c r="F4" s="6">
        <v>27519269</v>
      </c>
      <c r="G4" s="6" t="s">
        <v>330</v>
      </c>
      <c r="H4" s="15">
        <v>6947333.6900000004</v>
      </c>
      <c r="I4" s="15">
        <v>6947333.6900000004</v>
      </c>
      <c r="J4" s="6"/>
      <c r="K4" s="6"/>
      <c r="L4" s="6"/>
      <c r="M4" s="6"/>
      <c r="N4" s="6"/>
      <c r="O4" s="6"/>
      <c r="P4" s="6"/>
      <c r="Q4" s="6">
        <v>6</v>
      </c>
    </row>
    <row r="5" spans="1:20" x14ac:dyDescent="0.3">
      <c r="A5" s="6" t="s">
        <v>21</v>
      </c>
      <c r="B5" s="6" t="s">
        <v>19</v>
      </c>
      <c r="C5" s="6">
        <v>4110310000</v>
      </c>
      <c r="D5" s="6" t="s">
        <v>191</v>
      </c>
      <c r="E5" s="19" t="s">
        <v>23</v>
      </c>
      <c r="F5" s="6">
        <v>27519269</v>
      </c>
      <c r="G5" s="6" t="s">
        <v>368</v>
      </c>
      <c r="H5" s="15">
        <v>6890311.8399999999</v>
      </c>
      <c r="I5" s="15">
        <v>0</v>
      </c>
      <c r="J5" s="6" t="s">
        <v>25</v>
      </c>
      <c r="K5" s="8">
        <v>45839</v>
      </c>
      <c r="L5" s="8">
        <v>45839</v>
      </c>
      <c r="M5" s="6"/>
      <c r="N5" s="6">
        <v>6</v>
      </c>
      <c r="O5" s="6" t="s">
        <v>369</v>
      </c>
      <c r="P5" s="6" t="s">
        <v>152</v>
      </c>
      <c r="Q5" s="6"/>
    </row>
    <row r="6" spans="1:20" x14ac:dyDescent="0.3">
      <c r="A6" s="6" t="s">
        <v>21</v>
      </c>
      <c r="B6" s="6" t="s">
        <v>19</v>
      </c>
      <c r="C6" s="6">
        <v>4110310000</v>
      </c>
      <c r="D6" s="6" t="s">
        <v>191</v>
      </c>
      <c r="E6" s="19" t="s">
        <v>23</v>
      </c>
      <c r="F6" s="6">
        <v>27519269</v>
      </c>
      <c r="G6" s="6" t="s">
        <v>368</v>
      </c>
      <c r="H6" s="15">
        <v>0</v>
      </c>
      <c r="I6" s="15">
        <v>41746.75</v>
      </c>
      <c r="J6" s="6" t="s">
        <v>25</v>
      </c>
      <c r="K6" s="8">
        <v>45839</v>
      </c>
      <c r="L6" s="8">
        <v>45839</v>
      </c>
      <c r="M6" s="6"/>
      <c r="N6" s="6">
        <v>6</v>
      </c>
      <c r="O6" s="6" t="s">
        <v>369</v>
      </c>
      <c r="P6" s="6" t="s">
        <v>152</v>
      </c>
      <c r="Q6" s="6"/>
    </row>
    <row r="7" spans="1:20" x14ac:dyDescent="0.3">
      <c r="A7" s="6" t="s">
        <v>21</v>
      </c>
      <c r="B7" s="6" t="s">
        <v>19</v>
      </c>
      <c r="C7" s="6">
        <v>4110310000</v>
      </c>
      <c r="D7" s="6" t="s">
        <v>191</v>
      </c>
      <c r="E7" s="19" t="s">
        <v>23</v>
      </c>
      <c r="F7" s="6">
        <v>27519269</v>
      </c>
      <c r="G7" s="6" t="s">
        <v>368</v>
      </c>
      <c r="H7" s="15">
        <v>15275.1</v>
      </c>
      <c r="I7" s="15">
        <v>0</v>
      </c>
      <c r="J7" s="6" t="s">
        <v>25</v>
      </c>
      <c r="K7" s="8">
        <v>45839</v>
      </c>
      <c r="L7" s="8">
        <v>45839</v>
      </c>
      <c r="M7" s="6"/>
      <c r="N7" s="6">
        <v>6</v>
      </c>
      <c r="O7" s="6" t="s">
        <v>369</v>
      </c>
      <c r="P7" s="6" t="s">
        <v>152</v>
      </c>
      <c r="Q7" s="6"/>
    </row>
    <row r="8" spans="1:20" x14ac:dyDescent="0.3">
      <c r="A8" s="6" t="s">
        <v>18</v>
      </c>
      <c r="B8" s="6" t="s">
        <v>19</v>
      </c>
      <c r="C8" s="6"/>
      <c r="D8" s="6"/>
      <c r="E8" s="6"/>
      <c r="F8" s="6">
        <v>54925286</v>
      </c>
      <c r="G8" s="6" t="s">
        <v>331</v>
      </c>
      <c r="H8" s="15">
        <v>4724561</v>
      </c>
      <c r="I8" s="15">
        <v>4724561</v>
      </c>
      <c r="J8" s="6"/>
      <c r="K8" s="6"/>
      <c r="L8" s="6"/>
      <c r="M8" s="6"/>
      <c r="N8" s="6"/>
      <c r="O8" s="6"/>
      <c r="P8" s="6"/>
      <c r="Q8" s="6">
        <v>2</v>
      </c>
    </row>
    <row r="9" spans="1:20" x14ac:dyDescent="0.3">
      <c r="A9" s="6" t="s">
        <v>21</v>
      </c>
      <c r="B9" s="6" t="s">
        <v>19</v>
      </c>
      <c r="C9" s="6">
        <v>4010101000</v>
      </c>
      <c r="D9" s="6" t="s">
        <v>370</v>
      </c>
      <c r="E9" s="6" t="s">
        <v>174</v>
      </c>
      <c r="F9" s="6">
        <v>54925286</v>
      </c>
      <c r="G9" s="6" t="s">
        <v>331</v>
      </c>
      <c r="H9" s="15">
        <v>4724561</v>
      </c>
      <c r="I9" s="15">
        <v>0</v>
      </c>
      <c r="J9" s="6">
        <v>212542479</v>
      </c>
      <c r="K9" s="8">
        <v>45988</v>
      </c>
      <c r="L9" s="8">
        <v>45988</v>
      </c>
      <c r="M9" s="6"/>
      <c r="N9" s="6">
        <v>11</v>
      </c>
      <c r="O9" s="6" t="s">
        <v>371</v>
      </c>
      <c r="P9" s="6" t="s">
        <v>152</v>
      </c>
      <c r="Q9" s="6"/>
    </row>
    <row r="10" spans="1:20" x14ac:dyDescent="0.3">
      <c r="A10" s="6" t="s">
        <v>18</v>
      </c>
      <c r="B10" s="6" t="s">
        <v>19</v>
      </c>
      <c r="C10" s="6"/>
      <c r="D10" s="6"/>
      <c r="E10" s="6"/>
      <c r="F10" s="6" t="s">
        <v>373</v>
      </c>
      <c r="G10" s="6" t="s">
        <v>373</v>
      </c>
      <c r="H10" s="15">
        <v>44494618.460000001</v>
      </c>
      <c r="I10" s="15">
        <v>44494618.460000001</v>
      </c>
      <c r="J10" s="6"/>
      <c r="K10" s="6"/>
      <c r="L10" s="6"/>
      <c r="M10" s="6"/>
      <c r="N10" s="6"/>
      <c r="O10" s="6"/>
      <c r="P10" s="6"/>
      <c r="Q10" s="6">
        <v>2</v>
      </c>
      <c r="S10" t="str">
        <f>_xlfn.XLOOKUP(G10,'debits to revenue'!$F:$F,'debits to revenue'!$F:$F)</f>
        <v>GR16_05012025_MBT04_CP_Duplicate_Inv_Apr25 Spreadsheet A 1783259 19002246</v>
      </c>
    </row>
    <row r="11" spans="1:20" x14ac:dyDescent="0.3">
      <c r="A11" s="6" t="s">
        <v>21</v>
      </c>
      <c r="B11" s="6" t="s">
        <v>19</v>
      </c>
      <c r="C11" s="6">
        <v>4020101999</v>
      </c>
      <c r="D11" s="6" t="s">
        <v>372</v>
      </c>
      <c r="E11" s="6" t="s">
        <v>226</v>
      </c>
      <c r="F11" s="6" t="s">
        <v>373</v>
      </c>
      <c r="G11" s="6" t="s">
        <v>374</v>
      </c>
      <c r="H11" s="7">
        <v>44494618.460000001</v>
      </c>
      <c r="I11" s="7">
        <v>0</v>
      </c>
      <c r="J11" s="6" t="s">
        <v>25</v>
      </c>
      <c r="K11" s="8">
        <v>45778</v>
      </c>
      <c r="L11" s="8">
        <v>45778</v>
      </c>
      <c r="M11" s="6"/>
      <c r="N11" s="6">
        <v>4</v>
      </c>
      <c r="O11" s="6" t="s">
        <v>371</v>
      </c>
      <c r="P11" s="6" t="s">
        <v>152</v>
      </c>
      <c r="Q11" s="6"/>
      <c r="S11" t="e">
        <f>_xlfn.XLOOKUP(G11,'debits to revenue'!$F:$F,'debits to revenue'!$F:$F)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C92A-2236-436A-9D82-1391A868550D}">
  <dimension ref="A1:U44"/>
  <sheetViews>
    <sheetView topLeftCell="C1" zoomScale="69" workbookViewId="0">
      <selection activeCell="F11" sqref="F11"/>
    </sheetView>
  </sheetViews>
  <sheetFormatPr defaultRowHeight="14.4" x14ac:dyDescent="0.3"/>
  <cols>
    <col min="1" max="1" width="13.5" bestFit="1" customWidth="1"/>
    <col min="2" max="2" width="12.296875" bestFit="1" customWidth="1"/>
    <col min="3" max="3" width="40.69921875" bestFit="1" customWidth="1"/>
    <col min="4" max="4" width="10.59765625" bestFit="1" customWidth="1"/>
    <col min="5" max="5" width="19.5" bestFit="1" customWidth="1"/>
    <col min="6" max="6" width="34.5" bestFit="1" customWidth="1"/>
    <col min="7" max="7" width="91" bestFit="1" customWidth="1"/>
    <col min="8" max="8" width="8.8984375" bestFit="1" customWidth="1"/>
    <col min="9" max="9" width="15.09765625" bestFit="1" customWidth="1"/>
    <col min="10" max="10" width="59.796875" bestFit="1" customWidth="1"/>
    <col min="11" max="12" width="15.59765625" style="18" bestFit="1" customWidth="1"/>
    <col min="13" max="13" width="25" bestFit="1" customWidth="1"/>
    <col min="14" max="14" width="26.3984375" bestFit="1" customWidth="1"/>
    <col min="15" max="15" width="8" bestFit="1" customWidth="1"/>
    <col min="16" max="16" width="117.5" bestFit="1" customWidth="1"/>
    <col min="17" max="17" width="25.796875" bestFit="1" customWidth="1"/>
    <col min="18" max="18" width="14.69921875" bestFit="1" customWidth="1"/>
    <col min="20" max="20" width="26.09765625" bestFit="1" customWidth="1"/>
  </cols>
  <sheetData>
    <row r="1" spans="1:21" x14ac:dyDescent="0.3">
      <c r="A1" s="13" t="s">
        <v>0</v>
      </c>
      <c r="B1" s="13" t="s">
        <v>1</v>
      </c>
      <c r="C1" s="13" t="s">
        <v>332</v>
      </c>
      <c r="D1" s="13" t="s">
        <v>10</v>
      </c>
      <c r="E1" s="13" t="s">
        <v>333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</row>
    <row r="2" spans="1:21" x14ac:dyDescent="0.3">
      <c r="A2" s="14" t="s">
        <v>18</v>
      </c>
      <c r="B2" s="14" t="s">
        <v>19</v>
      </c>
      <c r="C2" s="14"/>
      <c r="D2" s="14"/>
      <c r="E2" s="14"/>
      <c r="F2" s="14">
        <v>27477992</v>
      </c>
      <c r="G2" s="14" t="s">
        <v>334</v>
      </c>
      <c r="H2" s="14"/>
      <c r="I2" s="14"/>
      <c r="J2" s="14"/>
      <c r="K2" s="17">
        <v>1788941.38</v>
      </c>
      <c r="L2" s="17">
        <v>1788941.38</v>
      </c>
      <c r="M2" s="14"/>
      <c r="N2" s="14"/>
      <c r="O2" s="14"/>
      <c r="P2" s="14"/>
      <c r="Q2" s="14"/>
      <c r="R2" s="14">
        <v>2</v>
      </c>
      <c r="T2" t="s">
        <v>378</v>
      </c>
    </row>
    <row r="3" spans="1:21" ht="43.2" x14ac:dyDescent="0.3">
      <c r="A3" s="6" t="s">
        <v>21</v>
      </c>
      <c r="B3" s="6" t="s">
        <v>19</v>
      </c>
      <c r="C3" s="6">
        <v>1</v>
      </c>
      <c r="D3" s="6">
        <v>503369114</v>
      </c>
      <c r="E3" s="6" t="s">
        <v>25</v>
      </c>
      <c r="F3" s="6">
        <v>27477992</v>
      </c>
      <c r="G3" s="6" t="s">
        <v>335</v>
      </c>
      <c r="H3" s="19" t="s">
        <v>31</v>
      </c>
      <c r="I3" s="6">
        <v>2805201000</v>
      </c>
      <c r="J3" s="6" t="s">
        <v>336</v>
      </c>
      <c r="K3" s="7">
        <v>0</v>
      </c>
      <c r="L3" s="7">
        <v>1788941.38</v>
      </c>
      <c r="M3" s="8">
        <v>45798</v>
      </c>
      <c r="N3" s="8">
        <v>45798</v>
      </c>
      <c r="O3" s="6"/>
      <c r="P3" s="6" t="s">
        <v>337</v>
      </c>
      <c r="Q3" s="6" t="s">
        <v>34</v>
      </c>
      <c r="R3" s="6"/>
      <c r="T3" s="16" t="s">
        <v>380</v>
      </c>
      <c r="U3" t="s">
        <v>377</v>
      </c>
    </row>
    <row r="4" spans="1:21" x14ac:dyDescent="0.3">
      <c r="A4" s="6" t="s">
        <v>21</v>
      </c>
      <c r="B4" s="6" t="s">
        <v>19</v>
      </c>
      <c r="C4" s="6">
        <v>1</v>
      </c>
      <c r="D4" s="6">
        <v>503369114</v>
      </c>
      <c r="E4" s="6" t="s">
        <v>25</v>
      </c>
      <c r="F4" s="6">
        <v>27477992</v>
      </c>
      <c r="G4" s="6" t="s">
        <v>335</v>
      </c>
      <c r="H4" s="19" t="s">
        <v>31</v>
      </c>
      <c r="I4" s="6">
        <v>8040701001</v>
      </c>
      <c r="J4" s="6" t="s">
        <v>63</v>
      </c>
      <c r="K4" s="7">
        <v>1788941.38</v>
      </c>
      <c r="L4" s="7">
        <v>0</v>
      </c>
      <c r="M4" s="8">
        <v>45798</v>
      </c>
      <c r="N4" s="8">
        <v>45798</v>
      </c>
      <c r="O4" s="6"/>
      <c r="P4" s="6" t="s">
        <v>67</v>
      </c>
      <c r="Q4" s="6" t="s">
        <v>27</v>
      </c>
      <c r="R4" s="6"/>
    </row>
    <row r="5" spans="1:21" x14ac:dyDescent="0.3">
      <c r="A5" s="14" t="s">
        <v>18</v>
      </c>
      <c r="B5" s="14" t="s">
        <v>19</v>
      </c>
      <c r="C5" s="14"/>
      <c r="D5" s="14"/>
      <c r="E5" s="14"/>
      <c r="F5" s="14">
        <v>27795859</v>
      </c>
      <c r="G5" s="14" t="s">
        <v>338</v>
      </c>
      <c r="H5" s="14"/>
      <c r="I5" s="14"/>
      <c r="J5" s="14"/>
      <c r="K5" s="17">
        <v>852904.1</v>
      </c>
      <c r="L5" s="17">
        <v>852904.1</v>
      </c>
      <c r="M5" s="14"/>
      <c r="N5" s="14"/>
      <c r="O5" s="14"/>
      <c r="P5" s="14"/>
      <c r="Q5" s="14"/>
      <c r="R5" s="14">
        <v>4</v>
      </c>
    </row>
    <row r="6" spans="1:21" x14ac:dyDescent="0.3">
      <c r="A6" s="6" t="s">
        <v>21</v>
      </c>
      <c r="B6" s="6" t="s">
        <v>19</v>
      </c>
      <c r="C6" s="6">
        <v>1</v>
      </c>
      <c r="D6" s="6">
        <v>503203503</v>
      </c>
      <c r="E6" s="6" t="s">
        <v>25</v>
      </c>
      <c r="F6" s="6">
        <v>27795859</v>
      </c>
      <c r="G6" s="6" t="s">
        <v>339</v>
      </c>
      <c r="H6" s="19" t="s">
        <v>46</v>
      </c>
      <c r="I6" s="6">
        <v>2220103000</v>
      </c>
      <c r="J6" s="6" t="s">
        <v>340</v>
      </c>
      <c r="K6" s="7">
        <v>94931.5</v>
      </c>
      <c r="L6" s="7">
        <v>0</v>
      </c>
      <c r="M6" s="8">
        <v>46111</v>
      </c>
      <c r="N6" s="8">
        <v>46111</v>
      </c>
      <c r="O6" s="6"/>
      <c r="P6" s="6" t="s">
        <v>33</v>
      </c>
      <c r="Q6" s="6" t="s">
        <v>34</v>
      </c>
      <c r="R6" s="6"/>
      <c r="T6" t="s">
        <v>379</v>
      </c>
    </row>
    <row r="7" spans="1:21" x14ac:dyDescent="0.3">
      <c r="A7" s="6" t="s">
        <v>21</v>
      </c>
      <c r="B7" s="6" t="s">
        <v>19</v>
      </c>
      <c r="C7" s="6">
        <v>1</v>
      </c>
      <c r="D7" s="6">
        <v>503203503</v>
      </c>
      <c r="E7" s="6" t="s">
        <v>25</v>
      </c>
      <c r="F7" s="6">
        <v>27795859</v>
      </c>
      <c r="G7" s="6" t="s">
        <v>339</v>
      </c>
      <c r="H7" s="19" t="s">
        <v>46</v>
      </c>
      <c r="I7" s="6">
        <v>1010101000</v>
      </c>
      <c r="J7" s="6" t="s">
        <v>341</v>
      </c>
      <c r="K7" s="7">
        <v>0</v>
      </c>
      <c r="L7" s="7">
        <v>94931.5</v>
      </c>
      <c r="M7" s="8">
        <v>46111</v>
      </c>
      <c r="N7" s="8">
        <v>46111</v>
      </c>
      <c r="O7" s="6"/>
      <c r="P7" s="6" t="s">
        <v>342</v>
      </c>
      <c r="Q7" s="6" t="s">
        <v>146</v>
      </c>
      <c r="R7" s="6"/>
    </row>
    <row r="8" spans="1:21" x14ac:dyDescent="0.3">
      <c r="A8" s="6" t="s">
        <v>21</v>
      </c>
      <c r="B8" s="6" t="s">
        <v>19</v>
      </c>
      <c r="C8" s="6">
        <v>1</v>
      </c>
      <c r="D8" s="6">
        <v>503203503</v>
      </c>
      <c r="E8" s="6" t="s">
        <v>25</v>
      </c>
      <c r="F8" s="6">
        <v>27795859</v>
      </c>
      <c r="G8" s="6" t="s">
        <v>339</v>
      </c>
      <c r="H8" s="19" t="s">
        <v>46</v>
      </c>
      <c r="I8" s="6">
        <v>2220103000</v>
      </c>
      <c r="J8" s="6" t="s">
        <v>340</v>
      </c>
      <c r="K8" s="7">
        <v>757972.6</v>
      </c>
      <c r="L8" s="7">
        <v>0</v>
      </c>
      <c r="M8" s="8">
        <v>46111</v>
      </c>
      <c r="N8" s="8">
        <v>46111</v>
      </c>
      <c r="O8" s="6"/>
      <c r="P8" s="6" t="s">
        <v>33</v>
      </c>
      <c r="Q8" s="6" t="s">
        <v>34</v>
      </c>
      <c r="R8" s="6"/>
    </row>
    <row r="9" spans="1:21" x14ac:dyDescent="0.3">
      <c r="A9" s="6" t="s">
        <v>21</v>
      </c>
      <c r="B9" s="6" t="s">
        <v>19</v>
      </c>
      <c r="C9" s="6">
        <v>1</v>
      </c>
      <c r="D9" s="6">
        <v>503203503</v>
      </c>
      <c r="E9" s="6" t="s">
        <v>25</v>
      </c>
      <c r="F9" s="6">
        <v>27795859</v>
      </c>
      <c r="G9" s="6" t="s">
        <v>339</v>
      </c>
      <c r="H9" s="19" t="s">
        <v>46</v>
      </c>
      <c r="I9" s="6">
        <v>1010101000</v>
      </c>
      <c r="J9" s="6" t="s">
        <v>341</v>
      </c>
      <c r="K9" s="7">
        <v>0</v>
      </c>
      <c r="L9" s="7">
        <v>757972.6</v>
      </c>
      <c r="M9" s="8">
        <v>46111</v>
      </c>
      <c r="N9" s="8">
        <v>46111</v>
      </c>
      <c r="O9" s="6"/>
      <c r="P9" s="6" t="s">
        <v>342</v>
      </c>
      <c r="Q9" s="6" t="s">
        <v>146</v>
      </c>
      <c r="R9" s="6"/>
    </row>
    <row r="10" spans="1:21" x14ac:dyDescent="0.3">
      <c r="A10" s="14" t="s">
        <v>18</v>
      </c>
      <c r="B10" s="14" t="s">
        <v>19</v>
      </c>
      <c r="C10" s="14"/>
      <c r="D10" s="14"/>
      <c r="E10" s="14"/>
      <c r="F10" s="14">
        <v>51262895</v>
      </c>
      <c r="G10" s="14" t="s">
        <v>343</v>
      </c>
      <c r="H10" s="14"/>
      <c r="I10" s="14"/>
      <c r="J10" s="14"/>
      <c r="K10" s="17">
        <v>212866850.75</v>
      </c>
      <c r="L10" s="17">
        <v>212866850.75</v>
      </c>
      <c r="M10" s="14"/>
      <c r="N10" s="14"/>
      <c r="O10" s="14"/>
      <c r="P10" s="14"/>
      <c r="Q10" s="14"/>
      <c r="R10" s="14">
        <v>2</v>
      </c>
    </row>
    <row r="11" spans="1:21" x14ac:dyDescent="0.3">
      <c r="A11" s="6" t="s">
        <v>21</v>
      </c>
      <c r="B11" s="6" t="s">
        <v>19</v>
      </c>
      <c r="C11" s="6">
        <v>1</v>
      </c>
      <c r="D11" s="6">
        <v>503114828</v>
      </c>
      <c r="E11" s="6">
        <v>503114828</v>
      </c>
      <c r="F11" s="6">
        <v>51262895</v>
      </c>
      <c r="G11" s="6" t="s">
        <v>343</v>
      </c>
      <c r="H11" s="6" t="s">
        <v>174</v>
      </c>
      <c r="I11" s="6">
        <v>5330104000</v>
      </c>
      <c r="J11" s="6" t="s">
        <v>344</v>
      </c>
      <c r="K11" s="7">
        <v>0</v>
      </c>
      <c r="L11" s="7">
        <v>212866850.75</v>
      </c>
      <c r="M11" s="8">
        <v>45871</v>
      </c>
      <c r="N11" s="8">
        <v>45871</v>
      </c>
      <c r="O11" s="6"/>
      <c r="P11" s="6" t="s">
        <v>345</v>
      </c>
      <c r="Q11" s="6" t="s">
        <v>27</v>
      </c>
      <c r="R11" s="6"/>
    </row>
    <row r="12" spans="1:21" x14ac:dyDescent="0.3">
      <c r="A12" s="6" t="s">
        <v>21</v>
      </c>
      <c r="B12" s="6" t="s">
        <v>19</v>
      </c>
      <c r="C12" s="6">
        <v>1</v>
      </c>
      <c r="D12" s="6">
        <v>503114828</v>
      </c>
      <c r="E12" s="6">
        <v>503114828</v>
      </c>
      <c r="F12" s="6">
        <v>51262895</v>
      </c>
      <c r="G12" s="6" t="s">
        <v>343</v>
      </c>
      <c r="H12" s="6" t="s">
        <v>174</v>
      </c>
      <c r="I12" s="6">
        <v>5330104000</v>
      </c>
      <c r="J12" s="6" t="s">
        <v>344</v>
      </c>
      <c r="K12" s="7">
        <v>212866850.75</v>
      </c>
      <c r="L12" s="7">
        <v>0</v>
      </c>
      <c r="M12" s="8">
        <v>45871</v>
      </c>
      <c r="N12" s="8">
        <v>45871</v>
      </c>
      <c r="O12" s="6"/>
      <c r="P12" s="6" t="s">
        <v>345</v>
      </c>
      <c r="Q12" s="6" t="s">
        <v>27</v>
      </c>
      <c r="R12" s="6"/>
    </row>
    <row r="13" spans="1:21" x14ac:dyDescent="0.3">
      <c r="A13" s="14" t="s">
        <v>18</v>
      </c>
      <c r="B13" s="14" t="s">
        <v>19</v>
      </c>
      <c r="C13" s="14"/>
      <c r="D13" s="14"/>
      <c r="E13" s="14"/>
      <c r="F13" s="14">
        <v>57053569</v>
      </c>
      <c r="G13" s="14" t="s">
        <v>346</v>
      </c>
      <c r="H13" s="14"/>
      <c r="I13" s="14"/>
      <c r="J13" s="14"/>
      <c r="K13" s="17">
        <v>163686990</v>
      </c>
      <c r="L13" s="17">
        <v>163686990</v>
      </c>
      <c r="M13" s="14"/>
      <c r="N13" s="14"/>
      <c r="O13" s="14"/>
      <c r="P13" s="14"/>
      <c r="Q13" s="14"/>
      <c r="R13" s="14">
        <v>2</v>
      </c>
    </row>
    <row r="14" spans="1:21" x14ac:dyDescent="0.3">
      <c r="A14" s="6" t="s">
        <v>21</v>
      </c>
      <c r="B14" s="6" t="s">
        <v>19</v>
      </c>
      <c r="C14" s="6">
        <v>1</v>
      </c>
      <c r="D14" s="6">
        <v>502166797</v>
      </c>
      <c r="E14" s="6">
        <v>502166797</v>
      </c>
      <c r="F14" s="6">
        <v>57053569</v>
      </c>
      <c r="G14" s="6" t="s">
        <v>346</v>
      </c>
      <c r="H14" s="6" t="s">
        <v>174</v>
      </c>
      <c r="I14" s="6">
        <v>1100503000</v>
      </c>
      <c r="J14" s="6" t="s">
        <v>347</v>
      </c>
      <c r="K14" s="7">
        <v>0</v>
      </c>
      <c r="L14" s="7">
        <v>163686990</v>
      </c>
      <c r="M14" s="8">
        <v>46058</v>
      </c>
      <c r="N14" s="8">
        <v>46058</v>
      </c>
      <c r="O14" s="6"/>
      <c r="P14" s="6" t="s">
        <v>348</v>
      </c>
      <c r="Q14" s="6" t="s">
        <v>146</v>
      </c>
      <c r="R14" s="6"/>
    </row>
    <row r="15" spans="1:21" x14ac:dyDescent="0.3">
      <c r="A15" s="6" t="s">
        <v>21</v>
      </c>
      <c r="B15" s="6" t="s">
        <v>19</v>
      </c>
      <c r="C15" s="6">
        <v>1</v>
      </c>
      <c r="D15" s="6">
        <v>502166797</v>
      </c>
      <c r="E15" s="6">
        <v>502166797</v>
      </c>
      <c r="F15" s="6">
        <v>57053569</v>
      </c>
      <c r="G15" s="6" t="s">
        <v>346</v>
      </c>
      <c r="H15" s="6" t="s">
        <v>174</v>
      </c>
      <c r="I15" s="6">
        <v>5060102100</v>
      </c>
      <c r="J15" s="6" t="s">
        <v>349</v>
      </c>
      <c r="K15" s="7">
        <v>163686990</v>
      </c>
      <c r="L15" s="7">
        <v>0</v>
      </c>
      <c r="M15" s="8">
        <v>46058</v>
      </c>
      <c r="N15" s="8">
        <v>46058</v>
      </c>
      <c r="O15" s="6"/>
      <c r="P15" s="6" t="s">
        <v>85</v>
      </c>
      <c r="Q15" s="6" t="s">
        <v>27</v>
      </c>
      <c r="R15" s="6"/>
    </row>
    <row r="16" spans="1:21" x14ac:dyDescent="0.3">
      <c r="A16" s="14" t="s">
        <v>18</v>
      </c>
      <c r="B16" s="14" t="s">
        <v>19</v>
      </c>
      <c r="C16" s="14"/>
      <c r="D16" s="14"/>
      <c r="E16" s="14"/>
      <c r="F16" s="14" t="s">
        <v>350</v>
      </c>
      <c r="G16" s="14" t="s">
        <v>350</v>
      </c>
      <c r="H16" s="14"/>
      <c r="I16" s="14"/>
      <c r="J16" s="14"/>
      <c r="K16" s="17">
        <v>42541352.560000002</v>
      </c>
      <c r="L16" s="17">
        <v>42541352.560000002</v>
      </c>
      <c r="M16" s="14"/>
      <c r="N16" s="14"/>
      <c r="O16" s="14"/>
      <c r="P16" s="14"/>
      <c r="Q16" s="14"/>
      <c r="R16" s="14">
        <v>28</v>
      </c>
    </row>
    <row r="17" spans="1:18" x14ac:dyDescent="0.3">
      <c r="A17" s="6" t="s">
        <v>21</v>
      </c>
      <c r="B17" s="6" t="s">
        <v>19</v>
      </c>
      <c r="C17" s="6">
        <v>1</v>
      </c>
      <c r="D17" s="6">
        <v>503391518</v>
      </c>
      <c r="E17" s="6" t="s">
        <v>351</v>
      </c>
      <c r="F17" s="6" t="s">
        <v>350</v>
      </c>
      <c r="G17" s="6" t="s">
        <v>247</v>
      </c>
      <c r="H17" s="6" t="s">
        <v>248</v>
      </c>
      <c r="I17" s="6">
        <v>1510198000</v>
      </c>
      <c r="J17" s="6" t="s">
        <v>352</v>
      </c>
      <c r="K17" s="7">
        <v>15577285.1</v>
      </c>
      <c r="L17" s="7">
        <v>0</v>
      </c>
      <c r="M17" s="8">
        <v>45777</v>
      </c>
      <c r="N17" s="8">
        <v>45777</v>
      </c>
      <c r="O17" s="6"/>
      <c r="P17" s="6" t="s">
        <v>353</v>
      </c>
      <c r="Q17" s="6" t="s">
        <v>146</v>
      </c>
      <c r="R17" s="6"/>
    </row>
    <row r="18" spans="1:18" x14ac:dyDescent="0.3">
      <c r="A18" s="6" t="s">
        <v>21</v>
      </c>
      <c r="B18" s="6" t="s">
        <v>19</v>
      </c>
      <c r="C18" s="6">
        <v>1</v>
      </c>
      <c r="D18" s="6">
        <v>503391518</v>
      </c>
      <c r="E18" s="6" t="s">
        <v>351</v>
      </c>
      <c r="F18" s="6" t="s">
        <v>350</v>
      </c>
      <c r="G18" s="6" t="s">
        <v>247</v>
      </c>
      <c r="H18" s="6" t="s">
        <v>248</v>
      </c>
      <c r="I18" s="6">
        <v>1130101070</v>
      </c>
      <c r="J18" s="6" t="s">
        <v>354</v>
      </c>
      <c r="K18" s="7">
        <v>884828.89</v>
      </c>
      <c r="L18" s="7">
        <v>0</v>
      </c>
      <c r="M18" s="8">
        <v>45777</v>
      </c>
      <c r="N18" s="8">
        <v>45777</v>
      </c>
      <c r="O18" s="6"/>
      <c r="P18" s="6" t="s">
        <v>355</v>
      </c>
      <c r="Q18" s="6" t="s">
        <v>146</v>
      </c>
      <c r="R18" s="6"/>
    </row>
    <row r="19" spans="1:18" x14ac:dyDescent="0.3">
      <c r="A19" s="6" t="s">
        <v>21</v>
      </c>
      <c r="B19" s="6" t="s">
        <v>19</v>
      </c>
      <c r="C19" s="6">
        <v>1</v>
      </c>
      <c r="D19" s="6">
        <v>503391518</v>
      </c>
      <c r="E19" s="6" t="s">
        <v>351</v>
      </c>
      <c r="F19" s="6" t="s">
        <v>350</v>
      </c>
      <c r="G19" s="6" t="s">
        <v>247</v>
      </c>
      <c r="H19" s="6" t="s">
        <v>248</v>
      </c>
      <c r="I19" s="6">
        <v>1130101080</v>
      </c>
      <c r="J19" s="6" t="s">
        <v>356</v>
      </c>
      <c r="K19" s="7">
        <v>0</v>
      </c>
      <c r="L19" s="7">
        <v>2319995.8199999998</v>
      </c>
      <c r="M19" s="8">
        <v>45777</v>
      </c>
      <c r="N19" s="8">
        <v>45777</v>
      </c>
      <c r="O19" s="6"/>
      <c r="P19" s="6" t="s">
        <v>357</v>
      </c>
      <c r="Q19" s="6" t="s">
        <v>146</v>
      </c>
      <c r="R19" s="6"/>
    </row>
    <row r="20" spans="1:18" x14ac:dyDescent="0.3">
      <c r="A20" s="6" t="s">
        <v>21</v>
      </c>
      <c r="B20" s="6" t="s">
        <v>19</v>
      </c>
      <c r="C20" s="6">
        <v>1</v>
      </c>
      <c r="D20" s="6">
        <v>503391518</v>
      </c>
      <c r="E20" s="6" t="s">
        <v>351</v>
      </c>
      <c r="F20" s="6" t="s">
        <v>350</v>
      </c>
      <c r="G20" s="6" t="s">
        <v>247</v>
      </c>
      <c r="H20" s="6" t="s">
        <v>248</v>
      </c>
      <c r="I20" s="6">
        <v>1130101120</v>
      </c>
      <c r="J20" s="6" t="s">
        <v>358</v>
      </c>
      <c r="K20" s="7">
        <v>0</v>
      </c>
      <c r="L20" s="7">
        <v>1728211.43</v>
      </c>
      <c r="M20" s="8">
        <v>45777</v>
      </c>
      <c r="N20" s="8">
        <v>45777</v>
      </c>
      <c r="O20" s="6"/>
      <c r="P20" s="6" t="s">
        <v>359</v>
      </c>
      <c r="Q20" s="6" t="s">
        <v>146</v>
      </c>
      <c r="R20" s="6"/>
    </row>
    <row r="21" spans="1:18" x14ac:dyDescent="0.3">
      <c r="A21" s="6" t="s">
        <v>21</v>
      </c>
      <c r="B21" s="6" t="s">
        <v>19</v>
      </c>
      <c r="C21" s="6">
        <v>1</v>
      </c>
      <c r="D21" s="6">
        <v>503391518</v>
      </c>
      <c r="E21" s="6" t="s">
        <v>351</v>
      </c>
      <c r="F21" s="6" t="s">
        <v>350</v>
      </c>
      <c r="G21" s="6" t="s">
        <v>247</v>
      </c>
      <c r="H21" s="6" t="s">
        <v>248</v>
      </c>
      <c r="I21" s="6">
        <v>1130101080</v>
      </c>
      <c r="J21" s="6" t="s">
        <v>356</v>
      </c>
      <c r="K21" s="7">
        <v>0</v>
      </c>
      <c r="L21" s="7">
        <v>115448.31</v>
      </c>
      <c r="M21" s="8">
        <v>45777</v>
      </c>
      <c r="N21" s="8">
        <v>45777</v>
      </c>
      <c r="O21" s="6"/>
      <c r="P21" s="6" t="s">
        <v>357</v>
      </c>
      <c r="Q21" s="6" t="s">
        <v>146</v>
      </c>
      <c r="R21" s="6"/>
    </row>
    <row r="22" spans="1:18" x14ac:dyDescent="0.3">
      <c r="A22" s="6" t="s">
        <v>21</v>
      </c>
      <c r="B22" s="6" t="s">
        <v>19</v>
      </c>
      <c r="C22" s="6">
        <v>1</v>
      </c>
      <c r="D22" s="6">
        <v>503391518</v>
      </c>
      <c r="E22" s="6" t="s">
        <v>351</v>
      </c>
      <c r="F22" s="6" t="s">
        <v>350</v>
      </c>
      <c r="G22" s="6" t="s">
        <v>247</v>
      </c>
      <c r="H22" s="6" t="s">
        <v>248</v>
      </c>
      <c r="I22" s="6">
        <v>1130101070</v>
      </c>
      <c r="J22" s="6" t="s">
        <v>354</v>
      </c>
      <c r="K22" s="7">
        <v>2319995.8199999998</v>
      </c>
      <c r="L22" s="7">
        <v>0</v>
      </c>
      <c r="M22" s="8">
        <v>45777</v>
      </c>
      <c r="N22" s="8">
        <v>45777</v>
      </c>
      <c r="O22" s="6"/>
      <c r="P22" s="6" t="s">
        <v>355</v>
      </c>
      <c r="Q22" s="6" t="s">
        <v>146</v>
      </c>
      <c r="R22" s="6"/>
    </row>
    <row r="23" spans="1:18" x14ac:dyDescent="0.3">
      <c r="A23" s="6" t="s">
        <v>21</v>
      </c>
      <c r="B23" s="6" t="s">
        <v>19</v>
      </c>
      <c r="C23" s="6">
        <v>1</v>
      </c>
      <c r="D23" s="6">
        <v>503391518</v>
      </c>
      <c r="E23" s="6" t="s">
        <v>351</v>
      </c>
      <c r="F23" s="6" t="s">
        <v>350</v>
      </c>
      <c r="G23" s="6" t="s">
        <v>247</v>
      </c>
      <c r="H23" s="6" t="s">
        <v>248</v>
      </c>
      <c r="I23" s="6">
        <v>1130101070</v>
      </c>
      <c r="J23" s="6" t="s">
        <v>354</v>
      </c>
      <c r="K23" s="7">
        <v>415295</v>
      </c>
      <c r="L23" s="7">
        <v>0</v>
      </c>
      <c r="M23" s="8">
        <v>45777</v>
      </c>
      <c r="N23" s="8">
        <v>45777</v>
      </c>
      <c r="O23" s="6"/>
      <c r="P23" s="6" t="s">
        <v>355</v>
      </c>
      <c r="Q23" s="6" t="s">
        <v>146</v>
      </c>
      <c r="R23" s="6"/>
    </row>
    <row r="24" spans="1:18" x14ac:dyDescent="0.3">
      <c r="A24" s="6" t="s">
        <v>21</v>
      </c>
      <c r="B24" s="6" t="s">
        <v>19</v>
      </c>
      <c r="C24" s="6">
        <v>1</v>
      </c>
      <c r="D24" s="6">
        <v>503391518</v>
      </c>
      <c r="E24" s="6" t="s">
        <v>351</v>
      </c>
      <c r="F24" s="6" t="s">
        <v>350</v>
      </c>
      <c r="G24" s="6" t="s">
        <v>247</v>
      </c>
      <c r="H24" s="6" t="s">
        <v>248</v>
      </c>
      <c r="I24" s="6">
        <v>1130101110</v>
      </c>
      <c r="J24" s="6" t="s">
        <v>360</v>
      </c>
      <c r="K24" s="7">
        <v>924345.25</v>
      </c>
      <c r="L24" s="7">
        <v>0</v>
      </c>
      <c r="M24" s="8">
        <v>45777</v>
      </c>
      <c r="N24" s="8">
        <v>45777</v>
      </c>
      <c r="O24" s="6"/>
      <c r="P24" s="6" t="s">
        <v>357</v>
      </c>
      <c r="Q24" s="6" t="s">
        <v>146</v>
      </c>
      <c r="R24" s="6"/>
    </row>
    <row r="25" spans="1:18" x14ac:dyDescent="0.3">
      <c r="A25" s="6" t="s">
        <v>21</v>
      </c>
      <c r="B25" s="6" t="s">
        <v>19</v>
      </c>
      <c r="C25" s="6">
        <v>1</v>
      </c>
      <c r="D25" s="6">
        <v>503391518</v>
      </c>
      <c r="E25" s="6" t="s">
        <v>351</v>
      </c>
      <c r="F25" s="6" t="s">
        <v>350</v>
      </c>
      <c r="G25" s="6" t="s">
        <v>247</v>
      </c>
      <c r="H25" s="6" t="s">
        <v>248</v>
      </c>
      <c r="I25" s="6">
        <v>1130101135</v>
      </c>
      <c r="J25" s="6" t="s">
        <v>361</v>
      </c>
      <c r="K25" s="7">
        <v>0</v>
      </c>
      <c r="L25" s="7">
        <v>156</v>
      </c>
      <c r="M25" s="8">
        <v>45777</v>
      </c>
      <c r="N25" s="8">
        <v>45777</v>
      </c>
      <c r="O25" s="6"/>
      <c r="P25" s="6" t="s">
        <v>357</v>
      </c>
      <c r="Q25" s="6" t="s">
        <v>146</v>
      </c>
      <c r="R25" s="6"/>
    </row>
    <row r="26" spans="1:18" x14ac:dyDescent="0.3">
      <c r="A26" s="6" t="s">
        <v>21</v>
      </c>
      <c r="B26" s="6" t="s">
        <v>19</v>
      </c>
      <c r="C26" s="6">
        <v>1</v>
      </c>
      <c r="D26" s="6">
        <v>503391518</v>
      </c>
      <c r="E26" s="6" t="s">
        <v>351</v>
      </c>
      <c r="F26" s="6" t="s">
        <v>350</v>
      </c>
      <c r="G26" s="6" t="s">
        <v>247</v>
      </c>
      <c r="H26" s="6" t="s">
        <v>248</v>
      </c>
      <c r="I26" s="6">
        <v>1130101080</v>
      </c>
      <c r="J26" s="6" t="s">
        <v>356</v>
      </c>
      <c r="K26" s="7">
        <v>0</v>
      </c>
      <c r="L26" s="7">
        <v>884828.89</v>
      </c>
      <c r="M26" s="8">
        <v>45777</v>
      </c>
      <c r="N26" s="8">
        <v>45777</v>
      </c>
      <c r="O26" s="6"/>
      <c r="P26" s="6" t="s">
        <v>357</v>
      </c>
      <c r="Q26" s="6" t="s">
        <v>146</v>
      </c>
      <c r="R26" s="6"/>
    </row>
    <row r="27" spans="1:18" x14ac:dyDescent="0.3">
      <c r="A27" s="6" t="s">
        <v>21</v>
      </c>
      <c r="B27" s="6" t="s">
        <v>19</v>
      </c>
      <c r="C27" s="6">
        <v>1</v>
      </c>
      <c r="D27" s="6">
        <v>503391518</v>
      </c>
      <c r="E27" s="6" t="s">
        <v>351</v>
      </c>
      <c r="F27" s="6" t="s">
        <v>350</v>
      </c>
      <c r="G27" s="6" t="s">
        <v>247</v>
      </c>
      <c r="H27" s="6" t="s">
        <v>248</v>
      </c>
      <c r="I27" s="6">
        <v>1130101120</v>
      </c>
      <c r="J27" s="6" t="s">
        <v>358</v>
      </c>
      <c r="K27" s="7">
        <v>0</v>
      </c>
      <c r="L27" s="7">
        <v>2356491.4900000002</v>
      </c>
      <c r="M27" s="8">
        <v>45777</v>
      </c>
      <c r="N27" s="8">
        <v>45777</v>
      </c>
      <c r="O27" s="6"/>
      <c r="P27" s="6" t="s">
        <v>359</v>
      </c>
      <c r="Q27" s="6" t="s">
        <v>146</v>
      </c>
      <c r="R27" s="6"/>
    </row>
    <row r="28" spans="1:18" x14ac:dyDescent="0.3">
      <c r="A28" s="6" t="s">
        <v>21</v>
      </c>
      <c r="B28" s="6" t="s">
        <v>19</v>
      </c>
      <c r="C28" s="6">
        <v>1</v>
      </c>
      <c r="D28" s="6">
        <v>503391518</v>
      </c>
      <c r="E28" s="6" t="s">
        <v>351</v>
      </c>
      <c r="F28" s="6" t="s">
        <v>350</v>
      </c>
      <c r="G28" s="6" t="s">
        <v>247</v>
      </c>
      <c r="H28" s="6" t="s">
        <v>248</v>
      </c>
      <c r="I28" s="6">
        <v>1130101080</v>
      </c>
      <c r="J28" s="6" t="s">
        <v>356</v>
      </c>
      <c r="K28" s="7">
        <v>0</v>
      </c>
      <c r="L28" s="7">
        <v>39938.050000000003</v>
      </c>
      <c r="M28" s="8">
        <v>45777</v>
      </c>
      <c r="N28" s="8">
        <v>45777</v>
      </c>
      <c r="O28" s="6"/>
      <c r="P28" s="6" t="s">
        <v>357</v>
      </c>
      <c r="Q28" s="6" t="s">
        <v>146</v>
      </c>
      <c r="R28" s="6"/>
    </row>
    <row r="29" spans="1:18" x14ac:dyDescent="0.3">
      <c r="A29" s="6" t="s">
        <v>21</v>
      </c>
      <c r="B29" s="6" t="s">
        <v>19</v>
      </c>
      <c r="C29" s="6">
        <v>1</v>
      </c>
      <c r="D29" s="6">
        <v>503391518</v>
      </c>
      <c r="E29" s="6" t="s">
        <v>351</v>
      </c>
      <c r="F29" s="6" t="s">
        <v>350</v>
      </c>
      <c r="G29" s="6" t="s">
        <v>247</v>
      </c>
      <c r="H29" s="6" t="s">
        <v>248</v>
      </c>
      <c r="I29" s="6">
        <v>5060102951</v>
      </c>
      <c r="J29" s="6" t="s">
        <v>362</v>
      </c>
      <c r="K29" s="7">
        <v>0</v>
      </c>
      <c r="L29" s="7">
        <v>11772.31</v>
      </c>
      <c r="M29" s="8">
        <v>45777</v>
      </c>
      <c r="N29" s="8">
        <v>45777</v>
      </c>
      <c r="O29" s="6"/>
      <c r="P29" s="6" t="s">
        <v>169</v>
      </c>
      <c r="Q29" s="6" t="s">
        <v>27</v>
      </c>
      <c r="R29" s="6"/>
    </row>
    <row r="30" spans="1:18" x14ac:dyDescent="0.3">
      <c r="A30" s="6" t="s">
        <v>21</v>
      </c>
      <c r="B30" s="6" t="s">
        <v>19</v>
      </c>
      <c r="C30" s="6">
        <v>1</v>
      </c>
      <c r="D30" s="6">
        <v>503391518</v>
      </c>
      <c r="E30" s="6" t="s">
        <v>351</v>
      </c>
      <c r="F30" s="6" t="s">
        <v>350</v>
      </c>
      <c r="G30" s="6" t="s">
        <v>247</v>
      </c>
      <c r="H30" s="6" t="s">
        <v>248</v>
      </c>
      <c r="I30" s="6">
        <v>1130101130</v>
      </c>
      <c r="J30" s="6" t="s">
        <v>363</v>
      </c>
      <c r="K30" s="7">
        <v>0</v>
      </c>
      <c r="L30" s="7">
        <v>11772.27</v>
      </c>
      <c r="M30" s="8">
        <v>45777</v>
      </c>
      <c r="N30" s="8">
        <v>45777</v>
      </c>
      <c r="O30" s="6"/>
      <c r="P30" s="6" t="s">
        <v>357</v>
      </c>
      <c r="Q30" s="6" t="s">
        <v>146</v>
      </c>
      <c r="R30" s="6"/>
    </row>
    <row r="31" spans="1:18" x14ac:dyDescent="0.3">
      <c r="A31" s="6" t="s">
        <v>21</v>
      </c>
      <c r="B31" s="6" t="s">
        <v>19</v>
      </c>
      <c r="C31" s="6">
        <v>1</v>
      </c>
      <c r="D31" s="6">
        <v>503391518</v>
      </c>
      <c r="E31" s="6" t="s">
        <v>351</v>
      </c>
      <c r="F31" s="6" t="s">
        <v>350</v>
      </c>
      <c r="G31" s="6" t="s">
        <v>247</v>
      </c>
      <c r="H31" s="6" t="s">
        <v>248</v>
      </c>
      <c r="I31" s="6">
        <v>1130101135</v>
      </c>
      <c r="J31" s="6" t="s">
        <v>361</v>
      </c>
      <c r="K31" s="7">
        <v>76569.320000000007</v>
      </c>
      <c r="L31" s="7">
        <v>0</v>
      </c>
      <c r="M31" s="8">
        <v>45777</v>
      </c>
      <c r="N31" s="8">
        <v>45777</v>
      </c>
      <c r="O31" s="6"/>
      <c r="P31" s="6" t="s">
        <v>357</v>
      </c>
      <c r="Q31" s="6" t="s">
        <v>146</v>
      </c>
      <c r="R31" s="6"/>
    </row>
    <row r="32" spans="1:18" x14ac:dyDescent="0.3">
      <c r="A32" s="6" t="s">
        <v>21</v>
      </c>
      <c r="B32" s="6" t="s">
        <v>19</v>
      </c>
      <c r="C32" s="6">
        <v>1</v>
      </c>
      <c r="D32" s="6">
        <v>503391518</v>
      </c>
      <c r="E32" s="6" t="s">
        <v>351</v>
      </c>
      <c r="F32" s="6" t="s">
        <v>350</v>
      </c>
      <c r="G32" s="6" t="s">
        <v>247</v>
      </c>
      <c r="H32" s="6" t="s">
        <v>248</v>
      </c>
      <c r="I32" s="6">
        <v>1130101070</v>
      </c>
      <c r="J32" s="6" t="s">
        <v>354</v>
      </c>
      <c r="K32" s="7">
        <v>488317.91</v>
      </c>
      <c r="L32" s="7">
        <v>0</v>
      </c>
      <c r="M32" s="8">
        <v>45777</v>
      </c>
      <c r="N32" s="8">
        <v>45777</v>
      </c>
      <c r="O32" s="6"/>
      <c r="P32" s="6" t="s">
        <v>355</v>
      </c>
      <c r="Q32" s="6" t="s">
        <v>146</v>
      </c>
      <c r="R32" s="6"/>
    </row>
    <row r="33" spans="1:18" x14ac:dyDescent="0.3">
      <c r="A33" s="6" t="s">
        <v>21</v>
      </c>
      <c r="B33" s="6" t="s">
        <v>19</v>
      </c>
      <c r="C33" s="6">
        <v>1</v>
      </c>
      <c r="D33" s="6">
        <v>503391518</v>
      </c>
      <c r="E33" s="6" t="s">
        <v>351</v>
      </c>
      <c r="F33" s="6" t="s">
        <v>350</v>
      </c>
      <c r="G33" s="6" t="s">
        <v>247</v>
      </c>
      <c r="H33" s="6" t="s">
        <v>248</v>
      </c>
      <c r="I33" s="6">
        <v>5060102951</v>
      </c>
      <c r="J33" s="6" t="s">
        <v>362</v>
      </c>
      <c r="K33" s="7">
        <v>0</v>
      </c>
      <c r="L33" s="7">
        <v>1546060.21</v>
      </c>
      <c r="M33" s="8">
        <v>45777</v>
      </c>
      <c r="N33" s="8">
        <v>45777</v>
      </c>
      <c r="O33" s="6"/>
      <c r="P33" s="6" t="s">
        <v>169</v>
      </c>
      <c r="Q33" s="6" t="s">
        <v>27</v>
      </c>
      <c r="R33" s="6"/>
    </row>
    <row r="34" spans="1:18" x14ac:dyDescent="0.3">
      <c r="A34" s="6" t="s">
        <v>21</v>
      </c>
      <c r="B34" s="6" t="s">
        <v>19</v>
      </c>
      <c r="C34" s="6">
        <v>1</v>
      </c>
      <c r="D34" s="6">
        <v>503391518</v>
      </c>
      <c r="E34" s="6" t="s">
        <v>351</v>
      </c>
      <c r="F34" s="6" t="s">
        <v>350</v>
      </c>
      <c r="G34" s="6" t="s">
        <v>247</v>
      </c>
      <c r="H34" s="6" t="s">
        <v>248</v>
      </c>
      <c r="I34" s="6">
        <v>1510198000</v>
      </c>
      <c r="J34" s="6" t="s">
        <v>352</v>
      </c>
      <c r="K34" s="7">
        <v>14532475.560000001</v>
      </c>
      <c r="L34" s="7">
        <v>0</v>
      </c>
      <c r="M34" s="8">
        <v>45777</v>
      </c>
      <c r="N34" s="8">
        <v>45777</v>
      </c>
      <c r="O34" s="6"/>
      <c r="P34" s="6" t="s">
        <v>353</v>
      </c>
      <c r="Q34" s="6" t="s">
        <v>146</v>
      </c>
      <c r="R34" s="6"/>
    </row>
    <row r="35" spans="1:18" x14ac:dyDescent="0.3">
      <c r="A35" s="6" t="s">
        <v>21</v>
      </c>
      <c r="B35" s="6" t="s">
        <v>19</v>
      </c>
      <c r="C35" s="6">
        <v>1</v>
      </c>
      <c r="D35" s="6">
        <v>503391518</v>
      </c>
      <c r="E35" s="6" t="s">
        <v>351</v>
      </c>
      <c r="F35" s="6" t="s">
        <v>350</v>
      </c>
      <c r="G35" s="6" t="s">
        <v>247</v>
      </c>
      <c r="H35" s="6" t="s">
        <v>248</v>
      </c>
      <c r="I35" s="6">
        <v>1130101110</v>
      </c>
      <c r="J35" s="6" t="s">
        <v>360</v>
      </c>
      <c r="K35" s="7">
        <v>5533100.3399999999</v>
      </c>
      <c r="L35" s="7">
        <v>0</v>
      </c>
      <c r="M35" s="8">
        <v>45777</v>
      </c>
      <c r="N35" s="8">
        <v>45777</v>
      </c>
      <c r="O35" s="6"/>
      <c r="P35" s="6" t="s">
        <v>357</v>
      </c>
      <c r="Q35" s="6" t="s">
        <v>146</v>
      </c>
      <c r="R35" s="6"/>
    </row>
    <row r="36" spans="1:18" x14ac:dyDescent="0.3">
      <c r="A36" s="6" t="s">
        <v>21</v>
      </c>
      <c r="B36" s="6" t="s">
        <v>19</v>
      </c>
      <c r="C36" s="6">
        <v>1</v>
      </c>
      <c r="D36" s="6">
        <v>503391518</v>
      </c>
      <c r="E36" s="6" t="s">
        <v>351</v>
      </c>
      <c r="F36" s="6" t="s">
        <v>350</v>
      </c>
      <c r="G36" s="6" t="s">
        <v>247</v>
      </c>
      <c r="H36" s="6" t="s">
        <v>248</v>
      </c>
      <c r="I36" s="6">
        <v>1130101080</v>
      </c>
      <c r="J36" s="6" t="s">
        <v>356</v>
      </c>
      <c r="K36" s="7">
        <v>0</v>
      </c>
      <c r="L36" s="7">
        <v>191368.8</v>
      </c>
      <c r="M36" s="8">
        <v>45777</v>
      </c>
      <c r="N36" s="8">
        <v>45777</v>
      </c>
      <c r="O36" s="6"/>
      <c r="P36" s="6" t="s">
        <v>357</v>
      </c>
      <c r="Q36" s="6" t="s">
        <v>146</v>
      </c>
      <c r="R36" s="6"/>
    </row>
    <row r="37" spans="1:18" x14ac:dyDescent="0.3">
      <c r="A37" s="6" t="s">
        <v>21</v>
      </c>
      <c r="B37" s="6" t="s">
        <v>19</v>
      </c>
      <c r="C37" s="6">
        <v>1</v>
      </c>
      <c r="D37" s="6">
        <v>503391518</v>
      </c>
      <c r="E37" s="6" t="s">
        <v>351</v>
      </c>
      <c r="F37" s="6" t="s">
        <v>350</v>
      </c>
      <c r="G37" s="6" t="s">
        <v>247</v>
      </c>
      <c r="H37" s="6" t="s">
        <v>248</v>
      </c>
      <c r="I37" s="6">
        <v>1130101130</v>
      </c>
      <c r="J37" s="6" t="s">
        <v>363</v>
      </c>
      <c r="K37" s="7">
        <v>1737429.01</v>
      </c>
      <c r="L37" s="7">
        <v>0</v>
      </c>
      <c r="M37" s="8">
        <v>45777</v>
      </c>
      <c r="N37" s="8">
        <v>45777</v>
      </c>
      <c r="O37" s="6"/>
      <c r="P37" s="6" t="s">
        <v>357</v>
      </c>
      <c r="Q37" s="6" t="s">
        <v>146</v>
      </c>
      <c r="R37" s="6"/>
    </row>
    <row r="38" spans="1:18" x14ac:dyDescent="0.3">
      <c r="A38" s="6" t="s">
        <v>21</v>
      </c>
      <c r="B38" s="6" t="s">
        <v>19</v>
      </c>
      <c r="C38" s="6">
        <v>1</v>
      </c>
      <c r="D38" s="6">
        <v>503391518</v>
      </c>
      <c r="E38" s="6" t="s">
        <v>351</v>
      </c>
      <c r="F38" s="6" t="s">
        <v>350</v>
      </c>
      <c r="G38" s="6" t="s">
        <v>247</v>
      </c>
      <c r="H38" s="6" t="s">
        <v>248</v>
      </c>
      <c r="I38" s="6">
        <v>1130101130</v>
      </c>
      <c r="J38" s="6" t="s">
        <v>363</v>
      </c>
      <c r="K38" s="7">
        <v>0</v>
      </c>
      <c r="L38" s="7">
        <v>1544822.49</v>
      </c>
      <c r="M38" s="8">
        <v>45777</v>
      </c>
      <c r="N38" s="8">
        <v>45777</v>
      </c>
      <c r="O38" s="6"/>
      <c r="P38" s="6" t="s">
        <v>357</v>
      </c>
      <c r="Q38" s="6" t="s">
        <v>146</v>
      </c>
      <c r="R38" s="6"/>
    </row>
    <row r="39" spans="1:18" x14ac:dyDescent="0.3">
      <c r="A39" s="6" t="s">
        <v>21</v>
      </c>
      <c r="B39" s="6" t="s">
        <v>19</v>
      </c>
      <c r="C39" s="6">
        <v>1</v>
      </c>
      <c r="D39" s="6">
        <v>503391518</v>
      </c>
      <c r="E39" s="6" t="s">
        <v>351</v>
      </c>
      <c r="F39" s="6" t="s">
        <v>350</v>
      </c>
      <c r="G39" s="6" t="s">
        <v>247</v>
      </c>
      <c r="H39" s="6" t="s">
        <v>248</v>
      </c>
      <c r="I39" s="6">
        <v>1130101070</v>
      </c>
      <c r="J39" s="6" t="s">
        <v>354</v>
      </c>
      <c r="K39" s="7">
        <v>0</v>
      </c>
      <c r="L39" s="7">
        <v>12260356.210000001</v>
      </c>
      <c r="M39" s="8">
        <v>45777</v>
      </c>
      <c r="N39" s="8">
        <v>45777</v>
      </c>
      <c r="O39" s="6"/>
      <c r="P39" s="6" t="s">
        <v>355</v>
      </c>
      <c r="Q39" s="6" t="s">
        <v>146</v>
      </c>
      <c r="R39" s="6"/>
    </row>
    <row r="40" spans="1:18" x14ac:dyDescent="0.3">
      <c r="A40" s="6" t="s">
        <v>21</v>
      </c>
      <c r="B40" s="6" t="s">
        <v>19</v>
      </c>
      <c r="C40" s="6">
        <v>1</v>
      </c>
      <c r="D40" s="6">
        <v>503391518</v>
      </c>
      <c r="E40" s="6" t="s">
        <v>351</v>
      </c>
      <c r="F40" s="6" t="s">
        <v>350</v>
      </c>
      <c r="G40" s="6" t="s">
        <v>247</v>
      </c>
      <c r="H40" s="6" t="s">
        <v>248</v>
      </c>
      <c r="I40" s="6">
        <v>1130101080</v>
      </c>
      <c r="J40" s="6" t="s">
        <v>356</v>
      </c>
      <c r="K40" s="7">
        <v>0</v>
      </c>
      <c r="L40" s="7">
        <v>415295</v>
      </c>
      <c r="M40" s="8">
        <v>45777</v>
      </c>
      <c r="N40" s="8">
        <v>45777</v>
      </c>
      <c r="O40" s="6"/>
      <c r="P40" s="6" t="s">
        <v>357</v>
      </c>
      <c r="Q40" s="6" t="s">
        <v>146</v>
      </c>
      <c r="R40" s="6"/>
    </row>
    <row r="41" spans="1:18" x14ac:dyDescent="0.3">
      <c r="A41" s="6" t="s">
        <v>21</v>
      </c>
      <c r="B41" s="6" t="s">
        <v>19</v>
      </c>
      <c r="C41" s="6">
        <v>1</v>
      </c>
      <c r="D41" s="6">
        <v>503391518</v>
      </c>
      <c r="E41" s="6" t="s">
        <v>351</v>
      </c>
      <c r="F41" s="6" t="s">
        <v>350</v>
      </c>
      <c r="G41" s="6" t="s">
        <v>247</v>
      </c>
      <c r="H41" s="6" t="s">
        <v>248</v>
      </c>
      <c r="I41" s="6">
        <v>1130101130</v>
      </c>
      <c r="J41" s="6" t="s">
        <v>363</v>
      </c>
      <c r="K41" s="7">
        <v>11772.31</v>
      </c>
      <c r="L41" s="7">
        <v>0</v>
      </c>
      <c r="M41" s="8">
        <v>45777</v>
      </c>
      <c r="N41" s="8">
        <v>45777</v>
      </c>
      <c r="O41" s="6"/>
      <c r="P41" s="6" t="s">
        <v>357</v>
      </c>
      <c r="Q41" s="6" t="s">
        <v>146</v>
      </c>
      <c r="R41" s="6"/>
    </row>
    <row r="42" spans="1:18" x14ac:dyDescent="0.3">
      <c r="A42" s="6" t="s">
        <v>21</v>
      </c>
      <c r="B42" s="6" t="s">
        <v>19</v>
      </c>
      <c r="C42" s="6">
        <v>1</v>
      </c>
      <c r="D42" s="6">
        <v>503391518</v>
      </c>
      <c r="E42" s="6" t="s">
        <v>351</v>
      </c>
      <c r="F42" s="6" t="s">
        <v>350</v>
      </c>
      <c r="G42" s="6" t="s">
        <v>247</v>
      </c>
      <c r="H42" s="6" t="s">
        <v>248</v>
      </c>
      <c r="I42" s="6">
        <v>1130101080</v>
      </c>
      <c r="J42" s="6" t="s">
        <v>356</v>
      </c>
      <c r="K42" s="7">
        <v>0</v>
      </c>
      <c r="L42" s="7">
        <v>488317.91</v>
      </c>
      <c r="M42" s="8">
        <v>45777</v>
      </c>
      <c r="N42" s="8">
        <v>45777</v>
      </c>
      <c r="O42" s="6"/>
      <c r="P42" s="6" t="s">
        <v>357</v>
      </c>
      <c r="Q42" s="6" t="s">
        <v>146</v>
      </c>
      <c r="R42" s="6"/>
    </row>
    <row r="43" spans="1:18" x14ac:dyDescent="0.3">
      <c r="A43" s="6" t="s">
        <v>21</v>
      </c>
      <c r="B43" s="6" t="s">
        <v>19</v>
      </c>
      <c r="C43" s="6">
        <v>1</v>
      </c>
      <c r="D43" s="6">
        <v>503391518</v>
      </c>
      <c r="E43" s="6" t="s">
        <v>351</v>
      </c>
      <c r="F43" s="6" t="s">
        <v>350</v>
      </c>
      <c r="G43" s="6" t="s">
        <v>247</v>
      </c>
      <c r="H43" s="6" t="s">
        <v>248</v>
      </c>
      <c r="I43" s="6">
        <v>5020101039</v>
      </c>
      <c r="J43" s="6" t="s">
        <v>364</v>
      </c>
      <c r="K43" s="7">
        <v>39938.050000000003</v>
      </c>
      <c r="L43" s="7">
        <v>0</v>
      </c>
      <c r="M43" s="8">
        <v>45777</v>
      </c>
      <c r="N43" s="8">
        <v>45777</v>
      </c>
      <c r="O43" s="6"/>
      <c r="P43" s="6" t="s">
        <v>169</v>
      </c>
      <c r="Q43" s="6" t="s">
        <v>27</v>
      </c>
      <c r="R43" s="6"/>
    </row>
    <row r="44" spans="1:18" x14ac:dyDescent="0.3">
      <c r="A44" s="6" t="s">
        <v>21</v>
      </c>
      <c r="B44" s="6" t="s">
        <v>19</v>
      </c>
      <c r="C44" s="6">
        <v>1</v>
      </c>
      <c r="D44" s="6">
        <v>503391518</v>
      </c>
      <c r="E44" s="6" t="s">
        <v>351</v>
      </c>
      <c r="F44" s="6" t="s">
        <v>350</v>
      </c>
      <c r="G44" s="6" t="s">
        <v>247</v>
      </c>
      <c r="H44" s="6" t="s">
        <v>248</v>
      </c>
      <c r="I44" s="6">
        <v>1130101070</v>
      </c>
      <c r="J44" s="6" t="s">
        <v>354</v>
      </c>
      <c r="K44" s="7">
        <v>0</v>
      </c>
      <c r="L44" s="7">
        <v>18626517.370000001</v>
      </c>
      <c r="M44" s="8">
        <v>45777</v>
      </c>
      <c r="N44" s="8">
        <v>45777</v>
      </c>
      <c r="O44" s="6"/>
      <c r="P44" s="6" t="s">
        <v>355</v>
      </c>
      <c r="Q44" s="6" t="s">
        <v>146</v>
      </c>
      <c r="R44" s="6"/>
    </row>
  </sheetData>
  <autoFilter ref="A1:R44" xr:uid="{89EAC92A-2236-436A-9D82-1391A868550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further</vt:lpstr>
      <vt:lpstr>debits to revenue</vt:lpstr>
      <vt:lpstr>users with few 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2026-09-09T07:08:11Z</dcterms:created>
  <dcterms:modified xsi:type="dcterms:W3CDTF">2026-09-13T16:22:23Z</dcterms:modified>
</cp:coreProperties>
</file>