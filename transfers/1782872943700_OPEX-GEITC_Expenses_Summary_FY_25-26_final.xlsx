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mo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<sst xmlns="http://schemas.openxmlformats.org/spreadsheetml/2006/main" count="90" uniqueCount="83">
  <si>
    <t xml:space="preserve">Deloitte Haskins &amp; Sells</t>
  </si>
  <si>
    <t xml:space="preserve">GE India Industrial Private Limited</t>
  </si>
  <si>
    <t xml:space="preserve">Audit for the year ended March, 2026</t>
  </si>
  <si>
    <t xml:space="preserve">Audit Area</t>
  </si>
  <si>
    <t xml:space="preserve">Other Expense</t>
  </si>
  <si>
    <t xml:space="preserve">Purpose</t>
  </si>
  <si>
    <t xml:space="preserve">The purpose of this work paper is to summarize all the other expenses and to document the major balance compirse of and to document the reason for variance</t>
  </si>
  <si>
    <t xml:space="preserve">Scope of work</t>
  </si>
  <si>
    <t xml:space="preserve">1. ET obtained expense dump from the client.</t>
  </si>
  <si>
    <t xml:space="preserve">2. ET has given refrence of wp where a particular expense is tested</t>
  </si>
  <si>
    <t xml:space="preserve">3. ET has documented the major balance comprise of a particular expense</t>
  </si>
  <si>
    <t xml:space="preserve">4. ET has documented the reasons of variances</t>
  </si>
  <si>
    <t xml:space="preserve">Completeness and Accuracy of IPE :</t>
  </si>
  <si>
    <t xml:space="preserve">ET has traced the GL amount with trial balance to ensure the completeness and accuracy of the schedule and evaluating whether the information is sufficiently precise and detailed for our purposes.</t>
  </si>
  <si>
    <t xml:space="preserve">Observation</t>
  </si>
  <si>
    <t xml:space="preserve">None</t>
  </si>
  <si>
    <t xml:space="preserve">Conclusion</t>
  </si>
  <si>
    <t xml:space="preserve">Based on our audit procedures performed, account balances are not materially misstated</t>
  </si>
  <si>
    <t xml:space="preserve">Work done</t>
  </si>
  <si>
    <t xml:space="preserve">1. ET has given refrence of wp where a particular expense is tested</t>
  </si>
  <si>
    <t xml:space="preserve">2. ET has documented the major balance comprise of a particular expense</t>
  </si>
  <si>
    <t xml:space="preserve">3. ET has documented the reasons of variances</t>
  </si>
  <si>
    <t xml:space="preserve">2.28: Other expenses</t>
  </si>
  <si>
    <t xml:space="preserve">Particulars</t>
  </si>
  <si>
    <t xml:space="preserve">For the year ended 31 March 2026</t>
  </si>
  <si>
    <t xml:space="preserve">For the year ended 31 March 2025</t>
  </si>
  <si>
    <t xml:space="preserve">Variance</t>
  </si>
  <si>
    <t xml:space="preserve">Variance %</t>
  </si>
  <si>
    <t xml:space="preserve">WP Reference</t>
  </si>
  <si>
    <t xml:space="preserve">Composition and variance reasons</t>
  </si>
  <si>
    <t xml:space="preserve">Power and fuel</t>
  </si>
  <si>
    <t xml:space="preserve">Refer WP "OPEX-GEITC Power &amp; fuel"</t>
  </si>
  <si>
    <t xml:space="preserve">Majorly the increase is due to: 
INR 2.93 crores on account of increase in Power upgrade for Rack setup in STT global data center</t>
  </si>
  <si>
    <t xml:space="preserve">Rent (refer note 2.35)</t>
  </si>
  <si>
    <t xml:space="preserve">Refer Wp"OPEX-GEITC Rent WP"</t>
  </si>
  <si>
    <t xml:space="preserve">The decrease is on account of decrease in EB cars is purchased in 2025</t>
  </si>
  <si>
    <t xml:space="preserve">Repairs and maintenance:</t>
  </si>
  <si>
    <t xml:space="preserve"> - buildings</t>
  </si>
  <si>
    <t xml:space="preserve">Refer WP "OPEX-GEITC Repairs &amp; Maintenance - Building WP"</t>
  </si>
  <si>
    <t xml:space="preserve">The separation civil/interior/Electrical works accross JF site was more in the FY 24 as compared to the works in the FY 2025.</t>
  </si>
  <si>
    <t xml:space="preserve"> - plant and machinery</t>
  </si>
  <si>
    <t xml:space="preserve">Refer Wp "OPEX-GEITC Repairs - P&amp;M WP GEITC"</t>
  </si>
  <si>
    <t xml:space="preserve">Variance due to below costs being iincurred in the FY 2024
1. INR 2.50 crores is procured in Battery procurement &amp; Installation from ABB India on account of standby in 2024 &amp; it's only 50 Lakhs in 2025
2. INR 2.6 crores of AV equipments procured from Fillip in 2024 on account of De-merger &amp; only 11 lakhs booked in 2025
3. INR 2.23 crores of electrical panels &amp; works from Shobha electricals is done in 2024, it's only 22 lakhs booked in 2025
4. INR 1.13 crores of electrical panels is procured from Sharon controls in 2024 &amp; only 11 lakhs is booked in 2025
5. INR 2 crores of Tables &amp; furniture is procured from ISIT in 2024 &amp; only 37 lakhs is booked in 2025
6. INR 1.3 crores of Network equipment is procured from WWT in 2024 &amp; only 11 Lakhs is booked in 2025</t>
  </si>
  <si>
    <t xml:space="preserve"> - others</t>
  </si>
  <si>
    <t xml:space="preserve">Refer Wp "OPEX-GEITC Repairs &amp; Maintenance - Others WP"</t>
  </si>
  <si>
    <t xml:space="preserve">Immaterial</t>
  </si>
  <si>
    <t xml:space="preserve">Rates and taxes</t>
  </si>
  <si>
    <t xml:space="preserve">Refer WP"OPEX-GEITC Rates &amp; Taxes GEITC Wp"</t>
  </si>
  <si>
    <t xml:space="preserve">In the Current FY, BBMP property tax settlement was being done amounting to around 35 Cr.</t>
  </si>
  <si>
    <t xml:space="preserve">Traveling and conveyance</t>
  </si>
  <si>
    <t xml:space="preserve">Refer Wp "OPEX-GEITC Travelling and conveyance 2024 WP"</t>
  </si>
  <si>
    <t xml:space="preserve">Because of demerger during the FY 2023-24, the travel costs was higher as compared to in the CY.</t>
  </si>
  <si>
    <t xml:space="preserve">Communication</t>
  </si>
  <si>
    <t xml:space="preserve">Refer Wp "OPEX-GEITC Communication 2024 Wp"</t>
  </si>
  <si>
    <t xml:space="preserve">Reduction in the billings done to the following w..t to the Data circuits:
1. INR 0.85 crores is decreased from Bharthi Airtel
2. INR 0.30 crores is decreased from Tata communication Ltd</t>
  </si>
  <si>
    <t xml:space="preserve">Legal and professional fees</t>
  </si>
  <si>
    <t xml:space="preserve">Refer Wp "OPEX-GEITC Legal &amp; prof exp wp  2024"</t>
  </si>
  <si>
    <t xml:space="preserve">Reduction of INR 2.5 crore in the Coretech billings (Lease Laptop- IT) in the 2025, because of transfer of the employees to other divisions due to demerger.</t>
  </si>
  <si>
    <t xml:space="preserve">Auditor's remuneration (refer note 2.33)</t>
  </si>
  <si>
    <t xml:space="preserve">Reversal of the excess Provision of 12.27 in the CY.</t>
  </si>
  <si>
    <t xml:space="preserve">Asset lease rentals and hire charges (refer note 2.35)</t>
  </si>
  <si>
    <t xml:space="preserve">Refer WP "OPEX-GEITC Asset lease rentals  WP"</t>
  </si>
  <si>
    <t xml:space="preserve">The change is majorly due to the timing difference in the lease rentals</t>
  </si>
  <si>
    <t xml:space="preserve">Product development expenses</t>
  </si>
  <si>
    <t xml:space="preserve">Refer Wp "OPEX-GEITC Product development expenses- WP "</t>
  </si>
  <si>
    <t xml:space="preserve">Bank charges</t>
  </si>
  <si>
    <t xml:space="preserve">Loss on sale of fixed assets (net)</t>
  </si>
  <si>
    <t xml:space="preserve">Loss on sale of fixed assets recognized during FY 2025-26; no comparable item in FY 2024-25.</t>
  </si>
  <si>
    <t xml:space="preserve">Provision for doubtful advances</t>
  </si>
  <si>
    <t xml:space="preserve">Training and seminar expenses</t>
  </si>
  <si>
    <t xml:space="preserve">During the year, the company incurred the following major incremental Training costs:
1) Charges for Instructor - Composite Training at TASL INR 13 lacs
2) Charges towards External Communications Sensitization Workshop for GE Aerospace leadership team INR 8 lacs
3) Charges for Class charges &amp; T&amp;E fee for Advanced Architecting on AWS for DT team INR 7 lacs
4) Charges for Gartner summit annual fees INR 10 lacs</t>
  </si>
  <si>
    <t xml:space="preserve">Outsourced service costs</t>
  </si>
  <si>
    <t xml:space="preserve">Refer Wp "OPEX-GEITC Outsourced service costs WP"</t>
  </si>
  <si>
    <t xml:space="preserve">The expense is increased in the CY is due to additional services from the Quest &amp; Belcon. 
As comapred to the PY, in the CY the no of contracted employees increased from 260 To 360
</t>
  </si>
  <si>
    <t xml:space="preserve">Donations</t>
  </si>
  <si>
    <t xml:space="preserve">Refer WP "OPEX-GEITC Other Miscellaneous expenses WP"</t>
  </si>
  <si>
    <t xml:space="preserve">The donations are dependent on the CSR compliance and as per the profits.</t>
  </si>
  <si>
    <t xml:space="preserve">Computer software charged off</t>
  </si>
  <si>
    <t xml:space="preserve">Refer WP "OPEX-GEITC Computer software charged off  WP"</t>
  </si>
  <si>
    <t xml:space="preserve">Membership and subscriptions</t>
  </si>
  <si>
    <t xml:space="preserve">Other miscellaneous expenses</t>
  </si>
  <si>
    <t xml:space="preserve">Other Admin. Expenses- Inter Division</t>
  </si>
  <si>
    <t xml:space="preserve">Interdivision entries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</si>
</sst>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9]d/mmm/yy;@"/>
    <numFmt numFmtId="166" formatCode="_ * #,##0_ ;_ * \-#,##0_ ;_ * \-??_ ;_ @_ "/>
    <numFmt numFmtId="167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color theme="1"/>
      <name val="Verdana"/>
      <family val="2"/>
      <charset val="1"/>
    </font>
    <font>
      <b val="true"/>
      <sz val="8"/>
      <color theme="1"/>
      <name val="Verdana"/>
      <family val="2"/>
      <charset val="1"/>
    </font>
    <font>
      <b val="true"/>
      <sz val="8"/>
      <name val="Verdana"/>
      <family val="2"/>
      <charset val="1"/>
    </font>
    <font>
      <b val="true"/>
      <sz val="8"/>
      <color rgb="FFFF0000"/>
      <name val="Verdana"/>
      <family val="2"/>
      <charset val="1"/>
    </font>
    <font>
      <sz val="8"/>
      <name val="Verdana"/>
      <family val="2"/>
      <charset val="1"/>
    </font>
    <font>
      <b val="true"/>
      <sz val="8"/>
      <color theme="0"/>
      <name val="Verdana"/>
      <family val="2"/>
      <charset val="1"/>
    </font>
    <font>
      <sz val="8"/>
      <color rgb="FFFF0000"/>
      <name val="Verdan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1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3" xfId="22"/>
    <cellStyle name="Normal 6" xfId="23"/>
    <cellStyle name="Normal_SHEET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8046875" defaultRowHeight="9.75" zeroHeight="false" outlineLevelRow="0" outlineLevelCol="0"/>
  <cols>
    <col collapsed="false" customWidth="true" hidden="false" outlineLevel="0" max="1" min="1" style="1" width="16.3"/>
    <col collapsed="false" customWidth="true" hidden="false" outlineLevel="0" max="2" min="2" style="1" width="10.59"/>
    <col collapsed="false" customWidth="true" hidden="false" outlineLevel="0" max="3" min="3" style="1" width="15.1"/>
    <col collapsed="false" customWidth="true" hidden="false" outlineLevel="0" max="4" min="4" style="1" width="10.71"/>
    <col collapsed="false" customWidth="false" hidden="false" outlineLevel="0" max="16384" min="5" style="1" width="8.8"/>
  </cols>
  <sheetData>
    <row r="1" customFormat="false" ht="9.75" hidden="false" customHeight="true" outlineLevel="0" collapsed="false">
      <c r="A1" s="2" t="s">
        <v>0</v>
      </c>
    </row>
    <row r="2" customFormat="false" ht="9.75" hidden="false" customHeight="true" outlineLevel="0" collapsed="false">
      <c r="A2" s="2" t="s">
        <v>1</v>
      </c>
    </row>
    <row r="3" customFormat="false" ht="9.75" hidden="false" customHeight="true" outlineLevel="0" collapsed="false">
      <c r="A3" s="2" t="s">
        <v>2</v>
      </c>
    </row>
    <row r="4" customFormat="false" ht="9.75" hidden="false" customHeight="true" outlineLevel="0" collapsed="false">
      <c r="A4" s="3"/>
    </row>
    <row r="5" customFormat="false" ht="9.75" hidden="false" customHeight="true" outlineLevel="0" collapsed="false">
      <c r="A5" s="4" t="s">
        <v>3</v>
      </c>
    </row>
    <row r="6" customFormat="false" ht="9.75" hidden="false" customHeight="true" outlineLevel="0" collapsed="false">
      <c r="A6" s="5" t="s">
        <v>4</v>
      </c>
    </row>
    <row r="7" customFormat="false" ht="9.75" hidden="false" customHeight="true" outlineLevel="0" collapsed="false">
      <c r="A7" s="3"/>
    </row>
    <row r="8" customFormat="false" ht="9.75" hidden="false" customHeight="true" outlineLevel="0" collapsed="false">
      <c r="A8" s="4" t="s">
        <v>5</v>
      </c>
    </row>
    <row r="9" customFormat="false" ht="9.75" hidden="false" customHeight="true" outlineLevel="0" collapsed="false">
      <c r="A9" s="6" t="s">
        <v>6</v>
      </c>
    </row>
    <row r="10" customFormat="false" ht="9.75" hidden="false" customHeight="true" outlineLevel="0" collapsed="false">
      <c r="A10" s="6"/>
    </row>
    <row r="11" customFormat="false" ht="9.75" hidden="false" customHeight="true" outlineLevel="0" collapsed="false">
      <c r="A11" s="4" t="s">
        <v>7</v>
      </c>
    </row>
    <row r="12" customFormat="false" ht="9.75" hidden="false" customHeight="true" outlineLevel="0" collapsed="false">
      <c r="A12" s="7" t="s">
        <v>8</v>
      </c>
    </row>
    <row r="13" customFormat="false" ht="9.75" hidden="false" customHeight="true" outlineLevel="0" collapsed="false">
      <c r="A13" s="7" t="s">
        <v>9</v>
      </c>
    </row>
    <row r="14" customFormat="false" ht="9.75" hidden="false" customHeight="true" outlineLevel="0" collapsed="false">
      <c r="A14" s="7" t="s">
        <v>10</v>
      </c>
    </row>
    <row r="15" customFormat="false" ht="9.75" hidden="false" customHeight="true" outlineLevel="0" collapsed="false">
      <c r="A15" s="7" t="s">
        <v>11</v>
      </c>
    </row>
    <row r="16" customFormat="false" ht="9.75" hidden="false" customHeight="true" outlineLevel="0" collapsed="false">
      <c r="A16" s="7"/>
    </row>
    <row r="17" customFormat="false" ht="9.75" hidden="false" customHeight="true" outlineLevel="0" collapsed="false">
      <c r="A17" s="8"/>
    </row>
    <row r="18" customFormat="false" ht="9.75" hidden="false" customHeight="true" outlineLevel="0" collapsed="false">
      <c r="A18" s="9" t="s">
        <v>12</v>
      </c>
    </row>
    <row r="19" customFormat="false" ht="9.75" hidden="false" customHeight="true" outlineLevel="0" collapsed="false">
      <c r="A19" s="8" t="s">
        <v>13</v>
      </c>
    </row>
    <row r="20" customFormat="false" ht="9.75" hidden="false" customHeight="true" outlineLevel="0" collapsed="false">
      <c r="A20" s="10"/>
    </row>
    <row r="21" customFormat="false" ht="9.75" hidden="false" customHeight="true" outlineLevel="0" collapsed="false">
      <c r="A21" s="9" t="s">
        <v>14</v>
      </c>
    </row>
    <row r="22" customFormat="false" ht="9.75" hidden="false" customHeight="true" outlineLevel="0" collapsed="false">
      <c r="A22" s="5" t="s">
        <v>15</v>
      </c>
    </row>
    <row r="23" customFormat="false" ht="9.75" hidden="false" customHeight="true" outlineLevel="0" collapsed="false">
      <c r="A23" s="5"/>
    </row>
    <row r="24" customFormat="false" ht="9.75" hidden="false" customHeight="true" outlineLevel="0" collapsed="false">
      <c r="A24" s="4" t="s">
        <v>16</v>
      </c>
    </row>
    <row r="25" customFormat="false" ht="9.75" hidden="false" customHeight="true" outlineLevel="0" collapsed="false">
      <c r="A25" s="5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true" showOutlineSymbols="true" defaultGridColor="true" view="normal" topLeftCell="A27" colorId="64" zoomScale="89" zoomScaleNormal="89" zoomScalePageLayoutView="100" workbookViewId="0">
      <selection pane="topLeft" activeCell="A3" activeCellId="0" sqref="A3"/>
    </sheetView>
  </sheetViews>
  <sheetFormatPr defaultColWidth="8.8046875" defaultRowHeight="9.75" zeroHeight="false" outlineLevelRow="0" outlineLevelCol="0"/>
  <cols>
    <col collapsed="false" customWidth="true" hidden="false" outlineLevel="0" max="1" min="1" style="11" width="30.79"/>
    <col collapsed="false" customWidth="true" hidden="false" outlineLevel="0" max="3" min="2" style="12" width="20.1"/>
    <col collapsed="false" customWidth="true" hidden="false" outlineLevel="0" max="4" min="4" style="11" width="17.2"/>
    <col collapsed="false" customWidth="true" hidden="false" outlineLevel="0" max="5" min="5" style="11" width="10.2"/>
    <col collapsed="false" customWidth="true" hidden="false" outlineLevel="0" max="6" min="6" style="13" width="22.2"/>
    <col collapsed="false" customWidth="true" hidden="false" outlineLevel="0" max="7" min="7" style="11" width="84.7"/>
    <col collapsed="false" customWidth="false" hidden="false" outlineLevel="0" max="16384" min="8" style="11" width="8.8"/>
  </cols>
  <sheetData>
    <row r="1" customFormat="false" ht="9.75" hidden="false" customHeight="true" outlineLevel="0" collapsed="false">
      <c r="A1" s="14" t="s">
        <v>0</v>
      </c>
    </row>
    <row r="2" customFormat="false" ht="9.75" hidden="false" customHeight="true" outlineLevel="0" collapsed="false">
      <c r="A2" s="14" t="s">
        <v>1</v>
      </c>
    </row>
    <row r="3" customFormat="false" ht="9.75" hidden="false" customHeight="true" outlineLevel="0" collapsed="false">
      <c r="A3" s="14" t="str">
        <f aca="false">Memo!A3</f>
        <v>Audit for the year ended March, 2026</v>
      </c>
    </row>
    <row r="5" customFormat="false" ht="9.75" hidden="false" customHeight="true" outlineLevel="0" collapsed="false">
      <c r="A5" s="14" t="s">
        <v>18</v>
      </c>
    </row>
    <row r="6" s="11" customFormat="true" ht="9.75" hidden="false" customHeight="true" outlineLevel="0" collapsed="false">
      <c r="A6" s="7" t="s">
        <v>19</v>
      </c>
      <c r="F6" s="13"/>
    </row>
    <row r="7" s="11" customFormat="true" ht="9.75" hidden="false" customHeight="true" outlineLevel="0" collapsed="false">
      <c r="A7" s="7" t="s">
        <v>20</v>
      </c>
      <c r="F7" s="13"/>
    </row>
    <row r="8" s="11" customFormat="true" ht="9.75" hidden="false" customHeight="true" outlineLevel="0" collapsed="false">
      <c r="A8" s="7" t="s">
        <v>21</v>
      </c>
      <c r="F8" s="13"/>
    </row>
    <row r="11" customFormat="false" ht="9.75" hidden="false" customHeight="true" outlineLevel="0" collapsed="false">
      <c r="A11" s="14" t="s">
        <v>22</v>
      </c>
    </row>
    <row r="12" s="14" customFormat="true" ht="9.75" hidden="false" customHeight="true" outlineLevel="0" collapsed="false">
      <c r="A12" s="15" t="s">
        <v>23</v>
      </c>
      <c r="B12" s="16" t="s">
        <v>24</v>
      </c>
      <c r="C12" s="16" t="s">
        <v>25</v>
      </c>
      <c r="D12" s="16" t="s">
        <v>26</v>
      </c>
      <c r="E12" s="16" t="s">
        <v>27</v>
      </c>
      <c r="F12" s="16" t="s">
        <v>28</v>
      </c>
      <c r="G12" s="16" t="s">
        <v>29</v>
      </c>
    </row>
    <row r="13" s="14" customFormat="true" ht="9.75" hidden="false" customHeight="true" outlineLevel="0" collapsed="false">
      <c r="A13" s="15"/>
      <c r="B13" s="15"/>
      <c r="C13" s="15"/>
      <c r="D13" s="15"/>
      <c r="E13" s="15"/>
      <c r="F13" s="15"/>
      <c r="G13" s="15"/>
    </row>
    <row r="14" s="14" customFormat="true" ht="9.75" hidden="false" customHeight="true" outlineLevel="0" collapsed="false">
      <c r="A14" s="15"/>
      <c r="B14" s="15"/>
      <c r="C14" s="15"/>
      <c r="D14" s="15"/>
      <c r="E14" s="15"/>
      <c r="F14" s="15"/>
      <c r="G14" s="15"/>
    </row>
    <row r="15" s="22" customFormat="true" ht="19.5" hidden="false" customHeight="true" outlineLevel="0" collapsed="false">
      <c r="A15" s="17" t="s">
        <v>30</v>
      </c>
      <c r="B15" s="18" t="n">
        <v>283056092</v>
      </c>
      <c r="C15" s="18" t="n">
        <v>284117336</v>
      </c>
      <c r="D15" s="18" t="n">
        <f aca="false">B15-C15</f>
        <v>-1061244</v>
      </c>
      <c r="E15" s="19" t="n">
        <f aca="false">D15/C15</f>
        <v>-0.00373523141861361</v>
      </c>
      <c r="F15" s="20" t="s">
        <v>31</v>
      </c>
      <c r="G15" s="21" t="s">
        <v>32</v>
      </c>
    </row>
    <row r="16" s="22" customFormat="true" ht="19.5" hidden="false" customHeight="true" outlineLevel="0" collapsed="false">
      <c r="A16" s="17" t="s">
        <v>33</v>
      </c>
      <c r="B16" s="18" t="n">
        <v>13904645</v>
      </c>
      <c r="C16" s="18" t="n">
        <v>12229623</v>
      </c>
      <c r="D16" s="18" t="n">
        <f aca="false">B16-C16</f>
        <v>1675022</v>
      </c>
      <c r="E16" s="19" t="n">
        <f aca="false">D16/C16</f>
        <v>0.136964320159338</v>
      </c>
      <c r="F16" s="23" t="s">
        <v>34</v>
      </c>
      <c r="G16" s="21" t="s">
        <v>35</v>
      </c>
    </row>
    <row r="17" s="22" customFormat="true" ht="9.75" hidden="false" customHeight="true" outlineLevel="0" collapsed="false">
      <c r="A17" s="24" t="s">
        <v>36</v>
      </c>
      <c r="B17" s="18"/>
      <c r="C17" s="18"/>
      <c r="D17" s="18"/>
      <c r="E17" s="19"/>
      <c r="F17" s="25"/>
      <c r="G17" s="17"/>
    </row>
    <row r="18" s="22" customFormat="true" ht="29.25" hidden="false" customHeight="true" outlineLevel="0" collapsed="false">
      <c r="A18" s="17" t="s">
        <v>37</v>
      </c>
      <c r="B18" s="18" t="n">
        <v>129101669</v>
      </c>
      <c r="C18" s="18" t="n">
        <v>113272301</v>
      </c>
      <c r="D18" s="18" t="n">
        <f aca="false">B18-C18</f>
        <v>15829368</v>
      </c>
      <c r="E18" s="19" t="n">
        <f aca="false">D18/C18</f>
        <v>0.139746150296708</v>
      </c>
      <c r="F18" s="20" t="s">
        <v>38</v>
      </c>
      <c r="G18" s="21" t="s">
        <v>39</v>
      </c>
      <c r="H18" s="26"/>
    </row>
    <row r="19" s="22" customFormat="true" ht="99" hidden="false" customHeight="true" outlineLevel="0" collapsed="false">
      <c r="A19" s="17" t="s">
        <v>40</v>
      </c>
      <c r="B19" s="18" t="n">
        <v>310876548</v>
      </c>
      <c r="C19" s="18" t="n">
        <v>204709448</v>
      </c>
      <c r="D19" s="18" t="n">
        <f aca="false">B19-C19</f>
        <v>106167100</v>
      </c>
      <c r="E19" s="19" t="n">
        <f aca="false">D19/C19</f>
        <v>0.518623351473255</v>
      </c>
      <c r="F19" s="20" t="s">
        <v>41</v>
      </c>
      <c r="G19" s="21" t="s">
        <v>42</v>
      </c>
    </row>
    <row r="20" s="22" customFormat="true" ht="29.25" hidden="false" customHeight="true" outlineLevel="0" collapsed="false">
      <c r="A20" s="17" t="s">
        <v>43</v>
      </c>
      <c r="B20" s="18" t="n">
        <v>319904870</v>
      </c>
      <c r="C20" s="18" t="n">
        <v>316165453</v>
      </c>
      <c r="D20" s="18" t="n">
        <f aca="false">B20-C20</f>
        <v>3739417</v>
      </c>
      <c r="E20" s="19" t="n">
        <f aca="false">D20/C20</f>
        <v>0.0118274054439465</v>
      </c>
      <c r="F20" s="20" t="s">
        <v>44</v>
      </c>
      <c r="G20" s="21" t="s">
        <v>45</v>
      </c>
    </row>
    <row r="21" s="22" customFormat="true" ht="19.5" hidden="false" customHeight="true" outlineLevel="0" collapsed="false">
      <c r="A21" s="17" t="s">
        <v>46</v>
      </c>
      <c r="B21" s="18" t="n">
        <v>70966901</v>
      </c>
      <c r="C21" s="18" t="n">
        <v>419804158</v>
      </c>
      <c r="D21" s="18" t="n">
        <f aca="false">B21-C21</f>
        <v>-348837257</v>
      </c>
      <c r="E21" s="19" t="n">
        <f aca="false">D21/C21</f>
        <v>-0.830952362791986</v>
      </c>
      <c r="F21" s="20" t="s">
        <v>47</v>
      </c>
      <c r="G21" s="21" t="s">
        <v>48</v>
      </c>
      <c r="H21" s="26"/>
    </row>
    <row r="22" s="22" customFormat="true" ht="29.25" hidden="false" customHeight="true" outlineLevel="0" collapsed="false">
      <c r="A22" s="17" t="s">
        <v>49</v>
      </c>
      <c r="B22" s="18" t="n">
        <v>512401137</v>
      </c>
      <c r="C22" s="18" t="n">
        <v>479479093</v>
      </c>
      <c r="D22" s="18" t="n">
        <f aca="false">B22-C22</f>
        <v>32922044</v>
      </c>
      <c r="E22" s="19" t="n">
        <f aca="false">D22/C22</f>
        <v>0.0686621053569066</v>
      </c>
      <c r="F22" s="20" t="s">
        <v>50</v>
      </c>
      <c r="G22" s="21" t="s">
        <v>51</v>
      </c>
    </row>
    <row r="23" s="22" customFormat="true" ht="29.25" hidden="false" customHeight="true" outlineLevel="0" collapsed="false">
      <c r="A23" s="17" t="s">
        <v>52</v>
      </c>
      <c r="B23" s="18" t="n">
        <v>34804198</v>
      </c>
      <c r="C23" s="18" t="n">
        <v>37846912</v>
      </c>
      <c r="D23" s="18" t="n">
        <f aca="false">B23-C23</f>
        <v>-3042714</v>
      </c>
      <c r="E23" s="19" t="n">
        <f aca="false">D23/C23</f>
        <v>-0.0803953041135826</v>
      </c>
      <c r="F23" s="20" t="s">
        <v>53</v>
      </c>
      <c r="G23" s="21" t="s">
        <v>54</v>
      </c>
    </row>
    <row r="24" s="22" customFormat="true" ht="19.5" hidden="false" customHeight="true" outlineLevel="0" collapsed="false">
      <c r="A24" s="17" t="s">
        <v>55</v>
      </c>
      <c r="B24" s="18" t="n">
        <v>64309314</v>
      </c>
      <c r="C24" s="18" t="n">
        <v>60448803</v>
      </c>
      <c r="D24" s="18" t="n">
        <f aca="false">B24-C24</f>
        <v>3860511</v>
      </c>
      <c r="E24" s="19" t="n">
        <f aca="false">D24/C24</f>
        <v>0.0638641430170255</v>
      </c>
      <c r="F24" s="20" t="s">
        <v>56</v>
      </c>
      <c r="G24" s="21" t="s">
        <v>57</v>
      </c>
      <c r="H24" s="26"/>
    </row>
    <row r="25" s="22" customFormat="true" ht="9.75" hidden="false" customHeight="true" outlineLevel="0" collapsed="false">
      <c r="A25" s="17" t="s">
        <v>58</v>
      </c>
      <c r="B25" s="18" t="n">
        <v>5292423</v>
      </c>
      <c r="C25" s="18" t="n">
        <v>2260300</v>
      </c>
      <c r="D25" s="18" t="n">
        <f aca="false">B25-C25</f>
        <v>3032123</v>
      </c>
      <c r="E25" s="19" t="n">
        <f aca="false">D25/C25</f>
        <v>1.34146927399018</v>
      </c>
      <c r="F25" s="25"/>
      <c r="G25" s="17" t="s">
        <v>59</v>
      </c>
    </row>
    <row r="26" s="22" customFormat="true" ht="19.5" hidden="false" customHeight="true" outlineLevel="0" collapsed="false">
      <c r="A26" s="17" t="s">
        <v>60</v>
      </c>
      <c r="B26" s="18" t="n">
        <v>9706476</v>
      </c>
      <c r="C26" s="18" t="n">
        <v>11767736</v>
      </c>
      <c r="D26" s="18" t="n">
        <f aca="false">B26-C26</f>
        <v>-2061260</v>
      </c>
      <c r="E26" s="19" t="n">
        <f aca="false">D26/C26</f>
        <v>-0.175161985279072</v>
      </c>
      <c r="F26" s="20" t="s">
        <v>61</v>
      </c>
      <c r="G26" s="21" t="s">
        <v>62</v>
      </c>
    </row>
    <row r="27" s="22" customFormat="true" ht="29.25" hidden="false" customHeight="true" outlineLevel="0" collapsed="false">
      <c r="A27" s="17" t="s">
        <v>63</v>
      </c>
      <c r="B27" s="18" t="n">
        <v>185394734</v>
      </c>
      <c r="C27" s="18" t="n">
        <v>129100121</v>
      </c>
      <c r="D27" s="18" t="n">
        <f aca="false">B27-C27</f>
        <v>56294613</v>
      </c>
      <c r="E27" s="19" t="n">
        <f aca="false">D27/C27</f>
        <v>0.436053913535836</v>
      </c>
      <c r="F27" s="20" t="s">
        <v>64</v>
      </c>
      <c r="G27" s="21" t="s">
        <v>45</v>
      </c>
    </row>
    <row r="28" s="22" customFormat="true" ht="9.75" hidden="false" customHeight="true" outlineLevel="0" collapsed="false">
      <c r="A28" s="17" t="s">
        <v>65</v>
      </c>
      <c r="B28" s="18" t="n">
        <v>621718</v>
      </c>
      <c r="C28" s="18" t="n">
        <v>1190934</v>
      </c>
      <c r="D28" s="18" t="n">
        <f aca="false">B28-C28</f>
        <v>-569216</v>
      </c>
      <c r="E28" s="19" t="n">
        <f aca="false">D28/C28</f>
        <v>-0.477957636611265</v>
      </c>
      <c r="F28" s="25"/>
      <c r="G28" s="17" t="s">
        <v>45</v>
      </c>
    </row>
    <row r="29" s="22" customFormat="true" ht="9.75" hidden="false" customHeight="true" outlineLevel="0" collapsed="false">
      <c r="A29" s="17" t="s">
        <v>66</v>
      </c>
      <c r="B29" s="18" t="n">
        <v>8921258</v>
      </c>
      <c r="C29" s="18" t="n">
        <v>0</v>
      </c>
      <c r="D29" s="18" t="n">
        <f aca="false">B29-C29</f>
        <v>8921258</v>
      </c>
      <c r="E29" s="19" t="e">
        <f aca="false">D29/C29</f>
        <v>#DIV/0!</v>
      </c>
      <c r="F29" s="25"/>
      <c r="G29" s="17" t="s">
        <v>67</v>
      </c>
    </row>
    <row r="30" s="22" customFormat="true" ht="49.5" hidden="false" customHeight="true" outlineLevel="0" collapsed="false">
      <c r="A30" s="17" t="s">
        <v>68</v>
      </c>
      <c r="B30" s="18" t="n">
        <v>6082403</v>
      </c>
      <c r="C30" s="18" t="n">
        <v>4859067</v>
      </c>
      <c r="D30" s="18" t="n">
        <f aca="false">B30-C30</f>
        <v>1223336</v>
      </c>
      <c r="E30" s="19" t="n">
        <f aca="false">D30/C30</f>
        <v>0.25176355872434</v>
      </c>
      <c r="F30" s="25"/>
      <c r="G30" s="17" t="s">
        <v>45</v>
      </c>
    </row>
    <row r="31" s="22" customFormat="true" ht="29.25" hidden="false" customHeight="true" outlineLevel="0" collapsed="false">
      <c r="A31" s="17" t="s">
        <v>69</v>
      </c>
      <c r="B31" s="18" t="n">
        <v>14393043</v>
      </c>
      <c r="C31" s="18" t="n">
        <v>19064820</v>
      </c>
      <c r="D31" s="18" t="n">
        <f aca="false">B31-C31</f>
        <v>-4671777</v>
      </c>
      <c r="E31" s="19" t="n">
        <f aca="false">D31/C31</f>
        <v>-0.245047002804118</v>
      </c>
      <c r="F31" s="25"/>
      <c r="G31" s="21" t="s">
        <v>70</v>
      </c>
    </row>
    <row r="32" s="22" customFormat="true" ht="19.5" hidden="false" customHeight="true" outlineLevel="0" collapsed="false">
      <c r="A32" s="17" t="s">
        <v>71</v>
      </c>
      <c r="B32" s="18" t="n">
        <v>1090462384</v>
      </c>
      <c r="C32" s="18" t="n">
        <v>863127403</v>
      </c>
      <c r="D32" s="18" t="n">
        <f aca="false">B32-C32</f>
        <v>227334981</v>
      </c>
      <c r="E32" s="19" t="n">
        <f aca="false">D32/C32</f>
        <v>0.263385196912813</v>
      </c>
      <c r="F32" s="20" t="s">
        <v>72</v>
      </c>
      <c r="G32" s="21" t="s">
        <v>73</v>
      </c>
      <c r="H32" s="26"/>
    </row>
    <row r="33" s="22" customFormat="true" ht="29.25" hidden="false" customHeight="true" outlineLevel="0" collapsed="false">
      <c r="A33" s="17" t="s">
        <v>74</v>
      </c>
      <c r="B33" s="18" t="n">
        <v>36991664</v>
      </c>
      <c r="C33" s="18" t="n">
        <v>34911577</v>
      </c>
      <c r="D33" s="18" t="n">
        <f aca="false">B33-C33</f>
        <v>2080087</v>
      </c>
      <c r="E33" s="19" t="n">
        <f aca="false">D33/C33</f>
        <v>0.0595815823501757</v>
      </c>
      <c r="F33" s="20" t="s">
        <v>75</v>
      </c>
      <c r="G33" s="21" t="s">
        <v>76</v>
      </c>
    </row>
    <row r="34" s="22" customFormat="true" ht="9.75" hidden="false" customHeight="true" outlineLevel="0" collapsed="false">
      <c r="A34" s="17" t="s">
        <v>77</v>
      </c>
      <c r="B34" s="18" t="n">
        <v>121730598</v>
      </c>
      <c r="C34" s="18" t="n">
        <v>61633155</v>
      </c>
      <c r="D34" s="18" t="n">
        <f aca="false">B34-C34</f>
        <v>60097443</v>
      </c>
      <c r="E34" s="19" t="n">
        <f aca="false">D34/C34</f>
        <v>0.97508302146791</v>
      </c>
      <c r="F34" s="20" t="s">
        <v>78</v>
      </c>
      <c r="G34" s="21"/>
    </row>
    <row r="35" s="22" customFormat="true" ht="19.5" hidden="false" customHeight="true" outlineLevel="0" collapsed="false">
      <c r="A35" s="17" t="s">
        <v>79</v>
      </c>
      <c r="B35" s="18" t="n">
        <v>7071445</v>
      </c>
      <c r="C35" s="18" t="n">
        <v>5246991</v>
      </c>
      <c r="D35" s="18" t="n">
        <f aca="false">B35-C35</f>
        <v>1824454</v>
      </c>
      <c r="E35" s="19" t="n">
        <f aca="false">D35/C35</f>
        <v>0.347714337607974</v>
      </c>
      <c r="F35" s="25"/>
      <c r="G35" s="22" t="s">
        <v>45</v>
      </c>
    </row>
    <row r="36" s="22" customFormat="true" ht="9.75" hidden="false" customHeight="true" outlineLevel="0" collapsed="false">
      <c r="A36" s="17" t="s">
        <v>80</v>
      </c>
      <c r="B36" s="18" t="n">
        <v>41458363</v>
      </c>
      <c r="C36" s="18" t="n">
        <v>35619802</v>
      </c>
      <c r="D36" s="18" t="n">
        <f aca="false">B36-C36</f>
        <v>5838561</v>
      </c>
      <c r="E36" s="19" t="n">
        <f aca="false">D36/C36</f>
        <v>0.163913347974253</v>
      </c>
      <c r="F36" s="20" t="s">
        <v>75</v>
      </c>
      <c r="G36" s="21"/>
    </row>
    <row r="37" s="14" customFormat="true" ht="9.75" hidden="false" customHeight="true" outlineLevel="0" collapsed="false">
      <c r="A37" s="17" t="s">
        <v>81</v>
      </c>
      <c r="B37" s="18" t="n">
        <v>226204670</v>
      </c>
      <c r="C37" s="18" t="n">
        <v>201096443</v>
      </c>
      <c r="D37" s="18" t="n">
        <f aca="false">B37-C37</f>
        <v>25108227</v>
      </c>
      <c r="E37" s="19" t="n">
        <f aca="false">D37/C37</f>
        <v>0.124856644033231</v>
      </c>
      <c r="F37" s="25"/>
      <c r="G37" s="17" t="s">
        <v>82</v>
      </c>
    </row>
    <row r="38" customFormat="false" ht="9.75" hidden="false" customHeight="false" outlineLevel="0" collapsed="false">
      <c r="A38" s="27"/>
      <c r="B38" s="28" t="n">
        <f aca="false">SUM(B15:B37)</f>
        <v>3493656553</v>
      </c>
      <c r="C38" s="28" t="n">
        <f aca="false">SUM(C15:C37)</f>
        <v>3297951476</v>
      </c>
      <c r="F38" s="29"/>
    </row>
  </sheetData>
  <mergeCells count="7">
    <mergeCell ref="A12:A14"/>
    <mergeCell ref="B12:B14"/>
    <mergeCell ref="C12:C14"/>
    <mergeCell ref="D12:D14"/>
    <mergeCell ref="E12:E14"/>
    <mergeCell ref="F12:F14"/>
    <mergeCell ref="G12:G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2024-08-28T02:24:23Z</dcterms:created>
  <dc:creator>Bansal, Ayush</dc:creator>
  <dc:description/>
  <dc:language>en-US</dc:language>
  <cp:lastModifiedBy>Sharma, Akshit</cp:lastModifiedBy>
  <dcterms:modified xsi:type="dcterms:W3CDTF">2026-07-01T02:24:58Z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0x0101002CF36D4CAE154F4694A7B7C9454AD10A</vt:lpwstr>
  </property>
  <property fmtid="{D5CDD505-2E9C-101B-9397-08002B2CF9AE}" pid="3" name="MSIP_Label_ea60d57e-af5b-4752-ac57-3e4f28ca11dc_ActionId">
    <vt:lpwstr>9b6fef52-e82c-45f1-9ff6-ef6d947a8ca7</vt:lpwstr>
  </property>
  <property fmtid="{D5CDD505-2E9C-101B-9397-08002B2CF9AE}" pid="4" name="MSIP_Label_ea60d57e-af5b-4752-ac57-3e4f28ca11dc_ContentBits">
    <vt:lpwstr>0</vt:lpwstr>
  </property>
  <property fmtid="{D5CDD505-2E9C-101B-9397-08002B2CF9AE}" pid="5" name="MSIP_Label_ea60d57e-af5b-4752-ac57-3e4f28ca11dc_Enabled">
    <vt:lpwstr>true</vt:lpwstr>
  </property>
  <property fmtid="{D5CDD505-2E9C-101B-9397-08002B2CF9AE}" pid="6" name="MSIP_Label_ea60d57e-af5b-4752-ac57-3e4f28ca11dc_Method">
    <vt:lpwstr>Standard</vt:lpwstr>
  </property>
  <property fmtid="{D5CDD505-2E9C-101B-9397-08002B2CF9AE}" pid="7" name="MSIP_Label_ea60d57e-af5b-4752-ac57-3e4f28ca11dc_Name">
    <vt:lpwstr>ea60d57e-af5b-4752-ac57-3e4f28ca11dc</vt:lpwstr>
  </property>
  <property fmtid="{D5CDD505-2E9C-101B-9397-08002B2CF9AE}" pid="8" name="MSIP_Label_ea60d57e-af5b-4752-ac57-3e4f28ca11dc_SetDate">
    <vt:lpwstr>2024-08-28T02:28:50Z</vt:lpwstr>
  </property>
  <property fmtid="{D5CDD505-2E9C-101B-9397-08002B2CF9AE}" pid="9" name="MSIP_Label_ea60d57e-af5b-4752-ac57-3e4f28ca11dc_SiteId">
    <vt:lpwstr>36da45f1-dd2c-4d1f-af13-5abe46b99921</vt:lpwstr>
  </property>
  <property fmtid="{D5CDD505-2E9C-101B-9397-08002B2CF9AE}" pid="10" name="Order">
    <vt:r8>71000</vt:r8>
  </property>
</Properties>
</file>