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vs PO" sheetId="1" state="visible" r:id="rId3"/>
    <sheet name="PO Line Item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<sst xmlns="http://schemas.openxmlformats.org/spreadsheetml/2006/main" count="158" uniqueCount="72">
  <si>
    <t xml:space="preserve">Invoice Details vs PO Details</t>
  </si>
  <si>
    <t xml:space="preserve">Invoice Number</t>
  </si>
  <si>
    <t xml:space="preserve">Invoice Date</t>
  </si>
  <si>
    <t xml:space="preserve">Vendor</t>
  </si>
  <si>
    <t xml:space="preserve">PO Number</t>
  </si>
  <si>
    <t xml:space="preserve">PO Date</t>
  </si>
  <si>
    <t xml:space="preserve">PO Amount (Excl. Tax)</t>
  </si>
  <si>
    <t xml:space="preserve">Invoice Description</t>
  </si>
  <si>
    <t xml:space="preserve">Quantity</t>
  </si>
  <si>
    <t xml:space="preserve">Taxable Value</t>
  </si>
  <si>
    <t xml:space="preserve">GST</t>
  </si>
  <si>
    <t xml:space="preserve">Invoice Amount</t>
  </si>
  <si>
    <t xml:space="preserve">Difference (PO - Taxable)</t>
  </si>
  <si>
    <t xml:space="preserve">DT-TI-1036</t>
  </si>
  <si>
    <t xml:space="preserve">02-Sep-25</t>
  </si>
  <si>
    <t xml:space="preserve">DT Techsolutions Private Limited</t>
  </si>
  <si>
    <t xml:space="preserve">100067765</t>
  </si>
  <si>
    <t xml:space="preserve">01-Aug-25</t>
  </si>
  <si>
    <t xml:space="preserve">Supply of Pico Technology PicoScope 6824E USB Oscilloscope (2 Nos); P2056 passive oscilloscope probe 500MHz 10:1 BNC dual pack (4 Nos); PicoScope 6000E Series MSO pod 8-channel (2 Nos) - with calibration certificates</t>
  </si>
  <si>
    <t xml:space="preserve">8 Nos</t>
  </si>
  <si>
    <t xml:space="preserve">59/2025-26</t>
  </si>
  <si>
    <t xml:space="preserve">26-Nov-25</t>
  </si>
  <si>
    <t xml:space="preserve">Opal-RT Technologies India Pvt Ltd</t>
  </si>
  <si>
    <t xml:space="preserve">100067772</t>
  </si>
  <si>
    <t xml:space="preserve">03-Aug-25</t>
  </si>
  <si>
    <t xml:space="preserve">Supply of OP4815-IO VERSAL FPGA Processor VM1402 1238k &amp; IO, 128DIO/32AI/96AO High Density Board (Model OP5025 &amp; OP4815-IO-eHS128) - 1 No; XG Hardware Upgrade Kit for OP5707V3-8 - 1 No</t>
  </si>
  <si>
    <t xml:space="preserve">2 Nos</t>
  </si>
  <si>
    <t xml:space="preserve">25176</t>
  </si>
  <si>
    <t xml:space="preserve">27-Sep-25</t>
  </si>
  <si>
    <t xml:space="preserve">Aarjay International Private Limited</t>
  </si>
  <si>
    <t xml:space="preserve">100067788</t>
  </si>
  <si>
    <t xml:space="preserve">04-Aug-25</t>
  </si>
  <si>
    <t xml:space="preserve">Supply of 6 units of IT27355R 60V/±20A/±500W bidirectional DC power supply and 2 chassis rack mount - as per annexure</t>
  </si>
  <si>
    <t xml:space="preserve">1 No</t>
  </si>
  <si>
    <t xml:space="preserve">1022186</t>
  </si>
  <si>
    <t xml:space="preserve">27-Nov-25</t>
  </si>
  <si>
    <t xml:space="preserve">Element14 India Private Limited</t>
  </si>
  <si>
    <t xml:space="preserve">100069587</t>
  </si>
  <si>
    <t xml:space="preserve">19-Nov-25</t>
  </si>
  <si>
    <t xml:space="preserve">Supply of GW Instek Bench Power Supply GPP-3650 (6); Fluke 289 Multimeter (2); Keysight U1252B Multimeter (2); GW Instek GPS-3303 Power Supply (4); Keysight E36234A Power Supply (2); Pico TA043 Differential Probe (10); Pico TA189 Current Probe (4); Keysight DSOX2024A Oscilloscope (2). Note: FLIR C8 Thermal Imager (1 No, Rs.1,01,309) on PO not yet invoiced.</t>
  </si>
  <si>
    <t xml:space="preserve">29 units (of 30 ordered)</t>
  </si>
  <si>
    <t xml:space="preserve">Total</t>
  </si>
  <si>
    <t xml:space="preserve">Line #</t>
  </si>
  <si>
    <t xml:space="preserve">Item Description</t>
  </si>
  <si>
    <t xml:space="preserve">Qty</t>
  </si>
  <si>
    <t xml:space="preserve">UOM</t>
  </si>
  <si>
    <t xml:space="preserve">Unit Price</t>
  </si>
  <si>
    <t xml:space="preserve">Line Amount</t>
  </si>
  <si>
    <t xml:space="preserve">HSN Code</t>
  </si>
  <si>
    <t xml:space="preserve">Need By</t>
  </si>
  <si>
    <t xml:space="preserve">Supply of Calibrated Pico Technology Make Pico Scope 6824E USB Oscilloscope, as per Quote No.DT-QOT-25-26-0237 dated 23-Jul-25</t>
  </si>
  <si>
    <t xml:space="preserve">Each</t>
  </si>
  <si>
    <t xml:space="preserve">85044090</t>
  </si>
  <si>
    <t xml:space="preserve">10-Oct-25</t>
  </si>
  <si>
    <t xml:space="preserve">Supply of Pico Technology P2056 passive oscilloscope probe: 500 MHz 2.5mm 10:1 BNC Dual pack; TA480</t>
  </si>
  <si>
    <t xml:space="preserve">Supply of Pico Technology Pico Scope 6000E Series MSO pod, 8 channels; TA369</t>
  </si>
  <si>
    <t xml:space="preserve">OP4815-IO VERSAL FPGA Processor VM1402 1238k &amp; IO, 128DIO/32AI/96AO High Density Board. Model No OP5025 and OP4815-IO-eHS128</t>
  </si>
  <si>
    <t xml:space="preserve">XG Hardware Upgrade Kit for OP5707V3-8</t>
  </si>
  <si>
    <t xml:space="preserve">Supply of 6 units of T27355R 60V/±20A/±500W bidirectional DC power supply and 2 chassis rack mount - Details as per annexure</t>
  </si>
  <si>
    <t xml:space="preserve">85043300</t>
  </si>
  <si>
    <t xml:space="preserve">15-Oct-25</t>
  </si>
  <si>
    <t xml:space="preserve">GW Instek Bench Power Supply, LAN+GPIB, Programmable, 3 Output, 0-36V, 0-5A - GPP-3650(LAN+GPIB)</t>
  </si>
  <si>
    <t xml:space="preserve">8538</t>
  </si>
  <si>
    <t xml:space="preserve">30-Nov-25</t>
  </si>
  <si>
    <t xml:space="preserve">Fluke Industrial Multimeter, Fluke 289 Series, 50000 Count, True RMS</t>
  </si>
  <si>
    <t xml:space="preserve">Keysight Data Logging Handheld Digital Multimeter, U1250 Series - U1252B</t>
  </si>
  <si>
    <t xml:space="preserve">FLIR Thermal Imager, -20°C to 450°C, 0.05K, 35°x27°, 400mm - FLIR C8</t>
  </si>
  <si>
    <t xml:space="preserve">GW Instek Bench Power Supply, Adjustable, Fixed, 3 Output, 0-30V, 0-3A - GPS-3303</t>
  </si>
  <si>
    <t xml:space="preserve">Keysight Bench Power Supply, Programmable, 2 Output, 0-60V, 0-10A - E36234A</t>
  </si>
  <si>
    <t xml:space="preserve">Pico Technology Oscilloscope Probe, Differential, 100MHz, 700V, 10:1, 100:1 - TA043</t>
  </si>
  <si>
    <t xml:space="preserve">Pico Technology Current Probe, AC/DC, BNC Plug, Current Clamp, 30A - TA189</t>
  </si>
  <si>
    <t xml:space="preserve">Keysight Digital Oscilloscope, InfiniiVision 2000 X Series, 4 Channel, 200MHz - DSOX2024A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</si>
</sst>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55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46.2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 t="n">
        <v>2826800</v>
      </c>
      <c r="G3" s="3" t="s">
        <v>18</v>
      </c>
      <c r="H3" s="3" t="s">
        <v>19</v>
      </c>
      <c r="I3" s="4" t="n">
        <v>2826800</v>
      </c>
      <c r="J3" s="4" t="n">
        <v>508824</v>
      </c>
      <c r="K3" s="4" t="n">
        <v>3335624</v>
      </c>
      <c r="L3" s="4" t="n">
        <f aca="false">F3-I3</f>
        <v>0</v>
      </c>
    </row>
    <row r="4" customFormat="false" ht="46.25" hidden="false" customHeight="false" outlineLevel="0" collapsed="false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4" t="n">
        <v>12893056</v>
      </c>
      <c r="G4" s="3" t="s">
        <v>25</v>
      </c>
      <c r="H4" s="3" t="s">
        <v>26</v>
      </c>
      <c r="I4" s="4" t="n">
        <v>12893056</v>
      </c>
      <c r="J4" s="4" t="n">
        <v>2320750.08</v>
      </c>
      <c r="K4" s="4" t="n">
        <v>15213806</v>
      </c>
      <c r="L4" s="4" t="n">
        <f aca="false">F4-I4</f>
        <v>0</v>
      </c>
    </row>
    <row r="5" customFormat="false" ht="23.85" hidden="false" customHeight="false" outlineLevel="0" collapsed="false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4" t="n">
        <v>898220</v>
      </c>
      <c r="G5" s="3" t="s">
        <v>32</v>
      </c>
      <c r="H5" s="3" t="s">
        <v>33</v>
      </c>
      <c r="I5" s="4" t="n">
        <v>898220</v>
      </c>
      <c r="J5" s="4" t="n">
        <v>161679.6</v>
      </c>
      <c r="K5" s="4" t="n">
        <v>1059899.6</v>
      </c>
      <c r="L5" s="4" t="n">
        <f aca="false">F5-I5</f>
        <v>0</v>
      </c>
    </row>
    <row r="6" customFormat="false" ht="68.65" hidden="false" customHeight="false" outlineLevel="0" collapsed="false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4" t="n">
        <v>3202005</v>
      </c>
      <c r="G6" s="3" t="s">
        <v>39</v>
      </c>
      <c r="H6" s="3" t="s">
        <v>40</v>
      </c>
      <c r="I6" s="4" t="n">
        <v>3100696</v>
      </c>
      <c r="J6" s="4" t="n">
        <v>558125.28</v>
      </c>
      <c r="K6" s="4" t="n">
        <v>3658821.28</v>
      </c>
      <c r="L6" s="4" t="n">
        <f aca="false">F6-I6</f>
        <v>101309</v>
      </c>
    </row>
    <row r="7" customFormat="false" ht="15" hidden="false" customHeight="false" outlineLevel="0" collapsed="false">
      <c r="F7" s="5" t="n">
        <f aca="false">SUM(F3:F6)</f>
        <v>19820081</v>
      </c>
      <c r="G7" s="6" t="s">
        <v>41</v>
      </c>
      <c r="I7" s="5" t="n">
        <f aca="false">SUM(I3:I6)</f>
        <v>19718772</v>
      </c>
      <c r="J7" s="5" t="n">
        <f aca="false">SUM(J3:J6)</f>
        <v>3549378.96</v>
      </c>
      <c r="K7" s="5" t="n">
        <f aca="false">SUM(K3:K6)</f>
        <v>23268150.88</v>
      </c>
      <c r="L7" s="5" t="n">
        <f aca="false">SUM(L3:L6)</f>
        <v>101309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55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2" t="s">
        <v>4</v>
      </c>
      <c r="B1" s="2" t="s">
        <v>5</v>
      </c>
      <c r="C1" s="2" t="s">
        <v>3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</row>
    <row r="2" customFormat="false" ht="35.05" hidden="false" customHeight="false" outlineLevel="0" collapsed="false">
      <c r="A2" s="3" t="s">
        <v>16</v>
      </c>
      <c r="B2" s="3" t="s">
        <v>17</v>
      </c>
      <c r="C2" s="3" t="s">
        <v>15</v>
      </c>
      <c r="D2" s="3" t="n">
        <v>1</v>
      </c>
      <c r="E2" s="3" t="s">
        <v>50</v>
      </c>
      <c r="F2" s="3" t="n">
        <v>2</v>
      </c>
      <c r="G2" s="3" t="s">
        <v>51</v>
      </c>
      <c r="H2" s="4" t="n">
        <v>1258100</v>
      </c>
      <c r="I2" s="4" t="n">
        <v>2516200</v>
      </c>
      <c r="J2" s="3" t="s">
        <v>52</v>
      </c>
      <c r="K2" s="3" t="s">
        <v>53</v>
      </c>
    </row>
    <row r="3" customFormat="false" ht="23.85" hidden="false" customHeight="false" outlineLevel="0" collapsed="false">
      <c r="A3" s="3" t="s">
        <v>16</v>
      </c>
      <c r="B3" s="3" t="s">
        <v>17</v>
      </c>
      <c r="C3" s="3" t="s">
        <v>15</v>
      </c>
      <c r="D3" s="3" t="n">
        <v>2</v>
      </c>
      <c r="E3" s="3" t="s">
        <v>54</v>
      </c>
      <c r="F3" s="3" t="n">
        <v>4</v>
      </c>
      <c r="G3" s="3" t="s">
        <v>51</v>
      </c>
      <c r="H3" s="4" t="n">
        <v>42400</v>
      </c>
      <c r="I3" s="4" t="n">
        <v>169600</v>
      </c>
      <c r="J3" s="3" t="s">
        <v>52</v>
      </c>
      <c r="K3" s="3" t="s">
        <v>53</v>
      </c>
    </row>
    <row r="4" customFormat="false" ht="23.85" hidden="false" customHeight="false" outlineLevel="0" collapsed="false">
      <c r="A4" s="3" t="s">
        <v>16</v>
      </c>
      <c r="B4" s="3" t="s">
        <v>17</v>
      </c>
      <c r="C4" s="3" t="s">
        <v>15</v>
      </c>
      <c r="D4" s="3" t="n">
        <v>3</v>
      </c>
      <c r="E4" s="3" t="s">
        <v>55</v>
      </c>
      <c r="F4" s="3" t="n">
        <v>2</v>
      </c>
      <c r="G4" s="3" t="s">
        <v>51</v>
      </c>
      <c r="H4" s="4" t="n">
        <v>70500</v>
      </c>
      <c r="I4" s="4" t="n">
        <v>141000</v>
      </c>
      <c r="J4" s="3" t="s">
        <v>52</v>
      </c>
      <c r="K4" s="3" t="s">
        <v>53</v>
      </c>
    </row>
    <row r="5" customFormat="false" ht="35.05" hidden="false" customHeight="false" outlineLevel="0" collapsed="false">
      <c r="A5" s="3" t="s">
        <v>23</v>
      </c>
      <c r="B5" s="3" t="s">
        <v>24</v>
      </c>
      <c r="C5" s="3" t="s">
        <v>22</v>
      </c>
      <c r="D5" s="3" t="n">
        <v>1</v>
      </c>
      <c r="E5" s="3" t="s">
        <v>56</v>
      </c>
      <c r="F5" s="3" t="n">
        <v>1</v>
      </c>
      <c r="G5" s="3" t="s">
        <v>51</v>
      </c>
      <c r="H5" s="4" t="n">
        <v>11161791</v>
      </c>
      <c r="I5" s="4" t="n">
        <v>11161791</v>
      </c>
      <c r="J5" s="3" t="s">
        <v>52</v>
      </c>
      <c r="K5" s="3" t="s">
        <v>53</v>
      </c>
    </row>
    <row r="6" customFormat="false" ht="23.85" hidden="false" customHeight="false" outlineLevel="0" collapsed="false">
      <c r="A6" s="3" t="s">
        <v>23</v>
      </c>
      <c r="B6" s="3" t="s">
        <v>24</v>
      </c>
      <c r="C6" s="3" t="s">
        <v>22</v>
      </c>
      <c r="D6" s="3" t="n">
        <v>2</v>
      </c>
      <c r="E6" s="3" t="s">
        <v>57</v>
      </c>
      <c r="F6" s="3" t="n">
        <v>1</v>
      </c>
      <c r="G6" s="3" t="s">
        <v>51</v>
      </c>
      <c r="H6" s="4" t="n">
        <v>1731265</v>
      </c>
      <c r="I6" s="4" t="n">
        <v>1731265</v>
      </c>
      <c r="J6" s="3" t="s">
        <v>52</v>
      </c>
      <c r="K6" s="3" t="s">
        <v>53</v>
      </c>
    </row>
    <row r="7" customFormat="false" ht="23.85" hidden="false" customHeight="false" outlineLevel="0" collapsed="false">
      <c r="A7" s="3" t="s">
        <v>30</v>
      </c>
      <c r="B7" s="3" t="s">
        <v>31</v>
      </c>
      <c r="C7" s="3" t="s">
        <v>29</v>
      </c>
      <c r="D7" s="3" t="n">
        <v>1</v>
      </c>
      <c r="E7" s="3" t="s">
        <v>58</v>
      </c>
      <c r="F7" s="3" t="n">
        <v>1</v>
      </c>
      <c r="G7" s="3" t="s">
        <v>51</v>
      </c>
      <c r="H7" s="4" t="n">
        <v>898220</v>
      </c>
      <c r="I7" s="4" t="n">
        <v>898220</v>
      </c>
      <c r="J7" s="3" t="s">
        <v>59</v>
      </c>
      <c r="K7" s="3" t="s">
        <v>60</v>
      </c>
    </row>
    <row r="8" customFormat="false" ht="23.85" hidden="false" customHeight="false" outlineLevel="0" collapsed="false">
      <c r="A8" s="3" t="s">
        <v>37</v>
      </c>
      <c r="B8" s="3" t="s">
        <v>38</v>
      </c>
      <c r="C8" s="3" t="s">
        <v>36</v>
      </c>
      <c r="D8" s="3" t="n">
        <v>1</v>
      </c>
      <c r="E8" s="3" t="s">
        <v>61</v>
      </c>
      <c r="F8" s="3" t="n">
        <v>6</v>
      </c>
      <c r="G8" s="3" t="s">
        <v>51</v>
      </c>
      <c r="H8" s="4" t="n">
        <v>101374</v>
      </c>
      <c r="I8" s="4" t="n">
        <v>608244</v>
      </c>
      <c r="J8" s="3" t="s">
        <v>62</v>
      </c>
      <c r="K8" s="3" t="s">
        <v>63</v>
      </c>
    </row>
    <row r="9" customFormat="false" ht="23.85" hidden="false" customHeight="false" outlineLevel="0" collapsed="false">
      <c r="A9" s="3" t="s">
        <v>37</v>
      </c>
      <c r="B9" s="3" t="s">
        <v>38</v>
      </c>
      <c r="C9" s="3" t="s">
        <v>36</v>
      </c>
      <c r="D9" s="3" t="n">
        <v>2</v>
      </c>
      <c r="E9" s="3" t="s">
        <v>64</v>
      </c>
      <c r="F9" s="3" t="n">
        <v>2</v>
      </c>
      <c r="G9" s="3" t="s">
        <v>51</v>
      </c>
      <c r="H9" s="4" t="n">
        <v>91130</v>
      </c>
      <c r="I9" s="4" t="n">
        <v>182260</v>
      </c>
      <c r="J9" s="3" t="s">
        <v>62</v>
      </c>
      <c r="K9" s="3" t="s">
        <v>63</v>
      </c>
    </row>
    <row r="10" customFormat="false" ht="23.85" hidden="false" customHeight="false" outlineLevel="0" collapsed="false">
      <c r="A10" s="3" t="s">
        <v>37</v>
      </c>
      <c r="B10" s="3" t="s">
        <v>38</v>
      </c>
      <c r="C10" s="3" t="s">
        <v>36</v>
      </c>
      <c r="D10" s="3" t="n">
        <v>3</v>
      </c>
      <c r="E10" s="3" t="s">
        <v>65</v>
      </c>
      <c r="F10" s="3" t="n">
        <v>2</v>
      </c>
      <c r="G10" s="3" t="s">
        <v>51</v>
      </c>
      <c r="H10" s="4" t="n">
        <v>68000</v>
      </c>
      <c r="I10" s="4" t="n">
        <v>136000</v>
      </c>
      <c r="J10" s="3" t="s">
        <v>62</v>
      </c>
      <c r="K10" s="3" t="s">
        <v>63</v>
      </c>
    </row>
    <row r="11" customFormat="false" ht="23.85" hidden="false" customHeight="false" outlineLevel="0" collapsed="false">
      <c r="A11" s="3" t="s">
        <v>37</v>
      </c>
      <c r="B11" s="3" t="s">
        <v>38</v>
      </c>
      <c r="C11" s="3" t="s">
        <v>36</v>
      </c>
      <c r="D11" s="3" t="n">
        <v>4</v>
      </c>
      <c r="E11" s="3" t="s">
        <v>66</v>
      </c>
      <c r="F11" s="3" t="n">
        <v>1</v>
      </c>
      <c r="G11" s="3" t="s">
        <v>51</v>
      </c>
      <c r="H11" s="4" t="n">
        <v>101309</v>
      </c>
      <c r="I11" s="4" t="n">
        <v>101309</v>
      </c>
      <c r="J11" s="3" t="s">
        <v>62</v>
      </c>
      <c r="K11" s="3" t="s">
        <v>63</v>
      </c>
    </row>
    <row r="12" customFormat="false" ht="23.85" hidden="false" customHeight="false" outlineLevel="0" collapsed="false">
      <c r="A12" s="3" t="s">
        <v>37</v>
      </c>
      <c r="B12" s="3" t="s">
        <v>38</v>
      </c>
      <c r="C12" s="3" t="s">
        <v>36</v>
      </c>
      <c r="D12" s="3" t="n">
        <v>5</v>
      </c>
      <c r="E12" s="3" t="s">
        <v>67</v>
      </c>
      <c r="F12" s="3" t="n">
        <v>4</v>
      </c>
      <c r="G12" s="3" t="s">
        <v>51</v>
      </c>
      <c r="H12" s="4" t="n">
        <v>30360</v>
      </c>
      <c r="I12" s="4" t="n">
        <v>121440</v>
      </c>
      <c r="J12" s="3" t="s">
        <v>62</v>
      </c>
      <c r="K12" s="3" t="s">
        <v>63</v>
      </c>
    </row>
    <row r="13" customFormat="false" ht="23.85" hidden="false" customHeight="false" outlineLevel="0" collapsed="false">
      <c r="A13" s="3" t="s">
        <v>37</v>
      </c>
      <c r="B13" s="3" t="s">
        <v>38</v>
      </c>
      <c r="C13" s="3" t="s">
        <v>36</v>
      </c>
      <c r="D13" s="3" t="n">
        <v>6</v>
      </c>
      <c r="E13" s="3" t="s">
        <v>68</v>
      </c>
      <c r="F13" s="3" t="n">
        <v>2</v>
      </c>
      <c r="G13" s="3" t="s">
        <v>51</v>
      </c>
      <c r="H13" s="4" t="n">
        <v>298000</v>
      </c>
      <c r="I13" s="4" t="n">
        <v>596000</v>
      </c>
      <c r="J13" s="3" t="s">
        <v>62</v>
      </c>
      <c r="K13" s="3" t="s">
        <v>63</v>
      </c>
    </row>
    <row r="14" customFormat="false" ht="23.85" hidden="false" customHeight="false" outlineLevel="0" collapsed="false">
      <c r="A14" s="3" t="s">
        <v>37</v>
      </c>
      <c r="B14" s="3" t="s">
        <v>38</v>
      </c>
      <c r="C14" s="3" t="s">
        <v>36</v>
      </c>
      <c r="D14" s="3" t="n">
        <v>7</v>
      </c>
      <c r="E14" s="3" t="s">
        <v>69</v>
      </c>
      <c r="F14" s="3" t="n">
        <v>10</v>
      </c>
      <c r="G14" s="3" t="s">
        <v>51</v>
      </c>
      <c r="H14" s="4" t="n">
        <v>57754</v>
      </c>
      <c r="I14" s="4" t="n">
        <v>577540</v>
      </c>
      <c r="J14" s="3" t="s">
        <v>62</v>
      </c>
      <c r="K14" s="3" t="s">
        <v>63</v>
      </c>
    </row>
    <row r="15" customFormat="false" ht="23.85" hidden="false" customHeight="false" outlineLevel="0" collapsed="false">
      <c r="A15" s="3" t="s">
        <v>37</v>
      </c>
      <c r="B15" s="3" t="s">
        <v>38</v>
      </c>
      <c r="C15" s="3" t="s">
        <v>36</v>
      </c>
      <c r="D15" s="3" t="n">
        <v>8</v>
      </c>
      <c r="E15" s="3" t="s">
        <v>70</v>
      </c>
      <c r="F15" s="3" t="n">
        <v>4</v>
      </c>
      <c r="G15" s="3" t="s">
        <v>51</v>
      </c>
      <c r="H15" s="4" t="n">
        <v>39303</v>
      </c>
      <c r="I15" s="4" t="n">
        <v>157212</v>
      </c>
      <c r="J15" s="3" t="s">
        <v>62</v>
      </c>
      <c r="K15" s="3" t="s">
        <v>63</v>
      </c>
    </row>
    <row r="16" customFormat="false" ht="23.85" hidden="false" customHeight="false" outlineLevel="0" collapsed="false">
      <c r="A16" s="3" t="s">
        <v>37</v>
      </c>
      <c r="B16" s="3" t="s">
        <v>38</v>
      </c>
      <c r="C16" s="3" t="s">
        <v>36</v>
      </c>
      <c r="D16" s="3" t="n">
        <v>9</v>
      </c>
      <c r="E16" s="3" t="s">
        <v>71</v>
      </c>
      <c r="F16" s="3" t="n">
        <v>2</v>
      </c>
      <c r="G16" s="3" t="s">
        <v>51</v>
      </c>
      <c r="H16" s="4" t="n">
        <v>361000</v>
      </c>
      <c r="I16" s="4" t="n">
        <v>722000</v>
      </c>
      <c r="J16" s="3" t="s">
        <v>62</v>
      </c>
      <c r="K16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2026-07-03T03:51:14Z</dcterms:created>
  <dc:creator>openpyxl</dc:creator>
  <dc:description/>
  <dc:language>en-US</dc:language>
  <cp:lastModifiedBy/>
  <dcterms:modified xsi:type="dcterms:W3CDTF">2026-07-03T03:51:14Z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