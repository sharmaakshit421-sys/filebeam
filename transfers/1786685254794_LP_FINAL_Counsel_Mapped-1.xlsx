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gal Matters" sheetId="1" state="visible" r:id="rId3"/>
    <sheet name="Sheet1" sheetId="2" state="visible" r:id="rId4"/>
  </sheets>
  <definedNames>
    <definedName function="false" hidden="true" localSheetId="0" name="_xlnm._FilterDatabase" vbProcedure="false">'Legal Matters'!$A$15:$V$49</definedName>
    <definedName function="false" hidden="true" localSheetId="1" name="_xlnm._FilterDatabase" vbProcedure="false">Sheet1!$A$1:$M$89</definedName>
    <definedName function="false" hidden="true" name="DA_4044149571400001597" vbProcedure="false">'Legal Matters'!$W$19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<sst xmlns="http://schemas.openxmlformats.org/spreadsheetml/2006/main" count="585" uniqueCount="417">
  <si>
    <t xml:space="preserve">GE India Industrial Private Limited</t>
  </si>
  <si>
    <t xml:space="preserve">31st March, 2026</t>
  </si>
  <si>
    <t xml:space="preserve">Risk</t>
  </si>
  <si>
    <t xml:space="preserve">High</t>
  </si>
  <si>
    <t xml:space="preserve">Medium</t>
  </si>
  <si>
    <t xml:space="preserve">Low</t>
  </si>
  <si>
    <t xml:space="preserve">Closed</t>
  </si>
  <si>
    <t xml:space="preserve">Total</t>
  </si>
  <si>
    <t xml:space="preserve">SR.NO</t>
  </si>
  <si>
    <t xml:space="preserve">FORUM</t>
  </si>
  <si>
    <t xml:space="preserve">TYPE</t>
  </si>
  <si>
    <t xml:space="preserve">CASE NO</t>
  </si>
  <si>
    <t xml:space="preserve">YEAR</t>
  </si>
  <si>
    <t xml:space="preserve">CATOGERY-GE</t>
  </si>
  <si>
    <t xml:space="preserve">FILED BY</t>
  </si>
  <si>
    <t xml:space="preserve">UNION</t>
  </si>
  <si>
    <t xml:space="preserve">FILED AGAINST</t>
  </si>
  <si>
    <t xml:space="preserve">COUNSEL</t>
  </si>
  <si>
    <t xml:space="preserve">CONTACT DETAILS</t>
  </si>
  <si>
    <t xml:space="preserve">ISSUE</t>
  </si>
  <si>
    <t xml:space="preserve">STATUS</t>
  </si>
  <si>
    <t xml:space="preserve">RISK</t>
  </si>
  <si>
    <t xml:space="preserve">Liability as on 31st March-2026</t>
  </si>
  <si>
    <t xml:space="preserve">Claiming amount as per court doc.</t>
  </si>
  <si>
    <t xml:space="preserve">NEXT STEPS/DATE</t>
  </si>
  <si>
    <t xml:space="preserve">ACTION REQUIRED </t>
  </si>
  <si>
    <t xml:space="preserve">Provision</t>
  </si>
  <si>
    <t xml:space="preserve">Contingencies</t>
  </si>
  <si>
    <t xml:space="preserve">Remote</t>
  </si>
  <si>
    <t xml:space="preserve">High Court-Ahemdavbad</t>
  </si>
  <si>
    <t xml:space="preserve">Second Appeal</t>
  </si>
  <si>
    <t xml:space="preserve">Active</t>
  </si>
  <si>
    <t xml:space="preserve">R P Sharma</t>
  </si>
  <si>
    <t xml:space="preserve">Individual Advocate</t>
  </si>
  <si>
    <t xml:space="preserve">GE &amp; CEMA </t>
  </si>
  <si>
    <t xml:space="preserve">Yogen Pandya</t>
  </si>
  <si>
    <t xml:space="preserve">Filed appeal against order passed in case no 70 of 2013 &amp; 99 of 2005 of Civil Court-Nadiad </t>
  </si>
  <si>
    <t xml:space="preserve">On  12.02.2026 -The appellant’s counsel referred to an NCLT order in Overdrive Electronics Pvt. Ltd. v. Ceme Electric Lighting Products India Pvt. Ltd., stating that winding-up proceedings have been initiated against Respondent No.2, which had taken over Respondent No.1 through a merger.The appellant sought withdrawal of the Second Appeal, as the primary relief was reinstatement in service and ancillary relief was damages for loss of salary. In view of pending insolvency proceedings, permission was requested to withdraw the appeal with liberty to file an appropriate claim before the competent forum.The Second Appeal is disposed of as not pressed. The appellant is granted liberty to raise claims before the concerned Tribunal.</t>
  </si>
  <si>
    <t xml:space="preserve">VRS amount </t>
  </si>
  <si>
    <t xml:space="preserve">Disposed off on 12.02.2026</t>
  </si>
  <si>
    <t xml:space="preserve">No action required</t>
  </si>
  <si>
    <t xml:space="preserve">LPA</t>
  </si>
  <si>
    <t xml:space="preserve">Jyoti Chauhan</t>
  </si>
  <si>
    <t xml:space="preserve">GE</t>
  </si>
  <si>
    <t xml:space="preserve">Filed appeal against order passed in case no SCA 4205 of 2005 by High Court-Ahemdabad</t>
  </si>
  <si>
    <t xml:space="preserve">On 27.04.2026  - The parties have reached a settlement. The respondent has agreed to pay Rs. 2,00,000 as full and final settlement, and the appellant has accepted this amount and will not pursue further litigation on the matter. Based on this settlement, the writ appeal has been disposed off. The agreed amount has been paid to the workman.</t>
  </si>
  <si>
    <t xml:space="preserve">Disposed off on 24.04.2026</t>
  </si>
  <si>
    <t xml:space="preserve">SCA(Civil Case)</t>
  </si>
  <si>
    <t xml:space="preserve">Bhanumatiben chimanbhai Kapdiaya</t>
  </si>
  <si>
    <t xml:space="preserve">Manoj Shrimali</t>
  </si>
  <si>
    <t xml:space="preserve">lower court decision in favour of GE, Filed application for condnation of delay in filling of second appeal/earlier she has filed Civil Suit 493/1994 and Civil Suit 40/2010 before the Civil Court - Nadiad-fixed on 22th January-2015/Now on final hearing-Co</t>
  </si>
  <si>
    <t xml:space="preserve">OPEN, to be listed in HC for final hearing.</t>
  </si>
  <si>
    <t xml:space="preserve">No Claim for payment </t>
  </si>
  <si>
    <t xml:space="preserve">For linking,</t>
  </si>
  <si>
    <t xml:space="preserve">Industrial Tribunal-Nadiad</t>
  </si>
  <si>
    <t xml:space="preserve">Reference</t>
  </si>
  <si>
    <t xml:space="preserve">GEU</t>
  </si>
  <si>
    <t xml:space="preserve">GEU challenged decision of GE for business transfer to Cema/Demanded VRS amount as a compensatation </t>
  </si>
  <si>
    <t xml:space="preserve">Disposed on 08/10/2022. Order received. No appeal filed till now.</t>
  </si>
  <si>
    <t xml:space="preserve">closed</t>
  </si>
  <si>
    <t xml:space="preserve">Appeal</t>
  </si>
  <si>
    <t xml:space="preserve">Bhanu Makwana</t>
  </si>
  <si>
    <t xml:space="preserve">AGMS</t>
  </si>
  <si>
    <t xml:space="preserve">GE filed appeal application against order passes by Industrial Tribunal in case of Approval application 10/2004</t>
  </si>
  <si>
    <t xml:space="preserve">Disposed on 18/05/2016 (Orders Online)</t>
  </si>
  <si>
    <t xml:space="preserve">VRS amount /Approx 400000</t>
  </si>
  <si>
    <t xml:space="preserve">Misc Appliacation in Approval 2/2001</t>
  </si>
  <si>
    <t xml:space="preserve">Vipul N Patel</t>
  </si>
  <si>
    <t xml:space="preserve">GE has filed Misc application against order passed by Industrial Tribunal Nadiad case no Approval 2/2001</t>
  </si>
  <si>
    <t xml:space="preserve">Settlement proposal</t>
  </si>
  <si>
    <t xml:space="preserve">Misc Application</t>
  </si>
  <si>
    <t xml:space="preserve">Dharmesh Shah</t>
  </si>
  <si>
    <t xml:space="preserve">Misc Appliction filed by GE </t>
  </si>
  <si>
    <t xml:space="preserve">VRS amount approx 400000 but allrady calculated in other case</t>
  </si>
  <si>
    <t xml:space="preserve">Application in Ref 1/2008</t>
  </si>
  <si>
    <t xml:space="preserve">Filed application for stay order to nor removing/dismantaling parking shed</t>
  </si>
  <si>
    <t xml:space="preserve">Disposed on 01/10/2019 (Orders Online)</t>
  </si>
  <si>
    <t xml:space="preserve">Labour Court-Nadiad</t>
  </si>
  <si>
    <t xml:space="preserve">Criminal Case</t>
  </si>
  <si>
    <t xml:space="preserve">179(New)259(Old)</t>
  </si>
  <si>
    <t xml:space="preserve">Factory Inspector-Nadiad</t>
  </si>
  <si>
    <t xml:space="preserve">GOVT</t>
  </si>
  <si>
    <t xml:space="preserve">Kiran</t>
  </si>
  <si>
    <t xml:space="preserve">Non compliance</t>
  </si>
  <si>
    <t xml:space="preserve">Disposed vide Order dated 13/08/2022</t>
  </si>
  <si>
    <t xml:space="preserve">No Claim for payement </t>
  </si>
  <si>
    <t xml:space="preserve">181(New)296(Old)</t>
  </si>
  <si>
    <t xml:space="preserve">Disposed on 03/12/2019 (Orders Online)</t>
  </si>
  <si>
    <t xml:space="preserve">Civil Court-Nadiad</t>
  </si>
  <si>
    <t xml:space="preserve">Suit</t>
  </si>
  <si>
    <t xml:space="preserve">GEU-New body</t>
  </si>
  <si>
    <t xml:space="preserve">Ashok Shah</t>
  </si>
  <si>
    <t xml:space="preserve">GEU employees filed case for demanding stay order for not sale property of Nadiad</t>
  </si>
  <si>
    <t xml:space="preserve">Notice to be issued to Apar Ind.</t>
  </si>
  <si>
    <t xml:space="preserve">Karnataka High Court </t>
  </si>
  <si>
    <t xml:space="preserve">Real Estate </t>
  </si>
  <si>
    <t xml:space="preserve">K.N. Santosh Kumar v. State of Karnataka &amp; ors.                           W.P. 46379/2017</t>
  </si>
  <si>
    <t xml:space="preserve">DEFENDANT</t>
  </si>
  <si>
    <t xml:space="preserve">Frontline Legal</t>
  </si>
  <si>
    <t xml:space="preserve">4th Floor, Svastika, 54/20, 46th Cross Road, Jayanagar 8th Block, Bangalore - 560070
(Ph No- 9886333413- Sneha)</t>
  </si>
  <si>
    <t xml:space="preserve">The petitioner has challenged the original acquisition of certain trackts of land in Nallurhalli village stating that the said land was entrusted to his ancestors in the 19th century by the Maharaja of Mysore. Therefore any compensation related to acquisition by the govenrment ought to have been made to the petitioner. GE got the land allotted from KIADB which is a government agency which acquires land in Karnataka and allots it to industries. If at all the petitioner has a claim, it would be against the government and KIADB and not against GE.  </t>
  </si>
  <si>
    <t xml:space="preserve">Case was listed on 28.10. 2025. The Petitioner (party in person) appeared in person before the Court and sought an adjournment to engage an advocate. He submitted that he was suffering from health concerns that affected his memory, and therefore could not prosecute the case himself.The bench was inclined to adjourn the captioned matter on this ground, and passed orders directing for a Legal Aid Defense Counsel to be appointed to assist the Petitioner, and adjourned the matter by two weeks. No date was fixed in open court for the next date of hearing</t>
  </si>
  <si>
    <t xml:space="preserve">No direct claim against GE </t>
  </si>
  <si>
    <t xml:space="preserve">No date was fixed in open court for the next date of hearing. Matter has not been listed. </t>
  </si>
  <si>
    <t xml:space="preserve">City Civil Court </t>
  </si>
  <si>
    <t xml:space="preserve">Labour</t>
  </si>
  <si>
    <t xml:space="preserve">Sita Rama Balaji Maganti v. GE India Technologies Centre Pvt. Ltd.                                                        O.S. No. 9019/2013</t>
  </si>
  <si>
    <t xml:space="preserve">Poovyya &amp; Co (Manu, Mrinal Shankar, Srishti Widge)</t>
  </si>
  <si>
    <t xml:space="preserve">
The Estate, Level Four, 121 Dickenson Road, Bangalore 560 042; Tel No: + 91 80 4656 3000</t>
  </si>
  <si>
    <t xml:space="preserve">The Petitioner transferred GE confidential information to his personal device(s) before resigning in August 2011. The Petitioner's resignation was not accepted. This unauthorized transfer was detected by GE through DLP and he was subsequently terminated in November. The petitioner has sought that his relieving date be moved to August.</t>
  </si>
  <si>
    <t xml:space="preserve">The matter is posted for further evidence by Defendant- GE India Technology 
Centre Private Limited. GE has already led evidence in the matter through one witness – Mr. Prakash Padariya on the technical aspect of the matter. GE will be leading further evidence on the HR policies of GE through Mr. Abhishek Joshi. Due to COVID lockdown, and transfer of the presiding officer and consequent vacancy of the office, the matter was adjourned on 10.06.2021 and 12.04.2021</t>
  </si>
  <si>
    <t xml:space="preserve">Petitioner prays for shifting his relieving date to August. Matter reserved for orders. </t>
  </si>
  <si>
    <t xml:space="preserve">No specific date for hearing has been fixed</t>
  </si>
  <si>
    <t xml:space="preserve">Tax (Property Tax)</t>
  </si>
  <si>
    <t xml:space="preserve">GE India Technology Centre Pvt Ltd v State of Karnataka                        W.P. 44589/2016</t>
  </si>
  <si>
    <t xml:space="preserve">PETITIONER</t>
  </si>
  <si>
    <t xml:space="preserve">Keystone Partners </t>
  </si>
  <si>
    <t xml:space="preserve">Keystone Partners
Bengaluru 2nd Floor, 35/2 Cunningham Road, Bengaluru – 560052 
Phone No:  +91 80 4113 5813, +91 80</t>
  </si>
  <si>
    <t xml:space="preserve">BBMP claimed that GE wrongly categorized itself and paid a lesser amount of property tax. GE has disputed the categorization (Industrial v Commercial). This is an issue affecting the larger EPIP area and all companies within this area. Based on criteria for categorization, GE comes under the Industrial category.</t>
  </si>
  <si>
    <t xml:space="preserve">Pending in the HC. Per order dated August 23, 2016, BBMP was directed to accept tax paid by GE pending consideration of the petition.                                                                                           Payments made by GE per HC direction: DD # 815721: 30783986 dt. July 8, 2016
DD # 816156: 61241613 dt. August 24, 2016. Petition was admitted and Rule issued on 15/02/21
DD # 816157: 68868294 dt. August 24, 2016 </t>
  </si>
  <si>
    <t xml:space="preserve">BBMP Letter No. 74002/ CR /288/ 15-16 dated 29-03-2016 claiming outstanding property tax amount INR 11, 82, 15, 940/-</t>
  </si>
  <si>
    <t xml:space="preserve">The case has been withdrawn by GE for the following reasons:
1. Purely in order to put a quietus to the dispute, GE , vide Demand Draft bearing No.  821821 drawn on The Hongkong and Shanghai Banking Corporation Limited dated 24 March 2025 is enclosed herein, hereby makes payment of the entire sum of INR 26,85,35,626 (Rupees Twenty-Six Crore, Eighty-Five Lakh, Thirty-Five Thousand, Six Hundred and Thirty Six Only) payable under the Final Demand Notice towards arrears in lieu of payment of property tax to the BBMP, as discussed by GE India to  the BBMP and its authorized representatives. GE India hereby remits the Demanded Property Tax Arrears vide Demand Draft bearing No.821821. 
2. This payment was made to the BBMP in order to settle a long time suit in order to shut down the claims of Tax arrears made by the BBMP.
3. If this case was not settled/resloved, Procurement of Ekahtha would not have been possible. </t>
  </si>
  <si>
    <t xml:space="preserve">Additional Chief Metropolitan Magistrate Bangalore</t>
  </si>
  <si>
    <t xml:space="preserve">FIR</t>
  </si>
  <si>
    <t xml:space="preserve">Thimmegowda Vs. State of Karnataka and Others 2018</t>
  </si>
  <si>
    <t xml:space="preserve">COMPLAINANT</t>
  </si>
  <si>
    <t xml:space="preserve">Tomy Sebastian Associates (TSA Legal)</t>
  </si>
  <si>
    <t xml:space="preserve">Tomy Sebastian . Tomy Sebastian Associates (TSA Legal)  
50, 3rd floor 
Cauvery Saroja Mansion 
Church Street 
Bangalore - 560001 
Ph: 080 25599856  </t>
  </si>
  <si>
    <t xml:space="preserve">GE India Industrial Private Limited lodged a complaint at Halasuru police Station on 28/06/2018 reporting fraudulent transfers on three different dates  (1) Rs.89,39,289/- was transferred by 3 of it's employees ( 2 permanent and 1 Contingent) to M/s SN Tours and Travels on June 4, 2018, (2) Rs.91,54,732/- was transferred to M/s SN Tours and Travels on June 18, 2018 and (3) Rs.92,34,790/- was transferred to M/s VNR Travels on June 27, 2018, totally amounting to Rs.2,73,28,811/-(Rupees Two Crores Seventy Three Lakhs Twenty Eight Thousand Eight Hundred and Eleven only). Based on the said Complaint the Halasuru Police have registered the case in Crime No.211/2018 of Halasuru Police Station for offences under Sections 465, 468, 471 and 420 IPC  and the FIR was submitted to the X Additional Chief Metropolitan Magistrate, Bangalore. Thereafter the case was transferred to Central Crime Branch (CCB) Bangalore by the order of the Commissioner of Police and CCB Bangalore took up further investigation of the case and the case papers were transferred to I Additional Chief Metropolitan Magistrate Bangalore, which is specially constituted to try cases investigated by CCB.In the FIR filed under CRIME NO.211/2018 there are certain amounts which were fraudulently transferred into third party accounts which have been frozen upon filing of the above-mentioned FIR. In order to release these frozen amounts in favour of GE, during the pendency of proceedings, GE filed a petition with the I Additional Chief Metropolitan Magistrate, Bangalore City. The Magistrate's Court ruled in favour of GE but recorded the wrong amount (passed an order with an error), hence GE has petitioned the High Court for a review under S.482 CrPC (Criminal petition seeking for modification of the order). HC corrected the amount and gave a favourable order which mentioned the release of the amount .Hon'ble court (IV ACMM) was pleased to take up the matter during the pandemic and hear the same vide matter on VC on 24.08.20 and 26.08.20 and pass an order permitting GE, to take interim custody of Rs. 2,22,65,811/- frozen in the accounts of the Accused persons in the case upon furnishing of a bank guarantee. Which we furnished promptly.</t>
  </si>
  <si>
    <t xml:space="preserve">Last date of hearing  23-05-2026. Accused no. 1 and 2 are present. Accused no. 4 and 5 absent, Ep filed, same is allowed. Accused no. 1 filed application U/Sec. 70(2) of Cr.P.C heard application is allowed. NBW recalled. Directed the all Accused to present before the court on next date without fail for framing of charge. Call On: 08-09-2026</t>
  </si>
  <si>
    <t xml:space="preserve">Recovery of total amount Rs 2.73 Crore(approx.)</t>
  </si>
  <si>
    <t xml:space="preserve">XXI Small Causes Judge &amp; Commissioner for Employee Compensation , Bangalore </t>
  </si>
  <si>
    <t xml:space="preserve">Employee Compensatiion </t>
  </si>
  <si>
    <t xml:space="preserve">ECA/50/2020 ; H.Vasudev &amp; Anr., Vs. Apollo Power Systems Pvt. Ltd., &amp; Others</t>
  </si>
  <si>
    <t xml:space="preserve">Respondent No. 2</t>
  </si>
  <si>
    <t xml:space="preserve">Markos &amp; Co</t>
  </si>
  <si>
    <t xml:space="preserve">Thomas Vellapally
Partner
Markos &amp; Co., 
Advocates,
#3527, 1st Cross, 13th 'H' Main,
HAL IInd Stage, Indiranagar,
Bangalore  - 560 008.</t>
  </si>
  <si>
    <t xml:space="preserve">Application filed under Section 22 of the Employee’s Compensation Act, seeking a sum of Rs. 40 lakh as compensation for the death of the son of the Petitioner while on GE’s premises. GE is the second respondent in the petition and is alleged to be the principal employer, and compensation is sought jointly and severally from GE as well as Apollo Power Systems Pvt. Ltd.</t>
  </si>
  <si>
    <t xml:space="preserve">GE, has a filed its statement that the petition is not maintainabale, as there is no employer and employee relationship between deceased employee and GE. Also, the employerof the decesed person (Apollo Power) is an establishment registered under the ESI Act, and the deceased employee V. Chandrashekar, was covered under the ESI Act. ESI Act specifically prohibits any other claim and hence the petition is not maintainable. The Matter is pending evidence of the petioner (parents of the deceased person).Case dismissed in our favour</t>
  </si>
  <si>
    <t xml:space="preserve">seeking a sum of Rs. 40 lakh as compensation for the death of the son of the Petitioner while on GE’s premises</t>
  </si>
  <si>
    <t xml:space="preserve">Case dismissed in our favour</t>
  </si>
  <si>
    <t xml:space="preserve">Small Causes Court-SCCH-1 Bangalore and Lok Adalat, Bangalore</t>
  </si>
  <si>
    <t xml:space="preserve">Accident  Compensation for death and injury under the Motor Vehicles Act</t>
  </si>
  <si>
    <t xml:space="preserve">MVC No.3191-3194/2021; Before Small Causes Court-SCCH-1</t>
  </si>
  <si>
    <t xml:space="preserve">One of our former employees Mr. Swamy Darshan, and his family met with an accident on 20.01.2021, while using the car no KA-03-NC-5727, Innova Crysta 2.4 G 75 MT, which was leased in GE's name from Clix Finance India Private Limited. 
On account of the death of the wife of the employee and injuries suffered in the accident, four claims have been filed for compensation as detailed below:
3191/2021- By Swamy Darshan's minor son, Mouhith Dhurva Darshan, through his grandfather Mr. Govindappa as the natural guardian. 
3192/2021 - By Swamy Darshan's father Mr. Govindappa, as the legal representative of late Dr Vanita, w/o of Swamy Darshan 
3193/2021 - By Rathna Govind B mother of Swamy Darshan 
3194/2021 - By Govindappa, father of Swamy Darshan</t>
  </si>
  <si>
    <t xml:space="preserve">The Advocate for Respondent No.1 was present and filed vakalat in all the above matters and informed the Court that they are ready for settlement. The Advocate for Petitioner was present and sought time and the Court was pleased to grant time and adjourned the matter to September 24, 2021 for conciliation.Petitioner filed additional documents along with affidavit of all documents (injury, tests, surgery and other expenses) on 14th October 2022. The matter listed for Written Statement of Sri Vignesh S (R3) and New India Assurance Company (R4). There was no representation for the Petitioner,Baja Allianz (R1), Sri Vignesh S (R3), and New India Assurance Compant Pvt Ltd (R4). The Court adjourned the cases accordingly.</t>
  </si>
  <si>
    <t xml:space="preserve">Compensation demanded from Insurance company and GE                         ( leased car)
The compensation claimed is: 
3191/2021 - Rs 1,00,000/- (One Lakh)
3192/2021 - 2,00,00,000/- (Two Crores)
3193/2021- 1,00,000/- (One Lakh) 
3194/2021- 25,00,000/- (Twenty Five Lakhs) </t>
  </si>
  <si>
    <t xml:space="preserve">The captioned case was listed for final arguments and orders were passed as for all the connected cases:
1. In the case of 3191/2021- Respondent No 1 and 2 (GE) are liable to pay,either jointly or severally INR 30,000/- + 9% intrest
2. In the case of 3192/2021- Respondent No 1 and 2 (GE) are liable to pay , either jointly or severally INR 1,53,09,000/- 9% intrest 
3. In the case of 3193/2021- Respondent No 1 and 2 (GE) are liable to pay,either jointly or severally  INR 30,000/- + 9% intrest
4. In the case of 3194/2021- Respondent No 1 and 2 (GE) are liable to pay,either jointly or severally  INR 5,70,000/- + 9% intrest
Next Step is to be determined. </t>
  </si>
  <si>
    <t xml:space="preserve"> Action required</t>
  </si>
  <si>
    <t xml:space="preserve">District Court Bilaspur</t>
  </si>
  <si>
    <t xml:space="preserve">Suit filed for Succession Certificate by the widow of the  decased employee of GEIIPL</t>
  </si>
  <si>
    <t xml:space="preserve">Mahima Jadhav Vs. GE Pvt. Ltd. Bilaspur District Court, 2021</t>
  </si>
  <si>
    <t xml:space="preserve">BTG </t>
  </si>
  <si>
    <t xml:space="preserve">BTG Legal C-242, Arjun Marg, Defence Colony, New Delhi - 110024</t>
  </si>
  <si>
    <t xml:space="preserve">Suit if filed by the Wife of Abhishek Bhosle, an ex employee of GEIIPL, who passed away while being emloyed with GE. Suit pertains to a declartion to make the wife of the deceased employee as the legal heir of the saoid deceased employee so as to recive the Life Insurance benefits as may be dwtermined by the Insurance COmpany. </t>
  </si>
  <si>
    <t xml:space="preserve">On  11 May 2026, we appeared before the Court and informed that replies to the discovery applications filed by both plaintiffs had already been submitted. We further informed that the documents sought in the discovery applications are now on record and copies of the same have also been provided to the plaintiffs’ counsel. The plaintiffs’ counsel acknowledged receipt of the replies and documents.
The Court has adjourned the matter to 9 July 2026, after the summer vacation, for recording any objections or confirmation from the plaintiffs regarding whether the documents provided are satisfactory to their requirements.
</t>
  </si>
  <si>
    <t xml:space="preserve">Seeking Succession Certificate </t>
  </si>
  <si>
    <t xml:space="preserve">District Court, Bilaspur, Chhattisgarh</t>
  </si>
  <si>
    <t xml:space="preserve">Suit filed for Succession Certificate by the mother of the  decased employee of GEIIPL</t>
  </si>
  <si>
    <t xml:space="preserve">Gauri Bhosle vs G.E. India Pvt Ltd &amp; Ors. Case No. 45 of 2022</t>
  </si>
  <si>
    <t xml:space="preserve">This counter suit before Bilaspur Court is connected with the previous suit i.e., Mahima Jadhav vs. General Public &amp; Ors., and has been filed by the mother of the GE’s deceased employee. Under this suit, Plaintiff has sought to be declared the sole successor of the said deceased employee.She has further prayed that all amounts due to be released by the insurance company or by GE, following the death of son should be paid to her, including PF and insurance claim amount of Rs. 65,00,000/-. </t>
  </si>
  <si>
    <t xml:space="preserve">INR 65,00,000/- from the insurance company, along with other accural benefits from GE. </t>
  </si>
  <si>
    <t xml:space="preserve">Labour court, Banglore , Karnataka </t>
  </si>
  <si>
    <t xml:space="preserve">Reinstatement and payment of back wages</t>
  </si>
  <si>
    <t xml:space="preserve">Ravikumar L and 104 workers V/s The Management of Sri Venkateshwara Industries LLP and others</t>
  </si>
  <si>
    <t xml:space="preserve">Active </t>
  </si>
  <si>
    <t xml:space="preserve">Respondent no.2</t>
  </si>
  <si>
    <t xml:space="preserve">BCP </t>
  </si>
  <si>
    <t xml:space="preserve">3rd Floor, Nama Aroure Complex, Nagasandra Circle, S End Rd, Bengaluru, Karnataka 560004</t>
  </si>
  <si>
    <t xml:space="preserve">The First party have filed a case in the labour court seeing reinstatement and continuity of services. The Sri Venkateshwara Industries LLP (Second party) has paid the first party INR 8,93,11,491/- as a settelment and has supporting documents for the same. </t>
  </si>
  <si>
    <t xml:space="preserve"> Case was listed 21.01.2026 to file amended Claim Statement by First Party and for Further Chief-Examination of WW-1. Counsel for First Party filed Memo requesting to dispose of this reference as not pressed.  We submitted No Objection to Memo. Hence Hon’ble Tribunal accepted Memo and this reference stand disposed off as not pressed in terms of memo.</t>
  </si>
  <si>
    <t xml:space="preserve">First party counsel filed objection statement to I.A.No.1. Case is posted to 02.07.2024 for addressing Arguments on I.A.No.1. by both parties and filing counter statement by the Second party. </t>
  </si>
  <si>
    <t xml:space="preserve">Disposed off on 21.01.2026</t>
  </si>
  <si>
    <t xml:space="preserve">no action required</t>
  </si>
  <si>
    <t xml:space="preserve">Mandavi Court, Gujarat</t>
  </si>
  <si>
    <t xml:space="preserve">Civil Matter</t>
  </si>
  <si>
    <t xml:space="preserve">Punchanama notice to verify site conditions</t>
  </si>
  <si>
    <t xml:space="preserve">Balaji Associates</t>
  </si>
  <si>
    <t xml:space="preserve">This is related to 33KV line pole for which easement right needs to be taken in favor of, customer ReNew. GE site team visited the spot and also met with Govt surveyor. Both representatives conducted a survey and found that land on which the poles are erected comes under revenue land with lot of bushes &amp; no agriculture land as claimed by farmer. Hence the farmer's claim seems to be wrong prima facie. </t>
  </si>
  <si>
    <t xml:space="preserve">Land surveyor represented the matter before Court with all the data. Awaiting details on the next hearing date. </t>
  </si>
  <si>
    <t xml:space="preserve">no date provided yet</t>
  </si>
  <si>
    <t xml:space="preserve">Civil Court, Gurgaon</t>
  </si>
  <si>
    <t xml:space="preserve">Civil Suit</t>
  </si>
  <si>
    <t xml:space="preserve">CS-5188-2018 CNR NO. HRGR02-003434-2018</t>
  </si>
  <si>
    <t xml:space="preserve">Debasish Mohapatra</t>
  </si>
  <si>
    <t xml:space="preserve">Wintech had issued a purchase order dated 06.06.2014 to GE Industrial, for the supply of materials- Housing Ground BYRN Feeder, elbow etc. for a total sum of Rs.16,07,387/- for use in their purported project for their client Shakti Bhog Foods. It is alleged that since Shakti Bhog Foods canceled its order given to Wintech, Wintech cancelled their purchase order issued to GE Industrial within stipulated time and requested a refund of their advance sum of Rs.  3,21,477/- , which was allegedly paid vide cheque dated 16.06.2014</t>
  </si>
  <si>
    <t xml:space="preserve">Matter was listed on 12.09.2025 on the application under Order VII Rule 10 of CPC, application is allowed and  the plaint is returned to the plaintiff in original. Case is disposed off as plaint returned.</t>
  </si>
  <si>
    <t xml:space="preserve">Disposed off on 12.09.2025</t>
  </si>
  <si>
    <t xml:space="preserve">III ADDITIONAL CHIEF JUDGE  CITY CIVIL COURT at Hyderabad </t>
  </si>
  <si>
    <t xml:space="preserve">Motor vehicles Accident case/Criminal matter</t>
  </si>
  <si>
    <t xml:space="preserve">                                                   MVO.P.NO.  1221 OF 2022K. Papaiah
                                                                                                                       …
AND
GE India Industrial private Limited &amp; ors.   
                                                                                    ...</t>
  </si>
  <si>
    <t xml:space="preserve">Kochhar &amp; Co.</t>
  </si>
  <si>
    <t xml:space="preserve">These proceedings are related to employee car accident and car involved in the accident was on company car lease.   In Feb 2019, as part of restructuring of Industrial Solution business, some HC’s and related Assets and Liabilities were transferred to ABB and car leases was part of same. In 2022, police approached GE office asking details about Ravi Kumar (who was part of transfer to ABB) as there was compliant against him on hit and run case.At that time, GE identified that ownership was not transferred to ABB but it carried in name of GEIIPL</t>
  </si>
  <si>
    <t xml:space="preserve">Case was listed on  29.04.2026 for framing issues, P.O. is transferred, Case is posted to 09/07/2026</t>
  </si>
  <si>
    <t xml:space="preserve">Chief Judicial Magistrate at Patna</t>
  </si>
  <si>
    <t xml:space="preserve">Criminal Compliant under 406,409,420,120(B) of IPC</t>
  </si>
  <si>
    <t xml:space="preserve">complaint case no.4951 of 2018</t>
  </si>
  <si>
    <t xml:space="preserve">These proceedings are related to one of old businesses, GE Lighting. GE enetered into a contract with Bihar Urban Infrastructure Development Corporation (BIDCO) for supply, installation, testing and commissioning of street light in Patna and other districts. M/s Yasoda Marketing was awarded certain 3 orders as subcontractor for this project. They submitted total bills for the works performed for a total sum of INR 3,26,54,971.25/- out of which only a sum of INR 2,86,12,016,15/- was paid. There has been communication in past between the parties and as per documents provided an outstanding amount of INR 40,42,955/- is pending. Despite repeated reminders from Yasoda, no closure has happened in this matter.</t>
  </si>
  <si>
    <t xml:space="preserve">Matter last listed on 13-03-2026 which has been 29-05-2026 adjourned</t>
  </si>
  <si>
    <t xml:space="preserve">40,42,955</t>
  </si>
  <si>
    <t xml:space="preserve">settlement proposal</t>
  </si>
  <si>
    <t xml:space="preserve">Collector of Stamps, Coimbatore/ Collector of Stamps Delhi </t>
  </si>
  <si>
    <t xml:space="preserve">Stamp duty </t>
  </si>
  <si>
    <t xml:space="preserve">Application for adjudication of stamp duty payable </t>
  </si>
  <si>
    <t xml:space="preserve">DMD</t>
  </si>
  <si>
    <t xml:space="preserve">Adjudication under Section 31 of the Indian Stamp Act, 1899 as applicable to the State of Tamil Nadu in respect of the order dated 25.02.2021 passed by the National Company Law Tribunal, Chennai in CP/212/CAA/2020 sanctioning the scheme of Demerger between GE India Industrial Private Limited and GE Oil &amp; Gas India private Limited under section 230-232 of the Companies Act, 2013. The payment of stamp duty adjudication is pending payment at Coimbatore and New Delhi</t>
  </si>
  <si>
    <t xml:space="preserve">GE applied for stamp duty adjudication to the Stamp Collector at Coimbatore. GE’s application the stamp collector by the attached internal order directed the sub registrar to collect the stamp duty as per the circular i.e. @ 0.6% of the shares. So far wGE have not received any official communication from the Collector or the sub-registrar. GE on its  own approached the concerned sub-registrar who said she has not done any such scheme case and is not aware about the procedure for this but she said we should first pay the stamp duty on the web-site of stock holding corpn. Our counsel, contacted the IGR at Chennai last week who told GE to pay the duty on a different web-site told by him. The counsel checked that web site which permits payment without mentioning the Article No. The next course of action is to again approach the sub registrar Coimbatore to make them agree that GE will pay the duty on the said web site and that they will stamp the scheme.</t>
  </si>
  <si>
    <t xml:space="preserve">The Payment of stamp duty has been completed in Coimbatore, Delhi is still pending on account of lack of clarity by Sub-Registrar</t>
  </si>
  <si>
    <t xml:space="preserve">Chief Controlling Revenue Authority, Bangalore</t>
  </si>
  <si>
    <t xml:space="preserve">Appeal in relation to valuation of stamp duty in an amalgamation </t>
  </si>
  <si>
    <t xml:space="preserve">GE India Industrial Private Limited v. District Registrar &amp; Deputy Commissioner (Stamps)
Shivajinagar, Bangalore                                     SAP No. 04 of 2020/21</t>
  </si>
  <si>
    <t xml:space="preserve">Appellant: GE India Industrial Private Limited                                                                Respondent: District Registrar &amp; Deputy Commissioner (Stamps)
Shivajinagar, Bangalore </t>
  </si>
  <si>
    <t xml:space="preserve">Mirji and Co.                             Adv. Chinmay J Mirji                 Adv. Charitha V.                Adv. Vinay S.                           Adv. Harshith B                    </t>
  </si>
  <si>
    <t xml:space="preserve">                                                                                                                                                      1. Hon’ble National Company Law Tribunal ("NCLT"), Bengaluru vide order dated 20.03.2017 and the NCLT New Delhi vide order dated 31.03.2017 approved an amalgamation of two companies (GE India Exports Private Limited and GE India Technology Centre Private Limited) - thus forming the Appellant Company                           2. The Appellant Company submitted an application dated 02.06.2017 under Section 31 of the Karnataka Stamp Act, 1957 (“Stamp Act”) with the Respondent to adjudicate the amount of stamp duty on transfer of assets payable by it.                                                                           3. Respondent engaged the services of Technical Consultancy Services Organisation of Karnataka (“TECSOK”) to conduct valuation of moveable assets of the two companies. TECSOK conducted valuation and submitted a valuation report dated 30.05.2018.  Upon receipt of the valuation report, the Advocate of the Appellant Company sent an e-mail dated 04.10.2018 requesting TECSOK to provide with the basis of valuation for all items of moveable property but no reply was received                                                                                                                                        4. Appellant Company issued letter dated 30.11.2018 to the Respondent requesting for a personal hearing to present its arguments. An opportunity of a personal hearing was granted to the Appellant by the Respondent at his office on 11.12.2018.                 5.During the hearing, various points were brought up by the Appellant Company such as no authority for valuation and lack of basis in valuation. Subsquently, in May 2018 - a revised valuation was recieved by TECSOK which also lacked any basis.                    6. Ten months after submission of the revised report the Respondent called upon the Appellant's advocate to furnish certain details, which were dult provided. Subsequently, the Respondent issued order dated 11.06.2020  ("impugned order"). The impugned order of the Respondent was was placed before NCLT Bengaluru                                                                             ISSUES AND ARGUEMENTS                                                                                                                        1.That on 20.03.2017 when the Scheme was sanctioned by the NCLT, Bengaluru, there was no Article under the Stamp Act which provided for levy of stamp duty on an order of the  Tribunal under the Companies Act, 2013 in respect of amalgamation  - The amendment act which called for the same was made proposectively effective only on 01.04.2017, thus the impugned order is without any sanction of law.                                                                                                                                          2. That TECSOK's valuation report has been arrived at without any basis or application of mind as assets of the Transferor Companies under the Scheme were transferred by physical delivery and therefore stamp duty is not attracted under the Stamp Act                                                                                                                                                           3. That while issuing the Impugned Order, the Respondent has not made any independent opinion as to the market value of the moveable assets of the Transferor Companies.                                                                                                                             4. That the Respondent has incorrectly applied the guidance value of Rs. 49,700 per sq. mtr. for the valuation of the Immovable Property.                                                                5. That the Respondent has in the Impugned Order incorrectly mentioned the value of ‘Other Immovable Assets’ of the Transferor Company No. 2 as Rs. 1,998,470,119 instead of Rs. 1,953,122,871.1. Quashing of the Impugned Order passed by the Respondent               2. Direction to the Respondent to charge Stamp Duty only on the immovable property with the set guidance value                                3. Direction to the Respondent to replace the amount of Rs. 1,998,470,119 with Rs. 1,953,122,871 in the value of the ‘Other Immovable Assets’ of the Transferor Company No. 2                        </t>
  </si>
  <si>
    <t xml:space="preserve">GEIIPL has filed an application for hearing of the matter, accordingly the matter was listed on 3.02.2026 before the Hon’ble Inspector General of Stamps and Commissioner of Stamps, Bengaluru, for re-hearing.
However, as the Hon’ble Inspector General Registrar (IGR) was not available, the hearing could not take place. Accordingly, the office has rescheduled the matter, and the re-hearing now stands adjourned to 17.02.2026, On 17.02.2026 counsel advanced detailed arguments in the matter. The case has now been reserved for orders. However, the exact date on which the order will be pronounced has not yet been indicated. On 14.05.2026
Counsel appeared before the Inspector General of Registration (IGR) office and enquired about the status of the order. The officials informed us that the order is likely to be passed within this week; however, this was conveyed orally. </t>
  </si>
  <si>
    <t xml:space="preserve">Matter is reserved for orders, next date is not givien by the court.</t>
  </si>
  <si>
    <t xml:space="preserve">Chief Controlling Revenue Authority &amp; Inspector Gengeral Of Registration In Karnataka, Bangalore</t>
  </si>
  <si>
    <t xml:space="preserve">Stamp Duty Payment- Difference amount</t>
  </si>
  <si>
    <t xml:space="preserve">GE India Technology Centre Pvt Ltd v The District Registrar &amp; Deputy Commissioner (Stamps)  COP 206/2016</t>
  </si>
  <si>
    <t xml:space="preserve">Appellant: GE India Industrial Private Limited                                                                Respondent: District Registrar &amp; Deputy Commissioner (Stamps)</t>
  </si>
  <si>
    <t xml:space="preserve">Mac Law (Chinmay Mirji) </t>
  </si>
  <si>
    <t xml:space="preserve">No.6/24, Ground Floor, 11th Main, Vijayanagar, Bangalore - 560040     </t>
  </si>
  <si>
    <t xml:space="preserve">The valuation of asset declaired is lower than the actual valuation as on 11th May 2018 which in turn, resulted in payment of a lesser valued stamp Duty. According the the revised order issued as on 1st March 2021 including additional stamp paper duty and cess under Section 3(B) of Karnataka Stamp Act, GE is liable to pay INR 7,19,34,341/- which has also been accepted by the Legal representatives for GE and a DD bearing Numner 846505 dated 15/04/2021 has been credited to the governement. </t>
  </si>
  <si>
    <t xml:space="preserve">Arguments have been done by GE Counsel  and the counsel for the government sought time for instructions. We also stated that the amount of Rs. 7,19,34,341/- has been paid under protest. Objections to our arguments were filed by the District Registrar. </t>
  </si>
  <si>
    <t xml:space="preserve">Objections to our arguments were filed to the District Registrar, the next date of hearing for our arguments is 13.06.2024. The Advocate has recommends the Filing of a Writ Petition. </t>
  </si>
  <si>
    <t xml:space="preserve">II Addl. Civil Judge( Jr. Division), Bengaluru Rural District, Bengaluru </t>
  </si>
  <si>
    <t xml:space="preserve">Encroachment </t>
  </si>
  <si>
    <t xml:space="preserve">John F. Welch Technology Centre V/S  Cicon Engineers Private Limited and InfoPro Solutions Private Limited</t>
  </si>
  <si>
    <t xml:space="preserve">Plaintiff</t>
  </si>
  <si>
    <t xml:space="preserve">Aarna Law</t>
  </si>
  <si>
    <t xml:space="preserve">5, 2nd Main Rd, Vyalikaval, Kodandarampura, Malleshwaram, Bengaluru, Karnataka 560003</t>
  </si>
  <si>
    <t xml:space="preserve">GE has filed for a permanent injunction against the movement of the crane which belongs to Cicon. The Crane is encroaching into GE property which has the potential to cause an accident. </t>
  </si>
  <si>
    <t xml:space="preserve">Matter was listed on 14.03.2025 before the II Addl. Civil Judge( Jr. Division), Bengaluru Rural District, Bengaluru for "Hearing".Counsel for the Defendant was present. An application for withdrawal under Order XXIII Rule 1 of CPC has been filed.  The Hon'ble Court allowed the application and has dismissed the suit as "withdrawn"
</t>
  </si>
  <si>
    <t xml:space="preserve">The case has been withdrawn on 19th March 2025 by GE as the Crane which was encroching into the property has been dismantelled. </t>
  </si>
  <si>
    <t xml:space="preserve">Motor Accident Claims Tribunal (Special District Judge), Salem</t>
  </si>
  <si>
    <t xml:space="preserve">	M.C.O.P. (Motor Claims Original Petition</t>
  </si>
  <si>
    <t xml:space="preserve">	MCOP/ 1861/2025    Anitha vs. Prathap and Others</t>
  </si>
  <si>
    <t xml:space="preserve">Anitha</t>
  </si>
  <si>
    <t xml:space="preserve">	1. Prathap, 2. M/s GE India Industrial Pvt Ltd, 3. M/s TATA AIG General Insurance Co Ltd (</t>
  </si>
  <si>
    <t xml:space="preserve">Compensation claim U/S 166 of M.V. Act regarding accident on 14.06.2025 involving vehicle KA 53 MG 0557</t>
  </si>
  <si>
    <t xml:space="preserve">Notice issued to appear to show cause against the application</t>
  </si>
  <si>
    <t xml:space="preserve">M.C.O.P. (Motor Claims Original Petition</t>
  </si>
  <si>
    <t xml:space="preserve">MCOP/1859/2025 Anusuya vs. Prathap and others</t>
  </si>
  <si>
    <t xml:space="preserve">Anusuya </t>
  </si>
  <si>
    <t xml:space="preserve">1. Prathap 2. M/s India Industrial Pvt Ltd. 3. M/s TATA AIG General Insurance Co Ltd.</t>
  </si>
  <si>
    <t xml:space="preserve">Claim for compensation U/S 166 of M.V. Act following an accident</t>
  </si>
  <si>
    <t xml:space="preserve">Notice issued to respondents to appear in court</t>
  </si>
  <si>
    <t xml:space="preserve">ESI Court</t>
  </si>
  <si>
    <t xml:space="preserve">E.S.I.O.P.</t>
  </si>
  <si>
    <t xml:space="preserve">No. 197 of 2024 Orient Green Power Company Ltd 
VS.
1.Employees State Insurance Corporation
2. Alpho Pest Control Pvt Ltd
3. The Indian Cultural Research Trust
4. Leitwind Shriram Manufacturing Private Ltd
5. Mohan Power Infrastructure Pvt Ltd
6. Siemens Gamesa Renewable Power Private Ltd
7. Vestas Wind Technology India Pvt Ltd
8. Suzlon Global Service Ltd
9. G E India Industrial Pvt Ltd
10. Batliboi Renewable Energy Solutions Pvt Ltd</t>
  </si>
  <si>
    <t xml:space="preserve">Orient Green Power Co. Ltd.</t>
  </si>
  <si>
    <t xml:space="preserve">NA</t>
  </si>
  <si>
    <t xml:space="preserve">Employees State Insurance Corp. &amp; Others</t>
  </si>
  <si>
    <t xml:space="preserve">BTG Advyaya 
Ramya Katti
Senior Associate </t>
  </si>
  <si>
    <t xml:space="preserve"> ramya.katti@btgadvaya.com | M: +91 97667 10435
O: 5/8, Shankruthi, Brunton Cross Road, Off Magrath Road, Ashok Nagar, Bangalore 560 025</t>
  </si>
  <si>
    <t xml:space="preserve"> Matter last listed  on  May 8, 2026 before the court, on which day we appeared through our local counsel. Since the court is yet to frame issues in the matter, it adjourned the matter to June 1, 2026 </t>
  </si>
  <si>
    <t xml:space="preserve">	State Level Micro Small Enterprises Facilitation Council Gujarat at Gandhinagar</t>
  </si>
  <si>
    <t xml:space="preserve">Aribtration</t>
  </si>
  <si>
    <t xml:space="preserve">	D.P. NO. 5546                        Aaditya Electricals Vs.                          GE India Industrial Private Limited</t>
  </si>
  <si>
    <t xml:space="preserve">Aaditya Electricals</t>
  </si>
  <si>
    <t xml:space="preserve">	GE India Industrial Private Limited </t>
  </si>
  <si>
    <t xml:space="preserve">Kritika Bhardwaj</t>
  </si>
  <si>
    <t xml:space="preserve">Office: C-34 Neeti Bagh, New Delhi - 110049
Phone: +91 11 4174 1314</t>
  </si>
  <si>
    <t xml:space="preserve">Recovery of outstanding dues for operation and maintenance services of a 300 MW wind farm of Rs. 5,93,90,20</t>
  </si>
  <si>
    <t xml:space="preserve">	Conciliation failed on 30.09.2025; matter referred to arbitration per order dated 06.12.2025. SOC filed by claimant - on 31.03.2026 we filed application pursuant to Section 16 of the Arbitration Act challenging the jurisdiction of this Hon'ble Tribunal to determine the claims raised by the Claimant on the ground of the Claimant's non - registration as an MSME at the appropriate time; and Respondent is also filing an application pursuant to Section 25 of the Arbitration Act seeking termination of the present arbitration on account of the Claimant's gross delay in preferring the Statement of Claim in contravention of the time allowed by this Hon'ble Tribunal. </t>
  </si>
  <si>
    <t xml:space="preserve">Rs. 7,11,60,309/- (Principal: Rs. 5,93,90,200 + Interest:                                  Rs. 1,17,70,109 )</t>
  </si>
  <si>
    <t xml:space="preserve">No date given</t>
  </si>
  <si>
    <t xml:space="preserve">Confirmed with GEIIPL Wind division, No provision in books as of 31st March 2026.</t>
  </si>
  <si>
    <t xml:space="preserve">High Court of Gujarat</t>
  </si>
  <si>
    <t xml:space="preserve">Labour &amp; Employment </t>
  </si>
  <si>
    <t xml:space="preserve">  SCA 10676/2017    CEMA Electric Lighting Products India Pvt. Ltd
vs.
Mukeshbhai Popatlal Soni
GE India Industrial Pvt. Ltd.
Presiding Officer, Labour Court</t>
  </si>
  <si>
    <t xml:space="preserve">CEMA ELECTRIC LIGHTING PRODUCTS INDIA PVT LTD</t>
  </si>
  <si>
    <t xml:space="preserve">Mukeshbhai Popatlal Soni
GE India Industrial Pvt. Ltd.
Presiding Officer, Labour Court</t>
  </si>
  <si>
    <t xml:space="preserve">Yogen Pandya                 Ph. 9825079030</t>
  </si>
  <si>
    <t xml:space="preserve">501, 5th Floor, Shiromani Complex
Opp. Ocean Park, Nehrunagar
Satellite Road, Ahmedabad - 380 015
pandyayogen@gmail.com</t>
  </si>
  <si>
    <t xml:space="preserve">Filed appeal against order passed under case no. LCN NO. 133/2003</t>
  </si>
  <si>
    <t xml:space="preserve">The petitioner informed the Court that the NCLT, Chennai has initiated CIRP against the petitioner company and appointed an Interim Resolution Professional. Due to the operation of Sections 9, 14, 30, and 31 of the Insolvency and Bankruptcy Code (IBC), the present writ petition has become infructuous. The respondent No.1 did not dispute this legal position. Accordingly, the Court disposed of the Special Civil Application as infructuous, with liberty to the parties to revive it if any difficulty arises.</t>
  </si>
  <si>
    <t xml:space="preserve">Disposed off on 6-4-2026</t>
  </si>
  <si>
    <t xml:space="preserve">Labour Court, Nadiad</t>
  </si>
  <si>
    <t xml:space="preserve">RECO33C2 LC/0000009/2014  ARVINDBHAI C.  VANKAR                               Versus                                                                         1) G.E.INDIA LIGHTING INDIA PVT. LTD
2) G.E.LIGHTING INDIA INDUSTRIAL PVT. LTD.
</t>
  </si>
  <si>
    <t xml:space="preserve">ARVINDBHAI C. VANKAR  </t>
  </si>
  <si>
    <t xml:space="preserve">1) G.E.INDIA LIGHTING INDIA PVT. LTD
2) G.E.LIGHTING INDIA INDUSTRIAL PVT. LTD.</t>
  </si>
  <si>
    <t xml:space="preserve">Recovery of unpaid salary dues arising from a prior Industrial Tribunal approval order.</t>
  </si>
  <si>
    <t xml:space="preserve">On 9 October 2025 the Court dismissed the  Recovery Application (33-C 2) No. 09/2014 (ARVINDBHAI... pp. 1, 11). The case was originally filed on 27 March 2014 by a worker, Arvindbhai C. Vankar, against G.E. Lighting India Industrial Pvt. Ltd. and Seema Electric Lighting Products India Pvt. Ltd. to recover unpaid salary dues arising from a prior Industrial Tribunal approval order. However, the opposing company entered into the CIRP under the NCLT Chennai, leading to the formal appointment of an Interim Resolution Professional.  The Labour Court ruled that under the strict statutory moratorium provisions of Section 14(1)(a) of the Insolvency and Bankruptcy Code (IBC), 2016, alongside the overriding powers of IBC Section 238 and Section 10(6)(a) of the Industrial Disputes Act, it no longer possesses the legal jurisdiction to entertain, decide, or execute any parallel recovery proceedings against the corporate debtor. Consequently, the Court allowed the company’s legal application (Exhibit 59) and officially rejected and cancelled the worker’s recovery claim (Exhibit 1), clarifying that the applicant’s proper legal remedy is to submit all pending wage and salary claims directly to the appointed IRP for proportional distribution under the insolvency mechanism.Recovery Application rejected, matter disposed off.  GE has no liability</t>
  </si>
  <si>
    <t xml:space="preserve">Disposed off on 9-10-2025</t>
  </si>
  <si>
    <t xml:space="preserve">VENDORS</t>
  </si>
  <si>
    <t xml:space="preserve">GEITC</t>
  </si>
  <si>
    <t xml:space="preserve">MMF</t>
  </si>
  <si>
    <t xml:space="preserve">OCL</t>
  </si>
  <si>
    <t xml:space="preserve">Residual</t>
  </si>
  <si>
    <t xml:space="preserve">Vernova Residual</t>
  </si>
  <si>
    <t xml:space="preserve">Wind</t>
  </si>
  <si>
    <t xml:space="preserve">Grand Total</t>
  </si>
  <si>
    <t xml:space="preserve">%</t>
  </si>
  <si>
    <t xml:space="preserve">Nature of Services</t>
  </si>
  <si>
    <t xml:space="preserve">Matched Case(s) - Legal Tracker</t>
  </si>
  <si>
    <t xml:space="preserve">Representation Summary</t>
  </si>
  <si>
    <t xml:space="preserve">PRICE WATERHOUSE &amp; COOPERS</t>
  </si>
  <si>
    <t xml:space="preserve">Labour Code Implementation Charges - Rs. 95 Lakh
Remaining - Charges towards DT and IDT Litigation Support, Return Filing, etc</t>
  </si>
  <si>
    <t xml:space="preserve">S.S. Manpower Services Pvt, LTD A37638</t>
  </si>
  <si>
    <t xml:space="preserve">Charges towards technicians activities for providing and managing electrical systems, HVAC (Heating, Ventilation, and Air Conditioning) systems, DG (Diesel Generator) operations across JFWTC Campus.</t>
  </si>
  <si>
    <t xml:space="preserve">GENPACT INDIA PRIVATE LIMITED</t>
  </si>
  <si>
    <t xml:space="preserve">Charges towards support services for various finance functions such as  AP (Accounts Payable), AR (Accounts Receivable), Reconciliation, Intercompany transactions, Fixed Asset etc.</t>
  </si>
  <si>
    <t xml:space="preserve">ERNST AND YOUNG</t>
  </si>
  <si>
    <t xml:space="preserve">1. Charges towards Internal audit &amp; ICFR Related services- Rs. 74 Lakhs
2. Audit trail related services- Rs. 26 Lakhs</t>
  </si>
  <si>
    <t xml:space="preserve">DMD ADVOCATES</t>
  </si>
  <si>
    <t xml:space="preserve">Consultancy Charges towards new labour code implementation</t>
  </si>
  <si>
    <t xml:space="preserve">Case 25 (Collector of Stamps, Coimbatore/Delhi)</t>
  </si>
  <si>
    <t xml:space="preserve">Representation services for GE India Industrial Pvt. Ltd. in stamp duty adjudication proceedings (Case 25) arising from the GE India Industrial-GE Oil &amp; Gas India demerger scheme under Section 31 of the Indian Stamp Act; Coimbatore duty settled, Delhi portion pending.</t>
  </si>
  <si>
    <t xml:space="preserve">SKS ASSOCIATES</t>
  </si>
  <si>
    <t xml:space="preserve">Professional charges for finalization of provisional bill of entries</t>
  </si>
  <si>
    <t xml:space="preserve">DHL Logistics Private Limited</t>
  </si>
  <si>
    <t xml:space="preserve">Charges towards custom clearance of import shipments</t>
  </si>
  <si>
    <t xml:space="preserve">JRA &amp; ASSOCIATES</t>
  </si>
  <si>
    <t xml:space="preserve">Fees for TDS advisory and compliance services, including monthly verification of TDS applicability and deduction at prescribed rates.</t>
  </si>
  <si>
    <t xml:space="preserve">LAMBSROCK CONSULTING INDIA PRIVATE LIMITED A38936</t>
  </si>
  <si>
    <t xml:space="preserve">Lambsrock Consulting India Pvt Ltd is engaged as a quantity survey and cost management consultant. It is responsible for verification of vendor invoices, measurement certification, and validation of work completed against PO terms. It supports finance by recommending payments after ensuring cost accuracy and compliance</t>
  </si>
  <si>
    <t xml:space="preserve">GE Vernova Operations LLC</t>
  </si>
  <si>
    <t xml:space="preserve">Nippon Express (India) Private Limited</t>
  </si>
  <si>
    <t xml:space="preserve">EGON ZEHNDER INTERNATIONAL PRIVATE LIMITED</t>
  </si>
  <si>
    <t xml:space="preserve">Lakshmikumaran and Sridharan</t>
  </si>
  <si>
    <t xml:space="preserve">No matching case in tracker</t>
  </si>
  <si>
    <t xml:space="preserve">Law firm - no linked case identified in the Legal Matters tracker. Recommend confirming with Legal/GC whether engagement relates to tax litigation (GST/customs) not captured in this tracker.</t>
  </si>
  <si>
    <t xml:space="preserve">Sunil Keshu A38910</t>
  </si>
  <si>
    <t xml:space="preserve">LINK LEGAL</t>
  </si>
  <si>
    <t xml:space="preserve">Law firm - no linked case identified in the Legal Matters tracker. Recommend confirming nature of engagement with Legal.</t>
  </si>
  <si>
    <t xml:space="preserve">GENESIS BCW PRIVATE LIMITED</t>
  </si>
  <si>
    <t xml:space="preserve">R CHANDRA SEKHAR ESWARADAS A37883</t>
  </si>
  <si>
    <t xml:space="preserve">KEYSTONE PARTNERS 359938</t>
  </si>
  <si>
    <t xml:space="preserve">Case 14 (Karnataka High Court)</t>
  </si>
  <si>
    <t xml:space="preserve">Representation services for GE India Technology Centre Pvt. Ltd. in WP 44589/2016 (Case 14) before the Karnataka High Court, disputing BBMP's property tax categorization (Industrial vs Commercial); matter withdrawn after GE settled outstanding arrears with BBMP.</t>
  </si>
  <si>
    <t xml:space="preserve">Visbin Management Associates Private Limited</t>
  </si>
  <si>
    <t xml:space="preserve">Jain P S and Associates</t>
  </si>
  <si>
    <t xml:space="preserve">PROGRESSIVE LAW GROUP A45026</t>
  </si>
  <si>
    <t xml:space="preserve">Law firm ('Progressive Law Group') - no linked case identified in the Legal Matters tracker. Recommend confirming nature of engagement with Legal.</t>
  </si>
  <si>
    <t xml:space="preserve">THE GUILD ADVOCATES &amp; ASSOCAITE COUNSEL</t>
  </si>
  <si>
    <t xml:space="preserve">Law firm ('The Guild Advocates &amp; Associate Counsel') - no linked case identified in the Legal Matters tracker. Recommend confirming nature of engagement with Legal.</t>
  </si>
  <si>
    <t xml:space="preserve">BIZSOLINDIA SERVICE PVT LTD.</t>
  </si>
  <si>
    <t xml:space="preserve">INFEEDO TECH PRIVATE LIMITED 360258</t>
  </si>
  <si>
    <t xml:space="preserve">Deloitte </t>
  </si>
  <si>
    <t xml:space="preserve">LEXPLOSION SOLUTIONS PVT LTD</t>
  </si>
  <si>
    <t xml:space="preserve">SANTEC DESIGNS PRIVATE LIMITED</t>
  </si>
  <si>
    <t xml:space="preserve">APARAJITHA CORPORATE SERVICES PRIVATE LIMITED</t>
  </si>
  <si>
    <t xml:space="preserve">Markos and Co</t>
  </si>
  <si>
    <t xml:space="preserve">Case 16, Case 17 (Bangalore)</t>
  </si>
  <si>
    <t xml:space="preserve">Representation services for GE in (i) ECA/50/2020 (Case 16) - an Employee's Compensation Act claim before the Commissioner for Employee Compensation, Bangalore, dismissed in GE's favour; and (ii) MCOP 3191-3194/2021 (Case 17) - motor accident compensation claims before the Small Causes Court, Bangalore/Lok Adalat, arising from a fatal accident involving a GE-leased vehicle, where compensation was awarded against GE and the insurer.</t>
  </si>
  <si>
    <t xml:space="preserve">Others</t>
  </si>
  <si>
    <t xml:space="preserve">ROHIT KOCHHAR</t>
  </si>
  <si>
    <t xml:space="preserve">Case 23 (confirmed)</t>
  </si>
  <si>
    <t xml:space="preserve">Representation services for GE in MVO.P. No. 1221 of 2022 (Case 23) before the III Additional Chief Judge, City Civil Court, Hyderabad - a motor vehicle accident/criminal matter involving a company-leased car; matter active, next listed 09.07.2026.</t>
  </si>
  <si>
    <t xml:space="preserve">RECOUP HOSPITAL PRIVATE LIMITED</t>
  </si>
  <si>
    <t xml:space="preserve">BTG ADVAYA</t>
  </si>
  <si>
    <t xml:space="preserve">BTG</t>
  </si>
  <si>
    <t xml:space="preserve">Case 18, Case 19, Case 31 (Bilaspur / ESI Court)</t>
  </si>
  <si>
    <t xml:space="preserve">Representation services for GE in (i) succession certificate suits before the District Court, Bilaspur - Mahima Jadhav vs GE (Case 18) and Gauri Bhosle vs GE (Case 19), both filed by relatives of a deceased employee seeking insurance/PF benefits, adjourned to 09.07.2026; and (ii) E.S.I.O.P. 197/2024 (Case 31) before the ESI Court, Bangalore, where GE is one of several respondents, next listed 01.06.2026.</t>
  </si>
  <si>
    <t xml:space="preserve">JOSE PETER A37878</t>
  </si>
  <si>
    <t xml:space="preserve">M Srinivasan and Associates</t>
  </si>
  <si>
    <t xml:space="preserve">RAO MURTHY AND ASSOCIATES</t>
  </si>
  <si>
    <t xml:space="preserve">Accrual Audit Fees &amp; Labour Codes Implemented charges</t>
  </si>
  <si>
    <t xml:space="preserve">Aeka Consulting</t>
  </si>
  <si>
    <t xml:space="preserve">1TO1HELP.NET PVT, LTD A37378</t>
  </si>
  <si>
    <t xml:space="preserve">KRISHNAMURTHY AND CO</t>
  </si>
  <si>
    <t xml:space="preserve">LRQA LIMITED.</t>
  </si>
  <si>
    <t xml:space="preserve">Case 22, Case 24 (Gurgaon / Patna)</t>
  </si>
  <si>
    <t xml:space="preserve">Representation services for GE in (i) Civil Suit CS-5188-2018 (Case 22), Civil Court Gurgaon, a vendor payment/refund dispute (Wintech), disposed off 12.09.2025; and (ii) Criminal Complaint No. 4951/2018 (Case 24) before the Chief Judicial Magistrate, Patna, relating to an outstanding sub-contractor payment dispute (Yasoda Marketing) on a legacy GE Lighting street-light project for BIDCO, Patna; matter active, adjourned to 29.05.2026.</t>
  </si>
  <si>
    <t xml:space="preserve">POOJA YADAV</t>
  </si>
  <si>
    <t xml:space="preserve">Gdroit Advocates A38557</t>
  </si>
  <si>
    <t xml:space="preserve">Law firm ('Gdroit Advocates') - no linked case identified in the Legal Matters tracker. Recommend confirming nature of engagement with Legal.</t>
  </si>
  <si>
    <t xml:space="preserve"> VAAP ENERGY PRIVATE LIMITED </t>
  </si>
  <si>
    <t xml:space="preserve">YOGEN NARENDRA PANDYA</t>
  </si>
  <si>
    <t xml:space="preserve">Case 1, 2, 4, 5, 6, 7, 8, 33, 34 (Ahmedabad HC / Industrial Tribunal &amp; Labour Court, Nadiad)</t>
  </si>
  <si>
    <t xml:space="preserve">Representation services for GE across multiple labour litigation matters in Gujarat (Ahmedabad High Court, Industrial Tribunal-Nadiad, and Labour Court-Nadiad) - primarily VRS/reinstatement and salary-recovery disputes arising from the historical GE-to-CEMA business transfer, including Second Appeal 173/2015, LPA 832/2016, Reference 1/2008, Appeal 2/2011, and related applications; most matters closed/disposed, largely in GE's favour or on procedural grounds (CIRP of the counterparty).</t>
  </si>
  <si>
    <t xml:space="preserve">PARALLEL LEARNINGS</t>
  </si>
  <si>
    <t xml:space="preserve">DR DIVYA WADHAWAN</t>
  </si>
  <si>
    <t xml:space="preserve">HEMANT SINGH AND ASSOCIATES</t>
  </si>
  <si>
    <t xml:space="preserve">REFERENT ADVISORS PRIVATE LIMITED</t>
  </si>
  <si>
    <t xml:space="preserve">GENERAL ELECTRIC COMPANY</t>
  </si>
  <si>
    <t xml:space="preserve">BCP ASSOCIATES LLP A37518</t>
  </si>
  <si>
    <t xml:space="preserve">BCP</t>
  </si>
  <si>
    <t xml:space="preserve">Case 20 (Bangalore)</t>
  </si>
  <si>
    <t xml:space="preserve">Representation services for GE (Respondent No. 2) in a labour court reference filed by Ravikumar L and 104 workers seeking reinstatement and back wages against Sri Venkateshwara Industries LLP and GE; disposed off as not pressed on 21.01.2026.</t>
  </si>
  <si>
    <t xml:space="preserve">(blank)</t>
  </si>
  <si>
    <t xml:space="preserve">THANAWALA CONSULTANCY SERVICES A37382</t>
  </si>
  <si>
    <t xml:space="preserve">ECONOMIC LAWS PRACTICE A35866</t>
  </si>
  <si>
    <t xml:space="preserve">Law firm ('Economic Laws Practice') - no linked case identified in the Legal Matters tracker. Recommend confirming nature of engagement with Legal.</t>
  </si>
  <si>
    <t xml:space="preserve">PROTOCOL VALUERS PRIVATE LIMITED</t>
  </si>
  <si>
    <t xml:space="preserve">M A S A AND COMPANY</t>
  </si>
  <si>
    <t xml:space="preserve">ADARSH SOLUTIONS PRIVATE LIMITED A37489</t>
  </si>
  <si>
    <t xml:space="preserve">IBS ACCRUAL INCOMING Mar'26</t>
  </si>
  <si>
    <t xml:space="preserve">DRS Management Consultants Pvt Ltd</t>
  </si>
  <si>
    <t xml:space="preserve">MANI CHENGAPPA AND MATHUR A37858</t>
  </si>
  <si>
    <t xml:space="preserve">JINU MATHEN</t>
  </si>
  <si>
    <t xml:space="preserve">M N S K AND ASSOCIATES</t>
  </si>
  <si>
    <t xml:space="preserve">A V Potnis  Associates </t>
  </si>
  <si>
    <t xml:space="preserve">Madhumeha Healthcare A37431</t>
  </si>
  <si>
    <t xml:space="preserve">V SHESH LEARNING SERVICES PRIVATE LIMITED A38885</t>
  </si>
  <si>
    <t xml:space="preserve">Avinash Pawar  Associates</t>
  </si>
  <si>
    <t xml:space="preserve">SUDI AND CO</t>
  </si>
  <si>
    <t xml:space="preserve">Bulk MRO Industrial Supply Private, Limited</t>
  </si>
  <si>
    <t xml:space="preserve">S2G-IDE adjustment</t>
  </si>
  <si>
    <t xml:space="preserve">Kumar Jain And Associates</t>
  </si>
  <si>
    <t xml:space="preserve">GURU JANA AND ASSOCIATES</t>
  </si>
  <si>
    <t xml:space="preserve">Taxnomist Consulting Llp</t>
  </si>
  <si>
    <t xml:space="preserve">AVIATION SYSTEMS NORTH AMERICA LLC</t>
  </si>
  <si>
    <t xml:space="preserve">Contra</t>
  </si>
  <si>
    <t xml:space="preserve">1to1help.net Pvt  LTD</t>
  </si>
  <si>
    <t xml:space="preserve">Orix Leasing And Financial Services India Limited A37848</t>
  </si>
  <si>
    <t xml:space="preserve">RED HAT INDIA PVT., LTD A38228</t>
  </si>
  <si>
    <t xml:space="preserve">Cross charging of Laptop Lease &amp; Accessories Billing booked in IT function</t>
  </si>
  <si>
    <t xml:space="preserve">Tpk and Co</t>
  </si>
  <si>
    <t xml:space="preserve">Charges for Onsite Consultancy on 15th Mar 2024 - Invoice No:H30199/23-24</t>
  </si>
  <si>
    <t xml:space="preserve">Charges for Onsite Consultancy on 28th Mar 2024 Invoice No;H30334/23-24</t>
  </si>
  <si>
    <t xml:space="preserve">Persolkelly India Private Limited</t>
  </si>
  <si>
    <t xml:space="preserve">LUCRATIVE EXIM OUTSOURCING PVT LTD.</t>
  </si>
  <si>
    <t xml:space="preserve">Fedex</t>
  </si>
  <si>
    <t xml:space="preserve">Veerappa Reddy A38903</t>
  </si>
  <si>
    <t xml:space="preserve">IDE Adjustment</t>
  </si>
</sst>
</file>

<file path=xl/styles.xml><?xml version="1.0" encoding="utf-8"?>
<styleSheet xmlns="http://schemas.openxmlformats.org/spreadsheetml/2006/main">
  <numFmts count="11">
    <numFmt numFmtId="164" formatCode="General"/>
    <numFmt numFmtId="165" formatCode="_(* #,##0.00_);_(* \(#,##0.00\);_(* \-??_);_(@_)"/>
    <numFmt numFmtId="166" formatCode="_(* #,##0_);_(* \(#,##0\);_(* \-??_);_(@_)"/>
    <numFmt numFmtId="167" formatCode="@"/>
    <numFmt numFmtId="168" formatCode="d\-mmm\-yy"/>
    <numFmt numFmtId="169" formatCode="m/d/yyyy"/>
    <numFmt numFmtId="170" formatCode="d\-mmm"/>
    <numFmt numFmtId="171" formatCode="_ * #,##0_ ;_ * \-#,##0_ ;_ * \-??_ ;_ @_ "/>
    <numFmt numFmtId="172" formatCode="0%"/>
    <numFmt numFmtId="173" formatCode="#,##0"/>
    <numFmt numFmtId="174" formatCode="_ * #,##0.00_ ;_ * \-#,##0.00_ ;_ * \-??_ ;_ @_ "/>
  </numFmts>
  <fonts count="17">
    <font>
      <sz val="11"/>
      <color theme="1"/>
      <name val="calibri"/>
      <family val="2"/>
      <charset val="1"/>
    </font>
    <font>
      <sz val="10"/>
      <name val="Arial"/>
      <family val="0"/>
    </font>
    <font>
      <sz val="10"/>
      <name val="Arial"/>
      <family val="0"/>
    </font>
    <font>
      <sz val="10"/>
      <name val="Arial"/>
      <family val="0"/>
    </font>
    <font>
      <sz val="11"/>
      <color theme="1"/>
      <name val="Aptos Narrow"/>
      <family val="2"/>
      <charset val="1"/>
    </font>
    <font>
      <sz val="8"/>
      <color theme="1"/>
      <name val="Verdana"/>
      <family val="2"/>
      <charset val="1"/>
    </font>
    <font>
      <b val="true"/>
      <sz val="8"/>
      <color theme="1"/>
      <name val="Verdana"/>
      <family val="2"/>
      <charset val="1"/>
    </font>
    <font>
      <b val="true"/>
      <sz val="8"/>
      <name val="Verdana"/>
      <family val="2"/>
      <charset val="1"/>
    </font>
    <font>
      <sz val="8"/>
      <name val="Verdana"/>
      <family val="2"/>
      <charset val="1"/>
    </font>
    <font>
      <sz val="8"/>
      <color rgb="FF000000"/>
      <name val="Verdana"/>
      <family val="2"/>
      <charset val="1"/>
    </font>
    <font>
      <sz val="10"/>
      <color theme="1"/>
      <name val="Times New Roman"/>
      <family val="1"/>
      <charset val="1"/>
    </font>
    <font>
      <b val="true"/>
      <sz val="10"/>
      <color theme="0"/>
      <name val="Aptos Narrow"/>
      <family val="2"/>
      <charset val="1"/>
    </font>
    <font>
      <b val="true"/>
      <sz val="11"/>
      <name val="Aptos Narrow"/>
      <family val="0"/>
      <charset val="1"/>
    </font>
    <font>
      <sz val="10"/>
      <color theme="1"/>
      <name val="calibri"/>
      <family val="2"/>
      <charset val="1"/>
    </font>
    <font>
      <sz val="10"/>
      <color theme="1"/>
      <name val="Aptos Narrow"/>
      <family val="2"/>
      <charset val="1"/>
    </font>
    <font>
      <b val="true"/>
      <sz val="10"/>
      <color theme="1"/>
      <name val="calibri"/>
      <family val="2"/>
      <charset val="1"/>
    </font>
    <font>
      <b val="true"/>
      <sz val="11"/>
      <color theme="1"/>
      <name val="calibri"/>
      <family val="2"/>
      <charset val="1"/>
    </font>
  </fonts>
  <fills count="11">
    <fill>
      <patternFill patternType="none"/>
    </fill>
    <fill>
      <patternFill patternType="gray125"/>
    </fill>
    <fill>
      <patternFill patternType="solid">
        <fgColor theme="3" tint="0.5999"/>
        <bgColor rgb="FF969696"/>
      </patternFill>
    </fill>
    <fill>
      <patternFill patternType="solid">
        <fgColor theme="0"/>
        <bgColor rgb="FFFFF2CC"/>
      </patternFill>
    </fill>
    <fill>
      <patternFill patternType="solid">
        <fgColor theme="2"/>
        <bgColor rgb="FFFFF2CC"/>
      </patternFill>
    </fill>
    <fill>
      <patternFill patternType="solid">
        <fgColor rgb="FF92D050"/>
        <bgColor rgb="FFB4E5A2"/>
      </patternFill>
    </fill>
    <fill>
      <patternFill patternType="solid">
        <fgColor theme="7" tint="0.7999"/>
        <bgColor rgb="FFE8E8E8"/>
      </patternFill>
    </fill>
    <fill>
      <patternFill patternType="solid">
        <fgColor theme="9" tint="0.5999"/>
        <bgColor rgb="FFC0C0C0"/>
      </patternFill>
    </fill>
    <fill>
      <patternFill patternType="solid">
        <fgColor rgb="FFFFFF00"/>
        <bgColor rgb="FFFFFF00"/>
      </patternFill>
    </fill>
    <fill>
      <patternFill patternType="solid">
        <fgColor theme="1"/>
        <bgColor rgb="FF003300"/>
      </patternFill>
    </fill>
    <fill>
      <patternFill patternType="solid">
        <fgColor rgb="FFFFF2CC"/>
        <bgColor rgb="FFE8E8E8"/>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6" fontId="5" fillId="7" borderId="1" xfId="0" applyFont="true" applyBorder="true" applyAlignment="true" applyProtection="false">
      <alignment horizontal="center" vertical="center" textRotation="0" wrapText="true" indent="0" shrinkToFit="false"/>
      <protection locked="true" hidden="false"/>
    </xf>
    <xf numFmtId="166" fontId="5" fillId="8"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7" fontId="9"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8" fontId="8" fillId="6" borderId="1"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9" fontId="5" fillId="6" borderId="1" xfId="0" applyFont="true" applyBorder="true" applyAlignment="true" applyProtection="false">
      <alignment horizontal="center" vertical="center" textRotation="0" wrapText="true" indent="0" shrinkToFit="false"/>
      <protection locked="true" hidden="false"/>
    </xf>
    <xf numFmtId="165" fontId="5" fillId="7" borderId="1" xfId="0" applyFont="true" applyBorder="true" applyAlignment="true" applyProtection="false">
      <alignment horizontal="general"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5" fillId="0" borderId="4" xfId="0" applyFont="true" applyBorder="true" applyAlignment="true" applyProtection="false">
      <alignment horizontal="center" vertical="center" textRotation="0" wrapText="true" indent="0" shrinkToFit="false"/>
      <protection locked="true" hidden="false"/>
    </xf>
    <xf numFmtId="166" fontId="5" fillId="6" borderId="1" xfId="0" applyFont="true" applyBorder="true" applyAlignment="true" applyProtection="false">
      <alignment horizontal="center" vertical="center" textRotation="0" wrapText="true" indent="0" shrinkToFit="false"/>
      <protection locked="true" hidden="false"/>
    </xf>
    <xf numFmtId="170" fontId="5"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5" fontId="5" fillId="8" borderId="1" xfId="0" applyFont="true" applyBorder="true" applyAlignment="true" applyProtection="false">
      <alignment horizontal="general" vertical="center" textRotation="0" wrapText="true" indent="0" shrinkToFit="false"/>
      <protection locked="true" hidden="false"/>
    </xf>
    <xf numFmtId="164" fontId="5" fillId="6" borderId="1" xfId="0" applyFont="true" applyBorder="true" applyAlignment="true" applyProtection="false">
      <alignment horizontal="general" vertical="bottom" textRotation="0" wrapText="true" indent="0" shrinkToFit="false"/>
      <protection locked="true" hidden="false"/>
    </xf>
    <xf numFmtId="164" fontId="5" fillId="6" borderId="1" xfId="0" applyFont="true" applyBorder="true" applyAlignment="true" applyProtection="false">
      <alignment horizontal="center" vertical="bottom" textRotation="0" wrapText="true" indent="0" shrinkToFit="false"/>
      <protection locked="true" hidden="false"/>
    </xf>
    <xf numFmtId="164" fontId="5" fillId="3" borderId="4"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1" fillId="9" borderId="1" xfId="0" applyFont="true" applyBorder="true" applyAlignment="true" applyProtection="false">
      <alignment horizontal="center" vertical="bottom" textRotation="0" wrapText="false" indent="0" shrinkToFit="false"/>
      <protection locked="true" hidden="false"/>
    </xf>
    <xf numFmtId="171" fontId="11" fillId="9" borderId="1" xfId="0" applyFont="true" applyBorder="true" applyAlignment="true" applyProtection="false">
      <alignment horizontal="center" vertical="bottom" textRotation="0" wrapText="false" indent="0" shrinkToFit="false"/>
      <protection locked="true" hidden="false"/>
    </xf>
    <xf numFmtId="171" fontId="11" fillId="9" borderId="4" xfId="0" applyFont="true" applyBorder="true" applyAlignment="true" applyProtection="false">
      <alignment horizontal="center" vertical="bottom" textRotation="0" wrapText="false" indent="0" shrinkToFit="false"/>
      <protection locked="true" hidden="false"/>
    </xf>
    <xf numFmtId="171" fontId="11" fillId="9" borderId="1"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3" fillId="7" borderId="1" xfId="0" applyFont="true" applyBorder="true" applyAlignment="true" applyProtection="false">
      <alignment horizontal="general" vertical="center" textRotation="0" wrapText="false" indent="0" shrinkToFit="false"/>
      <protection locked="true" hidden="false"/>
    </xf>
    <xf numFmtId="171" fontId="13" fillId="0" borderId="1" xfId="0" applyFont="true" applyBorder="true" applyAlignment="true" applyProtection="false">
      <alignment horizontal="general" vertical="center" textRotation="0" wrapText="false" indent="0" shrinkToFit="false"/>
      <protection locked="true" hidden="false"/>
    </xf>
    <xf numFmtId="171" fontId="14" fillId="0" borderId="4" xfId="0" applyFont="true" applyBorder="true" applyAlignment="true" applyProtection="false">
      <alignment horizontal="general" vertical="center" textRotation="0" wrapText="false" indent="0" shrinkToFit="false"/>
      <protection locked="true" hidden="false"/>
    </xf>
    <xf numFmtId="172" fontId="15"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3" fillId="7" borderId="1" xfId="0" applyFont="true" applyBorder="true" applyAlignment="true" applyProtection="false">
      <alignment horizontal="general" vertical="bottom" textRotation="0" wrapText="false" indent="0" shrinkToFit="false"/>
      <protection locked="true" hidden="false"/>
    </xf>
    <xf numFmtId="171" fontId="13" fillId="0" borderId="1" xfId="0" applyFont="true" applyBorder="true" applyAlignment="true" applyProtection="false">
      <alignment horizontal="general" vertical="bottom" textRotation="0" wrapText="false" indent="0" shrinkToFit="false"/>
      <protection locked="true" hidden="false"/>
    </xf>
    <xf numFmtId="172" fontId="15" fillId="0"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72" fontId="13" fillId="0" borderId="1"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0" fillId="10" borderId="0" xfId="0" applyFont="true" applyBorder="false" applyAlignment="true" applyProtection="false">
      <alignment horizontal="general" vertical="top" textRotation="0" wrapText="true" indent="0" shrinkToFit="false"/>
      <protection locked="true" hidden="false"/>
    </xf>
    <xf numFmtId="173" fontId="13" fillId="0" borderId="0" xfId="0" applyFont="true" applyBorder="false" applyAlignment="true" applyProtection="false">
      <alignment horizontal="general" vertical="bottom" textRotation="0" wrapText="true" indent="0" shrinkToFit="false"/>
      <protection locked="true" hidden="false"/>
    </xf>
    <xf numFmtId="174" fontId="13"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71" fontId="15" fillId="0" borderId="1" xfId="0" applyFont="true" applyBorder="true" applyAlignment="true" applyProtection="false">
      <alignment horizontal="general" vertical="bottom" textRotation="0" wrapText="false" indent="0" shrinkToFit="false"/>
      <protection locked="true" hidden="false"/>
    </xf>
    <xf numFmtId="164" fontId="13" fillId="0" borderId="5" xfId="0" applyFont="true" applyBorder="true" applyAlignment="true" applyProtection="false">
      <alignment horizontal="general" vertical="bottom" textRotation="0" wrapText="false" indent="0" shrinkToFit="false"/>
      <protection locked="true" hidden="false"/>
    </xf>
    <xf numFmtId="171" fontId="13" fillId="0" borderId="5" xfId="0" applyFont="true" applyBorder="true" applyAlignment="true" applyProtection="false">
      <alignment horizontal="general" vertical="bottom" textRotation="0" wrapText="false" indent="0" shrinkToFit="false"/>
      <protection locked="true" hidden="false"/>
    </xf>
    <xf numFmtId="164" fontId="15" fillId="0" borderId="6" xfId="0" applyFont="true" applyBorder="true" applyAlignment="true" applyProtection="false">
      <alignment horizontal="general" vertical="bottom" textRotation="0" wrapText="false" indent="0" shrinkToFit="false"/>
      <protection locked="true" hidden="false"/>
    </xf>
    <xf numFmtId="171" fontId="15" fillId="0" borderId="7" xfId="0" applyFont="true" applyBorder="true" applyAlignment="true" applyProtection="false">
      <alignment horizontal="general" vertical="bottom" textRotation="0" wrapText="false" indent="0" shrinkToFit="false"/>
      <protection locked="true" hidden="false"/>
    </xf>
    <xf numFmtId="171" fontId="15" fillId="0" borderId="8" xfId="0" applyFont="true" applyBorder="tru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3 3" xfId="21"/>
  </cellStyles>
  <dxfs count="9">
    <dxf>
      <fill>
        <patternFill patternType="solid">
          <fgColor rgb="FFCAEEFB"/>
          <bgColor rgb="FF000000"/>
        </patternFill>
      </fill>
    </dxf>
    <dxf>
      <fill>
        <patternFill patternType="solid">
          <fgColor rgb="FFE8E8E8"/>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92D050"/>
          <bgColor rgb="FF000000"/>
        </patternFill>
      </fill>
    </dxf>
    <dxf>
      <fill>
        <patternFill patternType="solid">
          <fgColor rgb="FFB4E5A2"/>
          <bgColor rgb="FF000000"/>
        </patternFill>
      </fill>
    </dxf>
    <dxf>
      <fill>
        <patternFill patternType="solid">
          <fgColor rgb="FFFFFF0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1AAE0"/>
      <rgbColor rgb="FF993366"/>
      <rgbColor rgb="FFFFF2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8E8"/>
      <rgbColor rgb="FFB4E5A2"/>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9"/>
  <sheetViews>
    <sheetView showFormulas="false" showGridLines="false" showRowColHeaders="true" showZeros="true" rightToLeft="false" tabSelected="false" showOutlineSymbols="true" defaultGridColor="true" view="normal" topLeftCell="K1" colorId="64" zoomScale="72" zoomScaleNormal="72" zoomScalePageLayoutView="100" workbookViewId="0">
      <selection pane="topLeft" activeCell="Q15" activeCellId="0" sqref="Q15"/>
    </sheetView>
  </sheetViews>
  <sheetFormatPr defaultColWidth="8.8046875" defaultRowHeight="9.75" zeroHeight="false" outlineLevelRow="0" outlineLevelCol="0"/>
  <cols>
    <col collapsed="false" customWidth="true" hidden="false" outlineLevel="0" max="1" min="1" style="1" width="2.57"/>
    <col collapsed="false" customWidth="true" hidden="false" outlineLevel="0" max="2" min="2" style="1" width="12.5"/>
    <col collapsed="false" customWidth="true" hidden="false" outlineLevel="0" max="3" min="3" style="1" width="10"/>
    <col collapsed="false" customWidth="true" hidden="false" outlineLevel="0" max="4" min="4" style="1" width="22.5"/>
    <col collapsed="false" customWidth="true" hidden="false" outlineLevel="0" max="5" min="5" style="1" width="9.52"/>
    <col collapsed="false" customWidth="true" hidden="false" outlineLevel="0" max="6" min="6" style="1" width="5.79"/>
    <col collapsed="false" customWidth="true" hidden="false" outlineLevel="0" max="7" min="7" style="1" width="10.51"/>
    <col collapsed="false" customWidth="true" hidden="false" outlineLevel="0" max="8" min="8" style="1" width="25.51"/>
    <col collapsed="false" customWidth="true" hidden="false" outlineLevel="0" max="9" min="9" style="1" width="20"/>
    <col collapsed="false" customWidth="true" hidden="false" outlineLevel="0" max="10" min="10" style="1" width="34.1"/>
    <col collapsed="false" customWidth="true" hidden="false" outlineLevel="0" max="11" min="11" style="1" width="15.3"/>
    <col collapsed="false" customWidth="true" hidden="false" outlineLevel="0" max="12" min="12" style="1" width="26.4"/>
    <col collapsed="false" customWidth="true" hidden="false" outlineLevel="0" max="13" min="13" style="1" width="117.79"/>
    <col collapsed="false" customWidth="true" hidden="false" outlineLevel="0" max="14" min="14" style="2" width="10.1"/>
    <col collapsed="false" customWidth="true" hidden="false" outlineLevel="0" max="15" min="15" style="2" width="18"/>
    <col collapsed="false" customWidth="true" hidden="false" outlineLevel="0" max="16" min="16" style="2" width="25.3"/>
    <col collapsed="false" customWidth="true" hidden="false" outlineLevel="0" max="17" min="17" style="2" width="20.9"/>
    <col collapsed="false" customWidth="true" hidden="false" outlineLevel="0" max="18" min="18" style="1" width="14.52"/>
    <col collapsed="false" customWidth="true" hidden="false" outlineLevel="0" max="19" min="19" style="1" width="15.39"/>
    <col collapsed="false" customWidth="true" hidden="false" outlineLevel="0" max="20" min="20" style="1" width="12.7"/>
    <col collapsed="false" customWidth="true" hidden="false" outlineLevel="0" max="21" min="21" style="1" width="16.79"/>
    <col collapsed="false" customWidth="true" hidden="false" outlineLevel="0" max="22" min="22" style="1" width="16.5"/>
    <col collapsed="false" customWidth="true" hidden="false" outlineLevel="0" max="23" min="23" style="1" width="42"/>
    <col collapsed="false" customWidth="false" hidden="false" outlineLevel="0" max="16384" min="24" style="1" width="8.8"/>
  </cols>
  <sheetData>
    <row r="1" customFormat="false" ht="9.75" hidden="false" customHeight="true" outlineLevel="0" collapsed="false">
      <c r="A1" s="3" t="s">
        <v>0</v>
      </c>
    </row>
    <row r="2" customFormat="false" ht="9.75" hidden="false" customHeight="true" outlineLevel="0" collapsed="false">
      <c r="A2" s="3" t="s">
        <v>1</v>
      </c>
      <c r="B2" s="3"/>
    </row>
    <row r="5" customFormat="false" ht="9.75" hidden="false" customHeight="true" outlineLevel="0" collapsed="false">
      <c r="A5" s="4" t="s">
        <v>2</v>
      </c>
      <c r="B5" s="4"/>
    </row>
    <row r="6" customFormat="false" ht="9.75" hidden="false" customHeight="true" outlineLevel="0" collapsed="false">
      <c r="A6" s="5" t="s">
        <v>3</v>
      </c>
      <c r="B6" s="5"/>
    </row>
    <row r="7" customFormat="false" ht="9.75" hidden="false" customHeight="true" outlineLevel="0" collapsed="false">
      <c r="A7" s="5" t="s">
        <v>4</v>
      </c>
      <c r="B7" s="5"/>
    </row>
    <row r="8" customFormat="false" ht="9.75" hidden="false" customHeight="true" outlineLevel="0" collapsed="false">
      <c r="A8" s="5" t="s">
        <v>5</v>
      </c>
      <c r="B8" s="5"/>
    </row>
    <row r="9" customFormat="false" ht="9.75" hidden="false" customHeight="true" outlineLevel="0" collapsed="false">
      <c r="A9" s="5" t="s">
        <v>6</v>
      </c>
      <c r="B9" s="5"/>
    </row>
    <row r="10" customFormat="false" ht="9.75" hidden="false" customHeight="true" outlineLevel="0" collapsed="false">
      <c r="A10" s="6" t="s">
        <v>7</v>
      </c>
      <c r="B10" s="6"/>
    </row>
    <row r="14" customFormat="false" ht="10.5" hidden="false" customHeight="true" outlineLevel="0" collapsed="false">
      <c r="A14" s="7"/>
      <c r="B14" s="8"/>
      <c r="C14" s="8"/>
      <c r="D14" s="8"/>
      <c r="E14" s="8"/>
      <c r="F14" s="8"/>
      <c r="G14" s="8"/>
      <c r="H14" s="8"/>
      <c r="I14" s="8"/>
      <c r="J14" s="8"/>
      <c r="K14" s="8"/>
      <c r="L14" s="8"/>
      <c r="M14" s="8"/>
      <c r="N14" s="8"/>
      <c r="O14" s="9"/>
      <c r="P14" s="9"/>
      <c r="Q14" s="9"/>
      <c r="R14" s="9" t="n">
        <f aca="false">SUM(R16:R26)</f>
        <v>0</v>
      </c>
      <c r="S14" s="9"/>
      <c r="T14" s="9"/>
      <c r="U14" s="9"/>
      <c r="V14" s="9" t="e">
        <f aca="false">SUM(V16:V49)</f>
        <v>#VALUE!</v>
      </c>
      <c r="W14" s="8"/>
    </row>
    <row r="15" customFormat="false" ht="55.5" hidden="false" customHeight="true" outlineLevel="0" collapsed="false">
      <c r="A15" s="10" t="s">
        <v>8</v>
      </c>
      <c r="B15" s="10" t="s">
        <v>9</v>
      </c>
      <c r="C15" s="10" t="s">
        <v>10</v>
      </c>
      <c r="D15" s="10" t="s">
        <v>11</v>
      </c>
      <c r="E15" s="10" t="s">
        <v>12</v>
      </c>
      <c r="F15" s="10" t="s">
        <v>13</v>
      </c>
      <c r="G15" s="10" t="s">
        <v>14</v>
      </c>
      <c r="H15" s="10" t="s">
        <v>15</v>
      </c>
      <c r="I15" s="10" t="s">
        <v>16</v>
      </c>
      <c r="J15" s="10" t="s">
        <v>17</v>
      </c>
      <c r="K15" s="10" t="s">
        <v>18</v>
      </c>
      <c r="L15" s="10" t="s">
        <v>19</v>
      </c>
      <c r="M15" s="10" t="s">
        <v>20</v>
      </c>
      <c r="N15" s="10" t="s">
        <v>21</v>
      </c>
      <c r="O15" s="10" t="s">
        <v>22</v>
      </c>
      <c r="P15" s="10" t="s">
        <v>23</v>
      </c>
      <c r="Q15" s="10" t="s">
        <v>24</v>
      </c>
      <c r="R15" s="10" t="s">
        <v>25</v>
      </c>
      <c r="S15" s="10" t="s">
        <v>26</v>
      </c>
      <c r="T15" s="10" t="s">
        <v>27</v>
      </c>
      <c r="U15" s="10" t="s">
        <v>28</v>
      </c>
      <c r="V15" s="10" t="s">
        <v>7</v>
      </c>
      <c r="W15" s="8"/>
    </row>
    <row r="16" customFormat="false" ht="48.75" hidden="false" customHeight="true" outlineLevel="0" collapsed="false">
      <c r="A16" s="11" t="n">
        <v>1</v>
      </c>
      <c r="B16" s="11" t="s">
        <v>29</v>
      </c>
      <c r="C16" s="11" t="s">
        <v>30</v>
      </c>
      <c r="D16" s="11" t="n">
        <v>173</v>
      </c>
      <c r="E16" s="11" t="n">
        <v>2015</v>
      </c>
      <c r="F16" s="11" t="s">
        <v>31</v>
      </c>
      <c r="G16" s="11" t="s">
        <v>32</v>
      </c>
      <c r="H16" s="11" t="s">
        <v>33</v>
      </c>
      <c r="I16" s="11" t="s">
        <v>34</v>
      </c>
      <c r="J16" s="12" t="s">
        <v>35</v>
      </c>
      <c r="K16" s="11"/>
      <c r="L16" s="11" t="s">
        <v>36</v>
      </c>
      <c r="M16" s="13" t="s">
        <v>37</v>
      </c>
      <c r="N16" s="11" t="s">
        <v>5</v>
      </c>
      <c r="O16" s="14" t="n">
        <f aca="false">V16</f>
        <v>0</v>
      </c>
      <c r="P16" s="11" t="s">
        <v>38</v>
      </c>
      <c r="Q16" s="13" t="s">
        <v>39</v>
      </c>
      <c r="R16" s="11" t="s">
        <v>40</v>
      </c>
      <c r="S16" s="15" t="n">
        <v>0</v>
      </c>
      <c r="T16" s="15" t="n">
        <v>0</v>
      </c>
      <c r="U16" s="15" t="n">
        <v>0</v>
      </c>
      <c r="V16" s="14" t="n">
        <f aca="false">SUM(S16:U16)</f>
        <v>0</v>
      </c>
      <c r="W16" s="8"/>
    </row>
    <row r="17" customFormat="false" ht="86.25" hidden="false" customHeight="true" outlineLevel="0" collapsed="false">
      <c r="A17" s="11" t="n">
        <f aca="false">A16+1</f>
        <v>2</v>
      </c>
      <c r="B17" s="11" t="s">
        <v>29</v>
      </c>
      <c r="C17" s="11" t="s">
        <v>41</v>
      </c>
      <c r="D17" s="11" t="n">
        <v>832</v>
      </c>
      <c r="E17" s="11" t="n">
        <v>2016</v>
      </c>
      <c r="F17" s="11" t="s">
        <v>31</v>
      </c>
      <c r="G17" s="11" t="s">
        <v>42</v>
      </c>
      <c r="H17" s="11" t="s">
        <v>33</v>
      </c>
      <c r="I17" s="11" t="s">
        <v>43</v>
      </c>
      <c r="J17" s="12" t="s">
        <v>35</v>
      </c>
      <c r="K17" s="11"/>
      <c r="L17" s="11" t="s">
        <v>44</v>
      </c>
      <c r="M17" s="13" t="s">
        <v>45</v>
      </c>
      <c r="N17" s="11" t="s">
        <v>5</v>
      </c>
      <c r="O17" s="14" t="e">
        <f aca="false">V17</f>
        <v>#VALUE!</v>
      </c>
      <c r="P17" s="11" t="s">
        <v>38</v>
      </c>
      <c r="Q17" s="13" t="s">
        <v>46</v>
      </c>
      <c r="R17" s="11" t="s">
        <v>40</v>
      </c>
      <c r="S17" s="15" t="n">
        <v>0</v>
      </c>
      <c r="T17" s="15" t="n">
        <v>0</v>
      </c>
      <c r="U17" s="15" t="e">
        <f aca="false">O17</f>
        <v>#VALUE!</v>
      </c>
      <c r="V17" s="14" t="e">
        <f aca="false">SUM(S17:U17)</f>
        <v>#VALUE!</v>
      </c>
      <c r="W17" s="8"/>
    </row>
    <row r="18" customFormat="false" ht="102.75" hidden="false" customHeight="true" outlineLevel="0" collapsed="false">
      <c r="A18" s="11" t="n">
        <f aca="false">A17+1</f>
        <v>3</v>
      </c>
      <c r="B18" s="11" t="s">
        <v>29</v>
      </c>
      <c r="C18" s="11" t="s">
        <v>47</v>
      </c>
      <c r="D18" s="11" t="n">
        <v>12266</v>
      </c>
      <c r="E18" s="11" t="n">
        <v>2014</v>
      </c>
      <c r="F18" s="11" t="s">
        <v>31</v>
      </c>
      <c r="G18" s="11" t="s">
        <v>48</v>
      </c>
      <c r="H18" s="11" t="s">
        <v>33</v>
      </c>
      <c r="I18" s="11" t="s">
        <v>43</v>
      </c>
      <c r="J18" s="11" t="s">
        <v>49</v>
      </c>
      <c r="K18" s="11"/>
      <c r="L18" s="11" t="s">
        <v>50</v>
      </c>
      <c r="M18" s="13" t="s">
        <v>51</v>
      </c>
      <c r="N18" s="11" t="s">
        <v>5</v>
      </c>
      <c r="O18" s="14" t="e">
        <f aca="false">V18</f>
        <v>#VALUE!</v>
      </c>
      <c r="P18" s="11" t="s">
        <v>52</v>
      </c>
      <c r="Q18" s="11"/>
      <c r="R18" s="11" t="s">
        <v>40</v>
      </c>
      <c r="S18" s="15" t="n">
        <v>0</v>
      </c>
      <c r="T18" s="15" t="n">
        <v>0</v>
      </c>
      <c r="U18" s="15" t="e">
        <f aca="false">O18</f>
        <v>#VALUE!</v>
      </c>
      <c r="V18" s="14" t="e">
        <f aca="false">SUM(S18:U18)</f>
        <v>#VALUE!</v>
      </c>
      <c r="W18" s="8" t="s">
        <v>53</v>
      </c>
    </row>
    <row r="19" customFormat="false" ht="39.75" hidden="false" customHeight="true" outlineLevel="0" collapsed="false">
      <c r="A19" s="11" t="n">
        <f aca="false">A18+1</f>
        <v>4</v>
      </c>
      <c r="B19" s="11" t="s">
        <v>54</v>
      </c>
      <c r="C19" s="11" t="s">
        <v>55</v>
      </c>
      <c r="D19" s="11" t="n">
        <v>1</v>
      </c>
      <c r="E19" s="11" t="n">
        <v>2008</v>
      </c>
      <c r="F19" s="11" t="s">
        <v>6</v>
      </c>
      <c r="G19" s="11" t="s">
        <v>56</v>
      </c>
      <c r="H19" s="11" t="s">
        <v>56</v>
      </c>
      <c r="I19" s="11" t="s">
        <v>43</v>
      </c>
      <c r="J19" s="12" t="s">
        <v>35</v>
      </c>
      <c r="K19" s="11"/>
      <c r="L19" s="11" t="s">
        <v>57</v>
      </c>
      <c r="M19" s="11" t="s">
        <v>58</v>
      </c>
      <c r="N19" s="11" t="s">
        <v>59</v>
      </c>
      <c r="O19" s="14" t="n">
        <f aca="false">V19</f>
        <v>0</v>
      </c>
      <c r="P19" s="14" t="n">
        <v>240000000</v>
      </c>
      <c r="Q19" s="14"/>
      <c r="R19" s="11" t="s">
        <v>40</v>
      </c>
      <c r="S19" s="16" t="n">
        <v>0</v>
      </c>
      <c r="T19" s="16" t="n">
        <v>0</v>
      </c>
      <c r="U19" s="16" t="n">
        <v>0</v>
      </c>
      <c r="V19" s="14" t="n">
        <f aca="false">SUM(S19:U19)</f>
        <v>0</v>
      </c>
      <c r="W19" s="9"/>
    </row>
    <row r="20" customFormat="false" ht="66" hidden="false" customHeight="true" outlineLevel="0" collapsed="false">
      <c r="A20" s="11" t="n">
        <f aca="false">A19+1</f>
        <v>5</v>
      </c>
      <c r="B20" s="11" t="s">
        <v>54</v>
      </c>
      <c r="C20" s="11" t="s">
        <v>60</v>
      </c>
      <c r="D20" s="11" t="n">
        <v>2</v>
      </c>
      <c r="E20" s="11" t="n">
        <v>2011</v>
      </c>
      <c r="F20" s="11" t="s">
        <v>6</v>
      </c>
      <c r="G20" s="11" t="s">
        <v>61</v>
      </c>
      <c r="H20" s="11" t="s">
        <v>62</v>
      </c>
      <c r="I20" s="11" t="s">
        <v>34</v>
      </c>
      <c r="J20" s="12" t="s">
        <v>35</v>
      </c>
      <c r="K20" s="11"/>
      <c r="L20" s="11" t="s">
        <v>63</v>
      </c>
      <c r="M20" s="17" t="s">
        <v>64</v>
      </c>
      <c r="N20" s="11" t="s">
        <v>59</v>
      </c>
      <c r="O20" s="14" t="n">
        <f aca="false">V20</f>
        <v>0</v>
      </c>
      <c r="P20" s="11" t="s">
        <v>65</v>
      </c>
      <c r="Q20" s="11"/>
      <c r="R20" s="11" t="s">
        <v>40</v>
      </c>
      <c r="S20" s="16" t="n">
        <v>0</v>
      </c>
      <c r="T20" s="16" t="n">
        <v>0</v>
      </c>
      <c r="U20" s="16" t="n">
        <v>0</v>
      </c>
      <c r="V20" s="14" t="n">
        <f aca="false">SUM(S20:U20)</f>
        <v>0</v>
      </c>
      <c r="W20" s="8"/>
    </row>
    <row r="21" customFormat="false" ht="66" hidden="false" customHeight="true" outlineLevel="0" collapsed="false">
      <c r="A21" s="11" t="n">
        <f aca="false">A20+1</f>
        <v>6</v>
      </c>
      <c r="B21" s="11" t="s">
        <v>54</v>
      </c>
      <c r="C21" s="11" t="s">
        <v>66</v>
      </c>
      <c r="D21" s="11" t="n">
        <v>2</v>
      </c>
      <c r="E21" s="11" t="n">
        <v>2012</v>
      </c>
      <c r="F21" s="11" t="s">
        <v>6</v>
      </c>
      <c r="G21" s="11" t="s">
        <v>43</v>
      </c>
      <c r="H21" s="11" t="s">
        <v>33</v>
      </c>
      <c r="I21" s="11" t="s">
        <v>67</v>
      </c>
      <c r="J21" s="12" t="s">
        <v>35</v>
      </c>
      <c r="K21" s="11"/>
      <c r="L21" s="11" t="s">
        <v>68</v>
      </c>
      <c r="M21" s="17" t="s">
        <v>64</v>
      </c>
      <c r="N21" s="11" t="s">
        <v>59</v>
      </c>
      <c r="O21" s="14" t="n">
        <f aca="false">V21</f>
        <v>0</v>
      </c>
      <c r="P21" s="11" t="s">
        <v>65</v>
      </c>
      <c r="Q21" s="11"/>
      <c r="R21" s="11" t="s">
        <v>69</v>
      </c>
      <c r="S21" s="16" t="n">
        <v>0</v>
      </c>
      <c r="T21" s="16" t="n">
        <v>0</v>
      </c>
      <c r="U21" s="16" t="n">
        <v>0</v>
      </c>
      <c r="V21" s="14" t="n">
        <f aca="false">SUM(S21:U21)</f>
        <v>0</v>
      </c>
      <c r="W21" s="8"/>
    </row>
    <row r="22" customFormat="false" ht="75" hidden="false" customHeight="true" outlineLevel="0" collapsed="false">
      <c r="A22" s="11" t="n">
        <f aca="false">A21+1</f>
        <v>7</v>
      </c>
      <c r="B22" s="11" t="s">
        <v>54</v>
      </c>
      <c r="C22" s="11" t="s">
        <v>70</v>
      </c>
      <c r="D22" s="11" t="n">
        <v>233</v>
      </c>
      <c r="E22" s="11" t="n">
        <v>2015</v>
      </c>
      <c r="F22" s="11" t="s">
        <v>6</v>
      </c>
      <c r="G22" s="11" t="s">
        <v>43</v>
      </c>
      <c r="H22" s="11" t="s">
        <v>71</v>
      </c>
      <c r="I22" s="11" t="s">
        <v>61</v>
      </c>
      <c r="J22" s="12" t="s">
        <v>35</v>
      </c>
      <c r="K22" s="11"/>
      <c r="L22" s="11" t="s">
        <v>72</v>
      </c>
      <c r="M22" s="17" t="s">
        <v>64</v>
      </c>
      <c r="N22" s="11" t="s">
        <v>59</v>
      </c>
      <c r="O22" s="14" t="e">
        <f aca="false">V22</f>
        <v>#VALUE!</v>
      </c>
      <c r="P22" s="17" t="s">
        <v>73</v>
      </c>
      <c r="Q22" s="17"/>
      <c r="R22" s="11" t="s">
        <v>40</v>
      </c>
      <c r="S22" s="15" t="n">
        <v>0</v>
      </c>
      <c r="T22" s="15" t="n">
        <v>0</v>
      </c>
      <c r="U22" s="15" t="e">
        <f aca="false">O22</f>
        <v>#VALUE!</v>
      </c>
      <c r="V22" s="14" t="e">
        <f aca="false">SUM(S22:U22)</f>
        <v>#VALUE!</v>
      </c>
      <c r="W22" s="8"/>
    </row>
    <row r="23" customFormat="false" ht="82.5" hidden="false" customHeight="true" outlineLevel="0" collapsed="false">
      <c r="A23" s="11" t="n">
        <f aca="false">A22+1</f>
        <v>8</v>
      </c>
      <c r="B23" s="11" t="s">
        <v>54</v>
      </c>
      <c r="C23" s="11" t="s">
        <v>74</v>
      </c>
      <c r="D23" s="11" t="n">
        <v>2</v>
      </c>
      <c r="E23" s="11" t="n">
        <v>2017</v>
      </c>
      <c r="F23" s="11" t="s">
        <v>6</v>
      </c>
      <c r="G23" s="11" t="s">
        <v>56</v>
      </c>
      <c r="H23" s="11" t="s">
        <v>56</v>
      </c>
      <c r="I23" s="11" t="s">
        <v>43</v>
      </c>
      <c r="J23" s="12" t="s">
        <v>35</v>
      </c>
      <c r="K23" s="11"/>
      <c r="L23" s="11" t="s">
        <v>75</v>
      </c>
      <c r="M23" s="18" t="s">
        <v>76</v>
      </c>
      <c r="N23" s="11" t="s">
        <v>59</v>
      </c>
      <c r="O23" s="14" t="e">
        <f aca="false">V23</f>
        <v>#VALUE!</v>
      </c>
      <c r="P23" s="11" t="s">
        <v>52</v>
      </c>
      <c r="Q23" s="11"/>
      <c r="R23" s="11" t="s">
        <v>40</v>
      </c>
      <c r="S23" s="15" t="n">
        <v>0</v>
      </c>
      <c r="T23" s="15" t="e">
        <f aca="false">O23</f>
        <v>#VALUE!</v>
      </c>
      <c r="U23" s="15" t="n">
        <v>0</v>
      </c>
      <c r="V23" s="14" t="e">
        <f aca="false">SUM(S23:U23)</f>
        <v>#VALUE!</v>
      </c>
      <c r="W23" s="8"/>
    </row>
    <row r="24" customFormat="false" ht="75" hidden="false" customHeight="true" outlineLevel="0" collapsed="false">
      <c r="A24" s="11" t="n">
        <f aca="false">A23+1</f>
        <v>9</v>
      </c>
      <c r="B24" s="11" t="s">
        <v>77</v>
      </c>
      <c r="C24" s="11" t="s">
        <v>78</v>
      </c>
      <c r="D24" s="11" t="s">
        <v>79</v>
      </c>
      <c r="E24" s="11" t="n">
        <v>2019</v>
      </c>
      <c r="F24" s="11" t="s">
        <v>6</v>
      </c>
      <c r="G24" s="11" t="s">
        <v>80</v>
      </c>
      <c r="H24" s="11" t="s">
        <v>81</v>
      </c>
      <c r="I24" s="11" t="s">
        <v>43</v>
      </c>
      <c r="J24" s="11" t="s">
        <v>82</v>
      </c>
      <c r="K24" s="11"/>
      <c r="L24" s="11" t="s">
        <v>83</v>
      </c>
      <c r="M24" s="11" t="s">
        <v>84</v>
      </c>
      <c r="N24" s="11" t="s">
        <v>59</v>
      </c>
      <c r="O24" s="14" t="e">
        <f aca="false">V24</f>
        <v>#VALUE!</v>
      </c>
      <c r="P24" s="11" t="s">
        <v>85</v>
      </c>
      <c r="Q24" s="11"/>
      <c r="R24" s="11"/>
      <c r="S24" s="15" t="n">
        <v>0</v>
      </c>
      <c r="T24" s="15" t="n">
        <v>0</v>
      </c>
      <c r="U24" s="15" t="e">
        <f aca="false">O24</f>
        <v>#VALUE!</v>
      </c>
      <c r="V24" s="14" t="e">
        <f aca="false">SUM(S24:U24)</f>
        <v>#VALUE!</v>
      </c>
      <c r="W24" s="8"/>
    </row>
    <row r="25" customFormat="false" ht="75" hidden="false" customHeight="true" outlineLevel="0" collapsed="false">
      <c r="A25" s="11" t="n">
        <f aca="false">A24+1</f>
        <v>10</v>
      </c>
      <c r="B25" s="11" t="s">
        <v>77</v>
      </c>
      <c r="C25" s="11" t="s">
        <v>78</v>
      </c>
      <c r="D25" s="11" t="s">
        <v>86</v>
      </c>
      <c r="E25" s="11" t="n">
        <v>2019</v>
      </c>
      <c r="F25" s="11" t="s">
        <v>6</v>
      </c>
      <c r="G25" s="11" t="s">
        <v>80</v>
      </c>
      <c r="H25" s="11" t="s">
        <v>81</v>
      </c>
      <c r="I25" s="11" t="s">
        <v>43</v>
      </c>
      <c r="J25" s="11" t="s">
        <v>82</v>
      </c>
      <c r="K25" s="11"/>
      <c r="L25" s="11" t="s">
        <v>83</v>
      </c>
      <c r="M25" s="11" t="s">
        <v>87</v>
      </c>
      <c r="N25" s="11" t="s">
        <v>59</v>
      </c>
      <c r="O25" s="14" t="e">
        <f aca="false">V25</f>
        <v>#VALUE!</v>
      </c>
      <c r="P25" s="11" t="s">
        <v>85</v>
      </c>
      <c r="Q25" s="11"/>
      <c r="R25" s="11"/>
      <c r="S25" s="15" t="n">
        <v>0</v>
      </c>
      <c r="T25" s="15" t="n">
        <v>0</v>
      </c>
      <c r="U25" s="15" t="e">
        <f aca="false">O25</f>
        <v>#VALUE!</v>
      </c>
      <c r="V25" s="14" t="e">
        <f aca="false">SUM(S25:U25)</f>
        <v>#VALUE!</v>
      </c>
      <c r="W25" s="8"/>
    </row>
    <row r="26" customFormat="false" ht="92.25" hidden="false" customHeight="true" outlineLevel="0" collapsed="false">
      <c r="A26" s="11" t="n">
        <f aca="false">A25+1</f>
        <v>11</v>
      </c>
      <c r="B26" s="11" t="s">
        <v>88</v>
      </c>
      <c r="C26" s="11" t="s">
        <v>89</v>
      </c>
      <c r="D26" s="11" t="n">
        <v>135</v>
      </c>
      <c r="E26" s="11" t="n">
        <v>2019</v>
      </c>
      <c r="F26" s="11" t="s">
        <v>31</v>
      </c>
      <c r="G26" s="11" t="s">
        <v>90</v>
      </c>
      <c r="H26" s="11" t="s">
        <v>56</v>
      </c>
      <c r="I26" s="11" t="s">
        <v>43</v>
      </c>
      <c r="J26" s="11" t="s">
        <v>91</v>
      </c>
      <c r="K26" s="11"/>
      <c r="L26" s="11" t="s">
        <v>92</v>
      </c>
      <c r="M26" s="11" t="s">
        <v>93</v>
      </c>
      <c r="N26" s="11" t="s">
        <v>5</v>
      </c>
      <c r="O26" s="14" t="e">
        <f aca="false">V26</f>
        <v>#VALUE!</v>
      </c>
      <c r="P26" s="11" t="s">
        <v>85</v>
      </c>
      <c r="Q26" s="11"/>
      <c r="R26" s="11" t="s">
        <v>40</v>
      </c>
      <c r="S26" s="15" t="n">
        <v>0</v>
      </c>
      <c r="T26" s="15" t="n">
        <v>0</v>
      </c>
      <c r="U26" s="15" t="e">
        <f aca="false">O26</f>
        <v>#VALUE!</v>
      </c>
      <c r="V26" s="14" t="e">
        <f aca="false">SUM(S26:U26)</f>
        <v>#VALUE!</v>
      </c>
      <c r="W26" s="8"/>
    </row>
    <row r="27" customFormat="false" ht="79.5" hidden="false" customHeight="true" outlineLevel="0" collapsed="false">
      <c r="A27" s="11" t="n">
        <f aca="false">A26+1</f>
        <v>12</v>
      </c>
      <c r="B27" s="19" t="s">
        <v>94</v>
      </c>
      <c r="C27" s="20" t="s">
        <v>95</v>
      </c>
      <c r="D27" s="20" t="s">
        <v>96</v>
      </c>
      <c r="E27" s="11"/>
      <c r="F27" s="11" t="s">
        <v>31</v>
      </c>
      <c r="G27" s="21" t="s">
        <v>97</v>
      </c>
      <c r="H27" s="11"/>
      <c r="I27" s="11"/>
      <c r="J27" s="20" t="s">
        <v>98</v>
      </c>
      <c r="K27" s="21" t="s">
        <v>99</v>
      </c>
      <c r="L27" s="19" t="s">
        <v>100</v>
      </c>
      <c r="M27" s="13" t="s">
        <v>101</v>
      </c>
      <c r="N27" s="21" t="s">
        <v>5</v>
      </c>
      <c r="O27" s="14" t="n">
        <f aca="false">V27</f>
        <v>0</v>
      </c>
      <c r="P27" s="19" t="s">
        <v>102</v>
      </c>
      <c r="Q27" s="22" t="s">
        <v>103</v>
      </c>
      <c r="R27" s="11" t="s">
        <v>40</v>
      </c>
      <c r="S27" s="15" t="n">
        <v>0</v>
      </c>
      <c r="T27" s="15" t="n">
        <v>0</v>
      </c>
      <c r="U27" s="15" t="n">
        <v>0</v>
      </c>
      <c r="V27" s="14" t="n">
        <f aca="false">SUM(S27:U27)</f>
        <v>0</v>
      </c>
      <c r="W27" s="8"/>
    </row>
    <row r="28" customFormat="false" ht="52.5" hidden="false" customHeight="true" outlineLevel="0" collapsed="false">
      <c r="A28" s="11" t="n">
        <f aca="false">A27+1</f>
        <v>13</v>
      </c>
      <c r="B28" s="19" t="s">
        <v>104</v>
      </c>
      <c r="C28" s="20" t="s">
        <v>105</v>
      </c>
      <c r="D28" s="20" t="s">
        <v>106</v>
      </c>
      <c r="E28" s="11"/>
      <c r="F28" s="11" t="s">
        <v>6</v>
      </c>
      <c r="G28" s="21" t="s">
        <v>97</v>
      </c>
      <c r="H28" s="11"/>
      <c r="I28" s="11"/>
      <c r="J28" s="20" t="s">
        <v>107</v>
      </c>
      <c r="K28" s="21" t="s">
        <v>108</v>
      </c>
      <c r="L28" s="19" t="s">
        <v>109</v>
      </c>
      <c r="M28" s="17" t="s">
        <v>110</v>
      </c>
      <c r="N28" s="21" t="s">
        <v>59</v>
      </c>
      <c r="O28" s="14" t="n">
        <f aca="false">V28</f>
        <v>0</v>
      </c>
      <c r="P28" s="19" t="s">
        <v>111</v>
      </c>
      <c r="Q28" s="17" t="s">
        <v>112</v>
      </c>
      <c r="R28" s="11"/>
      <c r="S28" s="15" t="n">
        <v>0</v>
      </c>
      <c r="T28" s="15" t="n">
        <v>0</v>
      </c>
      <c r="U28" s="15" t="n">
        <v>0</v>
      </c>
      <c r="V28" s="14" t="n">
        <f aca="false">SUM(S28:U28)</f>
        <v>0</v>
      </c>
      <c r="W28" s="8"/>
    </row>
    <row r="29" customFormat="false" ht="139.5" hidden="false" customHeight="true" outlineLevel="0" collapsed="false">
      <c r="A29" s="11" t="n">
        <f aca="false">A28+1</f>
        <v>14</v>
      </c>
      <c r="B29" s="23" t="s">
        <v>94</v>
      </c>
      <c r="C29" s="23" t="s">
        <v>113</v>
      </c>
      <c r="D29" s="23" t="s">
        <v>114</v>
      </c>
      <c r="E29" s="11"/>
      <c r="F29" s="11" t="s">
        <v>59</v>
      </c>
      <c r="G29" s="11" t="s">
        <v>115</v>
      </c>
      <c r="H29" s="11"/>
      <c r="I29" s="11"/>
      <c r="J29" s="23" t="s">
        <v>116</v>
      </c>
      <c r="K29" s="23" t="s">
        <v>117</v>
      </c>
      <c r="L29" s="11" t="s">
        <v>118</v>
      </c>
      <c r="M29" s="11" t="s">
        <v>119</v>
      </c>
      <c r="N29" s="11" t="s">
        <v>4</v>
      </c>
      <c r="O29" s="14" t="n">
        <f aca="false">V29</f>
        <v>0</v>
      </c>
      <c r="P29" s="11" t="s">
        <v>120</v>
      </c>
      <c r="Q29" s="13" t="s">
        <v>121</v>
      </c>
      <c r="R29" s="11"/>
      <c r="S29" s="15" t="n">
        <v>0</v>
      </c>
      <c r="T29" s="15" t="n">
        <v>0</v>
      </c>
      <c r="U29" s="15" t="n">
        <v>0</v>
      </c>
      <c r="V29" s="14" t="n">
        <f aca="false">SUM(S29:U29)</f>
        <v>0</v>
      </c>
      <c r="W29" s="8"/>
    </row>
    <row r="30" customFormat="false" ht="104.25" hidden="false" customHeight="true" outlineLevel="0" collapsed="false">
      <c r="A30" s="19" t="n">
        <f aca="false">A29+1</f>
        <v>15</v>
      </c>
      <c r="B30" s="20" t="s">
        <v>122</v>
      </c>
      <c r="C30" s="19" t="s">
        <v>123</v>
      </c>
      <c r="D30" s="19" t="s">
        <v>124</v>
      </c>
      <c r="E30" s="19"/>
      <c r="F30" s="19" t="s">
        <v>31</v>
      </c>
      <c r="G30" s="19" t="s">
        <v>125</v>
      </c>
      <c r="H30" s="19"/>
      <c r="I30" s="19"/>
      <c r="J30" s="20" t="s">
        <v>126</v>
      </c>
      <c r="K30" s="20" t="s">
        <v>127</v>
      </c>
      <c r="L30" s="19" t="s">
        <v>128</v>
      </c>
      <c r="M30" s="13" t="s">
        <v>129</v>
      </c>
      <c r="N30" s="19" t="s">
        <v>5</v>
      </c>
      <c r="O30" s="14" t="n">
        <f aca="false">V30</f>
        <v>0</v>
      </c>
      <c r="P30" s="19" t="s">
        <v>130</v>
      </c>
      <c r="Q30" s="24" t="n">
        <v>46273</v>
      </c>
      <c r="R30" s="19"/>
      <c r="S30" s="16" t="n">
        <v>0</v>
      </c>
      <c r="T30" s="16" t="n">
        <v>0</v>
      </c>
      <c r="U30" s="16" t="n">
        <v>0</v>
      </c>
      <c r="V30" s="14" t="n">
        <f aca="false">SUM(S30:U30)</f>
        <v>0</v>
      </c>
      <c r="W30" s="25"/>
    </row>
    <row r="31" customFormat="false" ht="126.75" hidden="false" customHeight="true" outlineLevel="0" collapsed="false">
      <c r="A31" s="11" t="n">
        <f aca="false">A30+1</f>
        <v>16</v>
      </c>
      <c r="B31" s="20" t="s">
        <v>131</v>
      </c>
      <c r="C31" s="20" t="s">
        <v>132</v>
      </c>
      <c r="D31" s="19" t="s">
        <v>133</v>
      </c>
      <c r="E31" s="11" t="n">
        <v>2022</v>
      </c>
      <c r="F31" s="11" t="s">
        <v>6</v>
      </c>
      <c r="G31" s="20" t="s">
        <v>134</v>
      </c>
      <c r="H31" s="11"/>
      <c r="I31" s="11"/>
      <c r="J31" s="20" t="s">
        <v>135</v>
      </c>
      <c r="K31" s="20" t="s">
        <v>136</v>
      </c>
      <c r="L31" s="19" t="s">
        <v>137</v>
      </c>
      <c r="M31" s="11" t="s">
        <v>138</v>
      </c>
      <c r="N31" s="11" t="s">
        <v>6</v>
      </c>
      <c r="O31" s="14" t="n">
        <f aca="false">V31</f>
        <v>0</v>
      </c>
      <c r="P31" s="19" t="s">
        <v>139</v>
      </c>
      <c r="Q31" s="26" t="s">
        <v>140</v>
      </c>
      <c r="R31" s="11" t="s">
        <v>40</v>
      </c>
      <c r="S31" s="15" t="n">
        <v>0</v>
      </c>
      <c r="T31" s="15" t="n">
        <v>0</v>
      </c>
      <c r="U31" s="15" t="n">
        <v>0</v>
      </c>
      <c r="V31" s="14" t="n">
        <f aca="false">SUM(S31:U31)</f>
        <v>0</v>
      </c>
      <c r="W31" s="8"/>
    </row>
    <row r="32" customFormat="false" ht="166.5" hidden="false" customHeight="true" outlineLevel="0" collapsed="false">
      <c r="A32" s="11" t="n">
        <f aca="false">A31+1</f>
        <v>17</v>
      </c>
      <c r="B32" s="23" t="s">
        <v>141</v>
      </c>
      <c r="C32" s="23" t="s">
        <v>142</v>
      </c>
      <c r="D32" s="11" t="s">
        <v>143</v>
      </c>
      <c r="E32" s="11" t="n">
        <v>2021</v>
      </c>
      <c r="F32" s="11" t="s">
        <v>31</v>
      </c>
      <c r="G32" s="17" t="s">
        <v>97</v>
      </c>
      <c r="H32" s="11"/>
      <c r="I32" s="11" t="s">
        <v>43</v>
      </c>
      <c r="J32" s="23" t="s">
        <v>135</v>
      </c>
      <c r="K32" s="23" t="s">
        <v>136</v>
      </c>
      <c r="L32" s="11" t="s">
        <v>144</v>
      </c>
      <c r="M32" s="11" t="s">
        <v>145</v>
      </c>
      <c r="N32" s="26" t="s">
        <v>5</v>
      </c>
      <c r="O32" s="14" t="n">
        <f aca="false">V32</f>
        <v>0</v>
      </c>
      <c r="P32" s="11" t="s">
        <v>146</v>
      </c>
      <c r="Q32" s="19" t="s">
        <v>147</v>
      </c>
      <c r="R32" s="11" t="s">
        <v>148</v>
      </c>
      <c r="S32" s="16" t="n">
        <v>0</v>
      </c>
      <c r="T32" s="16" t="n">
        <v>0</v>
      </c>
      <c r="U32" s="16" t="n">
        <v>0</v>
      </c>
      <c r="V32" s="14" t="n">
        <f aca="false">SUM(S32:U32)</f>
        <v>0</v>
      </c>
      <c r="W32" s="8"/>
    </row>
    <row r="33" customFormat="false" ht="148.5" hidden="false" customHeight="true" outlineLevel="0" collapsed="false">
      <c r="A33" s="19" t="n">
        <f aca="false">A32+1</f>
        <v>18</v>
      </c>
      <c r="B33" s="19" t="s">
        <v>149</v>
      </c>
      <c r="C33" s="19" t="s">
        <v>150</v>
      </c>
      <c r="D33" s="19" t="s">
        <v>151</v>
      </c>
      <c r="E33" s="19" t="n">
        <v>2021</v>
      </c>
      <c r="F33" s="19" t="s">
        <v>31</v>
      </c>
      <c r="G33" s="19" t="s">
        <v>97</v>
      </c>
      <c r="H33" s="19"/>
      <c r="I33" s="19" t="s">
        <v>43</v>
      </c>
      <c r="J33" s="19" t="s">
        <v>152</v>
      </c>
      <c r="K33" s="27" t="s">
        <v>153</v>
      </c>
      <c r="L33" s="19" t="s">
        <v>154</v>
      </c>
      <c r="M33" s="13" t="s">
        <v>155</v>
      </c>
      <c r="N33" s="28" t="s">
        <v>5</v>
      </c>
      <c r="O33" s="14" t="n">
        <f aca="false">V33</f>
        <v>0</v>
      </c>
      <c r="P33" s="19" t="s">
        <v>156</v>
      </c>
      <c r="Q33" s="24" t="n">
        <v>46212</v>
      </c>
      <c r="R33" s="11" t="s">
        <v>40</v>
      </c>
      <c r="S33" s="15" t="n">
        <v>0</v>
      </c>
      <c r="T33" s="15" t="n">
        <v>0</v>
      </c>
      <c r="U33" s="15" t="n">
        <v>0</v>
      </c>
      <c r="V33" s="14" t="n">
        <f aca="false">SUM(S33:U33)</f>
        <v>0</v>
      </c>
      <c r="W33" s="8"/>
    </row>
    <row r="34" customFormat="false" ht="145.5" hidden="false" customHeight="true" outlineLevel="0" collapsed="false">
      <c r="A34" s="29" t="n">
        <v>19</v>
      </c>
      <c r="B34" s="11" t="s">
        <v>157</v>
      </c>
      <c r="C34" s="11" t="s">
        <v>158</v>
      </c>
      <c r="D34" s="11" t="s">
        <v>159</v>
      </c>
      <c r="E34" s="11" t="n">
        <v>2022</v>
      </c>
      <c r="F34" s="11" t="s">
        <v>31</v>
      </c>
      <c r="G34" s="11" t="s">
        <v>97</v>
      </c>
      <c r="H34" s="11"/>
      <c r="I34" s="11" t="s">
        <v>43</v>
      </c>
      <c r="J34" s="11" t="s">
        <v>152</v>
      </c>
      <c r="K34" s="11" t="s">
        <v>153</v>
      </c>
      <c r="L34" s="11" t="s">
        <v>160</v>
      </c>
      <c r="M34" s="13" t="s">
        <v>155</v>
      </c>
      <c r="N34" s="11" t="s">
        <v>5</v>
      </c>
      <c r="O34" s="14" t="n">
        <f aca="false">V34</f>
        <v>6500000</v>
      </c>
      <c r="P34" s="11" t="s">
        <v>161</v>
      </c>
      <c r="Q34" s="24" t="n">
        <v>46212</v>
      </c>
      <c r="R34" s="11" t="s">
        <v>40</v>
      </c>
      <c r="S34" s="15" t="n">
        <v>0</v>
      </c>
      <c r="T34" s="15" t="n">
        <v>0</v>
      </c>
      <c r="U34" s="15" t="n">
        <v>6500000</v>
      </c>
      <c r="V34" s="14" t="n">
        <f aca="false">SUM(S34:U34)</f>
        <v>6500000</v>
      </c>
      <c r="W34" s="8"/>
    </row>
    <row r="35" customFormat="false" ht="85.5" hidden="false" customHeight="true" outlineLevel="0" collapsed="false">
      <c r="A35" s="11" t="n">
        <v>20</v>
      </c>
      <c r="B35" s="8" t="s">
        <v>162</v>
      </c>
      <c r="C35" s="11" t="s">
        <v>163</v>
      </c>
      <c r="D35" s="11" t="s">
        <v>164</v>
      </c>
      <c r="E35" s="11" t="n">
        <v>2023</v>
      </c>
      <c r="F35" s="11" t="s">
        <v>165</v>
      </c>
      <c r="G35" s="11" t="s">
        <v>166</v>
      </c>
      <c r="H35" s="11"/>
      <c r="I35" s="11" t="s">
        <v>43</v>
      </c>
      <c r="J35" s="11" t="s">
        <v>167</v>
      </c>
      <c r="K35" s="11" t="s">
        <v>168</v>
      </c>
      <c r="L35" s="11" t="s">
        <v>169</v>
      </c>
      <c r="M35" s="13" t="s">
        <v>170</v>
      </c>
      <c r="N35" s="11" t="s">
        <v>5</v>
      </c>
      <c r="O35" s="14" t="n">
        <f aca="false">V35</f>
        <v>0</v>
      </c>
      <c r="P35" s="11" t="s">
        <v>171</v>
      </c>
      <c r="Q35" s="13" t="s">
        <v>172</v>
      </c>
      <c r="R35" s="11" t="s">
        <v>173</v>
      </c>
      <c r="S35" s="15" t="n">
        <v>0</v>
      </c>
      <c r="T35" s="15" t="n">
        <v>0</v>
      </c>
      <c r="U35" s="15" t="n">
        <v>0</v>
      </c>
      <c r="V35" s="14" t="n">
        <f aca="false">SUM(S35:U35)</f>
        <v>0</v>
      </c>
      <c r="W35" s="8"/>
    </row>
    <row r="36" customFormat="false" ht="72" hidden="false" customHeight="true" outlineLevel="0" collapsed="false">
      <c r="A36" s="11" t="n">
        <v>21</v>
      </c>
      <c r="B36" s="11" t="s">
        <v>174</v>
      </c>
      <c r="C36" s="11" t="s">
        <v>175</v>
      </c>
      <c r="D36" s="11" t="s">
        <v>176</v>
      </c>
      <c r="E36" s="11" t="n">
        <v>2023</v>
      </c>
      <c r="F36" s="11" t="s">
        <v>31</v>
      </c>
      <c r="G36" s="11" t="s">
        <v>97</v>
      </c>
      <c r="H36" s="11"/>
      <c r="I36" s="11" t="s">
        <v>43</v>
      </c>
      <c r="J36" s="11" t="s">
        <v>177</v>
      </c>
      <c r="K36" s="11"/>
      <c r="L36" s="11" t="s">
        <v>178</v>
      </c>
      <c r="M36" s="11" t="s">
        <v>179</v>
      </c>
      <c r="N36" s="11" t="s">
        <v>5</v>
      </c>
      <c r="O36" s="14" t="n">
        <f aca="false">V36</f>
        <v>0</v>
      </c>
      <c r="P36" s="11" t="n">
        <v>0</v>
      </c>
      <c r="Q36" s="11" t="s">
        <v>180</v>
      </c>
      <c r="R36" s="11" t="s">
        <v>40</v>
      </c>
      <c r="S36" s="15" t="n">
        <v>0</v>
      </c>
      <c r="T36" s="15" t="n">
        <v>0</v>
      </c>
      <c r="U36" s="15" t="n">
        <v>0</v>
      </c>
      <c r="V36" s="14" t="n">
        <f aca="false">SUM(S36:U36)</f>
        <v>0</v>
      </c>
      <c r="W36" s="8"/>
    </row>
    <row r="37" customFormat="false" ht="54" hidden="false" customHeight="true" outlineLevel="0" collapsed="false">
      <c r="A37" s="11" t="n">
        <v>22</v>
      </c>
      <c r="B37" s="11" t="s">
        <v>181</v>
      </c>
      <c r="C37" s="11" t="s">
        <v>182</v>
      </c>
      <c r="D37" s="11" t="s">
        <v>183</v>
      </c>
      <c r="E37" s="11" t="n">
        <v>2018</v>
      </c>
      <c r="F37" s="11" t="s">
        <v>6</v>
      </c>
      <c r="G37" s="11" t="s">
        <v>97</v>
      </c>
      <c r="H37" s="11"/>
      <c r="I37" s="11" t="s">
        <v>43</v>
      </c>
      <c r="J37" s="12" t="s">
        <v>184</v>
      </c>
      <c r="K37" s="11"/>
      <c r="L37" s="11" t="s">
        <v>185</v>
      </c>
      <c r="M37" s="13" t="s">
        <v>186</v>
      </c>
      <c r="N37" s="11" t="s">
        <v>5</v>
      </c>
      <c r="O37" s="14" t="n">
        <f aca="false">V37</f>
        <v>321477</v>
      </c>
      <c r="P37" s="11"/>
      <c r="Q37" s="13" t="s">
        <v>187</v>
      </c>
      <c r="R37" s="11" t="s">
        <v>40</v>
      </c>
      <c r="S37" s="15" t="n">
        <v>0</v>
      </c>
      <c r="T37" s="15" t="n">
        <v>0</v>
      </c>
      <c r="U37" s="15" t="n">
        <v>321477</v>
      </c>
      <c r="V37" s="14" t="n">
        <f aca="false">SUM(S37:U37)</f>
        <v>321477</v>
      </c>
      <c r="W37" s="8"/>
    </row>
    <row r="38" customFormat="false" ht="76.5" hidden="false" customHeight="true" outlineLevel="0" collapsed="false">
      <c r="A38" s="11" t="n">
        <v>23</v>
      </c>
      <c r="B38" s="11" t="s">
        <v>188</v>
      </c>
      <c r="C38" s="11" t="s">
        <v>189</v>
      </c>
      <c r="D38" s="11" t="s">
        <v>190</v>
      </c>
      <c r="E38" s="11" t="n">
        <v>2022</v>
      </c>
      <c r="F38" s="11" t="s">
        <v>31</v>
      </c>
      <c r="G38" s="11" t="s">
        <v>97</v>
      </c>
      <c r="H38" s="11"/>
      <c r="I38" s="11" t="s">
        <v>43</v>
      </c>
      <c r="J38" s="11" t="s">
        <v>191</v>
      </c>
      <c r="K38" s="11"/>
      <c r="L38" s="11" t="s">
        <v>192</v>
      </c>
      <c r="M38" s="13" t="s">
        <v>193</v>
      </c>
      <c r="N38" s="11" t="s">
        <v>5</v>
      </c>
      <c r="O38" s="14" t="n">
        <f aca="false">V38</f>
        <v>0</v>
      </c>
      <c r="P38" s="11"/>
      <c r="Q38" s="30" t="n">
        <v>46212</v>
      </c>
      <c r="R38" s="11" t="s">
        <v>69</v>
      </c>
      <c r="S38" s="15" t="n">
        <v>0</v>
      </c>
      <c r="T38" s="15" t="n">
        <v>0</v>
      </c>
      <c r="U38" s="15" t="n">
        <v>0</v>
      </c>
      <c r="V38" s="14" t="n">
        <f aca="false">SUM(S38:U38)</f>
        <v>0</v>
      </c>
      <c r="W38" s="8"/>
    </row>
    <row r="39" customFormat="false" ht="89.25" hidden="false" customHeight="true" outlineLevel="0" collapsed="false">
      <c r="A39" s="11" t="n">
        <v>24</v>
      </c>
      <c r="B39" s="8" t="s">
        <v>194</v>
      </c>
      <c r="C39" s="11" t="s">
        <v>195</v>
      </c>
      <c r="D39" s="11" t="s">
        <v>196</v>
      </c>
      <c r="E39" s="11" t="n">
        <v>2022</v>
      </c>
      <c r="F39" s="11" t="s">
        <v>31</v>
      </c>
      <c r="G39" s="11" t="s">
        <v>97</v>
      </c>
      <c r="H39" s="11"/>
      <c r="I39" s="11" t="s">
        <v>43</v>
      </c>
      <c r="J39" s="12" t="s">
        <v>184</v>
      </c>
      <c r="K39" s="11"/>
      <c r="L39" s="11" t="s">
        <v>197</v>
      </c>
      <c r="M39" s="13" t="s">
        <v>198</v>
      </c>
      <c r="N39" s="11" t="s">
        <v>4</v>
      </c>
      <c r="O39" s="14" t="n">
        <f aca="false">V39</f>
        <v>4042955</v>
      </c>
      <c r="P39" s="11" t="s">
        <v>199</v>
      </c>
      <c r="Q39" s="30" t="n">
        <v>46171</v>
      </c>
      <c r="R39" s="11" t="s">
        <v>200</v>
      </c>
      <c r="S39" s="15" t="n">
        <v>4042955</v>
      </c>
      <c r="T39" s="15" t="n">
        <v>0</v>
      </c>
      <c r="U39" s="15" t="n">
        <v>0</v>
      </c>
      <c r="V39" s="14" t="n">
        <f aca="false">SUM(S39:U39)</f>
        <v>4042955</v>
      </c>
      <c r="W39" s="8"/>
    </row>
    <row r="40" customFormat="false" ht="147.75" hidden="false" customHeight="true" outlineLevel="0" collapsed="false">
      <c r="A40" s="11" t="n">
        <v>25</v>
      </c>
      <c r="B40" s="11" t="s">
        <v>201</v>
      </c>
      <c r="C40" s="11" t="s">
        <v>202</v>
      </c>
      <c r="D40" s="11" t="s">
        <v>203</v>
      </c>
      <c r="E40" s="11" t="n">
        <v>2021</v>
      </c>
      <c r="F40" s="11" t="s">
        <v>31</v>
      </c>
      <c r="G40" s="11"/>
      <c r="H40" s="11"/>
      <c r="I40" s="11" t="s">
        <v>43</v>
      </c>
      <c r="J40" s="11" t="s">
        <v>204</v>
      </c>
      <c r="K40" s="11"/>
      <c r="L40" s="11" t="s">
        <v>205</v>
      </c>
      <c r="M40" s="11" t="s">
        <v>206</v>
      </c>
      <c r="N40" s="11" t="s">
        <v>59</v>
      </c>
      <c r="O40" s="14" t="n">
        <f aca="false">V40</f>
        <v>0</v>
      </c>
      <c r="P40" s="11"/>
      <c r="Q40" s="11" t="s">
        <v>207</v>
      </c>
      <c r="R40" s="11"/>
      <c r="S40" s="31" t="n">
        <v>0</v>
      </c>
      <c r="T40" s="31" t="n">
        <v>0</v>
      </c>
      <c r="U40" s="31" t="n">
        <v>0</v>
      </c>
      <c r="V40" s="14" t="n">
        <f aca="false">SUM(S40:U40)</f>
        <v>0</v>
      </c>
      <c r="W40" s="8"/>
    </row>
    <row r="41" customFormat="false" ht="151.5" hidden="false" customHeight="true" outlineLevel="0" collapsed="false">
      <c r="A41" s="11" t="n">
        <v>26</v>
      </c>
      <c r="B41" s="32" t="s">
        <v>208</v>
      </c>
      <c r="C41" s="11" t="s">
        <v>209</v>
      </c>
      <c r="D41" s="11" t="s">
        <v>210</v>
      </c>
      <c r="E41" s="11" t="n">
        <v>2020</v>
      </c>
      <c r="F41" s="11" t="s">
        <v>165</v>
      </c>
      <c r="G41" s="11" t="s">
        <v>211</v>
      </c>
      <c r="H41" s="11"/>
      <c r="I41" s="11" t="s">
        <v>43</v>
      </c>
      <c r="J41" s="11" t="s">
        <v>212</v>
      </c>
      <c r="K41" s="11"/>
      <c r="L41" s="11" t="s">
        <v>213</v>
      </c>
      <c r="M41" s="13" t="s">
        <v>214</v>
      </c>
      <c r="N41" s="11" t="s">
        <v>5</v>
      </c>
      <c r="O41" s="14" t="n">
        <f aca="false">V41</f>
        <v>0</v>
      </c>
      <c r="P41" s="11"/>
      <c r="Q41" s="13" t="s">
        <v>215</v>
      </c>
      <c r="R41" s="11"/>
      <c r="S41" s="31" t="n">
        <v>0</v>
      </c>
      <c r="T41" s="31" t="n">
        <v>0</v>
      </c>
      <c r="U41" s="31" t="n">
        <v>0</v>
      </c>
      <c r="V41" s="14" t="n">
        <f aca="false">SUM(S41:U41)</f>
        <v>0</v>
      </c>
      <c r="W41" s="8"/>
    </row>
    <row r="42" customFormat="false" ht="84" hidden="false" customHeight="true" outlineLevel="0" collapsed="false">
      <c r="A42" s="11" t="n">
        <v>27</v>
      </c>
      <c r="B42" s="11" t="s">
        <v>216</v>
      </c>
      <c r="C42" s="11" t="s">
        <v>217</v>
      </c>
      <c r="D42" s="11" t="s">
        <v>218</v>
      </c>
      <c r="E42" s="11" t="n">
        <v>2021</v>
      </c>
      <c r="F42" s="11" t="s">
        <v>31</v>
      </c>
      <c r="G42" s="11" t="s">
        <v>219</v>
      </c>
      <c r="H42" s="11"/>
      <c r="I42" s="11" t="s">
        <v>43</v>
      </c>
      <c r="J42" s="11" t="s">
        <v>220</v>
      </c>
      <c r="K42" s="33" t="s">
        <v>221</v>
      </c>
      <c r="L42" s="11" t="s">
        <v>222</v>
      </c>
      <c r="M42" s="32" t="s">
        <v>223</v>
      </c>
      <c r="N42" s="11" t="s">
        <v>5</v>
      </c>
      <c r="O42" s="14" t="n">
        <f aca="false">V42</f>
        <v>0</v>
      </c>
      <c r="P42" s="11" t="n">
        <v>0</v>
      </c>
      <c r="Q42" s="11" t="s">
        <v>224</v>
      </c>
      <c r="R42" s="11"/>
      <c r="S42" s="31" t="n">
        <v>0</v>
      </c>
      <c r="T42" s="31" t="n">
        <v>0</v>
      </c>
      <c r="U42" s="31" t="n">
        <v>0</v>
      </c>
      <c r="V42" s="14" t="n">
        <f aca="false">SUM(S42:U42)</f>
        <v>0</v>
      </c>
      <c r="W42" s="8"/>
    </row>
    <row r="43" customFormat="false" ht="104.25" hidden="false" customHeight="true" outlineLevel="0" collapsed="false">
      <c r="A43" s="11" t="n">
        <v>28</v>
      </c>
      <c r="B43" s="11" t="s">
        <v>225</v>
      </c>
      <c r="C43" s="11" t="s">
        <v>226</v>
      </c>
      <c r="D43" s="11" t="s">
        <v>227</v>
      </c>
      <c r="E43" s="11" t="n">
        <v>2024</v>
      </c>
      <c r="F43" s="11" t="s">
        <v>31</v>
      </c>
      <c r="G43" s="11" t="s">
        <v>228</v>
      </c>
      <c r="H43" s="11"/>
      <c r="I43" s="11" t="s">
        <v>43</v>
      </c>
      <c r="J43" s="11" t="s">
        <v>229</v>
      </c>
      <c r="K43" s="11" t="s">
        <v>230</v>
      </c>
      <c r="L43" s="11" t="s">
        <v>231</v>
      </c>
      <c r="M43" s="13" t="s">
        <v>232</v>
      </c>
      <c r="N43" s="11" t="s">
        <v>5</v>
      </c>
      <c r="O43" s="14" t="n">
        <f aca="false">V43</f>
        <v>0</v>
      </c>
      <c r="P43" s="11" t="n">
        <v>0</v>
      </c>
      <c r="Q43" s="13" t="s">
        <v>233</v>
      </c>
      <c r="R43" s="11"/>
      <c r="S43" s="31" t="n">
        <v>0</v>
      </c>
      <c r="T43" s="31" t="n">
        <v>0</v>
      </c>
      <c r="U43" s="31" t="n">
        <v>0</v>
      </c>
      <c r="V43" s="14" t="n">
        <f aca="false">SUM(S43:U43)</f>
        <v>0</v>
      </c>
      <c r="W43" s="8"/>
    </row>
    <row r="44" s="36" customFormat="true" ht="126" hidden="false" customHeight="true" outlineLevel="0" collapsed="false">
      <c r="A44" s="13" t="n">
        <v>29</v>
      </c>
      <c r="B44" s="13" t="s">
        <v>234</v>
      </c>
      <c r="C44" s="13" t="s">
        <v>235</v>
      </c>
      <c r="D44" s="13" t="s">
        <v>236</v>
      </c>
      <c r="E44" s="13" t="n">
        <v>2025</v>
      </c>
      <c r="F44" s="13" t="s">
        <v>31</v>
      </c>
      <c r="G44" s="13" t="s">
        <v>237</v>
      </c>
      <c r="H44" s="13"/>
      <c r="I44" s="13" t="s">
        <v>238</v>
      </c>
      <c r="J44" s="13"/>
      <c r="K44" s="13"/>
      <c r="L44" s="13" t="s">
        <v>239</v>
      </c>
      <c r="M44" s="22" t="s">
        <v>240</v>
      </c>
      <c r="N44" s="13" t="s">
        <v>5</v>
      </c>
      <c r="O44" s="34" t="n">
        <f aca="false">V44</f>
        <v>0</v>
      </c>
      <c r="P44" s="13"/>
      <c r="Q44" s="35" t="n">
        <v>46176</v>
      </c>
      <c r="S44" s="37" t="n">
        <v>0</v>
      </c>
      <c r="T44" s="37" t="n">
        <v>0</v>
      </c>
      <c r="U44" s="37" t="n">
        <v>0</v>
      </c>
      <c r="V44" s="14" t="n">
        <f aca="false">SUM(S44:U44)</f>
        <v>0</v>
      </c>
    </row>
    <row r="45" s="36" customFormat="true" ht="49.5" hidden="false" customHeight="true" outlineLevel="0" collapsed="false">
      <c r="A45" s="13" t="n">
        <v>30</v>
      </c>
      <c r="B45" s="13" t="s">
        <v>234</v>
      </c>
      <c r="C45" s="13" t="s">
        <v>241</v>
      </c>
      <c r="D45" s="13" t="s">
        <v>242</v>
      </c>
      <c r="E45" s="13" t="n">
        <v>2025</v>
      </c>
      <c r="F45" s="13" t="s">
        <v>31</v>
      </c>
      <c r="G45" s="13" t="s">
        <v>243</v>
      </c>
      <c r="H45" s="13"/>
      <c r="I45" s="13" t="s">
        <v>244</v>
      </c>
      <c r="J45" s="13"/>
      <c r="K45" s="13"/>
      <c r="L45" s="22" t="s">
        <v>245</v>
      </c>
      <c r="M45" s="22" t="s">
        <v>246</v>
      </c>
      <c r="N45" s="13" t="s">
        <v>5</v>
      </c>
      <c r="O45" s="34" t="n">
        <f aca="false">V45</f>
        <v>0</v>
      </c>
      <c r="P45" s="13"/>
      <c r="Q45" s="35" t="n">
        <v>46176</v>
      </c>
      <c r="S45" s="37" t="n">
        <v>0</v>
      </c>
      <c r="T45" s="37" t="n">
        <v>0</v>
      </c>
      <c r="U45" s="37" t="n">
        <v>0</v>
      </c>
      <c r="V45" s="14" t="n">
        <f aca="false">SUM(S45:U45)</f>
        <v>0</v>
      </c>
    </row>
    <row r="46" customFormat="false" ht="103.5" hidden="false" customHeight="true" outlineLevel="0" collapsed="false">
      <c r="A46" s="38" t="n">
        <v>31</v>
      </c>
      <c r="B46" s="13" t="s">
        <v>247</v>
      </c>
      <c r="C46" s="13" t="s">
        <v>248</v>
      </c>
      <c r="D46" s="13" t="s">
        <v>249</v>
      </c>
      <c r="E46" s="13" t="n">
        <v>2024</v>
      </c>
      <c r="F46" s="38" t="s">
        <v>31</v>
      </c>
      <c r="G46" s="13" t="s">
        <v>250</v>
      </c>
      <c r="H46" s="13" t="s">
        <v>251</v>
      </c>
      <c r="I46" s="13" t="s">
        <v>252</v>
      </c>
      <c r="J46" s="13" t="s">
        <v>253</v>
      </c>
      <c r="K46" s="13" t="s">
        <v>254</v>
      </c>
      <c r="L46" s="38"/>
      <c r="M46" s="38" t="s">
        <v>255</v>
      </c>
      <c r="N46" s="13" t="s">
        <v>5</v>
      </c>
      <c r="O46" s="34" t="n">
        <f aca="false">V46</f>
        <v>0</v>
      </c>
      <c r="P46" s="39"/>
      <c r="Q46" s="35" t="n">
        <v>46174</v>
      </c>
      <c r="S46" s="37" t="n">
        <v>0</v>
      </c>
      <c r="T46" s="37" t="n">
        <v>0</v>
      </c>
      <c r="U46" s="37" t="n">
        <v>0</v>
      </c>
      <c r="V46" s="14" t="n">
        <f aca="false">SUM(S46:U46)</f>
        <v>0</v>
      </c>
    </row>
    <row r="47" s="41" customFormat="true" ht="125.25" hidden="false" customHeight="true" outlineLevel="0" collapsed="false">
      <c r="A47" s="13" t="n">
        <v>32</v>
      </c>
      <c r="B47" s="13" t="s">
        <v>256</v>
      </c>
      <c r="C47" s="13" t="s">
        <v>257</v>
      </c>
      <c r="D47" s="13" t="s">
        <v>258</v>
      </c>
      <c r="E47" s="13" t="n">
        <v>2026</v>
      </c>
      <c r="F47" s="38" t="s">
        <v>31</v>
      </c>
      <c r="G47" s="13" t="s">
        <v>259</v>
      </c>
      <c r="H47" s="13" t="s">
        <v>251</v>
      </c>
      <c r="I47" s="13" t="s">
        <v>260</v>
      </c>
      <c r="J47" s="13" t="s">
        <v>261</v>
      </c>
      <c r="K47" s="13" t="s">
        <v>262</v>
      </c>
      <c r="L47" s="13" t="s">
        <v>263</v>
      </c>
      <c r="M47" s="13" t="s">
        <v>264</v>
      </c>
      <c r="N47" s="13" t="s">
        <v>5</v>
      </c>
      <c r="O47" s="34" t="n">
        <f aca="false">V47</f>
        <v>0</v>
      </c>
      <c r="P47" s="13" t="s">
        <v>265</v>
      </c>
      <c r="Q47" s="13" t="s">
        <v>266</v>
      </c>
      <c r="R47" s="40"/>
      <c r="S47" s="37" t="n">
        <v>0</v>
      </c>
      <c r="T47" s="37" t="n">
        <v>0</v>
      </c>
      <c r="U47" s="37" t="n">
        <v>0</v>
      </c>
      <c r="V47" s="14" t="n">
        <f aca="false">SUM(S47:U47)</f>
        <v>0</v>
      </c>
      <c r="W47" s="19" t="s">
        <v>267</v>
      </c>
    </row>
    <row r="48" s="43" customFormat="true" ht="99.75" hidden="false" customHeight="true" outlineLevel="0" collapsed="false">
      <c r="A48" s="13" t="n">
        <v>33</v>
      </c>
      <c r="B48" s="13" t="s">
        <v>268</v>
      </c>
      <c r="C48" s="13" t="s">
        <v>269</v>
      </c>
      <c r="D48" s="13" t="s">
        <v>270</v>
      </c>
      <c r="E48" s="13" t="n">
        <v>2017</v>
      </c>
      <c r="F48" s="13" t="s">
        <v>6</v>
      </c>
      <c r="G48" s="13" t="s">
        <v>271</v>
      </c>
      <c r="H48" s="13" t="s">
        <v>251</v>
      </c>
      <c r="I48" s="13" t="s">
        <v>272</v>
      </c>
      <c r="J48" s="12" t="s">
        <v>273</v>
      </c>
      <c r="K48" s="13" t="s">
        <v>274</v>
      </c>
      <c r="L48" s="13" t="s">
        <v>275</v>
      </c>
      <c r="M48" s="13" t="s">
        <v>276</v>
      </c>
      <c r="N48" s="13" t="s">
        <v>5</v>
      </c>
      <c r="O48" s="34" t="n">
        <f aca="false">V48</f>
        <v>0</v>
      </c>
      <c r="P48" s="13"/>
      <c r="Q48" s="13" t="s">
        <v>277</v>
      </c>
      <c r="R48" s="40"/>
      <c r="S48" s="37" t="n">
        <v>0</v>
      </c>
      <c r="T48" s="37" t="n">
        <v>0</v>
      </c>
      <c r="U48" s="37" t="n">
        <v>0</v>
      </c>
      <c r="V48" s="14" t="n">
        <f aca="false">SUM(S48:U48)</f>
        <v>0</v>
      </c>
      <c r="W48" s="19"/>
      <c r="X48" s="42"/>
      <c r="Y48" s="42"/>
    </row>
    <row r="49" s="43" customFormat="true" ht="94.5" hidden="false" customHeight="true" outlineLevel="0" collapsed="false">
      <c r="A49" s="13" t="n">
        <v>34</v>
      </c>
      <c r="B49" s="13" t="s">
        <v>278</v>
      </c>
      <c r="C49" s="13" t="s">
        <v>269</v>
      </c>
      <c r="D49" s="13" t="s">
        <v>279</v>
      </c>
      <c r="E49" s="13" t="n">
        <v>2014</v>
      </c>
      <c r="F49" s="13" t="s">
        <v>6</v>
      </c>
      <c r="G49" s="13" t="s">
        <v>280</v>
      </c>
      <c r="H49" s="13" t="s">
        <v>251</v>
      </c>
      <c r="I49" s="13" t="s">
        <v>281</v>
      </c>
      <c r="J49" s="12" t="s">
        <v>273</v>
      </c>
      <c r="K49" s="13" t="s">
        <v>274</v>
      </c>
      <c r="L49" s="13" t="s">
        <v>282</v>
      </c>
      <c r="M49" s="13" t="s">
        <v>283</v>
      </c>
      <c r="N49" s="13" t="s">
        <v>5</v>
      </c>
      <c r="O49" s="34" t="n">
        <f aca="false">V49</f>
        <v>0</v>
      </c>
      <c r="P49" s="13"/>
      <c r="Q49" s="13" t="s">
        <v>284</v>
      </c>
      <c r="R49" s="40"/>
      <c r="S49" s="37" t="n">
        <v>0</v>
      </c>
      <c r="T49" s="37" t="n">
        <v>0</v>
      </c>
      <c r="U49" s="37" t="n">
        <v>0</v>
      </c>
      <c r="V49" s="14" t="n">
        <f aca="false">SUM(S49:U49)</f>
        <v>0</v>
      </c>
      <c r="W49" s="19"/>
      <c r="X49" s="42"/>
      <c r="Y49" s="42"/>
    </row>
  </sheetData>
  <autoFilter ref="A15:V4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2"/>
  <sheetViews>
    <sheetView showFormulas="false" showGridLines="false" showRowColHeaders="true" showZeros="true" rightToLeft="false" tabSelected="true" showOutlineSymbols="true" defaultGridColor="true" view="normal" topLeftCell="B1" colorId="64" zoomScale="85" zoomScaleNormal="85" zoomScalePageLayoutView="100" workbookViewId="0">
      <selection pane="topLeft" activeCell="J19" activeCellId="0" sqref="J19"/>
    </sheetView>
  </sheetViews>
  <sheetFormatPr defaultColWidth="8.6796875" defaultRowHeight="14.25" zeroHeight="false" outlineLevelRow="0" outlineLevelCol="0"/>
  <cols>
    <col collapsed="false" customWidth="true" hidden="false" outlineLevel="0" max="1" min="1" style="44" width="66.29"/>
    <col collapsed="false" customWidth="true" hidden="false" outlineLevel="0" max="4" min="2" style="44" width="11.39"/>
    <col collapsed="false" customWidth="true" hidden="false" outlineLevel="0" max="5" min="5" style="44" width="13.3"/>
    <col collapsed="false" customWidth="true" hidden="false" outlineLevel="0" max="6" min="6" style="44" width="20.58"/>
    <col collapsed="false" customWidth="true" hidden="false" outlineLevel="0" max="7" min="7" style="44" width="10.51"/>
    <col collapsed="false" customWidth="true" hidden="false" outlineLevel="0" max="8" min="8" style="44" width="12.4"/>
    <col collapsed="false" customWidth="true" hidden="false" outlineLevel="0" max="9" min="9" style="44" width="10.79"/>
    <col collapsed="false" customWidth="true" hidden="false" outlineLevel="0" max="10" min="10" style="45" width="66.4"/>
    <col collapsed="false" customWidth="true" hidden="false" outlineLevel="0" max="11" min="11" style="44" width="18.5"/>
    <col collapsed="false" customWidth="true" hidden="false" outlineLevel="0" max="12" min="12" style="44" width="35"/>
    <col collapsed="false" customWidth="true" hidden="false" outlineLevel="0" max="13" min="13" style="44" width="60"/>
  </cols>
  <sheetData>
    <row r="1" customFormat="false" ht="27.75" hidden="false" customHeight="true" outlineLevel="0" collapsed="false">
      <c r="A1" s="46" t="s">
        <v>285</v>
      </c>
      <c r="B1" s="47" t="s">
        <v>286</v>
      </c>
      <c r="C1" s="47" t="s">
        <v>287</v>
      </c>
      <c r="D1" s="47" t="s">
        <v>288</v>
      </c>
      <c r="E1" s="47" t="s">
        <v>289</v>
      </c>
      <c r="F1" s="47" t="s">
        <v>290</v>
      </c>
      <c r="G1" s="47" t="s">
        <v>291</v>
      </c>
      <c r="H1" s="48" t="s">
        <v>292</v>
      </c>
      <c r="I1" s="47" t="s">
        <v>293</v>
      </c>
      <c r="J1" s="49" t="s">
        <v>294</v>
      </c>
      <c r="L1" s="50" t="s">
        <v>295</v>
      </c>
      <c r="M1" s="50" t="s">
        <v>296</v>
      </c>
    </row>
    <row r="2" s="56" customFormat="true" ht="26.25" hidden="false" customHeight="true" outlineLevel="0" collapsed="false">
      <c r="A2" s="51" t="s">
        <v>297</v>
      </c>
      <c r="B2" s="52" t="n">
        <v>8657838.76</v>
      </c>
      <c r="C2" s="52" t="n">
        <v>7972408.2</v>
      </c>
      <c r="D2" s="52" t="n">
        <v>24744482</v>
      </c>
      <c r="E2" s="52" t="n">
        <v>3691636</v>
      </c>
      <c r="F2" s="52" t="n">
        <v>1096798.33</v>
      </c>
      <c r="G2" s="52" t="n">
        <v>215690</v>
      </c>
      <c r="H2" s="53" t="n">
        <f aca="false">SUM(B2:G2)</f>
        <v>46378853.29</v>
      </c>
      <c r="I2" s="54" t="n">
        <f aca="false">H2/$H$89</f>
        <v>0.270963578220044</v>
      </c>
      <c r="J2" s="55" t="s">
        <v>298</v>
      </c>
    </row>
    <row r="3" s="56" customFormat="true" ht="39.75" hidden="false" customHeight="true" outlineLevel="0" collapsed="false">
      <c r="A3" s="51" t="s">
        <v>299</v>
      </c>
      <c r="B3" s="52" t="n">
        <v>31086156</v>
      </c>
      <c r="C3" s="52" t="n">
        <f aca="false">0</f>
        <v>0</v>
      </c>
      <c r="D3" s="52" t="n">
        <f aca="false">0</f>
        <v>0</v>
      </c>
      <c r="E3" s="52" t="n">
        <f aca="false">0</f>
        <v>0</v>
      </c>
      <c r="F3" s="52" t="n">
        <f aca="false">0</f>
        <v>0</v>
      </c>
      <c r="G3" s="52" t="n">
        <f aca="false">0</f>
        <v>0</v>
      </c>
      <c r="H3" s="53" t="n">
        <f aca="false">SUM(B3:G3)</f>
        <v>31086156</v>
      </c>
      <c r="I3" s="54" t="n">
        <f aca="false">H3/$H$89</f>
        <v>0.181617600810382</v>
      </c>
      <c r="J3" s="55" t="s">
        <v>300</v>
      </c>
    </row>
    <row r="4" customFormat="false" ht="39.75" hidden="false" customHeight="true" outlineLevel="0" collapsed="false">
      <c r="A4" s="57" t="s">
        <v>301</v>
      </c>
      <c r="B4" s="58" t="n">
        <f aca="false">0</f>
        <v>0</v>
      </c>
      <c r="C4" s="58" t="n">
        <v>13172941.26</v>
      </c>
      <c r="D4" s="58" t="n">
        <f aca="false">0</f>
        <v>0</v>
      </c>
      <c r="E4" s="58" t="n">
        <f aca="false">0</f>
        <v>0</v>
      </c>
      <c r="F4" s="58" t="n">
        <f aca="false">0</f>
        <v>0</v>
      </c>
      <c r="G4" s="58" t="n">
        <f aca="false">0</f>
        <v>0</v>
      </c>
      <c r="H4" s="53" t="n">
        <f aca="false">SUM(B4:G4)</f>
        <v>13172941.26</v>
      </c>
      <c r="I4" s="59" t="n">
        <f aca="false">H4/$H$89</f>
        <v>0.0769615254860489</v>
      </c>
      <c r="J4" s="60" t="s">
        <v>302</v>
      </c>
      <c r="K4" s="56"/>
    </row>
    <row r="5" s="56" customFormat="true" ht="26.25" hidden="false" customHeight="true" outlineLevel="0" collapsed="false">
      <c r="A5" s="51" t="s">
        <v>303</v>
      </c>
      <c r="B5" s="52" t="n">
        <v>775500</v>
      </c>
      <c r="C5" s="52" t="n">
        <v>4403393</v>
      </c>
      <c r="D5" s="52" t="n">
        <v>5590000</v>
      </c>
      <c r="E5" s="52" t="n">
        <v>0</v>
      </c>
      <c r="F5" s="52" t="n">
        <v>0</v>
      </c>
      <c r="G5" s="52" t="n">
        <v>0</v>
      </c>
      <c r="H5" s="53" t="n">
        <f aca="false">SUM(B5:G5)</f>
        <v>10768893</v>
      </c>
      <c r="I5" s="54" t="n">
        <f aca="false">H5/$H$89</f>
        <v>0.0629161260737326</v>
      </c>
      <c r="J5" s="55" t="s">
        <v>304</v>
      </c>
    </row>
    <row r="6" customFormat="false" ht="54.75" hidden="false" customHeight="true" outlineLevel="0" collapsed="false">
      <c r="A6" s="57" t="s">
        <v>305</v>
      </c>
      <c r="B6" s="58" t="n">
        <v>4749724</v>
      </c>
      <c r="C6" s="58" t="n">
        <v>3540361</v>
      </c>
      <c r="D6" s="58" t="n">
        <v>540685</v>
      </c>
      <c r="E6" s="58" t="n">
        <f aca="false">0</f>
        <v>0</v>
      </c>
      <c r="F6" s="58" t="n">
        <f aca="false">0</f>
        <v>0</v>
      </c>
      <c r="G6" s="58" t="n">
        <f aca="false">0</f>
        <v>0</v>
      </c>
      <c r="H6" s="53" t="n">
        <f aca="false">SUM(B6:G6)</f>
        <v>8830770</v>
      </c>
      <c r="I6" s="59" t="n">
        <f aca="false">H6/$H$89</f>
        <v>0.051592846047234</v>
      </c>
      <c r="J6" s="55" t="s">
        <v>306</v>
      </c>
      <c r="K6" s="56"/>
      <c r="L6" s="61" t="s">
        <v>307</v>
      </c>
      <c r="M6" s="61" t="s">
        <v>308</v>
      </c>
    </row>
    <row r="7" customFormat="false" ht="14.25" hidden="false" customHeight="true" outlineLevel="0" collapsed="false">
      <c r="A7" s="57" t="s">
        <v>309</v>
      </c>
      <c r="B7" s="58" t="n">
        <v>416335.18</v>
      </c>
      <c r="C7" s="58" t="n">
        <v>233335</v>
      </c>
      <c r="D7" s="58" t="n">
        <f aca="false">0</f>
        <v>0</v>
      </c>
      <c r="E7" s="58" t="n">
        <v>5341700</v>
      </c>
      <c r="F7" s="58" t="n">
        <f aca="false">0</f>
        <v>0</v>
      </c>
      <c r="G7" s="58" t="n">
        <f aca="false">0</f>
        <v>0</v>
      </c>
      <c r="H7" s="53" t="n">
        <f aca="false">SUM(B7:G7)</f>
        <v>5991370.18</v>
      </c>
      <c r="I7" s="59" t="n">
        <f aca="false">H7/$H$89</f>
        <v>0.0350039508795641</v>
      </c>
      <c r="J7" s="60" t="s">
        <v>310</v>
      </c>
      <c r="K7" s="56"/>
    </row>
    <row r="8" customFormat="false" ht="14.25" hidden="false" customHeight="true" outlineLevel="0" collapsed="false">
      <c r="A8" s="57" t="s">
        <v>311</v>
      </c>
      <c r="B8" s="58" t="n">
        <f aca="false">0</f>
        <v>0</v>
      </c>
      <c r="C8" s="58" t="n">
        <v>5664721.34</v>
      </c>
      <c r="D8" s="58" t="n">
        <f aca="false">0</f>
        <v>0</v>
      </c>
      <c r="E8" s="58" t="n">
        <f aca="false">0</f>
        <v>0</v>
      </c>
      <c r="F8" s="58" t="n">
        <f aca="false">0</f>
        <v>0</v>
      </c>
      <c r="G8" s="58" t="n">
        <f aca="false">0</f>
        <v>0</v>
      </c>
      <c r="H8" s="53" t="n">
        <f aca="false">SUM(B8:G8)</f>
        <v>5664721.34</v>
      </c>
      <c r="I8" s="59" t="n">
        <f aca="false">H8/$H$89</f>
        <v>0.0330955393465237</v>
      </c>
      <c r="J8" s="60" t="s">
        <v>312</v>
      </c>
      <c r="K8" s="56"/>
    </row>
    <row r="9" s="56" customFormat="true" ht="26.25" hidden="false" customHeight="true" outlineLevel="0" collapsed="false">
      <c r="A9" s="57" t="s">
        <v>313</v>
      </c>
      <c r="B9" s="58" t="n">
        <v>0</v>
      </c>
      <c r="C9" s="58" t="n">
        <v>1143999.99</v>
      </c>
      <c r="D9" s="58" t="n">
        <v>2937000</v>
      </c>
      <c r="E9" s="58" t="n">
        <v>40000</v>
      </c>
      <c r="F9" s="58" t="n">
        <v>0</v>
      </c>
      <c r="G9" s="58" t="n">
        <v>0</v>
      </c>
      <c r="H9" s="53" t="n">
        <f aca="false">SUM(B9:G9)</f>
        <v>4120999.99</v>
      </c>
      <c r="I9" s="59" t="n">
        <f aca="false">H9/$H$89</f>
        <v>0.0240765095280166</v>
      </c>
      <c r="J9" s="60" t="s">
        <v>314</v>
      </c>
    </row>
    <row r="10" customFormat="false" ht="66" hidden="false" customHeight="true" outlineLevel="0" collapsed="false">
      <c r="A10" s="51" t="s">
        <v>315</v>
      </c>
      <c r="B10" s="52" t="n">
        <v>4088112</v>
      </c>
      <c r="C10" s="52" t="n">
        <f aca="false">0</f>
        <v>0</v>
      </c>
      <c r="D10" s="52" t="n">
        <f aca="false">0</f>
        <v>0</v>
      </c>
      <c r="E10" s="52" t="n">
        <f aca="false">0</f>
        <v>0</v>
      </c>
      <c r="F10" s="52" t="n">
        <f aca="false">0</f>
        <v>0</v>
      </c>
      <c r="G10" s="52" t="n">
        <f aca="false">0</f>
        <v>0</v>
      </c>
      <c r="H10" s="53" t="n">
        <f aca="false">SUM(B10:G10)</f>
        <v>4088112</v>
      </c>
      <c r="I10" s="54" t="n">
        <f aca="false">H10/$H$89</f>
        <v>0.0238843649013449</v>
      </c>
      <c r="J10" s="55" t="s">
        <v>316</v>
      </c>
      <c r="K10" s="56"/>
    </row>
    <row r="11" customFormat="false" ht="14.25" hidden="false" customHeight="true" outlineLevel="0" collapsed="false">
      <c r="A11" s="62" t="s">
        <v>317</v>
      </c>
      <c r="B11" s="52" t="n">
        <f aca="false">0</f>
        <v>0</v>
      </c>
      <c r="C11" s="52" t="n">
        <f aca="false">0</f>
        <v>0</v>
      </c>
      <c r="D11" s="52" t="n">
        <f aca="false">0</f>
        <v>0</v>
      </c>
      <c r="E11" s="52" t="n">
        <f aca="false">0</f>
        <v>0</v>
      </c>
      <c r="F11" s="52" t="n">
        <f aca="false">0</f>
        <v>0</v>
      </c>
      <c r="G11" s="58" t="n">
        <v>3782430</v>
      </c>
      <c r="H11" s="53" t="n">
        <f aca="false">SUM(B11:G11)</f>
        <v>3782430</v>
      </c>
      <c r="I11" s="63" t="n">
        <f aca="false">H11/$H$89</f>
        <v>0.0220984499284252</v>
      </c>
      <c r="J11" s="64"/>
      <c r="K11" s="56"/>
    </row>
    <row r="12" customFormat="false" ht="14.25" hidden="false" customHeight="true" outlineLevel="0" collapsed="false">
      <c r="A12" s="65" t="s">
        <v>318</v>
      </c>
      <c r="B12" s="58" t="n">
        <f aca="false">0</f>
        <v>0</v>
      </c>
      <c r="C12" s="58" t="n">
        <v>3514709.18</v>
      </c>
      <c r="D12" s="58" t="n">
        <f aca="false">0</f>
        <v>0</v>
      </c>
      <c r="E12" s="58" t="n">
        <f aca="false">0</f>
        <v>0</v>
      </c>
      <c r="F12" s="58" t="n">
        <f aca="false">0</f>
        <v>0</v>
      </c>
      <c r="G12" s="58" t="n">
        <f aca="false">0</f>
        <v>0</v>
      </c>
      <c r="H12" s="53" t="n">
        <f aca="false">SUM(B12:G12)</f>
        <v>3514709.18</v>
      </c>
      <c r="I12" s="63" t="n">
        <f aca="false">H12/$H$89</f>
        <v>0.0205343191618103</v>
      </c>
      <c r="J12" s="64"/>
      <c r="K12" s="56"/>
    </row>
    <row r="13" customFormat="false" ht="14.25" hidden="false" customHeight="true" outlineLevel="0" collapsed="false">
      <c r="A13" s="65" t="s">
        <v>319</v>
      </c>
      <c r="B13" s="58" t="n">
        <f aca="false">0</f>
        <v>0</v>
      </c>
      <c r="C13" s="58" t="n">
        <f aca="false">0</f>
        <v>0</v>
      </c>
      <c r="D13" s="58" t="n">
        <v>2800000</v>
      </c>
      <c r="E13" s="58" t="n">
        <f aca="false">0</f>
        <v>0</v>
      </c>
      <c r="F13" s="58" t="n">
        <f aca="false">0</f>
        <v>0</v>
      </c>
      <c r="G13" s="58" t="n">
        <f aca="false">0</f>
        <v>0</v>
      </c>
      <c r="H13" s="53" t="n">
        <f aca="false">SUM(B13:G13)</f>
        <v>2800000</v>
      </c>
      <c r="I13" s="63" t="n">
        <f aca="false">H13/$H$89</f>
        <v>0.0163587058582949</v>
      </c>
      <c r="J13" s="64"/>
      <c r="K13" s="56"/>
    </row>
    <row r="14" customFormat="false" ht="41.25" hidden="false" customHeight="true" outlineLevel="0" collapsed="false">
      <c r="A14" s="65" t="s">
        <v>320</v>
      </c>
      <c r="B14" s="58" t="n">
        <v>1611000</v>
      </c>
      <c r="C14" s="58" t="n">
        <v>0</v>
      </c>
      <c r="D14" s="58" t="n">
        <v>1047197</v>
      </c>
      <c r="E14" s="58" t="n">
        <v>0</v>
      </c>
      <c r="F14" s="58" t="n">
        <v>0</v>
      </c>
      <c r="G14" s="58" t="n">
        <v>0</v>
      </c>
      <c r="H14" s="53" t="n">
        <f aca="false">SUM(B14:G14)</f>
        <v>2658197</v>
      </c>
      <c r="I14" s="63" t="n">
        <f aca="false">H14/$H$89</f>
        <v>0.0155302367272864</v>
      </c>
      <c r="K14" s="56"/>
      <c r="L14" s="66" t="s">
        <v>321</v>
      </c>
      <c r="M14" s="66" t="s">
        <v>322</v>
      </c>
    </row>
    <row r="15" customFormat="false" ht="14.25" hidden="false" customHeight="true" outlineLevel="0" collapsed="false">
      <c r="A15" s="65" t="s">
        <v>323</v>
      </c>
      <c r="B15" s="58" t="n">
        <v>2305462</v>
      </c>
      <c r="C15" s="58" t="n">
        <f aca="false">0</f>
        <v>0</v>
      </c>
      <c r="D15" s="58" t="n">
        <f aca="false">0</f>
        <v>0</v>
      </c>
      <c r="E15" s="58" t="n">
        <f aca="false">0</f>
        <v>0</v>
      </c>
      <c r="F15" s="58" t="n">
        <f aca="false">0</f>
        <v>0</v>
      </c>
      <c r="G15" s="58" t="n">
        <f aca="false">0</f>
        <v>0</v>
      </c>
      <c r="H15" s="53" t="n">
        <f aca="false">SUM(B15:G15)</f>
        <v>2305462</v>
      </c>
      <c r="I15" s="63" t="n">
        <f aca="false">H15/$H$89</f>
        <v>0.013469419544813</v>
      </c>
      <c r="K15" s="56"/>
    </row>
    <row r="16" customFormat="false" ht="27.75" hidden="false" customHeight="true" outlineLevel="0" collapsed="false">
      <c r="A16" s="65" t="s">
        <v>324</v>
      </c>
      <c r="B16" s="58" t="n">
        <f aca="false">0</f>
        <v>0</v>
      </c>
      <c r="C16" s="58" t="n">
        <f aca="false">0</f>
        <v>0</v>
      </c>
      <c r="D16" s="58" t="n">
        <v>1959791.96</v>
      </c>
      <c r="E16" s="58" t="n">
        <f aca="false">0</f>
        <v>0</v>
      </c>
      <c r="F16" s="58" t="n">
        <f aca="false">0</f>
        <v>0</v>
      </c>
      <c r="G16" s="58" t="n">
        <f aca="false">0</f>
        <v>0</v>
      </c>
      <c r="H16" s="53" t="n">
        <f aca="false">SUM(B16:G16)</f>
        <v>1959791.96</v>
      </c>
      <c r="I16" s="63" t="n">
        <f aca="false">H16/$H$89</f>
        <v>0.0114498786489612</v>
      </c>
      <c r="J16" s="67"/>
      <c r="K16" s="56"/>
      <c r="L16" s="66" t="s">
        <v>321</v>
      </c>
      <c r="M16" s="66" t="s">
        <v>325</v>
      </c>
    </row>
    <row r="17" customFormat="false" ht="14.25" hidden="false" customHeight="true" outlineLevel="0" collapsed="false">
      <c r="A17" s="65" t="s">
        <v>326</v>
      </c>
      <c r="B17" s="58" t="n">
        <f aca="false">0</f>
        <v>0</v>
      </c>
      <c r="C17" s="58" t="n">
        <f aca="false">0</f>
        <v>0</v>
      </c>
      <c r="D17" s="58" t="n">
        <v>1948626.46</v>
      </c>
      <c r="E17" s="58" t="n">
        <f aca="false">0</f>
        <v>0</v>
      </c>
      <c r="F17" s="58" t="n">
        <f aca="false">0</f>
        <v>0</v>
      </c>
      <c r="G17" s="58" t="n">
        <f aca="false">0</f>
        <v>0</v>
      </c>
      <c r="H17" s="53" t="n">
        <f aca="false">SUM(B17:G17)</f>
        <v>1948626.46</v>
      </c>
      <c r="I17" s="63" t="n">
        <f aca="false">H17/$H$89</f>
        <v>0.0113846453881538</v>
      </c>
      <c r="J17" s="68"/>
      <c r="K17" s="56"/>
    </row>
    <row r="18" customFormat="false" ht="14.25" hidden="false" customHeight="true" outlineLevel="0" collapsed="false">
      <c r="A18" s="65" t="s">
        <v>327</v>
      </c>
      <c r="B18" s="58" t="n">
        <v>1925456</v>
      </c>
      <c r="C18" s="58" t="n">
        <f aca="false">0</f>
        <v>0</v>
      </c>
      <c r="D18" s="58" t="n">
        <f aca="false">0</f>
        <v>0</v>
      </c>
      <c r="E18" s="58" t="n">
        <f aca="false">0</f>
        <v>0</v>
      </c>
      <c r="F18" s="58" t="n">
        <f aca="false">0</f>
        <v>0</v>
      </c>
      <c r="G18" s="58" t="n">
        <f aca="false">0</f>
        <v>0</v>
      </c>
      <c r="H18" s="53" t="n">
        <f aca="false">SUM(B18:G18)</f>
        <v>1925456</v>
      </c>
      <c r="I18" s="63" t="n">
        <f aca="false">H18/$H$89</f>
        <v>0.0112492744096747</v>
      </c>
      <c r="J18" s="64"/>
      <c r="K18" s="56"/>
    </row>
    <row r="19" customFormat="false" ht="54.75" hidden="false" customHeight="true" outlineLevel="0" collapsed="false">
      <c r="A19" s="65" t="s">
        <v>328</v>
      </c>
      <c r="B19" s="58" t="n">
        <v>1837110</v>
      </c>
      <c r="C19" s="58" t="n">
        <f aca="false">0</f>
        <v>0</v>
      </c>
      <c r="D19" s="58" t="n">
        <f aca="false">0</f>
        <v>0</v>
      </c>
      <c r="E19" s="58" t="n">
        <f aca="false">0</f>
        <v>0</v>
      </c>
      <c r="F19" s="58" t="n">
        <f aca="false">0</f>
        <v>0</v>
      </c>
      <c r="G19" s="58" t="n">
        <f aca="false">0</f>
        <v>0</v>
      </c>
      <c r="H19" s="53" t="n">
        <f aca="false">SUM(B19:G19)</f>
        <v>1837110</v>
      </c>
      <c r="I19" s="63" t="n">
        <f aca="false">H19/$H$89</f>
        <v>0.0107331221854758</v>
      </c>
      <c r="J19" s="64"/>
      <c r="K19" s="56" t="s">
        <v>116</v>
      </c>
      <c r="L19" s="61" t="s">
        <v>329</v>
      </c>
      <c r="M19" s="61" t="s">
        <v>330</v>
      </c>
    </row>
    <row r="20" customFormat="false" ht="14.25" hidden="false" customHeight="true" outlineLevel="0" collapsed="false">
      <c r="A20" s="65" t="s">
        <v>331</v>
      </c>
      <c r="B20" s="58" t="n">
        <f aca="false">0</f>
        <v>0</v>
      </c>
      <c r="C20" s="58" t="n">
        <f aca="false">0</f>
        <v>0</v>
      </c>
      <c r="D20" s="58" t="n">
        <v>1766000</v>
      </c>
      <c r="E20" s="58" t="n">
        <f aca="false">0</f>
        <v>0</v>
      </c>
      <c r="F20" s="58" t="n">
        <f aca="false">0</f>
        <v>0</v>
      </c>
      <c r="G20" s="58" t="n">
        <f aca="false">0</f>
        <v>0</v>
      </c>
      <c r="H20" s="53" t="n">
        <f aca="false">SUM(B20:G20)</f>
        <v>1766000</v>
      </c>
      <c r="I20" s="63" t="n">
        <f aca="false">H20/$H$89</f>
        <v>0.0103176694806246</v>
      </c>
      <c r="J20" s="64"/>
      <c r="K20" s="56"/>
    </row>
    <row r="21" customFormat="false" ht="14.25" hidden="false" customHeight="true" outlineLevel="0" collapsed="false">
      <c r="A21" s="65" t="s">
        <v>332</v>
      </c>
      <c r="B21" s="58" t="n">
        <v>94500</v>
      </c>
      <c r="C21" s="58" t="n">
        <v>0</v>
      </c>
      <c r="D21" s="58" t="n">
        <v>903000</v>
      </c>
      <c r="E21" s="58" t="n">
        <v>0</v>
      </c>
      <c r="F21" s="58" t="n">
        <v>439950</v>
      </c>
      <c r="G21" s="58" t="n">
        <v>0</v>
      </c>
      <c r="H21" s="53" t="n">
        <f aca="false">SUM(B21:G21)</f>
        <v>1437450</v>
      </c>
      <c r="I21" s="63" t="n">
        <f aca="false">H21/$H$89</f>
        <v>0.00839815062000216</v>
      </c>
      <c r="J21" s="64"/>
      <c r="K21" s="56"/>
    </row>
    <row r="22" customFormat="false" ht="41.25" hidden="false" customHeight="true" outlineLevel="0" collapsed="false">
      <c r="A22" s="65" t="s">
        <v>333</v>
      </c>
      <c r="B22" s="58" t="n">
        <f aca="false">0</f>
        <v>0</v>
      </c>
      <c r="C22" s="58" t="n">
        <f aca="false">0</f>
        <v>0</v>
      </c>
      <c r="D22" s="58" t="n">
        <f aca="false">0</f>
        <v>0</v>
      </c>
      <c r="E22" s="58" t="n">
        <v>1250000</v>
      </c>
      <c r="F22" s="58" t="n">
        <f aca="false">0</f>
        <v>0</v>
      </c>
      <c r="G22" s="58" t="n">
        <f aca="false">0</f>
        <v>0</v>
      </c>
      <c r="H22" s="53" t="n">
        <f aca="false">SUM(B22:G22)</f>
        <v>1250000</v>
      </c>
      <c r="I22" s="63" t="n">
        <f aca="false">H22/$H$89</f>
        <v>0.00730299368673881</v>
      </c>
      <c r="J22" s="64"/>
      <c r="K22" s="56"/>
      <c r="L22" s="66" t="s">
        <v>321</v>
      </c>
      <c r="M22" s="66" t="s">
        <v>334</v>
      </c>
    </row>
    <row r="23" customFormat="false" ht="41.25" hidden="false" customHeight="true" outlineLevel="0" collapsed="false">
      <c r="A23" s="65" t="s">
        <v>335</v>
      </c>
      <c r="B23" s="58" t="n">
        <f aca="false">0</f>
        <v>0</v>
      </c>
      <c r="C23" s="58" t="n">
        <f aca="false">0</f>
        <v>0</v>
      </c>
      <c r="D23" s="58" t="n">
        <v>0</v>
      </c>
      <c r="E23" s="58" t="n">
        <f aca="false">0</f>
        <v>0</v>
      </c>
      <c r="F23" s="58" t="n">
        <v>1090320</v>
      </c>
      <c r="G23" s="58" t="n">
        <f aca="false">0</f>
        <v>0</v>
      </c>
      <c r="H23" s="53" t="n">
        <f aca="false">SUM(B23:G23)</f>
        <v>1090320</v>
      </c>
      <c r="I23" s="63" t="n">
        <f aca="false">H23/$H$89</f>
        <v>0.00637008006122005</v>
      </c>
      <c r="J23" s="64"/>
      <c r="K23" s="56"/>
      <c r="L23" s="66" t="s">
        <v>321</v>
      </c>
      <c r="M23" s="66" t="s">
        <v>336</v>
      </c>
    </row>
    <row r="24" customFormat="false" ht="14.25" hidden="false" customHeight="true" outlineLevel="0" collapsed="false">
      <c r="A24" s="65" t="s">
        <v>337</v>
      </c>
      <c r="B24" s="58" t="n">
        <f aca="false">0</f>
        <v>0</v>
      </c>
      <c r="C24" s="58" t="n">
        <v>939966.6</v>
      </c>
      <c r="D24" s="58" t="n">
        <f aca="false">0</f>
        <v>0</v>
      </c>
      <c r="E24" s="58" t="n">
        <f aca="false">0</f>
        <v>0</v>
      </c>
      <c r="F24" s="58" t="n">
        <f aca="false">0</f>
        <v>0</v>
      </c>
      <c r="G24" s="58" t="n">
        <f aca="false">0</f>
        <v>0</v>
      </c>
      <c r="H24" s="53" t="n">
        <f aca="false">SUM(B24:G24)</f>
        <v>939966.6</v>
      </c>
      <c r="I24" s="63" t="n">
        <f aca="false">H24/$H$89</f>
        <v>0.00549165611643627</v>
      </c>
      <c r="J24" s="64"/>
      <c r="K24" s="56"/>
    </row>
    <row r="25" customFormat="false" ht="14.25" hidden="false" customHeight="true" outlineLevel="0" collapsed="false">
      <c r="A25" s="65" t="s">
        <v>338</v>
      </c>
      <c r="B25" s="58" t="n">
        <v>900000</v>
      </c>
      <c r="C25" s="58" t="n">
        <f aca="false">0</f>
        <v>0</v>
      </c>
      <c r="D25" s="58" t="n">
        <f aca="false">0</f>
        <v>0</v>
      </c>
      <c r="E25" s="58" t="n">
        <f aca="false">0</f>
        <v>0</v>
      </c>
      <c r="F25" s="58" t="n">
        <f aca="false">0</f>
        <v>0</v>
      </c>
      <c r="G25" s="58" t="n">
        <f aca="false">0</f>
        <v>0</v>
      </c>
      <c r="H25" s="53" t="n">
        <f aca="false">SUM(B25:G25)</f>
        <v>900000</v>
      </c>
      <c r="I25" s="63" t="n">
        <f aca="false">H25/$H$89</f>
        <v>0.00525815545445194</v>
      </c>
      <c r="J25" s="64"/>
      <c r="K25" s="56"/>
    </row>
    <row r="26" customFormat="false" ht="14.25" hidden="false" customHeight="true" outlineLevel="0" collapsed="false">
      <c r="A26" s="65" t="s">
        <v>339</v>
      </c>
      <c r="B26" s="58" t="n">
        <f aca="false">0</f>
        <v>0</v>
      </c>
      <c r="C26" s="58" t="n">
        <v>850861.53</v>
      </c>
      <c r="D26" s="58" t="n">
        <f aca="false">0</f>
        <v>0</v>
      </c>
      <c r="E26" s="58" t="n">
        <f aca="false">0</f>
        <v>0</v>
      </c>
      <c r="F26" s="58" t="n">
        <f aca="false">0</f>
        <v>0</v>
      </c>
      <c r="G26" s="58" t="n">
        <f aca="false">0</f>
        <v>0</v>
      </c>
      <c r="H26" s="53" t="n">
        <f aca="false">SUM(B26:G26)</f>
        <v>850861.53</v>
      </c>
      <c r="I26" s="63" t="n">
        <f aca="false">H26/$H$89</f>
        <v>0.00497106910550314</v>
      </c>
      <c r="J26" s="64"/>
      <c r="K26" s="56"/>
    </row>
    <row r="27" customFormat="false" ht="14.25" hidden="false" customHeight="true" outlineLevel="0" collapsed="false">
      <c r="A27" s="65" t="s">
        <v>340</v>
      </c>
      <c r="B27" s="58" t="n">
        <f aca="false">0</f>
        <v>0</v>
      </c>
      <c r="C27" s="58" t="n">
        <f aca="false">0</f>
        <v>0</v>
      </c>
      <c r="D27" s="58" t="n">
        <v>845000</v>
      </c>
      <c r="E27" s="58" t="n">
        <f aca="false">0</f>
        <v>0</v>
      </c>
      <c r="F27" s="58" t="n">
        <f aca="false">0</f>
        <v>0</v>
      </c>
      <c r="G27" s="58" t="n">
        <f aca="false">0</f>
        <v>0</v>
      </c>
      <c r="H27" s="53" t="n">
        <f aca="false">SUM(B27:G27)</f>
        <v>845000</v>
      </c>
      <c r="I27" s="63" t="n">
        <f aca="false">H27/$H$89</f>
        <v>0.00493682373223543</v>
      </c>
      <c r="J27" s="64"/>
      <c r="K27" s="56"/>
    </row>
    <row r="28" customFormat="false" ht="14.25" hidden="false" customHeight="true" outlineLevel="0" collapsed="false">
      <c r="A28" s="65" t="s">
        <v>341</v>
      </c>
      <c r="B28" s="58" t="n">
        <v>795000</v>
      </c>
      <c r="C28" s="58" t="n">
        <f aca="false">0</f>
        <v>0</v>
      </c>
      <c r="D28" s="58" t="n">
        <f aca="false">0</f>
        <v>0</v>
      </c>
      <c r="E28" s="58" t="n">
        <f aca="false">0</f>
        <v>0</v>
      </c>
      <c r="F28" s="58" t="n">
        <f aca="false">0</f>
        <v>0</v>
      </c>
      <c r="G28" s="58" t="n">
        <f aca="false">0</f>
        <v>0</v>
      </c>
      <c r="H28" s="53" t="n">
        <f aca="false">SUM(B28:G28)</f>
        <v>795000</v>
      </c>
      <c r="I28" s="63" t="n">
        <f aca="false">H28/$H$89</f>
        <v>0.00464470398476588</v>
      </c>
      <c r="J28" s="64"/>
      <c r="K28" s="56"/>
    </row>
    <row r="29" customFormat="false" ht="14.25" hidden="false" customHeight="true" outlineLevel="0" collapsed="false">
      <c r="A29" s="65" t="s">
        <v>342</v>
      </c>
      <c r="B29" s="58" t="n">
        <v>739000</v>
      </c>
      <c r="C29" s="58" t="n">
        <f aca="false">0</f>
        <v>0</v>
      </c>
      <c r="D29" s="58" t="n">
        <v>33534</v>
      </c>
      <c r="E29" s="58" t="n">
        <f aca="false">0</f>
        <v>0</v>
      </c>
      <c r="F29" s="58" t="n">
        <f aca="false">0</f>
        <v>0</v>
      </c>
      <c r="G29" s="58" t="n">
        <f aca="false">0</f>
        <v>0</v>
      </c>
      <c r="H29" s="53" t="n">
        <f aca="false">SUM(B29:G29)</f>
        <v>772534</v>
      </c>
      <c r="I29" s="63" t="n">
        <f aca="false">H29/$H$89</f>
        <v>0.00451344873983286</v>
      </c>
      <c r="J29" s="64"/>
      <c r="K29" s="56"/>
    </row>
    <row r="30" customFormat="false" ht="95.25" hidden="false" customHeight="true" outlineLevel="0" collapsed="false">
      <c r="A30" s="65" t="s">
        <v>343</v>
      </c>
      <c r="B30" s="58" t="n">
        <f aca="false">0</f>
        <v>0</v>
      </c>
      <c r="C30" s="58" t="n">
        <f aca="false">0</f>
        <v>0</v>
      </c>
      <c r="D30" s="58" t="n">
        <v>763000</v>
      </c>
      <c r="E30" s="58" t="n">
        <f aca="false">0</f>
        <v>0</v>
      </c>
      <c r="F30" s="58" t="n">
        <f aca="false">0</f>
        <v>0</v>
      </c>
      <c r="G30" s="58" t="n">
        <f aca="false">0</f>
        <v>0</v>
      </c>
      <c r="H30" s="53" t="n">
        <f aca="false">SUM(B30:G30)</f>
        <v>763000</v>
      </c>
      <c r="I30" s="63" t="n">
        <f aca="false">H30/$H$89</f>
        <v>0.00445774734638537</v>
      </c>
      <c r="J30" s="64"/>
      <c r="K30" s="56" t="s">
        <v>135</v>
      </c>
      <c r="L30" s="61" t="s">
        <v>344</v>
      </c>
      <c r="M30" s="61" t="s">
        <v>345</v>
      </c>
    </row>
    <row r="31" customFormat="false" ht="14.25" hidden="false" customHeight="true" outlineLevel="0" collapsed="false">
      <c r="A31" s="65" t="s">
        <v>346</v>
      </c>
      <c r="B31" s="58" t="n">
        <v>859393.66</v>
      </c>
      <c r="C31" s="58" t="n">
        <f aca="false">0</f>
        <v>0</v>
      </c>
      <c r="D31" s="58" t="n">
        <f aca="false">0</f>
        <v>0</v>
      </c>
      <c r="E31" s="58" t="n">
        <f aca="false">0</f>
        <v>0</v>
      </c>
      <c r="F31" s="58" t="n">
        <f aca="false">0</f>
        <v>0</v>
      </c>
      <c r="G31" s="58" t="n">
        <f aca="false">0</f>
        <v>0</v>
      </c>
      <c r="H31" s="53" t="n">
        <f aca="false">SUM(B31:G31)</f>
        <v>859393.66</v>
      </c>
      <c r="I31" s="63" t="n">
        <f aca="false">H31/$H$89</f>
        <v>0.00502091717872269</v>
      </c>
      <c r="J31" s="64"/>
      <c r="K31" s="56"/>
    </row>
    <row r="32" customFormat="false" ht="68.25" hidden="false" customHeight="true" outlineLevel="0" collapsed="false">
      <c r="A32" s="65" t="s">
        <v>347</v>
      </c>
      <c r="B32" s="58" t="n">
        <f aca="false">0</f>
        <v>0</v>
      </c>
      <c r="C32" s="58" t="n">
        <f aca="false">0</f>
        <v>0</v>
      </c>
      <c r="D32" s="58" t="n">
        <v>664317</v>
      </c>
      <c r="E32" s="58" t="n">
        <f aca="false">0</f>
        <v>0</v>
      </c>
      <c r="F32" s="58" t="n">
        <f aca="false">0</f>
        <v>0</v>
      </c>
      <c r="G32" s="58" t="n">
        <f aca="false">0</f>
        <v>0</v>
      </c>
      <c r="H32" s="53" t="n">
        <f aca="false">SUM(B32:G32)</f>
        <v>664317</v>
      </c>
      <c r="I32" s="63" t="n">
        <f aca="false">H32/$H$89</f>
        <v>0.00388120228559461</v>
      </c>
      <c r="J32" s="64"/>
      <c r="K32" s="56" t="s">
        <v>191</v>
      </c>
      <c r="L32" s="61" t="s">
        <v>348</v>
      </c>
      <c r="M32" s="61" t="s">
        <v>349</v>
      </c>
    </row>
    <row r="33" customFormat="false" ht="14.25" hidden="false" customHeight="true" outlineLevel="0" collapsed="false">
      <c r="A33" s="65" t="s">
        <v>350</v>
      </c>
      <c r="B33" s="58" t="n">
        <v>560920</v>
      </c>
      <c r="C33" s="58" t="n">
        <f aca="false">0</f>
        <v>0</v>
      </c>
      <c r="D33" s="58" t="n">
        <f aca="false">0</f>
        <v>0</v>
      </c>
      <c r="E33" s="58" t="n">
        <f aca="false">0</f>
        <v>0</v>
      </c>
      <c r="F33" s="58" t="n">
        <f aca="false">0</f>
        <v>0</v>
      </c>
      <c r="G33" s="58" t="n">
        <f aca="false">0</f>
        <v>0</v>
      </c>
      <c r="H33" s="53" t="n">
        <f aca="false">SUM(B33:G33)</f>
        <v>560920</v>
      </c>
      <c r="I33" s="63" t="n">
        <f aca="false">H33/$H$89</f>
        <v>0.00327711617501243</v>
      </c>
      <c r="J33" s="64"/>
      <c r="K33" s="56"/>
    </row>
    <row r="34" customFormat="false" ht="81.75" hidden="false" customHeight="true" outlineLevel="0" collapsed="false">
      <c r="A34" s="65" t="s">
        <v>351</v>
      </c>
      <c r="B34" s="58" t="n">
        <f aca="false">0</f>
        <v>0</v>
      </c>
      <c r="C34" s="58" t="n">
        <f aca="false">0</f>
        <v>0</v>
      </c>
      <c r="D34" s="58" t="n">
        <v>560400</v>
      </c>
      <c r="E34" s="58" t="n">
        <f aca="false">0</f>
        <v>0</v>
      </c>
      <c r="F34" s="58" t="n">
        <f aca="false">0</f>
        <v>0</v>
      </c>
      <c r="G34" s="58" t="n">
        <f aca="false">0</f>
        <v>0</v>
      </c>
      <c r="H34" s="53" t="n">
        <f aca="false">SUM(B34:G34)</f>
        <v>560400</v>
      </c>
      <c r="I34" s="63" t="n">
        <f aca="false">H34/$H$89</f>
        <v>0.00327407812963874</v>
      </c>
      <c r="J34" s="64"/>
      <c r="K34" s="56" t="s">
        <v>352</v>
      </c>
      <c r="L34" s="61" t="s">
        <v>353</v>
      </c>
      <c r="M34" s="61" t="s">
        <v>354</v>
      </c>
    </row>
    <row r="35" customFormat="false" ht="14.25" hidden="false" customHeight="true" outlineLevel="0" collapsed="false">
      <c r="A35" s="65" t="s">
        <v>355</v>
      </c>
      <c r="B35" s="58" t="n">
        <v>505712</v>
      </c>
      <c r="C35" s="58" t="n">
        <f aca="false">0</f>
        <v>0</v>
      </c>
      <c r="D35" s="58" t="n">
        <f aca="false">0</f>
        <v>0</v>
      </c>
      <c r="E35" s="58" t="n">
        <f aca="false">0</f>
        <v>0</v>
      </c>
      <c r="F35" s="58" t="n">
        <f aca="false">0</f>
        <v>0</v>
      </c>
      <c r="G35" s="58" t="n">
        <f aca="false">0</f>
        <v>0</v>
      </c>
      <c r="H35" s="53" t="n">
        <f aca="false">SUM(B35:G35)</f>
        <v>505712</v>
      </c>
      <c r="I35" s="63" t="n">
        <f aca="false">H35/$H$89</f>
        <v>0.00295456923464644</v>
      </c>
      <c r="J35" s="64"/>
      <c r="K35" s="56"/>
    </row>
    <row r="36" customFormat="false" ht="14.25" hidden="false" customHeight="true" outlineLevel="0" collapsed="false">
      <c r="A36" s="65" t="s">
        <v>356</v>
      </c>
      <c r="B36" s="58" t="n">
        <v>455220</v>
      </c>
      <c r="C36" s="58" t="n">
        <v>0</v>
      </c>
      <c r="D36" s="58" t="n">
        <v>0</v>
      </c>
      <c r="E36" s="58" t="n">
        <v>0</v>
      </c>
      <c r="F36" s="58" t="n">
        <v>0</v>
      </c>
      <c r="G36" s="58" t="n">
        <v>0</v>
      </c>
      <c r="H36" s="53" t="n">
        <f aca="false">SUM(B36:G36)</f>
        <v>455220</v>
      </c>
      <c r="I36" s="63" t="n">
        <f aca="false">H36/$H$89</f>
        <v>0.00265957502886179</v>
      </c>
      <c r="J36" s="64"/>
      <c r="K36" s="56"/>
    </row>
    <row r="37" customFormat="false" ht="14.25" hidden="false" customHeight="true" outlineLevel="0" collapsed="false">
      <c r="A37" s="65" t="s">
        <v>357</v>
      </c>
      <c r="B37" s="58" t="n">
        <v>0</v>
      </c>
      <c r="C37" s="58" t="n">
        <v>449000</v>
      </c>
      <c r="D37" s="58" t="n">
        <v>0</v>
      </c>
      <c r="E37" s="58" t="n">
        <v>0</v>
      </c>
      <c r="F37" s="58" t="n">
        <v>0</v>
      </c>
      <c r="G37" s="58" t="n">
        <v>0</v>
      </c>
      <c r="H37" s="53" t="n">
        <f aca="false">SUM(B37:G37)</f>
        <v>449000</v>
      </c>
      <c r="I37" s="63" t="n">
        <f aca="false">H37/$H$89</f>
        <v>0.00262323533227658</v>
      </c>
      <c r="J37" s="64"/>
      <c r="K37" s="56"/>
    </row>
    <row r="38" customFormat="false" ht="14.25" hidden="false" customHeight="true" outlineLevel="0" collapsed="false">
      <c r="A38" s="65" t="s">
        <v>358</v>
      </c>
      <c r="B38" s="58" t="n">
        <f aca="false">0</f>
        <v>0</v>
      </c>
      <c r="C38" s="58" t="n">
        <f aca="false">0</f>
        <v>0</v>
      </c>
      <c r="D38" s="58" t="n">
        <v>444526</v>
      </c>
      <c r="E38" s="58" t="n">
        <f aca="false">0</f>
        <v>0</v>
      </c>
      <c r="F38" s="58" t="n">
        <f aca="false">0</f>
        <v>0</v>
      </c>
      <c r="G38" s="58" t="n">
        <f aca="false">0</f>
        <v>0</v>
      </c>
      <c r="H38" s="53" t="n">
        <f aca="false">SUM(B38:G38)</f>
        <v>444526</v>
      </c>
      <c r="I38" s="63" t="n">
        <f aca="false">H38/$H$89</f>
        <v>0.002597096457273</v>
      </c>
      <c r="J38" s="64"/>
      <c r="K38" s="56"/>
    </row>
    <row r="39" customFormat="false" ht="14.25" hidden="false" customHeight="true" outlineLevel="0" collapsed="false">
      <c r="A39" s="65" t="s">
        <v>359</v>
      </c>
      <c r="B39" s="58" t="n">
        <f aca="false">0</f>
        <v>0</v>
      </c>
      <c r="C39" s="58" t="n">
        <f aca="false">0</f>
        <v>0</v>
      </c>
      <c r="D39" s="58" t="n">
        <v>294525</v>
      </c>
      <c r="E39" s="58" t="n">
        <f aca="false">0</f>
        <v>0</v>
      </c>
      <c r="F39" s="58" t="n">
        <v>121275</v>
      </c>
      <c r="G39" s="58" t="n">
        <f aca="false">0</f>
        <v>0</v>
      </c>
      <c r="H39" s="53" t="n">
        <f aca="false">SUM(B39:G39)</f>
        <v>415800</v>
      </c>
      <c r="I39" s="63" t="n">
        <f aca="false">H39/$H$89</f>
        <v>0.0024292678199568</v>
      </c>
      <c r="J39" s="64"/>
      <c r="K39" s="56"/>
    </row>
    <row r="40" customFormat="false" ht="14.25" hidden="false" customHeight="true" outlineLevel="0" collapsed="false">
      <c r="A40" s="65" t="s">
        <v>360</v>
      </c>
      <c r="B40" s="58" t="n">
        <v>405000</v>
      </c>
      <c r="C40" s="58" t="n">
        <f aca="false">0</f>
        <v>0</v>
      </c>
      <c r="D40" s="58" t="n">
        <f aca="false">0</f>
        <v>0</v>
      </c>
      <c r="E40" s="58" t="n">
        <f aca="false">0</f>
        <v>0</v>
      </c>
      <c r="F40" s="58" t="n">
        <f aca="false">0</f>
        <v>0</v>
      </c>
      <c r="G40" s="58" t="n">
        <f aca="false">0</f>
        <v>0</v>
      </c>
      <c r="H40" s="53" t="n">
        <f aca="false">SUM(B40:G40)</f>
        <v>405000</v>
      </c>
      <c r="I40" s="63" t="n">
        <f aca="false">H40/$H$89</f>
        <v>0.00236616995450337</v>
      </c>
      <c r="J40" s="64"/>
      <c r="K40" s="56"/>
    </row>
    <row r="41" customFormat="false" ht="14.25" hidden="false" customHeight="true" outlineLevel="0" collapsed="false">
      <c r="A41" s="65" t="s">
        <v>361</v>
      </c>
      <c r="B41" s="58" t="n">
        <v>350000</v>
      </c>
      <c r="C41" s="58" t="n">
        <f aca="false">0</f>
        <v>0</v>
      </c>
      <c r="D41" s="58" t="n">
        <f aca="false">0</f>
        <v>0</v>
      </c>
      <c r="E41" s="58" t="n">
        <f aca="false">0</f>
        <v>0</v>
      </c>
      <c r="F41" s="58" t="n">
        <f aca="false">0</f>
        <v>0</v>
      </c>
      <c r="G41" s="58" t="n">
        <f aca="false">0</f>
        <v>0</v>
      </c>
      <c r="H41" s="53" t="n">
        <f aca="false">SUM(B41:G41)</f>
        <v>350000</v>
      </c>
      <c r="I41" s="63" t="n">
        <f aca="false">H41/$H$89</f>
        <v>0.00204483823228687</v>
      </c>
      <c r="J41" s="64"/>
      <c r="K41" s="56"/>
    </row>
    <row r="42" customFormat="false" ht="14.25" hidden="false" customHeight="true" outlineLevel="0" collapsed="false">
      <c r="A42" s="65" t="s">
        <v>362</v>
      </c>
      <c r="B42" s="58" t="n">
        <v>337000</v>
      </c>
      <c r="C42" s="58" t="n">
        <f aca="false">0</f>
        <v>0</v>
      </c>
      <c r="D42" s="58" t="n">
        <f aca="false">0</f>
        <v>0</v>
      </c>
      <c r="E42" s="58" t="n">
        <f aca="false">0</f>
        <v>0</v>
      </c>
      <c r="F42" s="58" t="n">
        <f aca="false">0</f>
        <v>0</v>
      </c>
      <c r="G42" s="58" t="n">
        <f aca="false">0</f>
        <v>0</v>
      </c>
      <c r="H42" s="53" t="n">
        <f aca="false">SUM(B42:G42)</f>
        <v>337000</v>
      </c>
      <c r="I42" s="63" t="n">
        <f aca="false">H42/$H$89</f>
        <v>0.00196888709794478</v>
      </c>
      <c r="J42" s="64"/>
      <c r="K42" s="56"/>
    </row>
    <row r="43" customFormat="false" ht="95.25" hidden="false" customHeight="true" outlineLevel="0" collapsed="false">
      <c r="A43" s="65" t="s">
        <v>184</v>
      </c>
      <c r="B43" s="58" t="n">
        <f aca="false">0</f>
        <v>0</v>
      </c>
      <c r="C43" s="58" t="n">
        <f aca="false">0</f>
        <v>0</v>
      </c>
      <c r="D43" s="58" t="n">
        <v>331500</v>
      </c>
      <c r="E43" s="58" t="n">
        <f aca="false">0</f>
        <v>0</v>
      </c>
      <c r="F43" s="58" t="n">
        <f aca="false">0</f>
        <v>0</v>
      </c>
      <c r="G43" s="58" t="n">
        <f aca="false">0</f>
        <v>0</v>
      </c>
      <c r="H43" s="53" t="n">
        <f aca="false">SUM(B43:G43)</f>
        <v>331500</v>
      </c>
      <c r="I43" s="63" t="n">
        <f aca="false">H43/$H$89</f>
        <v>0.00193675392572313</v>
      </c>
      <c r="J43" s="64"/>
      <c r="K43" s="56" t="s">
        <v>184</v>
      </c>
      <c r="L43" s="61" t="s">
        <v>363</v>
      </c>
      <c r="M43" s="61" t="s">
        <v>364</v>
      </c>
    </row>
    <row r="44" customFormat="false" ht="14.25" hidden="false" customHeight="true" outlineLevel="0" collapsed="false">
      <c r="A44" s="65" t="s">
        <v>365</v>
      </c>
      <c r="B44" s="58" t="n">
        <f aca="false">0</f>
        <v>0</v>
      </c>
      <c r="C44" s="58" t="n">
        <f aca="false">0</f>
        <v>0</v>
      </c>
      <c r="D44" s="58" t="n">
        <v>289585</v>
      </c>
      <c r="E44" s="58" t="n">
        <f aca="false">0</f>
        <v>0</v>
      </c>
      <c r="F44" s="58" t="n">
        <f aca="false">0</f>
        <v>0</v>
      </c>
      <c r="G44" s="58" t="n">
        <f aca="false">0</f>
        <v>0</v>
      </c>
      <c r="H44" s="53" t="n">
        <f aca="false">SUM(B44:G44)</f>
        <v>289585</v>
      </c>
      <c r="I44" s="63" t="n">
        <f aca="false">H44/$H$89</f>
        <v>0.00169186994141941</v>
      </c>
      <c r="J44" s="64"/>
      <c r="K44" s="56"/>
    </row>
    <row r="45" customFormat="false" ht="41.25" hidden="false" customHeight="true" outlineLevel="0" collapsed="false">
      <c r="A45" s="65" t="s">
        <v>366</v>
      </c>
      <c r="B45" s="58" t="n">
        <v>280000</v>
      </c>
      <c r="C45" s="58" t="n">
        <f aca="false">0</f>
        <v>0</v>
      </c>
      <c r="D45" s="58" t="n">
        <f aca="false">0</f>
        <v>0</v>
      </c>
      <c r="E45" s="58" t="n">
        <f aca="false">0</f>
        <v>0</v>
      </c>
      <c r="F45" s="58" t="n">
        <f aca="false">0</f>
        <v>0</v>
      </c>
      <c r="G45" s="58" t="n">
        <f aca="false">0</f>
        <v>0</v>
      </c>
      <c r="H45" s="53" t="n">
        <f aca="false">SUM(B45:G45)</f>
        <v>280000</v>
      </c>
      <c r="I45" s="63" t="n">
        <f aca="false">H45/$H$89</f>
        <v>0.00163587058582949</v>
      </c>
      <c r="J45" s="64"/>
      <c r="K45" s="56"/>
      <c r="L45" s="66" t="s">
        <v>321</v>
      </c>
      <c r="M45" s="66" t="s">
        <v>367</v>
      </c>
    </row>
    <row r="46" customFormat="false" ht="14.25" hidden="false" customHeight="true" outlineLevel="0" collapsed="false">
      <c r="A46" s="65" t="s">
        <v>368</v>
      </c>
      <c r="B46" s="58" t="n">
        <f aca="false">0</f>
        <v>0</v>
      </c>
      <c r="C46" s="58" t="n">
        <f aca="false">0</f>
        <v>0</v>
      </c>
      <c r="D46" s="58" t="n">
        <f aca="false">0</f>
        <v>0</v>
      </c>
      <c r="E46" s="58" t="n">
        <f aca="false">0</f>
        <v>0</v>
      </c>
      <c r="F46" s="58" t="n">
        <f aca="false">0</f>
        <v>0</v>
      </c>
      <c r="G46" s="58" t="n">
        <v>272500</v>
      </c>
      <c r="H46" s="53" t="n">
        <f aca="false">SUM(B46:G46)</f>
        <v>272500</v>
      </c>
      <c r="I46" s="63" t="n">
        <f aca="false">H46/$H$89</f>
        <v>0.00159205262370906</v>
      </c>
      <c r="J46" s="64"/>
      <c r="K46" s="56"/>
    </row>
    <row r="47" customFormat="false" ht="108.75" hidden="false" customHeight="true" outlineLevel="0" collapsed="false">
      <c r="A47" s="65" t="s">
        <v>369</v>
      </c>
      <c r="B47" s="58" t="n">
        <f aca="false">0</f>
        <v>0</v>
      </c>
      <c r="C47" s="58" t="n">
        <f aca="false">0</f>
        <v>0</v>
      </c>
      <c r="D47" s="58" t="n">
        <v>270000</v>
      </c>
      <c r="E47" s="58" t="n">
        <f aca="false">0</f>
        <v>0</v>
      </c>
      <c r="F47" s="58" t="n">
        <f aca="false">0</f>
        <v>0</v>
      </c>
      <c r="G47" s="58" t="n">
        <f aca="false">0</f>
        <v>0</v>
      </c>
      <c r="H47" s="53" t="n">
        <f aca="false">SUM(B47:G47)</f>
        <v>270000</v>
      </c>
      <c r="I47" s="63" t="n">
        <f aca="false">H47/$H$89</f>
        <v>0.00157744663633558</v>
      </c>
      <c r="J47" s="64"/>
      <c r="K47" s="56" t="s">
        <v>35</v>
      </c>
      <c r="L47" s="61" t="s">
        <v>370</v>
      </c>
      <c r="M47" s="61" t="s">
        <v>371</v>
      </c>
    </row>
    <row r="48" customFormat="false" ht="14.25" hidden="false" customHeight="true" outlineLevel="0" collapsed="false">
      <c r="A48" s="65" t="s">
        <v>372</v>
      </c>
      <c r="B48" s="58" t="n">
        <f aca="false">0</f>
        <v>0</v>
      </c>
      <c r="C48" s="58" t="n">
        <f aca="false">0</f>
        <v>0</v>
      </c>
      <c r="D48" s="58" t="n">
        <v>254000</v>
      </c>
      <c r="E48" s="58" t="n">
        <f aca="false">0</f>
        <v>0</v>
      </c>
      <c r="F48" s="58" t="n">
        <f aca="false">0</f>
        <v>0</v>
      </c>
      <c r="G48" s="58" t="n">
        <f aca="false">0</f>
        <v>0</v>
      </c>
      <c r="H48" s="53" t="n">
        <f aca="false">SUM(B48:G48)</f>
        <v>254000</v>
      </c>
      <c r="I48" s="63" t="n">
        <f aca="false">H48/$H$89</f>
        <v>0.00148396831714533</v>
      </c>
      <c r="J48" s="64"/>
      <c r="K48" s="56"/>
    </row>
    <row r="49" customFormat="false" ht="14.25" hidden="false" customHeight="true" outlineLevel="0" collapsed="false">
      <c r="A49" s="65" t="s">
        <v>373</v>
      </c>
      <c r="B49" s="58" t="n">
        <f aca="false">0</f>
        <v>0</v>
      </c>
      <c r="C49" s="58" t="n">
        <f aca="false">0</f>
        <v>0</v>
      </c>
      <c r="D49" s="58" t="n">
        <v>250000</v>
      </c>
      <c r="E49" s="58" t="n">
        <f aca="false">0</f>
        <v>0</v>
      </c>
      <c r="F49" s="58" t="n">
        <f aca="false">0</f>
        <v>0</v>
      </c>
      <c r="G49" s="58" t="n">
        <f aca="false">0</f>
        <v>0</v>
      </c>
      <c r="H49" s="53" t="n">
        <f aca="false">SUM(B49:G49)</f>
        <v>250000</v>
      </c>
      <c r="I49" s="63" t="n">
        <f aca="false">H49/$H$89</f>
        <v>0.00146059873734776</v>
      </c>
      <c r="J49" s="64"/>
      <c r="K49" s="56"/>
    </row>
    <row r="50" customFormat="false" ht="14.25" hidden="false" customHeight="true" outlineLevel="0" collapsed="false">
      <c r="A50" s="65" t="s">
        <v>374</v>
      </c>
      <c r="B50" s="58" t="n">
        <f aca="false">0</f>
        <v>0</v>
      </c>
      <c r="C50" s="58" t="n">
        <f aca="false">0</f>
        <v>0</v>
      </c>
      <c r="D50" s="58" t="n">
        <v>240896.5</v>
      </c>
      <c r="E50" s="58" t="n">
        <f aca="false">0</f>
        <v>0</v>
      </c>
      <c r="F50" s="58" t="n">
        <f aca="false">0</f>
        <v>0</v>
      </c>
      <c r="G50" s="58" t="n">
        <f aca="false">0</f>
        <v>0</v>
      </c>
      <c r="H50" s="53" t="n">
        <f aca="false">SUM(B50:G50)</f>
        <v>240896.5</v>
      </c>
      <c r="I50" s="63" t="n">
        <f aca="false">H50/$H$89</f>
        <v>0.00140741249492598</v>
      </c>
      <c r="J50" s="64"/>
      <c r="K50" s="56"/>
    </row>
    <row r="51" customFormat="false" ht="14.25" hidden="false" customHeight="true" outlineLevel="0" collapsed="false">
      <c r="A51" s="65" t="s">
        <v>375</v>
      </c>
      <c r="B51" s="58" t="n">
        <f aca="false">0</f>
        <v>0</v>
      </c>
      <c r="C51" s="58" t="n">
        <f aca="false">0</f>
        <v>0</v>
      </c>
      <c r="D51" s="58" t="n">
        <v>237494</v>
      </c>
      <c r="E51" s="58" t="n">
        <f aca="false">0</f>
        <v>0</v>
      </c>
      <c r="F51" s="58" t="n">
        <f aca="false">0</f>
        <v>0</v>
      </c>
      <c r="G51" s="58" t="n">
        <f aca="false">0</f>
        <v>0</v>
      </c>
      <c r="H51" s="53" t="n">
        <f aca="false">SUM(B51:G51)</f>
        <v>237494</v>
      </c>
      <c r="I51" s="63" t="n">
        <f aca="false">H51/$H$89</f>
        <v>0.00138753374611068</v>
      </c>
      <c r="J51" s="64"/>
      <c r="K51" s="56"/>
    </row>
    <row r="52" customFormat="false" ht="14.25" hidden="false" customHeight="true" outlineLevel="0" collapsed="false">
      <c r="A52" s="65" t="s">
        <v>376</v>
      </c>
      <c r="B52" s="58" t="n">
        <f aca="false">0</f>
        <v>0</v>
      </c>
      <c r="C52" s="58" t="n">
        <f aca="false">0</f>
        <v>0</v>
      </c>
      <c r="D52" s="58" t="n">
        <f aca="false">0</f>
        <v>0</v>
      </c>
      <c r="E52" s="58" t="n">
        <f aca="false">0</f>
        <v>0</v>
      </c>
      <c r="F52" s="58" t="n">
        <f aca="false">0</f>
        <v>0</v>
      </c>
      <c r="G52" s="58" t="n">
        <v>223931.3</v>
      </c>
      <c r="H52" s="53" t="n">
        <f aca="false">SUM(B52:G52)</f>
        <v>223931.3</v>
      </c>
      <c r="I52" s="63" t="n">
        <f aca="false">H52/$H$89</f>
        <v>0.00130829509613057</v>
      </c>
      <c r="J52" s="64"/>
      <c r="K52" s="56"/>
    </row>
    <row r="53" s="69" customFormat="true" ht="54.75" hidden="false" customHeight="true" outlineLevel="0" collapsed="false">
      <c r="A53" s="65" t="s">
        <v>377</v>
      </c>
      <c r="B53" s="58" t="n">
        <v>175000</v>
      </c>
      <c r="C53" s="58" t="n">
        <f aca="false">0</f>
        <v>0</v>
      </c>
      <c r="D53" s="58" t="n">
        <f aca="false">0</f>
        <v>0</v>
      </c>
      <c r="E53" s="58" t="n">
        <f aca="false">0</f>
        <v>0</v>
      </c>
      <c r="F53" s="58" t="n">
        <f aca="false">0</f>
        <v>0</v>
      </c>
      <c r="G53" s="58" t="n">
        <f aca="false">0</f>
        <v>0</v>
      </c>
      <c r="H53" s="53" t="n">
        <f aca="false">SUM(B53:G53)</f>
        <v>175000</v>
      </c>
      <c r="I53" s="63" t="n">
        <f aca="false">H53/$H$89</f>
        <v>0.00102241911614343</v>
      </c>
      <c r="J53" s="64"/>
      <c r="K53" s="56" t="s">
        <v>378</v>
      </c>
      <c r="L53" s="61" t="s">
        <v>379</v>
      </c>
      <c r="M53" s="61" t="s">
        <v>380</v>
      </c>
    </row>
    <row r="54" customFormat="false" ht="14.25" hidden="false" customHeight="true" outlineLevel="0" collapsed="false">
      <c r="A54" s="65" t="s">
        <v>381</v>
      </c>
      <c r="B54" s="58" t="n">
        <v>-35962.58</v>
      </c>
      <c r="C54" s="58" t="n">
        <f aca="false">0</f>
        <v>0</v>
      </c>
      <c r="D54" s="58" t="n">
        <f aca="false">0</f>
        <v>0</v>
      </c>
      <c r="E54" s="58" t="n">
        <f aca="false">0</f>
        <v>0</v>
      </c>
      <c r="F54" s="58" t="n">
        <f aca="false">0</f>
        <v>0</v>
      </c>
      <c r="G54" s="58" t="n">
        <v>206037.03</v>
      </c>
      <c r="H54" s="53" t="n">
        <f aca="false">SUM(B54:G54)</f>
        <v>170074.45</v>
      </c>
      <c r="I54" s="63" t="n">
        <f aca="false">H54/$H$89</f>
        <v>0.00099364210770046</v>
      </c>
      <c r="J54" s="64"/>
      <c r="K54" s="56"/>
    </row>
    <row r="55" customFormat="false" ht="14.25" hidden="false" customHeight="true" outlineLevel="0" collapsed="false">
      <c r="A55" s="65" t="s">
        <v>382</v>
      </c>
      <c r="B55" s="58" t="n">
        <v>167300</v>
      </c>
      <c r="C55" s="58" t="n">
        <v>0</v>
      </c>
      <c r="D55" s="58" t="n">
        <v>0</v>
      </c>
      <c r="E55" s="58" t="n">
        <v>0</v>
      </c>
      <c r="F55" s="58" t="n">
        <v>0</v>
      </c>
      <c r="G55" s="58" t="n">
        <v>0</v>
      </c>
      <c r="H55" s="53" t="n">
        <f aca="false">SUM(B55:G55)</f>
        <v>167300</v>
      </c>
      <c r="I55" s="63" t="n">
        <f aca="false">H55/$H$89</f>
        <v>0.000977432675033122</v>
      </c>
      <c r="J55" s="70"/>
      <c r="K55" s="56"/>
    </row>
    <row r="56" customFormat="false" ht="41.25" hidden="false" customHeight="true" outlineLevel="0" collapsed="false">
      <c r="A56" s="65" t="s">
        <v>383</v>
      </c>
      <c r="B56" s="58" t="n">
        <f aca="false">0</f>
        <v>0</v>
      </c>
      <c r="C56" s="58" t="n">
        <f aca="false">0</f>
        <v>0</v>
      </c>
      <c r="D56" s="58" t="n">
        <f aca="false">0</f>
        <v>0</v>
      </c>
      <c r="E56" s="58" t="n">
        <v>150000</v>
      </c>
      <c r="F56" s="58" t="n">
        <f aca="false">0</f>
        <v>0</v>
      </c>
      <c r="G56" s="58" t="n">
        <f aca="false">0</f>
        <v>0</v>
      </c>
      <c r="H56" s="53" t="n">
        <f aca="false">SUM(B56:G56)</f>
        <v>150000</v>
      </c>
      <c r="I56" s="63" t="n">
        <f aca="false">H56/$H$89</f>
        <v>0.000876359242408657</v>
      </c>
      <c r="J56" s="64"/>
      <c r="K56" s="56"/>
      <c r="L56" s="66" t="s">
        <v>321</v>
      </c>
      <c r="M56" s="66" t="s">
        <v>384</v>
      </c>
    </row>
    <row r="57" customFormat="false" ht="14.25" hidden="false" customHeight="true" outlineLevel="0" collapsed="false">
      <c r="A57" s="65" t="s">
        <v>385</v>
      </c>
      <c r="B57" s="58" t="n">
        <f aca="false">0</f>
        <v>0</v>
      </c>
      <c r="C57" s="58" t="n">
        <f aca="false">0</f>
        <v>0</v>
      </c>
      <c r="D57" s="58" t="n">
        <v>150000</v>
      </c>
      <c r="E57" s="58" t="n">
        <f aca="false">0</f>
        <v>0</v>
      </c>
      <c r="F57" s="58" t="n">
        <f aca="false">0</f>
        <v>0</v>
      </c>
      <c r="G57" s="58" t="n">
        <f aca="false">0</f>
        <v>0</v>
      </c>
      <c r="H57" s="53" t="n">
        <f aca="false">SUM(B57:G57)</f>
        <v>150000</v>
      </c>
      <c r="I57" s="63" t="n">
        <f aca="false">H57/$H$89</f>
        <v>0.000876359242408657</v>
      </c>
      <c r="J57" s="64"/>
      <c r="K57" s="56"/>
    </row>
    <row r="58" customFormat="false" ht="14.25" hidden="false" customHeight="true" outlineLevel="0" collapsed="false">
      <c r="A58" s="65" t="s">
        <v>386</v>
      </c>
      <c r="B58" s="58" t="n">
        <f aca="false">0</f>
        <v>0</v>
      </c>
      <c r="C58" s="58" t="n">
        <f aca="false">0</f>
        <v>0</v>
      </c>
      <c r="D58" s="58" t="n">
        <v>140000</v>
      </c>
      <c r="E58" s="58" t="n">
        <f aca="false">0</f>
        <v>0</v>
      </c>
      <c r="F58" s="58" t="n">
        <f aca="false">0</f>
        <v>0</v>
      </c>
      <c r="G58" s="58" t="n">
        <f aca="false">0</f>
        <v>0</v>
      </c>
      <c r="H58" s="53" t="n">
        <f aca="false">SUM(B58:G58)</f>
        <v>140000</v>
      </c>
      <c r="I58" s="63" t="n">
        <f aca="false">H58/$H$89</f>
        <v>0.000817935292914746</v>
      </c>
      <c r="J58" s="64"/>
      <c r="K58" s="56"/>
    </row>
    <row r="59" customFormat="false" ht="14.25" hidden="false" customHeight="true" outlineLevel="0" collapsed="false">
      <c r="A59" s="65" t="s">
        <v>387</v>
      </c>
      <c r="B59" s="58" t="n">
        <v>84864</v>
      </c>
      <c r="C59" s="58" t="n">
        <f aca="false">0</f>
        <v>0</v>
      </c>
      <c r="D59" s="58" t="n">
        <f aca="false">0</f>
        <v>0</v>
      </c>
      <c r="E59" s="58" t="n">
        <f aca="false">0</f>
        <v>0</v>
      </c>
      <c r="F59" s="58" t="n">
        <f aca="false">0</f>
        <v>0</v>
      </c>
      <c r="G59" s="58" t="n">
        <f aca="false">0</f>
        <v>0</v>
      </c>
      <c r="H59" s="53" t="n">
        <f aca="false">SUM(B59:G59)</f>
        <v>84864</v>
      </c>
      <c r="I59" s="63" t="n">
        <f aca="false">H59/$H$89</f>
        <v>0.000495809004985122</v>
      </c>
      <c r="J59" s="64"/>
      <c r="K59" s="56"/>
    </row>
    <row r="60" customFormat="false" ht="14.25" hidden="false" customHeight="true" outlineLevel="0" collapsed="false">
      <c r="A60" s="65" t="s">
        <v>388</v>
      </c>
      <c r="B60" s="58" t="n">
        <f aca="false">0</f>
        <v>0</v>
      </c>
      <c r="C60" s="58" t="n">
        <f aca="false">0</f>
        <v>0</v>
      </c>
      <c r="D60" s="58" t="n">
        <v>82840.87</v>
      </c>
      <c r="E60" s="58" t="n">
        <f aca="false">0</f>
        <v>0</v>
      </c>
      <c r="F60" s="58" t="n">
        <f aca="false">0</f>
        <v>0</v>
      </c>
      <c r="G60" s="58" t="n">
        <f aca="false">0</f>
        <v>0</v>
      </c>
      <c r="H60" s="53" t="n">
        <f aca="false">SUM(B60:G60)</f>
        <v>82840.87</v>
      </c>
      <c r="I60" s="63" t="n">
        <f aca="false">H60/$H$89</f>
        <v>0.00048398908049116</v>
      </c>
      <c r="J60" s="64"/>
      <c r="K60" s="56"/>
    </row>
    <row r="61" customFormat="false" ht="14.25" hidden="false" customHeight="true" outlineLevel="0" collapsed="false">
      <c r="A61" s="65" t="s">
        <v>389</v>
      </c>
      <c r="B61" s="58" t="n">
        <v>77229</v>
      </c>
      <c r="C61" s="58" t="n">
        <f aca="false">0</f>
        <v>0</v>
      </c>
      <c r="D61" s="58" t="n">
        <f aca="false">0</f>
        <v>0</v>
      </c>
      <c r="E61" s="58" t="n">
        <f aca="false">0</f>
        <v>0</v>
      </c>
      <c r="F61" s="58" t="n">
        <f aca="false">0</f>
        <v>0</v>
      </c>
      <c r="G61" s="58" t="n">
        <f aca="false">0</f>
        <v>0</v>
      </c>
      <c r="H61" s="53" t="n">
        <f aca="false">SUM(B61:G61)</f>
        <v>77229</v>
      </c>
      <c r="I61" s="63" t="n">
        <f aca="false">H61/$H$89</f>
        <v>0.000451202319546521</v>
      </c>
      <c r="J61" s="64"/>
      <c r="K61" s="56"/>
    </row>
    <row r="62" customFormat="false" ht="14.25" hidden="false" customHeight="true" outlineLevel="0" collapsed="false">
      <c r="A62" s="65" t="s">
        <v>390</v>
      </c>
      <c r="B62" s="58" t="n">
        <v>72300</v>
      </c>
      <c r="C62" s="58" t="n">
        <f aca="false">0</f>
        <v>0</v>
      </c>
      <c r="D62" s="58" t="n">
        <f aca="false">0</f>
        <v>0</v>
      </c>
      <c r="E62" s="58" t="n">
        <f aca="false">0</f>
        <v>0</v>
      </c>
      <c r="F62" s="58" t="n">
        <f aca="false">0</f>
        <v>0</v>
      </c>
      <c r="G62" s="58" t="n">
        <f aca="false">0</f>
        <v>0</v>
      </c>
      <c r="H62" s="53" t="n">
        <f aca="false">SUM(B62:G62)</f>
        <v>72300</v>
      </c>
      <c r="I62" s="63" t="n">
        <f aca="false">H62/$H$89</f>
        <v>0.000422405154840973</v>
      </c>
      <c r="J62" s="64"/>
      <c r="K62" s="56"/>
    </row>
    <row r="63" customFormat="false" ht="14.25" hidden="false" customHeight="true" outlineLevel="0" collapsed="false">
      <c r="A63" s="65" t="s">
        <v>391</v>
      </c>
      <c r="B63" s="58" t="n">
        <v>60000</v>
      </c>
      <c r="C63" s="58" t="n">
        <f aca="false">0</f>
        <v>0</v>
      </c>
      <c r="D63" s="58" t="n">
        <f aca="false">0</f>
        <v>0</v>
      </c>
      <c r="E63" s="58" t="n">
        <f aca="false">0</f>
        <v>0</v>
      </c>
      <c r="F63" s="58" t="n">
        <f aca="false">0</f>
        <v>0</v>
      </c>
      <c r="G63" s="58" t="n">
        <f aca="false">0</f>
        <v>0</v>
      </c>
      <c r="H63" s="53" t="n">
        <f aca="false">SUM(B63:G63)</f>
        <v>60000</v>
      </c>
      <c r="I63" s="63" t="n">
        <f aca="false">H63/$H$89</f>
        <v>0.000350543696963463</v>
      </c>
      <c r="J63" s="64"/>
      <c r="K63" s="56"/>
    </row>
    <row r="64" customFormat="false" ht="14.25" hidden="false" customHeight="true" outlineLevel="0" collapsed="false">
      <c r="A64" s="65" t="s">
        <v>392</v>
      </c>
      <c r="B64" s="58" t="n">
        <f aca="false">0</f>
        <v>0</v>
      </c>
      <c r="C64" s="58" t="n">
        <f aca="false">0</f>
        <v>0</v>
      </c>
      <c r="D64" s="58" t="n">
        <v>50000</v>
      </c>
      <c r="E64" s="58" t="n">
        <f aca="false">0</f>
        <v>0</v>
      </c>
      <c r="F64" s="58" t="n">
        <f aca="false">0</f>
        <v>0</v>
      </c>
      <c r="G64" s="58" t="n">
        <f aca="false">0</f>
        <v>0</v>
      </c>
      <c r="H64" s="53" t="n">
        <f aca="false">SUM(B64:G64)</f>
        <v>50000</v>
      </c>
      <c r="I64" s="63" t="n">
        <f aca="false">H64/$H$89</f>
        <v>0.000292119747469552</v>
      </c>
      <c r="J64" s="64"/>
      <c r="K64" s="56"/>
    </row>
    <row r="65" customFormat="false" ht="14.25" hidden="false" customHeight="true" outlineLevel="0" collapsed="false">
      <c r="A65" s="65" t="s">
        <v>393</v>
      </c>
      <c r="B65" s="58" t="n">
        <v>4238</v>
      </c>
      <c r="C65" s="58" t="n">
        <v>45250</v>
      </c>
      <c r="D65" s="58" t="n">
        <f aca="false">0</f>
        <v>0</v>
      </c>
      <c r="E65" s="58" t="n">
        <f aca="false">0</f>
        <v>0</v>
      </c>
      <c r="F65" s="58" t="n">
        <f aca="false">0</f>
        <v>0</v>
      </c>
      <c r="G65" s="58" t="n">
        <f aca="false">0</f>
        <v>0</v>
      </c>
      <c r="H65" s="53" t="n">
        <f aca="false">SUM(B65:G65)</f>
        <v>49488</v>
      </c>
      <c r="I65" s="63" t="n">
        <f aca="false">H65/$H$89</f>
        <v>0.000289128441255464</v>
      </c>
      <c r="J65" s="64"/>
      <c r="K65" s="56"/>
    </row>
    <row r="66" customFormat="false" ht="14.25" hidden="false" customHeight="true" outlineLevel="0" collapsed="false">
      <c r="A66" s="65" t="s">
        <v>394</v>
      </c>
      <c r="B66" s="58" t="n">
        <v>48000</v>
      </c>
      <c r="C66" s="58" t="n">
        <f aca="false">0</f>
        <v>0</v>
      </c>
      <c r="D66" s="58" t="n">
        <f aca="false">0</f>
        <v>0</v>
      </c>
      <c r="E66" s="58" t="n">
        <f aca="false">0</f>
        <v>0</v>
      </c>
      <c r="F66" s="58" t="n">
        <f aca="false">0</f>
        <v>0</v>
      </c>
      <c r="G66" s="58" t="n">
        <f aca="false">0</f>
        <v>0</v>
      </c>
      <c r="H66" s="53" t="n">
        <f aca="false">SUM(B66:G66)</f>
        <v>48000</v>
      </c>
      <c r="I66" s="63" t="n">
        <f aca="false">H66/$H$89</f>
        <v>0.00028043495757077</v>
      </c>
      <c r="J66" s="64"/>
      <c r="K66" s="56"/>
    </row>
    <row r="67" customFormat="false" ht="14.25" hidden="false" customHeight="true" outlineLevel="0" collapsed="false">
      <c r="A67" s="65" t="s">
        <v>395</v>
      </c>
      <c r="B67" s="58" t="n">
        <v>48000</v>
      </c>
      <c r="C67" s="58" t="n">
        <f aca="false">0</f>
        <v>0</v>
      </c>
      <c r="D67" s="58" t="n">
        <f aca="false">0</f>
        <v>0</v>
      </c>
      <c r="E67" s="58" t="n">
        <f aca="false">0</f>
        <v>0</v>
      </c>
      <c r="F67" s="58" t="n">
        <f aca="false">0</f>
        <v>0</v>
      </c>
      <c r="G67" s="58" t="n">
        <f aca="false">0</f>
        <v>0</v>
      </c>
      <c r="H67" s="53" t="n">
        <f aca="false">SUM(B67:G67)</f>
        <v>48000</v>
      </c>
      <c r="I67" s="63" t="n">
        <f aca="false">H67/$H$89</f>
        <v>0.00028043495757077</v>
      </c>
      <c r="J67" s="64"/>
      <c r="K67" s="56"/>
    </row>
    <row r="68" customFormat="false" ht="14.25" hidden="false" customHeight="true" outlineLevel="0" collapsed="false">
      <c r="A68" s="65" t="s">
        <v>396</v>
      </c>
      <c r="B68" s="58" t="n">
        <f aca="false">0</f>
        <v>0</v>
      </c>
      <c r="C68" s="58" t="n">
        <v>35500</v>
      </c>
      <c r="D68" s="58" t="n">
        <f aca="false">0</f>
        <v>0</v>
      </c>
      <c r="E68" s="58" t="n">
        <f aca="false">0</f>
        <v>0</v>
      </c>
      <c r="F68" s="58" t="n">
        <f aca="false">0</f>
        <v>0</v>
      </c>
      <c r="G68" s="58" t="n">
        <f aca="false">0</f>
        <v>0</v>
      </c>
      <c r="H68" s="53" t="n">
        <f aca="false">SUM(B68:G68)</f>
        <v>35500</v>
      </c>
      <c r="I68" s="63" t="n">
        <f aca="false">H68/$H$89</f>
        <v>0.000207405020703382</v>
      </c>
      <c r="J68" s="64"/>
      <c r="K68" s="56"/>
    </row>
    <row r="69" customFormat="false" ht="14.25" hidden="false" customHeight="true" outlineLevel="0" collapsed="false">
      <c r="A69" s="65" t="s">
        <v>397</v>
      </c>
      <c r="B69" s="58" t="n">
        <v>27000</v>
      </c>
      <c r="C69" s="58" t="n">
        <f aca="false">0</f>
        <v>0</v>
      </c>
      <c r="D69" s="58" t="n">
        <f aca="false">0</f>
        <v>0</v>
      </c>
      <c r="E69" s="58" t="n">
        <f aca="false">0</f>
        <v>0</v>
      </c>
      <c r="F69" s="58" t="n">
        <f aca="false">0</f>
        <v>0</v>
      </c>
      <c r="G69" s="58" t="n">
        <f aca="false">0</f>
        <v>0</v>
      </c>
      <c r="H69" s="53" t="n">
        <f aca="false">SUM(B69:G69)</f>
        <v>27000</v>
      </c>
      <c r="I69" s="63" t="n">
        <f aca="false">H69/$H$89</f>
        <v>0.000157744663633558</v>
      </c>
      <c r="J69" s="64"/>
      <c r="K69" s="56"/>
    </row>
    <row r="70" customFormat="false" ht="14.25" hidden="false" customHeight="true" outlineLevel="0" collapsed="false">
      <c r="A70" s="65" t="s">
        <v>398</v>
      </c>
      <c r="B70" s="58" t="n">
        <f aca="false">0</f>
        <v>0</v>
      </c>
      <c r="C70" s="58" t="n">
        <f aca="false">0</f>
        <v>0</v>
      </c>
      <c r="D70" s="58" t="n">
        <f aca="false">0</f>
        <v>0</v>
      </c>
      <c r="E70" s="58" t="n">
        <f aca="false">0</f>
        <v>0</v>
      </c>
      <c r="F70" s="58" t="n">
        <f aca="false">0</f>
        <v>0</v>
      </c>
      <c r="G70" s="58" t="n">
        <v>26250</v>
      </c>
      <c r="H70" s="53" t="n">
        <f aca="false">SUM(B70:G70)</f>
        <v>26250</v>
      </c>
      <c r="I70" s="63" t="n">
        <f aca="false">H70/$H$89</f>
        <v>0.000153362867421515</v>
      </c>
      <c r="J70" s="64"/>
      <c r="K70" s="56"/>
    </row>
    <row r="71" customFormat="false" ht="14.25" hidden="false" customHeight="true" outlineLevel="0" collapsed="false">
      <c r="A71" s="65" t="s">
        <v>399</v>
      </c>
      <c r="B71" s="58" t="n">
        <f aca="false">0</f>
        <v>0</v>
      </c>
      <c r="C71" s="58" t="n">
        <f aca="false">0</f>
        <v>0</v>
      </c>
      <c r="D71" s="58" t="n">
        <f aca="false">0</f>
        <v>0</v>
      </c>
      <c r="E71" s="58" t="n">
        <f aca="false">0</f>
        <v>0</v>
      </c>
      <c r="F71" s="58" t="n">
        <f aca="false">0</f>
        <v>0</v>
      </c>
      <c r="G71" s="58" t="n">
        <v>21155.6399999997</v>
      </c>
      <c r="H71" s="53" t="n">
        <f aca="false">SUM(B71:G71)</f>
        <v>21155.6399999997</v>
      </c>
      <c r="I71" s="63" t="n">
        <f aca="false">H71/$H$89</f>
        <v>0.000123599604287133</v>
      </c>
      <c r="J71" s="64"/>
      <c r="K71" s="56"/>
    </row>
    <row r="72" customFormat="false" ht="14.25" hidden="false" customHeight="true" outlineLevel="0" collapsed="false">
      <c r="A72" s="65" t="s">
        <v>400</v>
      </c>
      <c r="B72" s="58" t="n">
        <f aca="false">0</f>
        <v>0</v>
      </c>
      <c r="C72" s="58" t="n">
        <f aca="false">0</f>
        <v>0</v>
      </c>
      <c r="D72" s="58" t="n">
        <v>20000</v>
      </c>
      <c r="E72" s="58" t="n">
        <f aca="false">0</f>
        <v>0</v>
      </c>
      <c r="F72" s="58" t="n">
        <f aca="false">0</f>
        <v>0</v>
      </c>
      <c r="G72" s="58" t="n">
        <f aca="false">0</f>
        <v>0</v>
      </c>
      <c r="H72" s="53" t="n">
        <f aca="false">SUM(B72:G72)</f>
        <v>20000</v>
      </c>
      <c r="I72" s="63" t="n">
        <f aca="false">H72/$H$89</f>
        <v>0.000116847898987821</v>
      </c>
      <c r="J72" s="64"/>
      <c r="K72" s="56"/>
    </row>
    <row r="73" customFormat="false" ht="14.25" hidden="false" customHeight="true" outlineLevel="0" collapsed="false">
      <c r="A73" s="65" t="s">
        <v>401</v>
      </c>
      <c r="B73" s="58" t="n">
        <v>14400</v>
      </c>
      <c r="C73" s="58" t="n">
        <f aca="false">0</f>
        <v>0</v>
      </c>
      <c r="D73" s="58" t="n">
        <f aca="false">0</f>
        <v>0</v>
      </c>
      <c r="E73" s="58" t="n">
        <f aca="false">0</f>
        <v>0</v>
      </c>
      <c r="F73" s="58" t="n">
        <f aca="false">0</f>
        <v>0</v>
      </c>
      <c r="G73" s="58" t="n">
        <f aca="false">0</f>
        <v>0</v>
      </c>
      <c r="H73" s="53" t="n">
        <f aca="false">SUM(B73:G73)</f>
        <v>14400</v>
      </c>
      <c r="I73" s="63" t="n">
        <f aca="false">H73/$H$89</f>
        <v>8.41304872712311E-005</v>
      </c>
      <c r="J73" s="64"/>
      <c r="K73" s="56"/>
    </row>
    <row r="74" customFormat="false" ht="14.25" hidden="false" customHeight="true" outlineLevel="0" collapsed="false">
      <c r="A74" s="65" t="s">
        <v>402</v>
      </c>
      <c r="B74" s="58" t="n">
        <f aca="false">0</f>
        <v>0</v>
      </c>
      <c r="C74" s="58" t="n">
        <f aca="false">0</f>
        <v>0</v>
      </c>
      <c r="D74" s="58" t="n">
        <f aca="false">0</f>
        <v>0</v>
      </c>
      <c r="E74" s="58" t="n">
        <f aca="false">0</f>
        <v>0</v>
      </c>
      <c r="F74" s="58" t="n">
        <f aca="false">0</f>
        <v>0</v>
      </c>
      <c r="G74" s="58" t="n">
        <v>7500</v>
      </c>
      <c r="H74" s="53" t="n">
        <f aca="false">SUM(B74:G74)</f>
        <v>7500</v>
      </c>
      <c r="I74" s="63" t="n">
        <f aca="false">H74/$H$89</f>
        <v>4.38179621204328E-005</v>
      </c>
      <c r="J74" s="64"/>
      <c r="K74" s="56"/>
    </row>
    <row r="75" customFormat="false" ht="14.25" hidden="false" customHeight="true" outlineLevel="0" collapsed="false">
      <c r="A75" s="65" t="s">
        <v>403</v>
      </c>
      <c r="B75" s="58" t="n">
        <v>1498</v>
      </c>
      <c r="C75" s="58" t="n">
        <f aca="false">0</f>
        <v>0</v>
      </c>
      <c r="D75" s="58" t="n">
        <f aca="false">0</f>
        <v>0</v>
      </c>
      <c r="E75" s="58" t="n">
        <f aca="false">0</f>
        <v>0</v>
      </c>
      <c r="F75" s="58" t="n">
        <f aca="false">0</f>
        <v>0</v>
      </c>
      <c r="G75" s="58" t="n">
        <f aca="false">0</f>
        <v>0</v>
      </c>
      <c r="H75" s="53" t="n">
        <f aca="false">SUM(B75:G75)</f>
        <v>1498</v>
      </c>
      <c r="I75" s="63" t="n">
        <f aca="false">H75/$H$89</f>
        <v>8.75190763418779E-006</v>
      </c>
      <c r="J75" s="64"/>
      <c r="K75" s="56"/>
    </row>
    <row r="76" customFormat="false" ht="14.25" hidden="false" customHeight="true" outlineLevel="0" collapsed="false">
      <c r="A76" s="65" t="s">
        <v>404</v>
      </c>
      <c r="B76" s="58" t="n">
        <f aca="false">0</f>
        <v>0</v>
      </c>
      <c r="C76" s="58" t="n">
        <f aca="false">0</f>
        <v>0</v>
      </c>
      <c r="D76" s="58" t="n">
        <v>0.48999996483326</v>
      </c>
      <c r="E76" s="58" t="n">
        <f aca="false">0</f>
        <v>0</v>
      </c>
      <c r="F76" s="58" t="n">
        <f aca="false">0</f>
        <v>0</v>
      </c>
      <c r="G76" s="58" t="n">
        <f aca="false">0</f>
        <v>0</v>
      </c>
      <c r="H76" s="53" t="n">
        <f aca="false">SUM(B76:G76)</f>
        <v>0.48999996483326</v>
      </c>
      <c r="I76" s="63" t="n">
        <f aca="false">H76/$H$89</f>
        <v>2.86277331974363E-009</v>
      </c>
      <c r="J76" s="64"/>
      <c r="K76" s="56"/>
    </row>
    <row r="77" customFormat="false" ht="14.25" hidden="false" customHeight="true" outlineLevel="0" collapsed="false">
      <c r="A77" s="65" t="s">
        <v>405</v>
      </c>
      <c r="B77" s="58" t="n">
        <f aca="false">0</f>
        <v>0</v>
      </c>
      <c r="C77" s="58" t="n">
        <f aca="false">0</f>
        <v>0</v>
      </c>
      <c r="D77" s="58" t="n">
        <v>0</v>
      </c>
      <c r="E77" s="58" t="n">
        <f aca="false">0</f>
        <v>0</v>
      </c>
      <c r="F77" s="58" t="n">
        <f aca="false">0</f>
        <v>0</v>
      </c>
      <c r="G77" s="58" t="n">
        <f aca="false">0</f>
        <v>0</v>
      </c>
      <c r="H77" s="53" t="n">
        <f aca="false">SUM(B77:G77)</f>
        <v>0</v>
      </c>
      <c r="I77" s="63" t="n">
        <f aca="false">H77/$H$89</f>
        <v>0</v>
      </c>
      <c r="J77" s="64"/>
      <c r="K77" s="56"/>
    </row>
    <row r="78" customFormat="false" ht="14.25" hidden="false" customHeight="true" outlineLevel="0" collapsed="false">
      <c r="A78" s="65" t="s">
        <v>406</v>
      </c>
      <c r="B78" s="58" t="n">
        <v>0</v>
      </c>
      <c r="C78" s="58" t="n">
        <f aca="false">0</f>
        <v>0</v>
      </c>
      <c r="D78" s="58" t="n">
        <f aca="false">0</f>
        <v>0</v>
      </c>
      <c r="E78" s="58" t="n">
        <f aca="false">0</f>
        <v>0</v>
      </c>
      <c r="F78" s="58" t="n">
        <f aca="false">0</f>
        <v>0</v>
      </c>
      <c r="G78" s="58" t="n">
        <f aca="false">0</f>
        <v>0</v>
      </c>
      <c r="H78" s="53" t="n">
        <f aca="false">SUM(B78:G78)</f>
        <v>0</v>
      </c>
      <c r="I78" s="63" t="n">
        <f aca="false">H78/$H$89</f>
        <v>0</v>
      </c>
      <c r="J78" s="64"/>
      <c r="K78" s="56"/>
    </row>
    <row r="79" customFormat="false" ht="14.25" hidden="false" customHeight="true" outlineLevel="0" collapsed="false">
      <c r="A79" s="65" t="s">
        <v>407</v>
      </c>
      <c r="B79" s="58" t="n">
        <v>-0.0400000000372529</v>
      </c>
      <c r="C79" s="58" t="n">
        <f aca="false">0</f>
        <v>0</v>
      </c>
      <c r="D79" s="58" t="n">
        <f aca="false">0</f>
        <v>0</v>
      </c>
      <c r="E79" s="58" t="n">
        <f aca="false">0</f>
        <v>0</v>
      </c>
      <c r="F79" s="58" t="n">
        <f aca="false">0</f>
        <v>0</v>
      </c>
      <c r="G79" s="58" t="n">
        <f aca="false">0</f>
        <v>0</v>
      </c>
      <c r="H79" s="53" t="n">
        <f aca="false">SUM(B79:G79)</f>
        <v>-0.0400000000372529</v>
      </c>
      <c r="I79" s="63" t="n">
        <f aca="false">H79/$H$89</f>
        <v>-2.33695798193288E-010</v>
      </c>
      <c r="J79" s="64"/>
      <c r="K79" s="56"/>
    </row>
    <row r="80" customFormat="false" ht="14.25" hidden="false" customHeight="true" outlineLevel="0" collapsed="false">
      <c r="A80" s="65" t="s">
        <v>408</v>
      </c>
      <c r="B80" s="58" t="n">
        <v>-0.0499999672174454</v>
      </c>
      <c r="C80" s="58" t="n">
        <f aca="false">0</f>
        <v>0</v>
      </c>
      <c r="D80" s="58" t="n">
        <f aca="false">0</f>
        <v>0</v>
      </c>
      <c r="E80" s="58" t="n">
        <f aca="false">0</f>
        <v>0</v>
      </c>
      <c r="F80" s="58" t="n">
        <f aca="false">0</f>
        <v>0</v>
      </c>
      <c r="G80" s="58" t="n">
        <f aca="false">0</f>
        <v>0</v>
      </c>
      <c r="H80" s="53" t="n">
        <f aca="false">SUM(B80:G80)</f>
        <v>-0.0499999672174454</v>
      </c>
      <c r="I80" s="63" t="n">
        <f aca="false">H80/$H$89</f>
        <v>-2.92119555940921E-010</v>
      </c>
      <c r="J80" s="64"/>
      <c r="K80" s="56"/>
    </row>
    <row r="81" customFormat="false" ht="14.25" hidden="false" customHeight="true" outlineLevel="0" collapsed="false">
      <c r="A81" s="65" t="s">
        <v>409</v>
      </c>
      <c r="B81" s="58" t="n">
        <f aca="false">0</f>
        <v>0</v>
      </c>
      <c r="C81" s="58" t="n">
        <f aca="false">0</f>
        <v>0</v>
      </c>
      <c r="D81" s="58" t="n">
        <f aca="false">0</f>
        <v>0</v>
      </c>
      <c r="E81" s="58" t="n">
        <f aca="false">0</f>
        <v>0</v>
      </c>
      <c r="F81" s="58" t="n">
        <f aca="false">0</f>
        <v>0</v>
      </c>
      <c r="G81" s="58" t="n">
        <v>-2900</v>
      </c>
      <c r="H81" s="53" t="n">
        <f aca="false">SUM(B81:G81)</f>
        <v>-2900</v>
      </c>
      <c r="I81" s="63" t="n">
        <f aca="false">H81/$H$89</f>
        <v>-1.6942945353234E-005</v>
      </c>
      <c r="J81" s="64"/>
      <c r="K81" s="56"/>
    </row>
    <row r="82" customFormat="false" ht="14.25" hidden="false" customHeight="true" outlineLevel="0" collapsed="false">
      <c r="A82" s="65" t="s">
        <v>410</v>
      </c>
      <c r="B82" s="58" t="n">
        <v>-9720</v>
      </c>
      <c r="C82" s="58" t="n">
        <f aca="false">0</f>
        <v>0</v>
      </c>
      <c r="D82" s="58" t="n">
        <f aca="false">0</f>
        <v>0</v>
      </c>
      <c r="E82" s="58" t="n">
        <f aca="false">0</f>
        <v>0</v>
      </c>
      <c r="F82" s="58" t="n">
        <f aca="false">0</f>
        <v>0</v>
      </c>
      <c r="G82" s="58" t="n">
        <f aca="false">0</f>
        <v>0</v>
      </c>
      <c r="H82" s="53" t="n">
        <f aca="false">SUM(B82:G82)</f>
        <v>-9720</v>
      </c>
      <c r="I82" s="63" t="n">
        <f aca="false">H82/$H$89</f>
        <v>-5.6788078908081E-005</v>
      </c>
      <c r="J82" s="64"/>
      <c r="K82" s="56"/>
    </row>
    <row r="83" customFormat="false" ht="14.25" hidden="false" customHeight="true" outlineLevel="0" collapsed="false">
      <c r="A83" s="65" t="s">
        <v>411</v>
      </c>
      <c r="B83" s="58" t="n">
        <v>-9720</v>
      </c>
      <c r="C83" s="58" t="n">
        <f aca="false">0</f>
        <v>0</v>
      </c>
      <c r="D83" s="58" t="n">
        <f aca="false">0</f>
        <v>0</v>
      </c>
      <c r="E83" s="58" t="n">
        <f aca="false">0</f>
        <v>0</v>
      </c>
      <c r="F83" s="58" t="n">
        <f aca="false">0</f>
        <v>0</v>
      </c>
      <c r="G83" s="58" t="n">
        <f aca="false">0</f>
        <v>0</v>
      </c>
      <c r="H83" s="53" t="n">
        <f aca="false">SUM(B83:G83)</f>
        <v>-9720</v>
      </c>
      <c r="I83" s="63" t="n">
        <f aca="false">H83/$H$89</f>
        <v>-5.6788078908081E-005</v>
      </c>
      <c r="J83" s="64"/>
      <c r="K83" s="56"/>
    </row>
    <row r="84" customFormat="false" ht="14.25" hidden="false" customHeight="true" outlineLevel="0" collapsed="false">
      <c r="A84" s="65" t="s">
        <v>412</v>
      </c>
      <c r="B84" s="58" t="n">
        <f aca="false">0</f>
        <v>0</v>
      </c>
      <c r="C84" s="58" t="n">
        <f aca="false">0</f>
        <v>0</v>
      </c>
      <c r="D84" s="58" t="n">
        <f aca="false">0</f>
        <v>0</v>
      </c>
      <c r="E84" s="58" t="n">
        <f aca="false">0</f>
        <v>0</v>
      </c>
      <c r="F84" s="58" t="n">
        <f aca="false">0</f>
        <v>0</v>
      </c>
      <c r="G84" s="58" t="n">
        <v>-59986</v>
      </c>
      <c r="H84" s="53" t="n">
        <f aca="false">SUM(B84:G84)</f>
        <v>-59986</v>
      </c>
      <c r="I84" s="63" t="n">
        <f aca="false">H84/$H$89</f>
        <v>-0.000350461903434171</v>
      </c>
      <c r="J84" s="64"/>
      <c r="K84" s="56"/>
    </row>
    <row r="85" customFormat="false" ht="14.25" hidden="false" customHeight="true" outlineLevel="0" collapsed="false">
      <c r="A85" s="65" t="s">
        <v>413</v>
      </c>
      <c r="B85" s="71" t="n">
        <v>0</v>
      </c>
      <c r="C85" s="58" t="n">
        <v>-60176.58</v>
      </c>
      <c r="D85" s="71" t="n">
        <v>0</v>
      </c>
      <c r="E85" s="71" t="n">
        <v>0</v>
      </c>
      <c r="F85" s="71" t="n">
        <v>0</v>
      </c>
      <c r="G85" s="71" t="n">
        <v>0</v>
      </c>
      <c r="H85" s="53" t="n">
        <f aca="false">SUM(B85:G85)</f>
        <v>-60176.58</v>
      </c>
      <c r="I85" s="63" t="n">
        <f aca="false">H85/$H$89</f>
        <v>-0.000351575347063626</v>
      </c>
      <c r="J85" s="64"/>
      <c r="K85" s="56"/>
    </row>
    <row r="86" customFormat="false" ht="14.25" hidden="false" customHeight="true" outlineLevel="0" collapsed="false">
      <c r="A86" s="65" t="s">
        <v>414</v>
      </c>
      <c r="B86" s="58" t="n">
        <f aca="false">0</f>
        <v>0</v>
      </c>
      <c r="C86" s="58" t="n">
        <v>-133317.88</v>
      </c>
      <c r="D86" s="58" t="n">
        <f aca="false">0</f>
        <v>0</v>
      </c>
      <c r="E86" s="58" t="n">
        <f aca="false">0</f>
        <v>0</v>
      </c>
      <c r="F86" s="58" t="n">
        <f aca="false">0</f>
        <v>0</v>
      </c>
      <c r="G86" s="58" t="n">
        <f aca="false">0</f>
        <v>0</v>
      </c>
      <c r="H86" s="53" t="n">
        <f aca="false">SUM(B86:G86)</f>
        <v>-133317.88</v>
      </c>
      <c r="I86" s="63" t="n">
        <f aca="false">H86/$H$89</f>
        <v>-0.000778895708775522</v>
      </c>
      <c r="J86" s="64"/>
      <c r="K86" s="56"/>
    </row>
    <row r="87" customFormat="false" ht="14.25" hidden="false" customHeight="true" outlineLevel="0" collapsed="false">
      <c r="A87" s="65" t="s">
        <v>415</v>
      </c>
      <c r="B87" s="58" t="n">
        <v>-165000</v>
      </c>
      <c r="C87" s="58" t="n">
        <f aca="false">0</f>
        <v>0</v>
      </c>
      <c r="D87" s="58" t="n">
        <f aca="false">0</f>
        <v>0</v>
      </c>
      <c r="E87" s="58" t="n">
        <f aca="false">0</f>
        <v>0</v>
      </c>
      <c r="F87" s="58" t="n">
        <f aca="false">0</f>
        <v>0</v>
      </c>
      <c r="G87" s="58" t="n">
        <f aca="false">0</f>
        <v>0</v>
      </c>
      <c r="H87" s="53" t="n">
        <f aca="false">SUM(B87:G87)</f>
        <v>-165000</v>
      </c>
      <c r="I87" s="63" t="n">
        <f aca="false">H87/$H$89</f>
        <v>-0.000963995166649523</v>
      </c>
      <c r="J87" s="64"/>
      <c r="K87" s="56"/>
    </row>
    <row r="88" customFormat="false" ht="14.25" hidden="false" customHeight="true" outlineLevel="0" collapsed="false">
      <c r="A88" s="72" t="s">
        <v>416</v>
      </c>
      <c r="B88" s="73" t="n">
        <f aca="false">0</f>
        <v>0</v>
      </c>
      <c r="C88" s="73" t="n">
        <v>-2976823.24</v>
      </c>
      <c r="D88" s="73" t="n">
        <f aca="false">0</f>
        <v>0</v>
      </c>
      <c r="E88" s="73" t="n">
        <f aca="false">0</f>
        <v>0</v>
      </c>
      <c r="F88" s="73" t="n">
        <f aca="false">0</f>
        <v>0</v>
      </c>
      <c r="G88" s="73" t="n">
        <f aca="false">0</f>
        <v>0</v>
      </c>
      <c r="H88" s="53" t="n">
        <f aca="false">SUM(B88:G88)</f>
        <v>-2976823.24</v>
      </c>
      <c r="I88" s="63" t="n">
        <f aca="false">H88/$H$89</f>
        <v>-0.0173917770626059</v>
      </c>
      <c r="J88" s="64"/>
      <c r="K88" s="56"/>
    </row>
    <row r="89" customFormat="false" ht="14.25" hidden="false" customHeight="true" outlineLevel="0" collapsed="false">
      <c r="A89" s="74" t="s">
        <v>292</v>
      </c>
      <c r="B89" s="75" t="n">
        <f aca="false">SUM(B2:B88)</f>
        <v>64293865.93</v>
      </c>
      <c r="C89" s="75" t="n">
        <f aca="false">SUM(C2:C88)</f>
        <v>38796129.4</v>
      </c>
      <c r="D89" s="75" t="n">
        <f aca="false">SUM(D2:D88)</f>
        <v>50158401.28</v>
      </c>
      <c r="E89" s="75" t="n">
        <f aca="false">SUM(E2:E88)</f>
        <v>10473336</v>
      </c>
      <c r="F89" s="75" t="n">
        <f aca="false">SUM(F2:F88)</f>
        <v>2748343.33</v>
      </c>
      <c r="G89" s="75" t="n">
        <f aca="false">SUM(G2:G88)</f>
        <v>4692607.97</v>
      </c>
      <c r="H89" s="76" t="n">
        <f aca="false">SUM(H2:H88)</f>
        <v>171162683.91</v>
      </c>
      <c r="I89" s="65"/>
      <c r="J89" s="64"/>
    </row>
    <row r="91" customFormat="false" ht="14.25" hidden="false" customHeight="true" outlineLevel="0" collapsed="false">
      <c r="B91" s="77"/>
    </row>
    <row r="92" customFormat="false" ht="14.25" hidden="false" customHeight="true" outlineLevel="0" collapsed="false">
      <c r="D92" s="77"/>
      <c r="H92" s="77"/>
    </row>
  </sheetData>
  <autoFilter ref="A1:M89"/>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2026-08-11T10:54:39Z</dcterms:created>
  <dc:creator>Sharma, Akshit</dc:creator>
  <dc:description/>
  <dc:language>en-US</dc:language>
  <cp:lastModifiedBy>Sharma, Akshit</cp:lastModifiedBy>
  <dcterms:modified xsi:type="dcterms:W3CDTF">2026-08-14T05:21:40Z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