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7D943EF2-CF09-476F-903E-5D3673C06DB7}" xr6:coauthVersionLast="47" xr6:coauthVersionMax="47" xr10:uidLastSave="{00000000-0000-0000-0000-000000000000}"/>
  <bookViews>
    <workbookView xWindow="-100" yWindow="-100" windowWidth="21467" windowHeight="11443" xr2:uid="{E5DE8909-F93C-47FB-94ED-22D5EFE411A2}"/>
  </bookViews>
  <sheets>
    <sheet name="Example" sheetId="2" r:id="rId1"/>
    <sheet name="57772" sheetId="1" r:id="rId2"/>
  </sheets>
  <externalReferences>
    <externalReference r:id="rId3"/>
    <externalReference r:id="rId4"/>
  </externalReferences>
  <definedNames>
    <definedName name="\\\" localSheetId="0" hidden="1">{"raatios",#N/A,FALSE,"A";"ratios",#N/A,FALSE,"B";"ratios",#N/A,FALSE,"C";"ratios",#N/A,FALSE,"D";"ratios",#N/A,FALSE,"F"}</definedName>
    <definedName name="\\\" hidden="1">{"raatios",#N/A,FALSE,"A";"ratios",#N/A,FALSE,"B";"ratios",#N/A,FALSE,"C";"ratios",#N/A,FALSE,"D";"ratios",#N/A,FALSE,"F"}</definedName>
    <definedName name="_____________a7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__________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_______DR4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__feb00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_DR4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_feb00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DR4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DR4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DR4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feb00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_guv3" localSheetId="0" hidden="1">{"K GuV o. Kommentar",#N/A,FALSE,"Kaufhof"}</definedName>
    <definedName name="_______guv3" hidden="1">{"K GuV o. Kommentar",#N/A,FALSE,"Kaufhof"}</definedName>
    <definedName name="______a7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___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____DR4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DR4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DR4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feb00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feb002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feb002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_guv3" localSheetId="0" hidden="1">{"K GuV o. Kommentar",#N/A,FALSE,"Kaufhof"}</definedName>
    <definedName name="______guv3" hidden="1">{"K GuV o. Kommentar",#N/A,FALSE,"Kaufhof"}</definedName>
    <definedName name="______VOP3" hidden="1">#REF!</definedName>
    <definedName name="_____a7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__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____DR4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DR4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DR4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feb00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feb002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feb002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_SSK1" localSheetId="0" hidden="1">{#N/A,#N/A,FALSE,"COMP"}</definedName>
    <definedName name="_____SSK1" hidden="1">{#N/A,#N/A,FALSE,"COMP"}</definedName>
    <definedName name="_____VOP3" hidden="1">#REF!</definedName>
    <definedName name="_____xx1" localSheetId="0" hidden="1">{"'Typical Costs Estimates'!$C$158:$H$161"}</definedName>
    <definedName name="_____xx1" hidden="1">{"'Typical Costs Estimates'!$C$158:$H$161"}</definedName>
    <definedName name="____DR4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DR4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DR4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feb00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feb002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feb002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_feb2" localSheetId="0" hidden="1">{#N/A,#N/A,TRUE,"KEY DATA";#N/A,#N/A,TRUE,"KEY DATA Base Case";#N/A,#N/A,TRUE,"JULY";#N/A,#N/A,TRUE,"AUG";#N/A,#N/A,TRUE,"SEPT";#N/A,#N/A,TRUE,"3Q"}</definedName>
    <definedName name="____feb2" hidden="1">{#N/A,#N/A,TRUE,"KEY DATA";#N/A,#N/A,TRUE,"KEY DATA Base Case";#N/A,#N/A,TRUE,"JULY";#N/A,#N/A,TRUE,"AUG";#N/A,#N/A,TRUE,"SEPT";#N/A,#N/A,TRUE,"3Q"}</definedName>
    <definedName name="____guv3" localSheetId="0" hidden="1">{"K GuV o. Kommentar",#N/A,FALSE,"Kaufhof"}</definedName>
    <definedName name="____guv3" hidden="1">{"K GuV o. Kommentar",#N/A,FALSE,"Kaufhof"}</definedName>
    <definedName name="____KEY2" hidden="1">#REF!</definedName>
    <definedName name="____mor1" hidden="1">#REF!</definedName>
    <definedName name="____SSK1" localSheetId="0" hidden="1">{#N/A,#N/A,FALSE,"COMP"}</definedName>
    <definedName name="____SSK1" hidden="1">{#N/A,#N/A,FALSE,"COMP"}</definedName>
    <definedName name="____VOP3" hidden="1">#REF!</definedName>
    <definedName name="____xx1" localSheetId="0" hidden="1">{"'Typical Costs Estimates'!$C$158:$H$161"}</definedName>
    <definedName name="____xx1" hidden="1">{"'Typical Costs Estimates'!$C$158:$H$161"}</definedName>
    <definedName name="___chi9" localSheetId="0" hidden="1">{#N/A,#N/A,FALSE,"USMED 3";#N/A,#N/A,FALSE,"MARCHALLENGER 1";#N/A,#N/A,FALSE,"MARCHALLENGER 2";#N/A,#N/A,FALSE,"MARCHALLENGER 3";#N/A,#N/A,FALSE,"MARCHALLENGER 4"}</definedName>
    <definedName name="___chi9" hidden="1">{#N/A,#N/A,FALSE,"USMED 3";#N/A,#N/A,FALSE,"MARCHALLENGER 1";#N/A,#N/A,FALSE,"MARCHALLENGER 2";#N/A,#N/A,FALSE,"MARCHALLENGER 3";#N/A,#N/A,FALSE,"MARCHALLENGER 4"}</definedName>
    <definedName name="___DR41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DR4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feb002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feb002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_guv3" localSheetId="0" hidden="1">{"K GuV o. Kommentar",#N/A,FALSE,"Kaufhof"}</definedName>
    <definedName name="___guv3" hidden="1">{"K GuV o. Kommentar",#N/A,FALSE,"Kaufhof"}</definedName>
    <definedName name="___Key2" hidden="1">#REF!</definedName>
    <definedName name="___LPS2" localSheetId="0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med7" localSheetId="0" hidden="1">{#N/A,#N/A,FALSE,"USMED 3";#N/A,#N/A,FALSE,"MARCHALLENGER 1";#N/A,#N/A,FALSE,"MARCHALLENGER 2";#N/A,#N/A,FALSE,"MARCHALLENGER 3";#N/A,#N/A,FALSE,"MARCHALLENGER 4"}</definedName>
    <definedName name="___med7" hidden="1">{#N/A,#N/A,FALSE,"USMED 3";#N/A,#N/A,FALSE,"MARCHALLENGER 1";#N/A,#N/A,FALSE,"MARCHALLENGER 2";#N/A,#N/A,FALSE,"MARCHALLENGER 3";#N/A,#N/A,FALSE,"MARCHALLENGER 4"}</definedName>
    <definedName name="___msl3" localSheetId="0" hidden="1">{#N/A,#N/A,FALSE,"USMED 3";#N/A,#N/A,FALSE,"MARCHALLENGER 1";#N/A,#N/A,FALSE,"MARCHALLENGER 2";#N/A,#N/A,FALSE,"MARCHALLENGER 3";#N/A,#N/A,FALSE,"MARCHALLENGER 4"}</definedName>
    <definedName name="___msl3" hidden="1">{#N/A,#N/A,FALSE,"USMED 3";#N/A,#N/A,FALSE,"MARCHALLENGER 1";#N/A,#N/A,FALSE,"MARCHALLENGER 2";#N/A,#N/A,FALSE,"MARCHALLENGER 3";#N/A,#N/A,FALSE,"MARCHALLENGER 4"}</definedName>
    <definedName name="___R" localSheetId="0" hidden="1">{#N/A,#N/A,FALSE,"USMED 3";#N/A,#N/A,FALSE,"MARCHALLENGER 1";#N/A,#N/A,FALSE,"MARCHALLENGER 2";#N/A,#N/A,FALSE,"MARCHALLENGER 3";#N/A,#N/A,FALSE,"MARCHALLENGER 4"}</definedName>
    <definedName name="___R" hidden="1">{#N/A,#N/A,FALSE,"USMED 3";#N/A,#N/A,FALSE,"MARCHALLENGER 1";#N/A,#N/A,FALSE,"MARCHALLENGER 2";#N/A,#N/A,FALSE,"MARCHALLENGER 3";#N/A,#N/A,FALSE,"MARCHALLENGER 4"}</definedName>
    <definedName name="___sl3" localSheetId="0" hidden="1">{#N/A,#N/A,FALSE,"USMED 3";#N/A,#N/A,FALSE,"MARCHALLENGER 1";#N/A,#N/A,FALSE,"MARCHALLENGER 2";#N/A,#N/A,FALSE,"MARCHALLENGER 3";#N/A,#N/A,FALSE,"MARCHALLENGER 4"}</definedName>
    <definedName name="___sl3" hidden="1">{#N/A,#N/A,FALSE,"USMED 3";#N/A,#N/A,FALSE,"MARCHALLENGER 1";#N/A,#N/A,FALSE,"MARCHALLENGER 2";#N/A,#N/A,FALSE,"MARCHALLENGER 3";#N/A,#N/A,FALSE,"MARCHALLENGER 4"}</definedName>
    <definedName name="___slm3" localSheetId="0" hidden="1">{#N/A,#N/A,FALSE,"USMED 3";#N/A,#N/A,FALSE,"MARCHALLENGER 1";#N/A,#N/A,FALSE,"MARCHALLENGER 2";#N/A,#N/A,FALSE,"MARCHALLENGER 3";#N/A,#N/A,FALSE,"MARCHALLENGER 4"}</definedName>
    <definedName name="___slm3" hidden="1">{#N/A,#N/A,FALSE,"USMED 3";#N/A,#N/A,FALSE,"MARCHALLENGER 1";#N/A,#N/A,FALSE,"MARCHALLENGER 2";#N/A,#N/A,FALSE,"MARCHALLENGER 3";#N/A,#N/A,FALSE,"MARCHALLENGER 4"}</definedName>
    <definedName name="___SSK1" localSheetId="0" hidden="1">{#N/A,#N/A,FALSE,"COMP"}</definedName>
    <definedName name="___SSK1" hidden="1">{#N/A,#N/A,FALSE,"COMP"}</definedName>
    <definedName name="___VOP3" hidden="1">#REF!</definedName>
    <definedName name="___xx1" localSheetId="0" hidden="1">{"'Typical Costs Estimates'!$C$158:$H$161"}</definedName>
    <definedName name="___xx1" hidden="1">{"'Typical Costs Estimates'!$C$158:$H$161"}</definedName>
    <definedName name="__123Graph_A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urrent" hidden="1">#REF!</definedName>
    <definedName name="__123Graph_ADOMSAL" hidden="1">#REF!</definedName>
    <definedName name="__123Graph_AEXPSAL" hidden="1">#REF!</definedName>
    <definedName name="__123Graph_AFINANZRECHNUNG" hidden="1">#REF!</definedName>
    <definedName name="__123Graph_AGROSSEARN" hidden="1">#REF!</definedName>
    <definedName name="__123Graph_ANETWORTH" hidden="1">#REF!</definedName>
    <definedName name="__123Graph_AOUTPUT" hidden="1">#REF!</definedName>
    <definedName name="__123Graph_APROFIT" hidden="1">#REF!</definedName>
    <definedName name="__123Graph_B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urrent" hidden="1">#REF!</definedName>
    <definedName name="__123Graph_BFINANZRECHNUNG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urrent" hidden="1">#REF!</definedName>
    <definedName name="__123Graph_CFINANZRECHNUNG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urrent" hidden="1">#REF!</definedName>
    <definedName name="__123Graph_DFINANZRECHNUNG" hidden="1">#REF!</definedName>
    <definedName name="__123Graph_DOUTPUT" hidden="1">#REF!</definedName>
    <definedName name="__123Graph_E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urrent" hidden="1">#REF!</definedName>
    <definedName name="__123Graph_EOUTPUT" hidden="1">#REF!</definedName>
    <definedName name="__123Graph_F" hidden="1">#REF!</definedName>
    <definedName name="__123Graph_LBL_A" hidden="1">#REF!</definedName>
    <definedName name="__123Graph_LBL_ADOMSAL" hidden="1">#REF!</definedName>
    <definedName name="__123Graph_LBL_AEXPSAL" hidden="1">#REF!</definedName>
    <definedName name="__123Graph_LBL_AGROSSEARN" hidden="1">#REF!</definedName>
    <definedName name="__123Graph_LBL_ANETWORTH" hidden="1">#REF!</definedName>
    <definedName name="__123Graph_LBL_AOUTPUT" hidden="1">#REF!</definedName>
    <definedName name="__123Graph_LBL_APROFIT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DOUTPUT" hidden="1">#REF!</definedName>
    <definedName name="__123Graph_LBL_E" hidden="1">#REF!</definedName>
    <definedName name="__123Graph_X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urrent" hidden="1">#REF!</definedName>
    <definedName name="__123Graph_XDOMSAL" hidden="1">#REF!</definedName>
    <definedName name="__123Graph_XEXPSAL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OUTPUT" hidden="1">#REF!</definedName>
    <definedName name="__123Graph_XPROFIT" hidden="1">#REF!</definedName>
    <definedName name="__chi9" localSheetId="0" hidden="1">{#N/A,#N/A,FALSE,"USMED 3";#N/A,#N/A,FALSE,"MARCHALLENGER 1";#N/A,#N/A,FALSE,"MARCHALLENGER 2";#N/A,#N/A,FALSE,"MARCHALLENGER 3";#N/A,#N/A,FALSE,"MARCHALLENGER 4"}</definedName>
    <definedName name="__chi9" hidden="1">{#N/A,#N/A,FALSE,"USMED 3";#N/A,#N/A,FALSE,"MARCHALLENGER 1";#N/A,#N/A,FALSE,"MARCHALLENGER 2";#N/A,#N/A,FALSE,"MARCHALLENGER 3";#N/A,#N/A,FALSE,"MARCHALLENGER 4"}</definedName>
    <definedName name="__EdFJsKAA" hidden="1">#REF!</definedName>
    <definedName name="__fa1" localSheetId="0" hidden="1">{"plansummary",#N/A,FALSE,"PlanSummary";"sales",#N/A,FALSE,"Sales Rec";"productivity",#N/A,FALSE,"Productivity Rec";"capitalspending",#N/A,FALSE,"Capital Spending"}</definedName>
    <definedName name="__fa1" hidden="1">{"plansummary",#N/A,FALSE,"PlanSummary";"sales",#N/A,FALSE,"Sales Rec";"productivity",#N/A,FALSE,"Productivity Rec";"capitalspending",#N/A,FALSE,"Capital Spending"}</definedName>
    <definedName name="__fa2" localSheetId="0" hidden="1">{"plansummary",#N/A,FALSE,"PlanSummary";"sales",#N/A,FALSE,"Sales Rec";"productivity",#N/A,FALSE,"Productivity Rec";"capitalspending",#N/A,FALSE,"Capital Spending"}</definedName>
    <definedName name="__fa2" hidden="1">{"plansummary",#N/A,FALSE,"PlanSummary";"sales",#N/A,FALSE,"Sales Rec";"productivity",#N/A,FALSE,"Productivity Rec";"capitalspending",#N/A,FALSE,"Capital Spending"}</definedName>
    <definedName name="__fa3" localSheetId="0" hidden="1">{"plansummary",#N/A,FALSE,"PlanSummary";"sales",#N/A,FALSE,"Sales Rec";"productivity",#N/A,FALSE,"Productivity Rec";"capitalspending",#N/A,FALSE,"Capital Spending"}</definedName>
    <definedName name="__fa3" hidden="1">{"plansummary",#N/A,FALSE,"PlanSummary";"sales",#N/A,FALSE,"Sales Rec";"productivity",#N/A,FALSE,"Productivity Rec";"capitalspending",#N/A,FALSE,"Capital Spending"}</definedName>
    <definedName name="__feb2" localSheetId="0" hidden="1">{#N/A,#N/A,TRUE,"KEY DATA";#N/A,#N/A,TRUE,"KEY DATA Base Case";#N/A,#N/A,TRUE,"JULY";#N/A,#N/A,TRUE,"AUG";#N/A,#N/A,TRUE,"SEPT";#N/A,#N/A,TRUE,"3Q"}</definedName>
    <definedName name="__feb2" hidden="1">{#N/A,#N/A,TRUE,"KEY DATA";#N/A,#N/A,TRUE,"KEY DATA Base Case";#N/A,#N/A,TRUE,"JULY";#N/A,#N/A,TRUE,"AUG";#N/A,#N/A,TRUE,"SEPT";#N/A,#N/A,TRUE,"3Q"}</definedName>
    <definedName name="__guv3" localSheetId="0" hidden="1">{"K GuV o. Kommentar",#N/A,FALSE,"Kaufhof"}</definedName>
    <definedName name="__guv3" hidden="1">{"K GuV o. Kommentar",#N/A,FALSE,"Kaufhof"}</definedName>
    <definedName name="__IntlFixup" hidden="1">TRUE</definedName>
    <definedName name="__IntlFixupTable" hidden="1">#REF!</definedName>
    <definedName name="__Key2" hidden="1">#REF!</definedName>
    <definedName name="__LPS2" localSheetId="0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med7" localSheetId="0" hidden="1">{#N/A,#N/A,FALSE,"USMED 3";#N/A,#N/A,FALSE,"MARCHALLENGER 1";#N/A,#N/A,FALSE,"MARCHALLENGER 2";#N/A,#N/A,FALSE,"MARCHALLENGER 3";#N/A,#N/A,FALSE,"MARCHALLENGER 4"}</definedName>
    <definedName name="__med7" hidden="1">{#N/A,#N/A,FALSE,"USMED 3";#N/A,#N/A,FALSE,"MARCHALLENGER 1";#N/A,#N/A,FALSE,"MARCHALLENGER 2";#N/A,#N/A,FALSE,"MARCHALLENGER 3";#N/A,#N/A,FALSE,"MARCHALLENGER 4"}</definedName>
    <definedName name="__Mix1" hidden="1">#REF!</definedName>
    <definedName name="__msl3" localSheetId="0" hidden="1">{#N/A,#N/A,FALSE,"USMED 3";#N/A,#N/A,FALSE,"MARCHALLENGER 1";#N/A,#N/A,FALSE,"MARCHALLENGER 2";#N/A,#N/A,FALSE,"MARCHALLENGER 3";#N/A,#N/A,FALSE,"MARCHALLENGER 4"}</definedName>
    <definedName name="__msl3" hidden="1">{#N/A,#N/A,FALSE,"USMED 3";#N/A,#N/A,FALSE,"MARCHALLENGER 1";#N/A,#N/A,FALSE,"MARCHALLENGER 2";#N/A,#N/A,FALSE,"MARCHALLENGER 3";#N/A,#N/A,FALSE,"MARCHALLENGER 4"}</definedName>
    <definedName name="__R" localSheetId="0" hidden="1">{#N/A,#N/A,FALSE,"USMED 3";#N/A,#N/A,FALSE,"MARCHALLENGER 1";#N/A,#N/A,FALSE,"MARCHALLENGER 2";#N/A,#N/A,FALSE,"MARCHALLENGER 3";#N/A,#N/A,FALSE,"MARCHALLENGER 4"}</definedName>
    <definedName name="__R" hidden="1">{#N/A,#N/A,FALSE,"USMED 3";#N/A,#N/A,FALSE,"MARCHALLENGER 1";#N/A,#N/A,FALSE,"MARCHALLENGER 2";#N/A,#N/A,FALSE,"MARCHALLENGER 3";#N/A,#N/A,FALSE,"MARCHALLENGER 4"}</definedName>
    <definedName name="__Ram1" localSheetId="0" hidden="1">{#N/A,#N/A,TRUE,"BALSCH";#N/A,#N/A,TRUE,"COMICRO";#N/A,#N/A,TRUE,"CHECKS";#N/A,#N/A,TRUE,"GLASS";#N/A,#N/A,TRUE,"DEPRE";#N/A,#N/A,TRUE,"A&amp;MCUR";#N/A,#N/A,TRUE,"AGEANAlysis";#N/A,#N/A,TRUE,"CHECKS"}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s3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s3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_sl3" localSheetId="0" hidden="1">{#N/A,#N/A,FALSE,"USMED 3";#N/A,#N/A,FALSE,"MARCHALLENGER 1";#N/A,#N/A,FALSE,"MARCHALLENGER 2";#N/A,#N/A,FALSE,"MARCHALLENGER 3";#N/A,#N/A,FALSE,"MARCHALLENGER 4"}</definedName>
    <definedName name="__sl3" hidden="1">{#N/A,#N/A,FALSE,"USMED 3";#N/A,#N/A,FALSE,"MARCHALLENGER 1";#N/A,#N/A,FALSE,"MARCHALLENGER 2";#N/A,#N/A,FALSE,"MARCHALLENGER 3";#N/A,#N/A,FALSE,"MARCHALLENGER 4"}</definedName>
    <definedName name="__slm3" localSheetId="0" hidden="1">{#N/A,#N/A,FALSE,"USMED 3";#N/A,#N/A,FALSE,"MARCHALLENGER 1";#N/A,#N/A,FALSE,"MARCHALLENGER 2";#N/A,#N/A,FALSE,"MARCHALLENGER 3";#N/A,#N/A,FALSE,"MARCHALLENGER 4"}</definedName>
    <definedName name="__slm3" hidden="1">{#N/A,#N/A,FALSE,"USMED 3";#N/A,#N/A,FALSE,"MARCHALLENGER 1";#N/A,#N/A,FALSE,"MARCHALLENGER 2";#N/A,#N/A,FALSE,"MARCHALLENGER 3";#N/A,#N/A,FALSE,"MARCHALLENGER 4"}</definedName>
    <definedName name="__SSK1" localSheetId="0" hidden="1">{#N/A,#N/A,FALSE,"COMP"}</definedName>
    <definedName name="__SSK1" hidden="1">{#N/A,#N/A,FALSE,"COMP"}</definedName>
    <definedName name="__VOP3" hidden="1">#REF!</definedName>
    <definedName name="__xx1" localSheetId="0" hidden="1">{"'Typical Costs Estimates'!$C$158:$H$161"}</definedName>
    <definedName name="__xx1" hidden="1">{"'Typical Costs Estimates'!$C$158:$H$161"}</definedName>
    <definedName name="_1__123Graph_ACHART_4" hidden="1">#REF!</definedName>
    <definedName name="_1_0__123Grap" hidden="1">#REF!</definedName>
    <definedName name="_1_0_0_K" hidden="1">#REF!</definedName>
    <definedName name="_10__123Graph_BCHART_4" hidden="1">#REF!</definedName>
    <definedName name="_10__123Graph_CChart_1A" hidden="1">#REF!</definedName>
    <definedName name="_108__123Graph_XCHART_4" hidden="1">#REF!</definedName>
    <definedName name="_11__123Graph_DChart_1A" hidden="1">#REF!</definedName>
    <definedName name="_12__123Graph_BCHART_111" hidden="1">#REF!</definedName>
    <definedName name="_12__123Graph_BCHART_3" hidden="1">#REF!</definedName>
    <definedName name="_12__123Graph_EChart_1A" hidden="1">#REF!</definedName>
    <definedName name="_12__123Graph_XCHART_4" hidden="1">#REF!</definedName>
    <definedName name="_123Graph_B" hidden="1">#REF!</definedName>
    <definedName name="_123Graph_xchart5" hidden="1">#REF!</definedName>
    <definedName name="_13__123Graph_BCHART_112" hidden="1">#REF!</definedName>
    <definedName name="_13__123Graph_XChart_1A" hidden="1">#REF!</definedName>
    <definedName name="_14__123Graph_BCHART_26" hidden="1">#REF!</definedName>
    <definedName name="_14__0_S" hidden="1">#REF!</definedName>
    <definedName name="_15__123Graph_BCHART_4" hidden="1">#REF!</definedName>
    <definedName name="_15__0_S" hidden="1">#REF!</definedName>
    <definedName name="_16__123Graph_ACHART_4" hidden="1">#REF!</definedName>
    <definedName name="_18__123Graph_ACHART_4" hidden="1">#REF!</definedName>
    <definedName name="_18__123Graph_XCHART_4" hidden="1">#REF!</definedName>
    <definedName name="_19__123Graph_CCHART_111" hidden="1">#REF!</definedName>
    <definedName name="_1ITAMEMC" localSheetId="0" hidden="1">{#N/A,#N/A,FALSE,"USMED 3";#N/A,#N/A,FALSE,"MARCHALLENGER 1";#N/A,#N/A,FALSE,"MARCHALLENGER 2";#N/A,#N/A,FALSE,"MARCHALLENGER 3";#N/A,#N/A,FALSE,"MARCHALLENGER 4"}</definedName>
    <definedName name="_1ITAMEMC" hidden="1">{#N/A,#N/A,FALSE,"USMED 3";#N/A,#N/A,FALSE,"MARCHALLENGER 1";#N/A,#N/A,FALSE,"MARCHALLENGER 2";#N/A,#N/A,FALSE,"MARCHALLENGER 3";#N/A,#N/A,FALSE,"MARCHALLENGER 4"}</definedName>
    <definedName name="_2__123Graph_ACHART_111" hidden="1">#REF!</definedName>
    <definedName name="_2__123Graph_ACHART_4" hidden="1">#REF!</definedName>
    <definedName name="_2__123Graph_BCHART_1" hidden="1">#REF!</definedName>
    <definedName name="_2_0_0_S" hidden="1">#REF!</definedName>
    <definedName name="_20__123Graph_CCHART_112" hidden="1">#REF!</definedName>
    <definedName name="_21__123Graph_CCHART_26" hidden="1">#REF!</definedName>
    <definedName name="_22__123Graph_CCHART_30" hidden="1">#REF!</definedName>
    <definedName name="_25__123Graph_DCHART_112" hidden="1">#REF!</definedName>
    <definedName name="_28__123Graph_XCHART_112" hidden="1">#REF!</definedName>
    <definedName name="_3__123Graph_ACHART_112" hidden="1">#REF!</definedName>
    <definedName name="_3__123Graph_ACHART_4" hidden="1">#REF!</definedName>
    <definedName name="_3__123Graph_BCHART_2" hidden="1">#REF!</definedName>
    <definedName name="_31__123Graph_XCHART_30" hidden="1">#REF!</definedName>
    <definedName name="_32__123Graph_BCHART_1" hidden="1">#REF!</definedName>
    <definedName name="_36__123Graph_BCHART_1" hidden="1">#REF!</definedName>
    <definedName name="_4__123Graph_BCHART_1" hidden="1">#REF!</definedName>
    <definedName name="_4__123Graph_BCHART_3" hidden="1">#REF!</definedName>
    <definedName name="_48__123Graph_BCHART_2" hidden="1">#REF!</definedName>
    <definedName name="_5__123Graph_ACHART_26" hidden="1">#REF!</definedName>
    <definedName name="_5__123Graph_BCHART_4" hidden="1">#REF!</definedName>
    <definedName name="_54__123Graph_BCHART_2" hidden="1">#REF!</definedName>
    <definedName name="_6__123Graph_BCHART_1" hidden="1">#REF!</definedName>
    <definedName name="_6__123Graph_BCHART_2" hidden="1">#REF!</definedName>
    <definedName name="_6__123Graph_XCHART_4" hidden="1">#REF!</definedName>
    <definedName name="_64__123Graph_BCHART_3" hidden="1">#REF!</definedName>
    <definedName name="_72__123Graph_BCHART_3" hidden="1">#REF!</definedName>
    <definedName name="_8__123Graph_AChart_1A" hidden="1">#REF!</definedName>
    <definedName name="_8__123Graph_ACHART_30" hidden="1">#REF!</definedName>
    <definedName name="_8__123Graph_BCHART_3" hidden="1">#REF!</definedName>
    <definedName name="_80__123Graph_BCHART_4" hidden="1">#REF!</definedName>
    <definedName name="_9__123Graph_BChart_1A" hidden="1">#REF!</definedName>
    <definedName name="_9__123Graph_BCHART_2" hidden="1">#REF!</definedName>
    <definedName name="_90__123Graph_BCHART_4" hidden="1">#REF!</definedName>
    <definedName name="_96__123Graph_XCHART_4" hidden="1">#REF!</definedName>
    <definedName name="_a1" localSheetId="0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7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_age1" localSheetId="0" hidden="1">{"'Mach'!$A$1:$D$39"}</definedName>
    <definedName name="_age1" hidden="1">{"'Mach'!$A$1:$D$39"}</definedName>
    <definedName name="_BQ4.10" hidden="1">#REF!</definedName>
    <definedName name="_BQ4.6" hidden="1">#REF!</definedName>
    <definedName name="_BQ4.8" hidden="1">#REF!</definedName>
    <definedName name="_BQ4.9" hidden="1">#REF!</definedName>
    <definedName name="_chi9" localSheetId="0" hidden="1">{#N/A,#N/A,FALSE,"USMED 3";#N/A,#N/A,FALSE,"MARCHALLENGER 1";#N/A,#N/A,FALSE,"MARCHALLENGER 2";#N/A,#N/A,FALSE,"MARCHALLENGER 3";#N/A,#N/A,FALSE,"MARCHALLENGER 4"}</definedName>
    <definedName name="_chi9" hidden="1">{#N/A,#N/A,FALSE,"USMED 3";#N/A,#N/A,FALSE,"MARCHALLENGER 1";#N/A,#N/A,FALSE,"MARCHALLENGER 2";#N/A,#N/A,FALSE,"MARCHALLENGER 3";#N/A,#N/A,FALSE,"MARCHALLENGER 4"}</definedName>
    <definedName name="_Dist_Bin" hidden="1">#REF!</definedName>
    <definedName name="_Dist_Values" hidden="1">#REF!</definedName>
    <definedName name="_E1" localSheetId="0" hidden="1">{#N/A,#N/A,FALSE,"Graficos    ( 9 )"}</definedName>
    <definedName name="_E1" hidden="1">{#N/A,#N/A,FALSE,"Graficos    ( 9 )"}</definedName>
    <definedName name="_E2" localSheetId="0" hidden="1">{#N/A,#N/A,FALSE,"1321";#N/A,#N/A,FALSE,"1324";#N/A,#N/A,FALSE,"1333";#N/A,#N/A,FALSE,"1371"}</definedName>
    <definedName name="_E2" hidden="1">{#N/A,#N/A,FALSE,"1321";#N/A,#N/A,FALSE,"1324";#N/A,#N/A,FALSE,"1333";#N/A,#N/A,FALSE,"1371"}</definedName>
    <definedName name="_fa1" localSheetId="0" hidden="1">{"plansummary",#N/A,FALSE,"PlanSummary";"sales",#N/A,FALSE,"Sales Rec";"productivity",#N/A,FALSE,"Productivity Rec";"capitalspending",#N/A,FALSE,"Capital Spending"}</definedName>
    <definedName name="_fa1" hidden="1">{"plansummary",#N/A,FALSE,"PlanSummary";"sales",#N/A,FALSE,"Sales Rec";"productivity",#N/A,FALSE,"Productivity Rec";"capitalspending",#N/A,FALSE,"Capital Spending"}</definedName>
    <definedName name="_fa2" localSheetId="0" hidden="1">{"plansummary",#N/A,FALSE,"PlanSummary";"sales",#N/A,FALSE,"Sales Rec";"productivity",#N/A,FALSE,"Productivity Rec";"capitalspending",#N/A,FALSE,"Capital Spending"}</definedName>
    <definedName name="_fa2" hidden="1">{"plansummary",#N/A,FALSE,"PlanSummary";"sales",#N/A,FALSE,"Sales Rec";"productivity",#N/A,FALSE,"Productivity Rec";"capitalspending",#N/A,FALSE,"Capital Spending"}</definedName>
    <definedName name="_fa3" localSheetId="0" hidden="1">{"plansummary",#N/A,FALSE,"PlanSummary";"sales",#N/A,FALSE,"Sales Rec";"productivity",#N/A,FALSE,"Productivity Rec";"capitalspending",#N/A,FALSE,"Capital Spending"}</definedName>
    <definedName name="_fa3" hidden="1">{"plansummary",#N/A,FALSE,"PlanSummary";"sales",#N/A,FALSE,"Sales Rec";"productivity",#N/A,FALSE,"Productivity Rec";"capitalspending",#N/A,FALSE,"Capital Spending"}</definedName>
    <definedName name="_Fill" hidden="1">#REF!</definedName>
    <definedName name="_xlnm._FilterDatabase" hidden="1">#REF!</definedName>
    <definedName name="_GSRATES_1" hidden="1">"CT300001Latest          "</definedName>
    <definedName name="_GSRATES_2" hidden="1">"CT30000120040521        "</definedName>
    <definedName name="_GSRATES_COUNT" hidden="1">2</definedName>
    <definedName name="_GSRATESR_1" hidden="1">#REF!</definedName>
    <definedName name="_GSRATESR_2" hidden="1">#REF!</definedName>
    <definedName name="_Key1" hidden="1">#REF!</definedName>
    <definedName name="_Key2" hidden="1">#REF!</definedName>
    <definedName name="_LPS2" localSheetId="0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med7" localSheetId="0" hidden="1">{#N/A,#N/A,FALSE,"USMED 3";#N/A,#N/A,FALSE,"MARCHALLENGER 1";#N/A,#N/A,FALSE,"MARCHALLENGER 2";#N/A,#N/A,FALSE,"MARCHALLENGER 3";#N/A,#N/A,FALSE,"MARCHALLENGER 4"}</definedName>
    <definedName name="_med7" hidden="1">{#N/A,#N/A,FALSE,"USMED 3";#N/A,#N/A,FALSE,"MARCHALLENGER 1";#N/A,#N/A,FALSE,"MARCHALLENGER 2";#N/A,#N/A,FALSE,"MARCHALLENGER 3";#N/A,#N/A,FALSE,"MARCHALLENGER 4"}</definedName>
    <definedName name="_Mix1" hidden="1">#REF!</definedName>
    <definedName name="_mor1" hidden="1">#REF!</definedName>
    <definedName name="_msl3" localSheetId="0" hidden="1">{#N/A,#N/A,FALSE,"USMED 3";#N/A,#N/A,FALSE,"MARCHALLENGER 1";#N/A,#N/A,FALSE,"MARCHALLENGER 2";#N/A,#N/A,FALSE,"MARCHALLENGER 3";#N/A,#N/A,FALSE,"MARCHALLENGER 4"}</definedName>
    <definedName name="_msl3" hidden="1">{#N/A,#N/A,FALSE,"USMED 3";#N/A,#N/A,FALSE,"MARCHALLENGER 1";#N/A,#N/A,FALSE,"MARCHALLENGER 2";#N/A,#N/A,FALSE,"MARCHALLENGER 3";#N/A,#N/A,FALSE,"MARCHALLENGER 4"}</definedName>
    <definedName name="_new2" localSheetId="0" hidden="1">{#N/A,#N/A,FALSE,"3";#N/A,#N/A,FALSE,"5";#N/A,#N/A,FALSE,"6";#N/A,#N/A,FALSE,"8";#N/A,#N/A,FALSE,"10";#N/A,#N/A,FALSE,"13";#N/A,#N/A,FALSE,"14";#N/A,#N/A,FALSE,"15";#N/A,#N/A,FALSE,"16"}</definedName>
    <definedName name="_new2" hidden="1">{#N/A,#N/A,FALSE,"3";#N/A,#N/A,FALSE,"5";#N/A,#N/A,FALSE,"6";#N/A,#N/A,FALSE,"8";#N/A,#N/A,FALSE,"10";#N/A,#N/A,FALSE,"13";#N/A,#N/A,FALSE,"14";#N/A,#N/A,FALSE,"15";#N/A,#N/A,FALSE,"16"}</definedName>
    <definedName name="_new3" localSheetId="0" hidden="1">{#N/A,#N/A,FALSE,"3";#N/A,#N/A,FALSE,"5";#N/A,#N/A,FALSE,"6";#N/A,#N/A,FALSE,"8";#N/A,#N/A,FALSE,"10";#N/A,#N/A,FALSE,"13";#N/A,#N/A,FALSE,"14";#N/A,#N/A,FALSE,"15";#N/A,#N/A,FALSE,"16"}</definedName>
    <definedName name="_new3" hidden="1">{#N/A,#N/A,FALSE,"3";#N/A,#N/A,FALSE,"5";#N/A,#N/A,FALSE,"6";#N/A,#N/A,FALSE,"8";#N/A,#N/A,FALSE,"10";#N/A,#N/A,FALSE,"13";#N/A,#N/A,FALSE,"14";#N/A,#N/A,FALSE,"15";#N/A,#N/A,FALSE,"16"}</definedName>
    <definedName name="_new4" localSheetId="0" hidden="1">{#N/A,#N/A,FALSE,"3";#N/A,#N/A,FALSE,"5";#N/A,#N/A,FALSE,"6";#N/A,#N/A,FALSE,"8";#N/A,#N/A,FALSE,"10";#N/A,#N/A,FALSE,"13";#N/A,#N/A,FALSE,"14";#N/A,#N/A,FALSE,"15";#N/A,#N/A,FALSE,"16"}</definedName>
    <definedName name="_new4" hidden="1">{#N/A,#N/A,FALSE,"3";#N/A,#N/A,FALSE,"5";#N/A,#N/A,FALSE,"6";#N/A,#N/A,FALSE,"8";#N/A,#N/A,FALSE,"10";#N/A,#N/A,FALSE,"13";#N/A,#N/A,FALSE,"14";#N/A,#N/A,FALSE,"15";#N/A,#N/A,FALSE,"16"}</definedName>
    <definedName name="_new5" localSheetId="0" hidden="1">{#N/A,#N/A,FALSE,"3";#N/A,#N/A,FALSE,"5";#N/A,#N/A,FALSE,"6";#N/A,#N/A,FALSE,"8";#N/A,#N/A,FALSE,"10";#N/A,#N/A,FALSE,"13";#N/A,#N/A,FALSE,"14";#N/A,#N/A,FALSE,"15";#N/A,#N/A,FALSE,"16"}</definedName>
    <definedName name="_new5" hidden="1">{#N/A,#N/A,FALSE,"3";#N/A,#N/A,FALSE,"5";#N/A,#N/A,FALSE,"6";#N/A,#N/A,FALSE,"8";#N/A,#N/A,FALSE,"10";#N/A,#N/A,FALSE,"13";#N/A,#N/A,FALSE,"14";#N/A,#N/A,FALSE,"15";#N/A,#N/A,FALSE,"16"}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" localSheetId="0" hidden="1">{#N/A,#N/A,FALSE,"USMED 3";#N/A,#N/A,FALSE,"MARCHALLENGER 1";#N/A,#N/A,FALSE,"MARCHALLENGER 2";#N/A,#N/A,FALSE,"MARCHALLENGER 3";#N/A,#N/A,FALSE,"MARCHALLENGER 4"}</definedName>
    <definedName name="_R" hidden="1">{#N/A,#N/A,FALSE,"USMED 3";#N/A,#N/A,FALSE,"MARCHALLENGER 1";#N/A,#N/A,FALSE,"MARCHALLENGER 2";#N/A,#N/A,FALSE,"MARCHALLENGER 3";#N/A,#N/A,FALSE,"MARCHALLENGER 4"}</definedName>
    <definedName name="_Ram1" localSheetId="0" hidden="1">{#N/A,#N/A,TRUE,"BALSCH";#N/A,#N/A,TRUE,"COMICRO";#N/A,#N/A,TRUE,"CHECKS";#N/A,#N/A,TRUE,"GLASS";#N/A,#N/A,TRUE,"DEPRE";#N/A,#N/A,TRUE,"A&amp;MCUR";#N/A,#N/A,TRUE,"AGEANAlysis";#N/A,#N/A,TRUE,"CHECKS"}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Regression_X" hidden="1">#REF!</definedName>
    <definedName name="_s3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s3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_sga" hidden="1">#REF!</definedName>
    <definedName name="_sl3" localSheetId="0" hidden="1">{#N/A,#N/A,FALSE,"USMED 3";#N/A,#N/A,FALSE,"MARCHALLENGER 1";#N/A,#N/A,FALSE,"MARCHALLENGER 2";#N/A,#N/A,FALSE,"MARCHALLENGER 3";#N/A,#N/A,FALSE,"MARCHALLENGER 4"}</definedName>
    <definedName name="_sl3" hidden="1">{#N/A,#N/A,FALSE,"USMED 3";#N/A,#N/A,FALSE,"MARCHALLENGER 1";#N/A,#N/A,FALSE,"MARCHALLENGER 2";#N/A,#N/A,FALSE,"MARCHALLENGER 3";#N/A,#N/A,FALSE,"MARCHALLENGER 4"}</definedName>
    <definedName name="_slm3" localSheetId="0" hidden="1">{#N/A,#N/A,FALSE,"USMED 3";#N/A,#N/A,FALSE,"MARCHALLENGER 1";#N/A,#N/A,FALSE,"MARCHALLENGER 2";#N/A,#N/A,FALSE,"MARCHALLENGER 3";#N/A,#N/A,FALSE,"MARCHALLENGER 4"}</definedName>
    <definedName name="_slm3" hidden="1">{#N/A,#N/A,FALSE,"USMED 3";#N/A,#N/A,FALSE,"MARCHALLENGER 1";#N/A,#N/A,FALSE,"MARCHALLENGER 2";#N/A,#N/A,FALSE,"MARCHALLENGER 3";#N/A,#N/A,FALSE,"MARCHALLENGER 4"}</definedName>
    <definedName name="_Sort" hidden="1">#REF!</definedName>
    <definedName name="_sorte" hidden="1">#REF!</definedName>
    <definedName name="_SSK1" localSheetId="0" hidden="1">{#N/A,#N/A,FALSE,"COMP"}</definedName>
    <definedName name="_SSK1" hidden="1">{#N/A,#N/A,FALSE,"COMP"}</definedName>
    <definedName name="_T2" localSheetId="0" hidden="1">{#N/A,#N/A,FALSE,"1321";#N/A,#N/A,FALSE,"1324";#N/A,#N/A,FALSE,"1333";#N/A,#N/A,FALSE,"1371"}</definedName>
    <definedName name="_T2" hidden="1">{#N/A,#N/A,FALSE,"1321";#N/A,#N/A,FALSE,"1324";#N/A,#N/A,FALSE,"1333";#N/A,#N/A,FALSE,"1371"}</definedName>
    <definedName name="_Table2_In1" hidden="1">#REF!</definedName>
    <definedName name="_Table2_In2" hidden="1">#REF!</definedName>
    <definedName name="_tft2" localSheetId="0" hidden="1">{#N/A,#N/A,FALSE,"3";#N/A,#N/A,FALSE,"5";#N/A,#N/A,FALSE,"6";#N/A,#N/A,FALSE,"8";#N/A,#N/A,FALSE,"10";#N/A,#N/A,FALSE,"13";#N/A,#N/A,FALSE,"14";#N/A,#N/A,FALSE,"15";#N/A,#N/A,FALSE,"16"}</definedName>
    <definedName name="_tft2" hidden="1">{#N/A,#N/A,FALSE,"3";#N/A,#N/A,FALSE,"5";#N/A,#N/A,FALSE,"6";#N/A,#N/A,FALSE,"8";#N/A,#N/A,FALSE,"10";#N/A,#N/A,FALSE,"13";#N/A,#N/A,FALSE,"14";#N/A,#N/A,FALSE,"15";#N/A,#N/A,FALSE,"16"}</definedName>
    <definedName name="_UNDO31X31X_" hidden="1">#REF!</definedName>
    <definedName name="_VOP3" hidden="1">#REF!</definedName>
    <definedName name="_x2" localSheetId="0" hidden="1">{#N/A,#N/A,FALSE,"3";#N/A,#N/A,FALSE,"5";#N/A,#N/A,FALSE,"6";#N/A,#N/A,FALSE,"8";#N/A,#N/A,FALSE,"10";#N/A,#N/A,FALSE,"13";#N/A,#N/A,FALSE,"14";#N/A,#N/A,FALSE,"15";#N/A,#N/A,FALSE,"16"}</definedName>
    <definedName name="_x2" hidden="1">{#N/A,#N/A,FALSE,"3";#N/A,#N/A,FALSE,"5";#N/A,#N/A,FALSE,"6";#N/A,#N/A,FALSE,"8";#N/A,#N/A,FALSE,"10";#N/A,#N/A,FALSE,"13";#N/A,#N/A,FALSE,"14";#N/A,#N/A,FALSE,"15";#N/A,#N/A,FALSE,"16"}</definedName>
    <definedName name="_xlcn.GekoppeldeTabel_Tabel11" hidden="1">#REF!</definedName>
    <definedName name="_xx1" localSheetId="0" hidden="1">{"'Typical Costs Estimates'!$C$158:$H$161"}</definedName>
    <definedName name="_xx1" hidden="1">{"'Typical Costs Estimates'!$C$158:$H$161"}</definedName>
    <definedName name="a." localSheetId="0" hidden="1">{#N/A,#N/A,TRUE,"KEY DATA";#N/A,#N/A,TRUE,"KEY DATA Base Case";#N/A,#N/A,TRUE,"JULY";#N/A,#N/A,TRUE,"AUG";#N/A,#N/A,TRUE,"SEPT";#N/A,#N/A,TRUE,"3Q"}</definedName>
    <definedName name="a." hidden="1">{#N/A,#N/A,TRUE,"KEY DATA";#N/A,#N/A,TRUE,"KEY DATA Base Case";#N/A,#N/A,TRUE,"JULY";#N/A,#N/A,TRUE,"AUG";#N/A,#N/A,TRUE,"SEPT";#N/A,#N/A,TRUE,"3Q"}</definedName>
    <definedName name="A.." localSheetId="0" hidden="1">{#N/A,#N/A,TRUE,"KEY DATA";#N/A,#N/A,TRUE,"KEY DATA Base Case";#N/A,#N/A,TRUE,"JULY";#N/A,#N/A,TRUE,"AUG";#N/A,#N/A,TRUE,"SEPT";#N/A,#N/A,TRUE,"3Q"}</definedName>
    <definedName name="A.." hidden="1">{#N/A,#N/A,TRUE,"KEY DATA";#N/A,#N/A,TRUE,"KEY DATA Base Case";#N/A,#N/A,TRUE,"JULY";#N/A,#N/A,TRUE,"AUG";#N/A,#N/A,TRUE,"SEPT";#N/A,#N/A,TRUE,"3Q"}</definedName>
    <definedName name="aaa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a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aa." localSheetId="0" hidden="1">{#N/A,#N/A,TRUE,"KEY DATA";#N/A,#N/A,TRUE,"KEY DATA Base Case";#N/A,#N/A,TRUE,"JULY";#N/A,#N/A,TRUE,"AUG";#N/A,#N/A,TRUE,"SEPT";#N/A,#N/A,TRUE,"3Q"}</definedName>
    <definedName name="aaa." hidden="1">{#N/A,#N/A,TRUE,"KEY DATA";#N/A,#N/A,TRUE,"KEY DATA Base Case";#N/A,#N/A,TRUE,"JULY";#N/A,#N/A,TRUE,"AUG";#N/A,#N/A,TRUE,"SEPT";#N/A,#N/A,TRUE,"3Q"}</definedName>
    <definedName name="AAA_DOCTOPS" hidden="1">"AAA_SET"</definedName>
    <definedName name="AAA_duser" hidden="1">"OFF"</definedName>
    <definedName name="aaaaaaaaa.aaaa." localSheetId="0" hidden="1">{#N/A,#N/A,TRUE,"BALSCH";#N/A,#N/A,TRUE,"COMICRO";#N/A,#N/A,TRUE,"CHECKS";#N/A,#N/A,TRUE,"GLASS";#N/A,#N/A,TRUE,"DEPRE";#N/A,#N/A,TRUE,"A&amp;MCUR";#N/A,#N/A,TRUE,"AGEANAlysis";#N/A,#N/A,TRUE,"CHECKS"}</definedName>
    <definedName name="aaaaaaaaa.aaaa." hidden="1">{#N/A,#N/A,TRUE,"BALSCH";#N/A,#N/A,TRUE,"COMICRO";#N/A,#N/A,TRUE,"CHECKS";#N/A,#N/A,TRUE,"GLASS";#N/A,#N/A,TRUE,"DEPRE";#N/A,#N/A,TRUE,"A&amp;MCUR";#N/A,#N/A,TRUE,"AGEANAlysis";#N/A,#N/A,TRUE,"CHECKS"}</definedName>
    <definedName name="AAAAAAAAAAAAAAAAAAAAAAAAAAAAAAAAAAAAAA" localSheetId="0" hidden="1">{#N/A,#N/A,FALSE,"USMED 3";#N/A,#N/A,FALSE,"MARCHALLENGER 1";#N/A,#N/A,FALSE,"MARCHALLENGER 2";#N/A,#N/A,FALSE,"MARCHALLENGER 3";#N/A,#N/A,FALSE,"MARCHALLENGER 4"}</definedName>
    <definedName name="AAAAAAAAAAAAAAAAAAAAAAAAAAAAAAAAAAAAAA" hidden="1">{#N/A,#N/A,FALSE,"USMED 3";#N/A,#N/A,FALSE,"MARCHALLENGER 1";#N/A,#N/A,FALSE,"MARCHALLENGER 2";#N/A,#N/A,FALSE,"MARCHALLENGER 3";#N/A,#N/A,FALSE,"MARCHALLENGER 4"}</definedName>
    <definedName name="aaaasdf" localSheetId="0" hidden="1">{#N/A,#N/A,TRUE,"GEM Total";#N/A,#N/A,TRUE,"Final Assembly";#N/A,#N/A,TRUE,"Cleaning";#N/A,#N/A,TRUE,"Schooping,Clearing";#N/A,#N/A,TRUE,"Winding"}</definedName>
    <definedName name="aaaasdf" hidden="1">{#N/A,#N/A,TRUE,"GEM Total";#N/A,#N/A,TRUE,"Final Assembly";#N/A,#N/A,TRUE,"Cleaning";#N/A,#N/A,TRUE,"Schooping,Clearing";#N/A,#N/A,TRUE,"Winding"}</definedName>
    <definedName name="aaaassss" localSheetId="0" hidden="1">{#N/A,#N/A,TRUE,"GEM Total";#N/A,#N/A,TRUE,"Final Assembly";#N/A,#N/A,TRUE,"Cleaning";#N/A,#N/A,TRUE,"Schooping,Clearing";#N/A,#N/A,TRUE,"Winding"}</definedName>
    <definedName name="aaaassss" hidden="1">{#N/A,#N/A,TRUE,"GEM Total";#N/A,#N/A,TRUE,"Final Assembly";#N/A,#N/A,TRUE,"Cleaning";#N/A,#N/A,TRUE,"Schooping,Clearing";#N/A,#N/A,TRUE,"Winding"}</definedName>
    <definedName name="aab" localSheetId="0" hidden="1">{"'Mach'!$A$1:$D$39"}</definedName>
    <definedName name="aab" hidden="1">{"'Mach'!$A$1:$D$39"}</definedName>
    <definedName name="AAB_Addin5" hidden="1">"AAB_Description for addin 5,Description for addin 5,Description for addin 5,Description for addin 5,Description for addin 5,Description for addin 5"</definedName>
    <definedName name="Aan" hidden="1">2</definedName>
    <definedName name="aasasasASasASasASasASasASAsAa" localSheetId="0" hidden="1">{#N/A,#N/A,TRUE,"BALSCH";#N/A,#N/A,TRUE,"COMICRO";#N/A,#N/A,TRUE,"CHECKS";#N/A,#N/A,TRUE,"GLASS";#N/A,#N/A,TRUE,"DEPRE";#N/A,#N/A,TRUE,"A&amp;MCUR";#N/A,#N/A,TRUE,"AGEANAlysis";#N/A,#N/A,TRUE,"CHECKS"}</definedName>
    <definedName name="aasasasASasASasASasASasASAsAa" hidden="1">{#N/A,#N/A,TRUE,"BALSCH";#N/A,#N/A,TRUE,"COMICRO";#N/A,#N/A,TRUE,"CHECKS";#N/A,#N/A,TRUE,"GLASS";#N/A,#N/A,TRUE,"DEPRE";#N/A,#N/A,TRUE,"A&amp;MCUR";#N/A,#N/A,TRUE,"AGEANAlysis";#N/A,#N/A,TRUE,"CHECKS"}</definedName>
    <definedName name="aASASD" localSheetId="0" hidden="1">{#N/A,#N/A,TRUE,"Summary";#N/A,#N/A,TRUE,"IS";#N/A,#N/A,TRUE,"Adj";#N/A,#N/A,TRUE,"BS";#N/A,#N/A,TRUE,"CF";#N/A,#N/A,TRUE,"Debt";#N/A,#N/A,TRUE,"IRR"}</definedName>
    <definedName name="aASASD" hidden="1">{#N/A,#N/A,TRUE,"Summary";#N/A,#N/A,TRUE,"IS";#N/A,#N/A,TRUE,"Adj";#N/A,#N/A,TRUE,"BS";#N/A,#N/A,TRUE,"CF";#N/A,#N/A,TRUE,"Debt";#N/A,#N/A,TRUE,"IRR"}</definedName>
    <definedName name="abc.doc" localSheetId="0" hidden="1">{"'Income Statement'!$D$96:$E$101"}</definedName>
    <definedName name="abc.doc" hidden="1">{"'Income Statement'!$D$96:$E$101"}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"C:\accts\AUD97_98.mdb"</definedName>
    <definedName name="actual" localSheetId="0" hidden="1">{#N/A,#N/A,FALSE,"Cash Flows";#N/A,#N/A,FALSE,"Fixed Assets";#N/A,#N/A,FALSE,"Balance Sheet";#N/A,#N/A,FALSE,"P &amp; L"}</definedName>
    <definedName name="actual" hidden="1">{#N/A,#N/A,FALSE,"Cash Flows";#N/A,#N/A,FALSE,"Fixed Assets";#N/A,#N/A,FALSE,"Balance Sheet";#N/A,#N/A,FALSE,"P &amp; L"}</definedName>
    <definedName name="ada" localSheetId="0" hidden="1">{#N/A,#N/A,FALSE,"3";#N/A,#N/A,FALSE,"5";#N/A,#N/A,FALSE,"6";#N/A,#N/A,FALSE,"8";#N/A,#N/A,FALSE,"10";#N/A,#N/A,FALSE,"13";#N/A,#N/A,FALSE,"14";#N/A,#N/A,FALSE,"15";#N/A,#N/A,FALSE,"16"}</definedName>
    <definedName name="ada" hidden="1">{#N/A,#N/A,FALSE,"3";#N/A,#N/A,FALSE,"5";#N/A,#N/A,FALSE,"6";#N/A,#N/A,FALSE,"8";#N/A,#N/A,FALSE,"10";#N/A,#N/A,FALSE,"13";#N/A,#N/A,FALSE,"14";#N/A,#N/A,FALSE,"15";#N/A,#N/A,FALSE,"16"}</definedName>
    <definedName name="add" localSheetId="0" hidden="1">{"Inputs",#N/A,FALSE,"Data Reduction";"Outputs",#N/A,FALSE,"Data Reduction";"Cycle Deck Comparison",#N/A,FALSE,"Data Reduction"}</definedName>
    <definedName name="add" hidden="1">{"Inputs",#N/A,FALSE,"Data Reduction";"Outputs",#N/A,FALSE,"Data Reduction";"Cycle Deck Comparison",#N/A,FALSE,"Data Reduction"}</definedName>
    <definedName name="additions" localSheetId="0" hidden="1">{#N/A,#N/A,FALSE,"COMP"}</definedName>
    <definedName name="additions" hidden="1">{#N/A,#N/A,FALSE,"COMP"}</definedName>
    <definedName name="ads\" hidden="1">#REF!</definedName>
    <definedName name="afasf" localSheetId="0" hidden="1">{#N/A,#N/A,FALSE,"3";#N/A,#N/A,FALSE,"5";#N/A,#N/A,FALSE,"6";#N/A,#N/A,FALSE,"8";#N/A,#N/A,FALSE,"10";#N/A,#N/A,FALSE,"13";#N/A,#N/A,FALSE,"14";#N/A,#N/A,FALSE,"15";#N/A,#N/A,FALSE,"16"}</definedName>
    <definedName name="afasf" hidden="1">{#N/A,#N/A,FALSE,"3";#N/A,#N/A,FALSE,"5";#N/A,#N/A,FALSE,"6";#N/A,#N/A,FALSE,"8";#N/A,#N/A,FALSE,"10";#N/A,#N/A,FALSE,"13";#N/A,#N/A,FALSE,"14";#N/A,#N/A,FALSE,"15";#N/A,#N/A,FALSE,"16"}</definedName>
    <definedName name="age" localSheetId="0" hidden="1">{#N/A,#N/A,FALSE,"Aging Summary";#N/A,#N/A,FALSE,"Ratio Analysis";#N/A,#N/A,FALSE,"Test 120 Day Accts";#N/A,#N/A,FALSE,"Tickmarks"}</definedName>
    <definedName name="age" hidden="1">{#N/A,#N/A,FALSE,"Aging Summary";#N/A,#N/A,FALSE,"Ratio Analysis";#N/A,#N/A,FALSE,"Test 120 Day Accts";#N/A,#N/A,FALSE,"Tickmarks"}</definedName>
    <definedName name="Ahdhdhd" localSheetId="0" hidden="1">{"Inputs",#N/A,FALSE,"Data Reduction";"Outputs",#N/A,FALSE,"Data Reduction";"Cycle Deck Comparison",#N/A,FALSE,"Data Reduction"}</definedName>
    <definedName name="Ahdhdhd" hidden="1">{"Inputs",#N/A,FALSE,"Data Reduction";"Outputs",#N/A,FALSE,"Data Reduction";"Cycle Deck Comparison",#N/A,FALSE,"Data Reduction"}</definedName>
    <definedName name="ALN" hidden="1">#REF!</definedName>
    <definedName name="ANNUITY" localSheetId="0" hidden="1">{"'Typical Costs Estimates'!$C$158:$H$161"}</definedName>
    <definedName name="ANNUITY" hidden="1">{"'Typical Costs Estimates'!$C$158:$H$161"}</definedName>
    <definedName name="anscount" hidden="1">3</definedName>
    <definedName name="arfaef" hidden="1">#N/A</definedName>
    <definedName name="as" hidden="1">#REF!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 localSheetId="0" hidden="1">{#N/A,#N/A,TRUE,"BALSCH";#N/A,#N/A,TRUE,"COMICRO";#N/A,#N/A,TRUE,"CHECKS";#N/A,#N/A,TRUE,"GLASS";#N/A,#N/A,TRUE,"DEPRE";#N/A,#N/A,TRUE,"A&amp;MCUR";#N/A,#N/A,TRUE,"AGEANAlysis";#N/A,#N/A,TRUE,"CHECKS"}</definedName>
    <definedName name="asas" hidden="1">{#N/A,#N/A,TRUE,"BALSCH";#N/A,#N/A,TRUE,"COMICRO";#N/A,#N/A,TRUE,"CHECKS";#N/A,#N/A,TRUE,"GLASS";#N/A,#N/A,TRUE,"DEPRE";#N/A,#N/A,TRUE,"A&amp;MCUR";#N/A,#N/A,TRUE,"AGEANAlysis";#N/A,#N/A,TRUE,"CHECKS"}</definedName>
    <definedName name="asb" localSheetId="0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asb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asbdfk" localSheetId="0" hidden="1">{#N/A,#N/A,FALSE,"10"}</definedName>
    <definedName name="asbdfk" hidden="1">{#N/A,#N/A,FALSE,"10"}</definedName>
    <definedName name="asdasdasd" localSheetId="0" hidden="1">{#N/A,#N/A,FALSE,"COMP"}</definedName>
    <definedName name="asdasdasd" hidden="1">{#N/A,#N/A,FALSE,"COMP"}</definedName>
    <definedName name="asdf" localSheetId="0" hidden="1">{#N/A,#N/A,FALSE,"CDA Plan"}</definedName>
    <definedName name="asdf" hidden="1">{#N/A,#N/A,FALSE,"CDA Plan"}</definedName>
    <definedName name="asdfg" localSheetId="0" hidden="1">{#N/A,#N/A,TRUE,"KEY DATA";#N/A,#N/A,TRUE,"KEY DATA Base Case";#N/A,#N/A,TRUE,"JULY";#N/A,#N/A,TRUE,"AUG";#N/A,#N/A,TRUE,"SEPT";#N/A,#N/A,TRUE,"3Q"}</definedName>
    <definedName name="asdfg" hidden="1">{#N/A,#N/A,TRUE,"KEY DATA";#N/A,#N/A,TRUE,"KEY DATA Base Case";#N/A,#N/A,TRUE,"JULY";#N/A,#N/A,TRUE,"AUG";#N/A,#N/A,TRUE,"SEPT";#N/A,#N/A,TRUE,"3Q"}</definedName>
    <definedName name="asfsdf" localSheetId="0" hidden="1">{#N/A,#N/A,FALSE,"COMP"}</definedName>
    <definedName name="asfsdf" hidden="1">{#N/A,#N/A,FALSE,"COMP"}</definedName>
    <definedName name="asfsf" localSheetId="0" hidden="1">{#N/A,#N/A,FALSE,"3";#N/A,#N/A,FALSE,"5";#N/A,#N/A,FALSE,"6";#N/A,#N/A,FALSE,"8";#N/A,#N/A,FALSE,"10";#N/A,#N/A,FALSE,"13";#N/A,#N/A,FALSE,"14";#N/A,#N/A,FALSE,"15";#N/A,#N/A,FALSE,"16"}</definedName>
    <definedName name="asfsf" hidden="1">{#N/A,#N/A,FALSE,"3";#N/A,#N/A,FALSE,"5";#N/A,#N/A,FALSE,"6";#N/A,#N/A,FALSE,"8";#N/A,#N/A,FALSE,"10";#N/A,#N/A,FALSE,"13";#N/A,#N/A,FALSE,"14";#N/A,#N/A,FALSE,"15";#N/A,#N/A,FALSE,"16"}</definedName>
    <definedName name="ashis" localSheetId="0" hidden="1">{#N/A,#N/A,FALSE,"8"}</definedName>
    <definedName name="ashis" hidden="1">{#N/A,#N/A,FALSE,"8"}</definedName>
    <definedName name="ashish" localSheetId="0" hidden="1">{#N/A,#N/A,FALSE,"11"}</definedName>
    <definedName name="ashish" hidden="1">{#N/A,#N/A,FALSE,"11"}</definedName>
    <definedName name="asset" localSheetId="0" hidden="1">{"'Mach'!$A$1:$D$39"}</definedName>
    <definedName name="asset" hidden="1">{"'Mach'!$A$1:$D$39"}</definedName>
    <definedName name="atish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ackup" localSheetId="0" hidden="1">{#N/A,#N/A,TRUE,"KEY DATA";#N/A,#N/A,TRUE,"KEY DATA Base Case";#N/A,#N/A,TRUE,"JULY";#N/A,#N/A,TRUE,"AUG";#N/A,#N/A,TRUE,"SEPT";#N/A,#N/A,TRUE,"3Q"}</definedName>
    <definedName name="backup" hidden="1">{#N/A,#N/A,TRUE,"KEY DATA";#N/A,#N/A,TRUE,"KEY DATA Base Case";#N/A,#N/A,TRUE,"JULY";#N/A,#N/A,TRUE,"AUG";#N/A,#N/A,TRUE,"SEPT";#N/A,#N/A,TRUE,"3Q"}</definedName>
    <definedName name="backup." localSheetId="0" hidden="1">{#N/A,#N/A,TRUE,"KEY DATA";#N/A,#N/A,TRUE,"KEY DATA Base Case";#N/A,#N/A,TRUE,"JULY";#N/A,#N/A,TRUE,"AUG";#N/A,#N/A,TRUE,"SEPT";#N/A,#N/A,TRUE,"3Q"}</definedName>
    <definedName name="backup." hidden="1">{#N/A,#N/A,TRUE,"KEY DATA";#N/A,#N/A,TRUE,"KEY DATA Base Case";#N/A,#N/A,TRUE,"JULY";#N/A,#N/A,TRUE,"AUG";#N/A,#N/A,TRUE,"SEPT";#N/A,#N/A,TRUE,"3Q"}</definedName>
    <definedName name="Bari" localSheetId="0" hidden="1">{"inventory",#N/A,FALSE,"Inven. Turns 97 Rep";"sales",#N/A,FALSE,"Inven. Turns 97 Rep";"turns",#N/A,FALSE,"Inven. Turns 97 Rep";"days",#N/A,FALSE,"Inven. Turns 97 Rep"}</definedName>
    <definedName name="Bari" hidden="1">{"inventory",#N/A,FALSE,"Inven. Turns 97 Rep";"sales",#N/A,FALSE,"Inven. Turns 97 Rep";"turns",#N/A,FALSE,"Inven. Turns 97 Rep";"days",#N/A,FALSE,"Inven. Turns 97 Rep"}</definedName>
    <definedName name="Bari." localSheetId="0" hidden="1">{"Inventory",#N/A,TRUE,"Inven. Turns 1996";"sales",#N/A,TRUE,"Inven. Turns 1996";"Turns",#N/A,TRUE,"Inven. Turns 1996";"days",#N/A,TRUE,"Inven. Turns 1996"}</definedName>
    <definedName name="Bari." hidden="1">{"Inventory",#N/A,TRUE,"Inven. Turns 1996";"sales",#N/A,TRUE,"Inven. Turns 1996";"Turns",#N/A,TRUE,"Inven. Turns 1996";"days",#N/A,TRUE,"Inven. Turns 1996"}</definedName>
    <definedName name="bbbbbbbbbbbbbb" hidden="1">#REF!</definedName>
    <definedName name="bcb" localSheetId="0" hidden="1">{#N/A,#N/A,FALSE,"3";#N/A,#N/A,FALSE,"5";#N/A,#N/A,FALSE,"6";#N/A,#N/A,FALSE,"8";#N/A,#N/A,FALSE,"10";#N/A,#N/A,FALSE,"13";#N/A,#N/A,FALSE,"14";#N/A,#N/A,FALSE,"15";#N/A,#N/A,FALSE,"16"}</definedName>
    <definedName name="bcb" hidden="1">{#N/A,#N/A,FALSE,"3";#N/A,#N/A,FALSE,"5";#N/A,#N/A,FALSE,"6";#N/A,#N/A,FALSE,"8";#N/A,#N/A,FALSE,"10";#N/A,#N/A,FALSE,"13";#N/A,#N/A,FALSE,"14";#N/A,#N/A,FALSE,"15";#N/A,#N/A,FALSE,"16"}</definedName>
    <definedName name="BCHART" hidden="1">#REF!</definedName>
    <definedName name="bcvb" localSheetId="0" hidden="1">{#N/A,#N/A,FALSE,"3";#N/A,#N/A,FALSE,"5";#N/A,#N/A,FALSE,"6";#N/A,#N/A,FALSE,"8";#N/A,#N/A,FALSE,"10";#N/A,#N/A,FALSE,"13";#N/A,#N/A,FALSE,"14";#N/A,#N/A,FALSE,"15";#N/A,#N/A,FALSE,"16"}</definedName>
    <definedName name="bcvb" hidden="1">{#N/A,#N/A,FALSE,"3";#N/A,#N/A,FALSE,"5";#N/A,#N/A,FALSE,"6";#N/A,#N/A,FALSE,"8";#N/A,#N/A,FALSE,"10";#N/A,#N/A,FALSE,"13";#N/A,#N/A,FALSE,"14";#N/A,#N/A,FALSE,"15";#N/A,#N/A,FALSE,"16"}</definedName>
    <definedName name="bdk" localSheetId="0" hidden="1">{"Inputs",#N/A,FALSE,"Data Reduction";"Outputs",#N/A,FALSE,"Data Reduction";"Cycle Deck Comparison",#N/A,FALSE,"Data Reduction"}</definedName>
    <definedName name="bdk" hidden="1">{"Inputs",#N/A,FALSE,"Data Reduction";"Outputs",#N/A,FALSE,"Data Reduction";"Cycle Deck Comparison",#N/A,FALSE,"Data Reduction"}</definedName>
    <definedName name="BG_Del" hidden="1">15</definedName>
    <definedName name="BG_Ins" hidden="1">4</definedName>
    <definedName name="BG_Mod" hidden="1">6</definedName>
    <definedName name="bilan4" localSheetId="0" hidden="1">{"K Bilanz o. Kommentar",#N/A,FALSE,"Kaufhof"}</definedName>
    <definedName name="bilan4" hidden="1">{"K Bilanz o. Kommentar",#N/A,FALSE,"Kaufhof"}</definedName>
    <definedName name="BLPB10" hidden="1">#REF!</definedName>
    <definedName name="BLPB11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SDPL" localSheetId="0" hidden="1">{#N/A,#N/A,FALSE,"CDA Plan"}</definedName>
    <definedName name="BSDPL" hidden="1">{#N/A,#N/A,FALSE,"CDA Plan"}</definedName>
    <definedName name="BWFINANCIALS" localSheetId="0" hidden="1">{"'CQ1-4'!$B$1:$L$49"}</definedName>
    <definedName name="BWFINANCIALS" hidden="1">{"'CQ1-4'!$B$1:$L$49"}</definedName>
    <definedName name="cancel" localSheetId="0" hidden="1">{#N/A,#N/A,TRUE,"KEY DATA";#N/A,#N/A,TRUE,"KEY DATA Base Case";#N/A,#N/A,TRUE,"JULY";#N/A,#N/A,TRUE,"AUG";#N/A,#N/A,TRUE,"SEPT";#N/A,#N/A,TRUE,"3Q"}</definedName>
    <definedName name="cancel" hidden="1">{#N/A,#N/A,TRUE,"KEY DATA";#N/A,#N/A,TRUE,"KEY DATA Base Case";#N/A,#N/A,TRUE,"JULY";#N/A,#N/A,TRUE,"AUG";#N/A,#N/A,TRUE,"SEPT";#N/A,#N/A,TRUE,"3Q"}</definedName>
    <definedName name="cas" localSheetId="0" hidden="1">{#N/A,#N/A,FALSE,"10"}</definedName>
    <definedName name="cas" hidden="1">{#N/A,#N/A,FALSE,"10"}</definedName>
    <definedName name="cashflow2" localSheetId="0" hidden="1">{#N/A,#N/A,FALSE,"10"}</definedName>
    <definedName name="cashflow2" hidden="1">{#N/A,#N/A,FALSE,"10"}</definedName>
    <definedName name="CBL" hidden="1">#REF!</definedName>
    <definedName name="cen" localSheetId="0" hidden="1">{#N/A,#N/A,FALSE,"COMICRO";#N/A,#N/A,FALSE,"BALSCH";#N/A,#N/A,FALSE,"GLASS";#N/A,#N/A,FALSE,"DEPRE";#N/A,#N/A,FALSE,"A&amp;MCUR";#N/A,#N/A,FALSE,"AGEANAlysis";#N/A,#N/A,FALSE,"CHECKS";#N/A,#N/A,FALSE,"CHECKS"}</definedName>
    <definedName name="cen" hidden="1">{#N/A,#N/A,FALSE,"COMICRO";#N/A,#N/A,FALSE,"BALSCH";#N/A,#N/A,FALSE,"GLASS";#N/A,#N/A,FALSE,"DEPRE";#N/A,#N/A,FALSE,"A&amp;MCUR";#N/A,#N/A,FALSE,"AGEANAlysis";#N/A,#N/A,FALSE,"CHECKS";#N/A,#N/A,FALSE,"CHECKS"}</definedName>
    <definedName name="cenvat" localSheetId="0" hidden="1">{#N/A,#N/A,TRUE,"BALSCH";#N/A,#N/A,TRUE,"COMICRO";#N/A,#N/A,TRUE,"CHECKS";#N/A,#N/A,TRUE,"GLASS";#N/A,#N/A,TRUE,"DEPRE";#N/A,#N/A,TRUE,"A&amp;MCUR";#N/A,#N/A,TRUE,"AGEANAlysis";#N/A,#N/A,TRUE,"CHECKS"}</definedName>
    <definedName name="cenvat" hidden="1">{#N/A,#N/A,TRUE,"BALSCH";#N/A,#N/A,TRUE,"COMICRO";#N/A,#N/A,TRUE,"CHECKS";#N/A,#N/A,TRUE,"GLASS";#N/A,#N/A,TRUE,"DEPRE";#N/A,#N/A,TRUE,"A&amp;MCUR";#N/A,#N/A,TRUE,"AGEANAlysis";#N/A,#N/A,TRUE,"CHECKS"}</definedName>
    <definedName name="CHECKING" localSheetId="0" hidden="1">{#N/A,#N/A,TRUE,"Summary";#N/A,#N/A,TRUE,"IS";#N/A,#N/A,TRUE,"Adj";#N/A,#N/A,TRUE,"BS";#N/A,#N/A,TRUE,"CF";#N/A,#N/A,TRUE,"Debt";#N/A,#N/A,TRUE,"IRR"}</definedName>
    <definedName name="CHECKING" hidden="1">{#N/A,#N/A,TRUE,"Summary";#N/A,#N/A,TRUE,"IS";#N/A,#N/A,TRUE,"Adj";#N/A,#N/A,TRUE,"BS";#N/A,#N/A,TRUE,"CF";#N/A,#N/A,TRUE,"Debt";#N/A,#N/A,TRUE,"IRR"}</definedName>
    <definedName name="Checksumm" localSheetId="0" hidden="1">{#N/A,#N/A,FALSE,"COMICRO";#N/A,#N/A,FALSE,"BALSCH";#N/A,#N/A,FALSE,"GLASS";#N/A,#N/A,FALSE,"DEPRE";#N/A,#N/A,FALSE,"A&amp;MCUR";#N/A,#N/A,FALSE,"AGEANAlysis";#N/A,#N/A,FALSE,"CHECKS";#N/A,#N/A,FALSE,"CHECKS"}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ENNAI1" localSheetId="0" hidden="1">{#N/A,#N/A,FALSE,"Aging Summary";#N/A,#N/A,FALSE,"Ratio Analysis";#N/A,#N/A,FALSE,"Test 120 Day Accts";#N/A,#N/A,FALSE,"Tickmarks"}</definedName>
    <definedName name="CHENNAI1" hidden="1">{#N/A,#N/A,FALSE,"Aging Summary";#N/A,#N/A,FALSE,"Ratio Analysis";#N/A,#N/A,FALSE,"Test 120 Day Accts";#N/A,#N/A,FALSE,"Tickmarks"}</definedName>
    <definedName name="christine" localSheetId="0" hidden="1">{#N/A,#N/A,FALSE,"3";#N/A,#N/A,FALSE,"5";#N/A,#N/A,FALSE,"6";#N/A,#N/A,FALSE,"8";#N/A,#N/A,FALSE,"10";#N/A,#N/A,FALSE,"13";#N/A,#N/A,FALSE,"14";#N/A,#N/A,FALSE,"15";#N/A,#N/A,FALSE,"16"}</definedName>
    <definedName name="christine" hidden="1">{#N/A,#N/A,FALSE,"3";#N/A,#N/A,FALSE,"5";#N/A,#N/A,FALSE,"6";#N/A,#N/A,FALSE,"8";#N/A,#N/A,FALSE,"10";#N/A,#N/A,FALSE,"13";#N/A,#N/A,FALSE,"14";#N/A,#N/A,FALSE,"15";#N/A,#N/A,FALSE,"16"}</definedName>
    <definedName name="Christinea" localSheetId="0" hidden="1">{#N/A,#N/A,FALSE,"3";#N/A,#N/A,FALSE,"5";#N/A,#N/A,FALSE,"6";#N/A,#N/A,FALSE,"8";#N/A,#N/A,FALSE,"10";#N/A,#N/A,FALSE,"13";#N/A,#N/A,FALSE,"14";#N/A,#N/A,FALSE,"15";#N/A,#N/A,FALSE,"16"}</definedName>
    <definedName name="Christinea" hidden="1">{#N/A,#N/A,FALSE,"3";#N/A,#N/A,FALSE,"5";#N/A,#N/A,FALSE,"6";#N/A,#N/A,FALSE,"8";#N/A,#N/A,FALSE,"10";#N/A,#N/A,FALSE,"13";#N/A,#N/A,FALSE,"14";#N/A,#N/A,FALSE,"15";#N/A,#N/A,FALSE,"16"}</definedName>
    <definedName name="CIQWBGuid" hidden="1">"2fb921ca-4928-48de-9e0a-468d9c32e7ed"</definedName>
    <definedName name="ClubMed" localSheetId="0" hidden="1">{"inventory",#N/A,FALSE,"Inven. Turns 97 Rep";"sales",#N/A,FALSE,"Inven. Turns 97 Rep";"turns",#N/A,FALSE,"Inven. Turns 97 Rep";"days",#N/A,FALSE,"Inven. Turns 97 Rep"}</definedName>
    <definedName name="ClubMed" hidden="1">{"inventory",#N/A,FALSE,"Inven. Turns 97 Rep";"sales",#N/A,FALSE,"Inven. Turns 97 Rep";"turns",#N/A,FALSE,"Inven. Turns 97 Rep";"days",#N/A,FALSE,"Inven. Turns 97 Rep"}</definedName>
    <definedName name="Code" hidden="1">#REF!</definedName>
    <definedName name="COL" hidden="1">#REF!</definedName>
    <definedName name="COMM" localSheetId="0" hidden="1">{"'Mach'!$A$1:$D$39"}</definedName>
    <definedName name="COMM" hidden="1">{"'Mach'!$A$1:$D$39"}</definedName>
    <definedName name="conflicr" localSheetId="0" hidden="1">{#N/A,#N/A,TRUE,"GEM Total";#N/A,#N/A,TRUE,"Final Assembly";#N/A,#N/A,TRUE,"Cleaning";#N/A,#N/A,TRUE,"Schooping,Clearing";#N/A,#N/A,TRUE,"Winding"}</definedName>
    <definedName name="conflicr" hidden="1">{#N/A,#N/A,TRUE,"GEM Total";#N/A,#N/A,TRUE,"Final Assembly";#N/A,#N/A,TRUE,"Cleaning";#N/A,#N/A,TRUE,"Schooping,Clearing";#N/A,#N/A,TRUE,"Winding"}</definedName>
    <definedName name="CONT02092000.4" localSheetId="0" hidden="1">{#N/A,#N/A,FALSE,"1321";#N/A,#N/A,FALSE,"1324";#N/A,#N/A,FALSE,"1333";#N/A,#N/A,FALSE,"1371"}</definedName>
    <definedName name="CONT02092000.4" hidden="1">{#N/A,#N/A,FALSE,"1321";#N/A,#N/A,FALSE,"1324";#N/A,#N/A,FALSE,"1333";#N/A,#N/A,FALSE,"1371"}</definedName>
    <definedName name="Continu" hidden="1">1</definedName>
    <definedName name="cristina" localSheetId="0" hidden="1">{"Inputs",#N/A,FALSE,"Data Reduction";"Outputs",#N/A,FALSE,"Data Reduction";"Cycle Deck Comparison",#N/A,FALSE,"Data Reduction"}</definedName>
    <definedName name="cristina" hidden="1">{"Inputs",#N/A,FALSE,"Data Reduction";"Outputs",#N/A,FALSE,"Data Reduction";"Cycle Deck Comparison",#N/A,FALSE,"Data Reduction"}</definedName>
    <definedName name="crs_31.03.02" hidden="1">#REF!</definedName>
    <definedName name="csfsfsf" localSheetId="0" hidden="1">{#N/A,#N/A,FALSE,"Ventilation";#N/A,#N/A,FALSE,"Courbe1";#N/A,#N/A,FALSE,"Courbe2"}</definedName>
    <definedName name="csfsfsf" hidden="1">{#N/A,#N/A,FALSE,"Ventilation";#N/A,#N/A,FALSE,"Courbe1";#N/A,#N/A,FALSE,"Courbe2"}</definedName>
    <definedName name="DA_3337388674700002280" hidden="1">#REF!</definedName>
    <definedName name="DA_3337388674700002286" hidden="1">#REF!</definedName>
    <definedName name="DA_3337388674700002292" hidden="1">#REF!</definedName>
    <definedName name="DA_3337388674700002298" hidden="1">#REF!</definedName>
    <definedName name="DA_3337388674700002304" hidden="1">#REF!</definedName>
    <definedName name="DA_3337388674700002306" hidden="1">#REF!</definedName>
    <definedName name="DA_3337388674700002312" hidden="1">#REF!</definedName>
    <definedName name="DA_3337388674700002318" hidden="1">#REF!</definedName>
    <definedName name="DA_3337388674700002334" hidden="1">#REF!</definedName>
    <definedName name="DA_4038951086900001248" hidden="1">#REF!</definedName>
    <definedName name="DA_4038951086900001249" hidden="1">#REF!</definedName>
    <definedName name="DA_4038951086900001253" hidden="1">#REF!</definedName>
    <definedName name="DA_4038951086900001254" hidden="1">#REF!</definedName>
    <definedName name="DA_4038951086900001263" hidden="1">#REF!</definedName>
    <definedName name="DA_4038951086900001264" hidden="1">#REF!</definedName>
    <definedName name="DA_4038951086900001268" hidden="1">#REF!</definedName>
    <definedName name="DA_4038951086900001269" hidden="1">#REF!</definedName>
    <definedName name="DA_4038951086900001273" hidden="1">#REF!</definedName>
    <definedName name="DA_4038951086900001274" hidden="1">#REF!</definedName>
    <definedName name="DA_4038951086900001278" hidden="1">#REF!</definedName>
    <definedName name="DA_4038951086900001279" hidden="1">#REF!</definedName>
    <definedName name="DA_4038951086900001283" hidden="1">#REF!</definedName>
    <definedName name="DA_4038951086900001284" hidden="1">#REF!</definedName>
    <definedName name="DA_4038951086900001288" hidden="1">#REF!</definedName>
    <definedName name="DA_4038951086900001289" hidden="1">#REF!</definedName>
    <definedName name="DA_4038951086900001293" hidden="1">#REF!</definedName>
    <definedName name="DA_4038951086900001294" hidden="1">#REF!</definedName>
    <definedName name="DA_4038951086900001298" hidden="1">#REF!</definedName>
    <definedName name="DA_4038951086900001299" hidden="1">#REF!</definedName>
    <definedName name="DA_4038951086900001303" hidden="1">#REF!</definedName>
    <definedName name="DA_4038951086900001304" hidden="1">#REF!</definedName>
    <definedName name="DA_4038951086900001308" hidden="1">#REF!</definedName>
    <definedName name="DA_4038951086900001309" hidden="1">#REF!</definedName>
    <definedName name="DA_4038951086900001313" hidden="1">#REF!</definedName>
    <definedName name="DA_4038951086900001314" hidden="1">#REF!</definedName>
    <definedName name="DA_4038951086900001318" hidden="1">#REF!</definedName>
    <definedName name="DA_4038951086900001319" hidden="1">#REF!</definedName>
    <definedName name="DA_4038951086900001475" hidden="1">#REF!</definedName>
    <definedName name="DA_4038951086900001476" hidden="1">#REF!</definedName>
    <definedName name="DA_4038951086900001480" hidden="1">#REF!</definedName>
    <definedName name="DA_4038951086900001481" hidden="1">#REF!</definedName>
    <definedName name="DA_4044149571400005879" hidden="1">#REF!</definedName>
    <definedName name="DA_4044149571400006117" hidden="1">#REF!</definedName>
    <definedName name="DA_4084077185500003539" hidden="1">#REF!</definedName>
    <definedName name="DA_4084077185500003552" hidden="1">#REF!</definedName>
    <definedName name="DA_4089215025200003709" hidden="1">#REF!</definedName>
    <definedName name="DA_4089215025200003719" hidden="1">#REF!</definedName>
    <definedName name="DA_4089215025200003728" hidden="1">#REF!</definedName>
    <definedName name="dada" localSheetId="0" hidden="1">{#N/A,#N/A,FALSE,"3";#N/A,#N/A,FALSE,"5";#N/A,#N/A,FALSE,"6";#N/A,#N/A,FALSE,"8";#N/A,#N/A,FALSE,"10";#N/A,#N/A,FALSE,"13";#N/A,#N/A,FALSE,"14";#N/A,#N/A,FALSE,"15";#N/A,#N/A,FALSE,"16"}</definedName>
    <definedName name="dada" hidden="1">{#N/A,#N/A,FALSE,"3";#N/A,#N/A,FALSE,"5";#N/A,#N/A,FALSE,"6";#N/A,#N/A,FALSE,"8";#N/A,#N/A,FALSE,"10";#N/A,#N/A,FALSE,"13";#N/A,#N/A,FALSE,"14";#N/A,#N/A,FALSE,"15";#N/A,#N/A,FALSE,"16"}</definedName>
    <definedName name="dafvsf" localSheetId="0" hidden="1">{"summary",#N/A,FALSE,"2000 vs 1999";"detail",#N/A,FALSE,"2000 vs 1999"}</definedName>
    <definedName name="dafvsf" hidden="1">{"summary",#N/A,FALSE,"2000 vs 1999";"detail",#N/A,FALSE,"2000 vs 1999"}</definedName>
    <definedName name="dan" localSheetId="0" hidden="1">{#N/A,#N/A,FALSE,"Aging Summary";#N/A,#N/A,FALSE,"Ratio Analysis";#N/A,#N/A,FALSE,"Test 120 Day Accts";#N/A,#N/A,FALSE,"Tickmarks"}</definedName>
    <definedName name="dan" hidden="1">{#N/A,#N/A,FALSE,"Aging Summary";#N/A,#N/A,FALSE,"Ratio Analysis";#N/A,#N/A,FALSE,"Test 120 Day Accts";#N/A,#N/A,FALSE,"Tickmarks"}</definedName>
    <definedName name="dasdasdas" localSheetId="0" hidden="1">{#N/A,#N/A,FALSE,"3";#N/A,#N/A,FALSE,"5";#N/A,#N/A,FALSE,"6";#N/A,#N/A,FALSE,"8";#N/A,#N/A,FALSE,"10";#N/A,#N/A,FALSE,"13";#N/A,#N/A,FALSE,"14";#N/A,#N/A,FALSE,"15";#N/A,#N/A,FALSE,"16"}</definedName>
    <definedName name="dasdasdas" hidden="1">{#N/A,#N/A,FALSE,"3";#N/A,#N/A,FALSE,"5";#N/A,#N/A,FALSE,"6";#N/A,#N/A,FALSE,"8";#N/A,#N/A,FALSE,"10";#N/A,#N/A,FALSE,"13";#N/A,#N/A,FALSE,"14";#N/A,#N/A,FALSE,"15";#N/A,#N/A,FALSE,"16"}</definedName>
    <definedName name="data2" hidden="1">#REF!</definedName>
    <definedName name="data3" hidden="1">#REF!</definedName>
    <definedName name="DAWWD" hidden="1">#REF!</definedName>
    <definedName name="ÐCompanyName" hidden="1">#REF!</definedName>
    <definedName name="dDA" localSheetId="0" hidden="1">{"'Resins'!$B$1:$P$6","'Resins'!$B$1:$Q$85"}</definedName>
    <definedName name="dDA" hidden="1">{"'Resins'!$B$1:$P$6","'Resins'!$B$1:$Q$85"}</definedName>
    <definedName name="dddddddd" localSheetId="0" hidden="1">{#N/A,#N/A,FALSE,"3";#N/A,#N/A,FALSE,"5";#N/A,#N/A,FALSE,"6";#N/A,#N/A,FALSE,"8";#N/A,#N/A,FALSE,"10";#N/A,#N/A,FALSE,"13";#N/A,#N/A,FALSE,"14";#N/A,#N/A,FALSE,"15";#N/A,#N/A,FALSE,"16"}</definedName>
    <definedName name="dddddddd" hidden="1">{#N/A,#N/A,FALSE,"3";#N/A,#N/A,FALSE,"5";#N/A,#N/A,FALSE,"6";#N/A,#N/A,FALSE,"8";#N/A,#N/A,FALSE,"10";#N/A,#N/A,FALSE,"13";#N/A,#N/A,FALSE,"14";#N/A,#N/A,FALSE,"15";#N/A,#N/A,FALSE,"16"}</definedName>
    <definedName name="dddddddddddddd" hidden="1">#REF!</definedName>
    <definedName name="debtors_delhi" hidden="1">#REF!</definedName>
    <definedName name="ded" localSheetId="0" hidden="1">{#N/A,#N/A,FALSE,"3";#N/A,#N/A,FALSE,"5";#N/A,#N/A,FALSE,"6";#N/A,#N/A,FALSE,"8";#N/A,#N/A,FALSE,"10";#N/A,#N/A,FALSE,"13";#N/A,#N/A,FALSE,"14";#N/A,#N/A,FALSE,"15";#N/A,#N/A,FALSE,"16"}</definedName>
    <definedName name="ded" hidden="1">{#N/A,#N/A,FALSE,"3";#N/A,#N/A,FALSE,"5";#N/A,#N/A,FALSE,"6";#N/A,#N/A,FALSE,"8";#N/A,#N/A,FALSE,"10";#N/A,#N/A,FALSE,"13";#N/A,#N/A,FALSE,"14";#N/A,#N/A,FALSE,"15";#N/A,#N/A,FALSE,"16"}</definedName>
    <definedName name="dee" localSheetId="0" hidden="1">{#N/A,#N/A,TRUE,"KEY DATA";#N/A,#N/A,TRUE,"KEY DATA Base Case";#N/A,#N/A,TRUE,"JULY";#N/A,#N/A,TRUE,"AUG";#N/A,#N/A,TRUE,"SEPT";#N/A,#N/A,TRUE,"3Q"}</definedName>
    <definedName name="dee" hidden="1">{#N/A,#N/A,TRUE,"KEY DATA";#N/A,#N/A,TRUE,"KEY DATA Base Case";#N/A,#N/A,TRUE,"JULY";#N/A,#N/A,TRUE,"AUG";#N/A,#N/A,TRUE,"SEPT";#N/A,#N/A,TRUE,"3Q"}</definedName>
    <definedName name="deftax04" localSheetId="0" hidden="1">{#N/A,#N/A,FALSE,"12"}</definedName>
    <definedName name="deftax04" hidden="1">{#N/A,#N/A,FALSE,"12"}</definedName>
    <definedName name="Deletion" localSheetId="0" hidden="1">{#N/A,#N/A,FALSE,"COMICRO";#N/A,#N/A,FALSE,"BALSCH";#N/A,#N/A,FALSE,"GLASS";#N/A,#N/A,FALSE,"DEPRE";#N/A,#N/A,FALSE,"A&amp;MCUR";#N/A,#N/A,FALSE,"AGEANAlysis";#N/A,#N/A,FALSE,"CHECKS";#N/A,#N/A,FALSE,"CHECKS"}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localSheetId="0" hidden="1">{#N/A,#N/A,TRUE,"BALSCH";#N/A,#N/A,TRUE,"COMICRO";#N/A,#N/A,TRUE,"CHECKS";#N/A,#N/A,TRUE,"GLASS";#N/A,#N/A,TRUE,"DEPRE";#N/A,#N/A,TRUE,"A&amp;MCUR";#N/A,#N/A,TRUE,"AGEANAlysis";#N/A,#N/A,TRUE,"CHECKS"}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lhi" localSheetId="0" hidden="1">{#N/A,#N/A,FALSE,"COMICRO";#N/A,#N/A,FALSE,"BALSCH";#N/A,#N/A,FALSE,"GLASS";#N/A,#N/A,FALSE,"DEPRE";#N/A,#N/A,FALSE,"A&amp;MCUR";#N/A,#N/A,FALSE,"AGEANAlysis";#N/A,#N/A,FALSE,"CHECKS";#N/A,#N/A,FALSE,"CHECKS"}</definedName>
    <definedName name="delhi" hidden="1">{#N/A,#N/A,FALSE,"COMICRO";#N/A,#N/A,FALSE,"BALSCH";#N/A,#N/A,FALSE,"GLASS";#N/A,#N/A,FALSE,"DEPRE";#N/A,#N/A,FALSE,"A&amp;MCUR";#N/A,#N/A,FALSE,"AGEANAlysis";#N/A,#N/A,FALSE,"CHECKS";#N/A,#N/A,FALSE,"CHECKS"}</definedName>
    <definedName name="Delphine" localSheetId="0" hidden="1">{#N/A,#N/A,FALSE,"3";#N/A,#N/A,FALSE,"5";#N/A,#N/A,FALSE,"6";#N/A,#N/A,FALSE,"8";#N/A,#N/A,FALSE,"10";#N/A,#N/A,FALSE,"13";#N/A,#N/A,FALSE,"14";#N/A,#N/A,FALSE,"15";#N/A,#N/A,FALSE,"16"}</definedName>
    <definedName name="Delphine" hidden="1">{#N/A,#N/A,FALSE,"3";#N/A,#N/A,FALSE,"5";#N/A,#N/A,FALSE,"6";#N/A,#N/A,FALSE,"8";#N/A,#N/A,FALSE,"10";#N/A,#N/A,FALSE,"13";#N/A,#N/A,FALSE,"14";#N/A,#N/A,FALSE,"15";#N/A,#N/A,FALSE,"16"}</definedName>
    <definedName name="delt" localSheetId="0" hidden="1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name="delt" hidden="1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name="Dennis" hidden="1">#REF!</definedName>
    <definedName name="DEPRI" hidden="1">#REF!</definedName>
    <definedName name="DEPTION_GGN" localSheetId="0" hidden="1">{#N/A,#N/A,FALSE,"Cash Flows";#N/A,#N/A,FALSE,"Fixed Assets";#N/A,#N/A,FALSE,"Balance Sheet";#N/A,#N/A,FALSE,"P &amp; L"}</definedName>
    <definedName name="DEPTION_GGN" hidden="1">{#N/A,#N/A,FALSE,"Cash Flows";#N/A,#N/A,FALSE,"Fixed Assets";#N/A,#N/A,FALSE,"Balance Sheet";#N/A,#N/A,FALSE,"P &amp; L"}</definedName>
    <definedName name="dev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fd" localSheetId="0" hidden="1">{#N/A,#N/A,FALSE,"3";#N/A,#N/A,FALSE,"5";#N/A,#N/A,FALSE,"6";#N/A,#N/A,FALSE,"8";#N/A,#N/A,FALSE,"10";#N/A,#N/A,FALSE,"13";#N/A,#N/A,FALSE,"14";#N/A,#N/A,FALSE,"15";#N/A,#N/A,FALSE,"16"}</definedName>
    <definedName name="dfd" hidden="1">{#N/A,#N/A,FALSE,"3";#N/A,#N/A,FALSE,"5";#N/A,#N/A,FALSE,"6";#N/A,#N/A,FALSE,"8";#N/A,#N/A,FALSE,"10";#N/A,#N/A,FALSE,"13";#N/A,#N/A,FALSE,"14";#N/A,#N/A,FALSE,"15";#N/A,#N/A,FALSE,"16"}</definedName>
    <definedName name="dfhajsdfsfdasklsdLKLKKHKASFSD" localSheetId="0" hidden="1">{#N/A,#N/A,FALSE,"USMED 3";#N/A,#N/A,FALSE,"MARCHALLENGER 1";#N/A,#N/A,FALSE,"MARCHALLENGER 2";#N/A,#N/A,FALSE,"MARCHALLENGER 3";#N/A,#N/A,FALSE,"MARCHALLENGER 4"}</definedName>
    <definedName name="dfhajsdfsfdasklsdLKLKKHKASFSD" hidden="1">{#N/A,#N/A,FALSE,"USMED 3";#N/A,#N/A,FALSE,"MARCHALLENGER 1";#N/A,#N/A,FALSE,"MARCHALLENGER 2";#N/A,#N/A,FALSE,"MARCHALLENGER 3";#N/A,#N/A,FALSE,"MARCHALLENGER 4"}</definedName>
    <definedName name="dfhdfhdfhdfh" localSheetId="0" hidden="1">{#N/A,#N/A,FALSE,"3";#N/A,#N/A,FALSE,"5";#N/A,#N/A,FALSE,"6";#N/A,#N/A,FALSE,"8";#N/A,#N/A,FALSE,"10";#N/A,#N/A,FALSE,"13";#N/A,#N/A,FALSE,"14";#N/A,#N/A,FALSE,"15";#N/A,#N/A,FALSE,"16"}</definedName>
    <definedName name="dfhdfhdfhdfh" hidden="1">{#N/A,#N/A,FALSE,"3";#N/A,#N/A,FALSE,"5";#N/A,#N/A,FALSE,"6";#N/A,#N/A,FALSE,"8";#N/A,#N/A,FALSE,"10";#N/A,#N/A,FALSE,"13";#N/A,#N/A,FALSE,"14";#N/A,#N/A,FALSE,"15";#N/A,#N/A,FALSE,"16"}</definedName>
    <definedName name="dfhdfhdfhfdh" localSheetId="0" hidden="1">{#N/A,#N/A,FALSE,"3";#N/A,#N/A,FALSE,"5";#N/A,#N/A,FALSE,"6";#N/A,#N/A,FALSE,"8";#N/A,#N/A,FALSE,"10";#N/A,#N/A,FALSE,"13";#N/A,#N/A,FALSE,"14";#N/A,#N/A,FALSE,"15";#N/A,#N/A,FALSE,"16"}</definedName>
    <definedName name="dfhdfhdfhfdh" hidden="1">{#N/A,#N/A,FALSE,"3";#N/A,#N/A,FALSE,"5";#N/A,#N/A,FALSE,"6";#N/A,#N/A,FALSE,"8";#N/A,#N/A,FALSE,"10";#N/A,#N/A,FALSE,"13";#N/A,#N/A,FALSE,"14";#N/A,#N/A,FALSE,"15";#N/A,#N/A,FALSE,"16"}</definedName>
    <definedName name="dfhdfhfdhdfh" localSheetId="0" hidden="1">{#N/A,#N/A,FALSE,"3";#N/A,#N/A,FALSE,"5";#N/A,#N/A,FALSE,"6";#N/A,#N/A,FALSE,"8";#N/A,#N/A,FALSE,"10";#N/A,#N/A,FALSE,"13";#N/A,#N/A,FALSE,"14";#N/A,#N/A,FALSE,"15";#N/A,#N/A,FALSE,"16"}</definedName>
    <definedName name="dfhdfhfdhdfh" hidden="1">{#N/A,#N/A,FALSE,"3";#N/A,#N/A,FALSE,"5";#N/A,#N/A,FALSE,"6";#N/A,#N/A,FALSE,"8";#N/A,#N/A,FALSE,"10";#N/A,#N/A,FALSE,"13";#N/A,#N/A,FALSE,"14";#N/A,#N/A,FALSE,"15";#N/A,#N/A,FALSE,"16"}</definedName>
    <definedName name="dfsgdsfgdsf" hidden="1">#REF!</definedName>
    <definedName name="dhdfhdfhdfh" localSheetId="0" hidden="1">{#N/A,#N/A,FALSE,"3";#N/A,#N/A,FALSE,"5";#N/A,#N/A,FALSE,"6";#N/A,#N/A,FALSE,"8";#N/A,#N/A,FALSE,"10";#N/A,#N/A,FALSE,"13";#N/A,#N/A,FALSE,"14";#N/A,#N/A,FALSE,"15";#N/A,#N/A,FALSE,"16"}</definedName>
    <definedName name="dhdfhdfhdfh" hidden="1">{#N/A,#N/A,FALSE,"3";#N/A,#N/A,FALSE,"5";#N/A,#N/A,FALSE,"6";#N/A,#N/A,FALSE,"8";#N/A,#N/A,FALSE,"10";#N/A,#N/A,FALSE,"13";#N/A,#N/A,FALSE,"14";#N/A,#N/A,FALSE,"15";#N/A,#N/A,FALSE,"16"}</definedName>
    <definedName name="dir" localSheetId="0" hidden="1">{#N/A,#N/A,FALSE,"COMP"}</definedName>
    <definedName name="dir" hidden="1">{#N/A,#N/A,FALSE,"COMP"}</definedName>
    <definedName name="Discount" hidden="1">#REF!</definedName>
    <definedName name="display_area_2" hidden="1">#REF!</definedName>
    <definedName name="djkdj" localSheetId="0" hidden="1">{"Inputs",#N/A,FALSE,"Data Reduction";"Outputs",#N/A,FALSE,"Data Reduction";"Cycle Deck Comparison",#N/A,FALSE,"Data Reduction"}</definedName>
    <definedName name="djkdj" hidden="1">{"Inputs",#N/A,FALSE,"Data Reduction";"Outputs",#N/A,FALSE,"Data Reduction";"Cycle Deck Comparison",#N/A,FALSE,"Data Reduction"}</definedName>
    <definedName name="DL3eafb9ff_b705_4e5f_8a61_27d35438f30e" hidden="1">#REF!</definedName>
    <definedName name="DL717e9cad_8191_46cb_90d5_40d612757735" hidden="1">#REF!</definedName>
    <definedName name="DL942b10ad_8bca_407a_8306_97d4b77ca82e" hidden="1">#REF!</definedName>
    <definedName name="DLaad15270_c3c7_4e94_8ceb_64fdd374dd18" hidden="1">#REF!</definedName>
    <definedName name="DME_Dirty" hidden="1">"False"</definedName>
    <definedName name="DME_LocalFile" hidden="1">"True"</definedName>
    <definedName name="DQ" localSheetId="0" hidden="1">{"page1",#N/A,FALSE,"Taean 1&amp;2";"page2",#N/A,FALSE,"Taean 1&amp;2"}</definedName>
    <definedName name="DQ" hidden="1">{"page1",#N/A,FALSE,"Taean 1&amp;2";"page2",#N/A,FALSE,"Taean 1&amp;2"}</definedName>
    <definedName name="DQAFAWF" hidden="1">#REF!</definedName>
    <definedName name="Drainage" localSheetId="0" hidden="1">{"'Typical Costs Estimates'!$C$158:$H$161"}</definedName>
    <definedName name="Drainage" hidden="1">{"'Typical Costs Estimates'!$C$158:$H$161"}</definedName>
    <definedName name="drfh" localSheetId="0" hidden="1">{#N/A,#N/A,FALSE,"3";#N/A,#N/A,FALSE,"5";#N/A,#N/A,FALSE,"6";#N/A,#N/A,FALSE,"8";#N/A,#N/A,FALSE,"10";#N/A,#N/A,FALSE,"13";#N/A,#N/A,FALSE,"14";#N/A,#N/A,FALSE,"15";#N/A,#N/A,FALSE,"16"}</definedName>
    <definedName name="drfh" hidden="1">{#N/A,#N/A,FALSE,"3";#N/A,#N/A,FALSE,"5";#N/A,#N/A,FALSE,"6";#N/A,#N/A,FALSE,"8";#N/A,#N/A,FALSE,"10";#N/A,#N/A,FALSE,"13";#N/A,#N/A,FALSE,"14";#N/A,#N/A,FALSE,"15";#N/A,#N/A,FALSE,"16"}</definedName>
    <definedName name="dsd" localSheetId="0" hidden="1">{#N/A,#N/A,FALSE,"3";#N/A,#N/A,FALSE,"5";#N/A,#N/A,FALSE,"6";#N/A,#N/A,FALSE,"8";#N/A,#N/A,FALSE,"10";#N/A,#N/A,FALSE,"13";#N/A,#N/A,FALSE,"14";#N/A,#N/A,FALSE,"15";#N/A,#N/A,FALSE,"16"}</definedName>
    <definedName name="dsd" hidden="1">{#N/A,#N/A,FALSE,"3";#N/A,#N/A,FALSE,"5";#N/A,#N/A,FALSE,"6";#N/A,#N/A,FALSE,"8";#N/A,#N/A,FALSE,"10";#N/A,#N/A,FALSE,"13";#N/A,#N/A,FALSE,"14";#N/A,#N/A,FALSE,"15";#N/A,#N/A,FALSE,"16"}</definedName>
    <definedName name="dsgsdgfdsg" localSheetId="0" hidden="1">{#N/A,#N/A,FALSE,"3";#N/A,#N/A,FALSE,"5";#N/A,#N/A,FALSE,"6";#N/A,#N/A,FALSE,"8";#N/A,#N/A,FALSE,"10";#N/A,#N/A,FALSE,"13";#N/A,#N/A,FALSE,"14";#N/A,#N/A,FALSE,"15";#N/A,#N/A,FALSE,"16"}</definedName>
    <definedName name="dsgsdgfdsg" hidden="1">{#N/A,#N/A,FALSE,"3";#N/A,#N/A,FALSE,"5";#N/A,#N/A,FALSE,"6";#N/A,#N/A,FALSE,"8";#N/A,#N/A,FALSE,"10";#N/A,#N/A,FALSE,"13";#N/A,#N/A,FALSE,"14";#N/A,#N/A,FALSE,"15";#N/A,#N/A,FALSE,"16"}</definedName>
    <definedName name="dwadad" localSheetId="0" hidden="1">{"'Mach'!$A$1:$D$39"}</definedName>
    <definedName name="dwadad" hidden="1">{"'Mach'!$A$1:$D$39"}</definedName>
    <definedName name="DWEFDW" hidden="1">#REF!</definedName>
    <definedName name="ÐYesNoDropdown" hidden="1">#REF!</definedName>
    <definedName name="E1.1" localSheetId="0" hidden="1">{#N/A,#N/A,FALSE,"Graficos    ( 9 )"}</definedName>
    <definedName name="E1.1" hidden="1">{#N/A,#N/A,FALSE,"Graficos    ( 9 )"}</definedName>
    <definedName name="ecs" localSheetId="0" hidden="1">{#N/A,#N/A,FALSE,"USMED 3";#N/A,#N/A,FALSE,"MARCHALLENGER 1";#N/A,#N/A,FALSE,"MARCHALLENGER 2";#N/A,#N/A,FALSE,"MARCHALLENGER 3";#N/A,#N/A,FALSE,"MARCHALLENGER 4"}</definedName>
    <definedName name="ecs" hidden="1">{#N/A,#N/A,FALSE,"USMED 3";#N/A,#N/A,FALSE,"MARCHALLENGER 1";#N/A,#N/A,FALSE,"MARCHALLENGER 2";#N/A,#N/A,FALSE,"MARCHALLENGER 3";#N/A,#N/A,FALSE,"MARCHALLENGER 4"}</definedName>
    <definedName name="ed" hidden="1">#REF!</definedName>
    <definedName name="EDG" localSheetId="0" hidden="1">{#N/A,#N/A,TRUE,"GEM Total";#N/A,#N/A,TRUE,"Final Assembly";#N/A,#N/A,TRUE,"Cleaning";#N/A,#N/A,TRUE,"Schooping,Clearing";#N/A,#N/A,TRUE,"Winding"}</definedName>
    <definedName name="EDG" hidden="1">{#N/A,#N/A,TRUE,"GEM Total";#N/A,#N/A,TRUE,"Final Assembly";#N/A,#N/A,TRUE,"Cleaning";#N/A,#N/A,TRUE,"Schooping,Clearing";#N/A,#N/A,TRUE,"Winding"}</definedName>
    <definedName name="EDGest" localSheetId="0" hidden="1">{#N/A,#N/A,TRUE,"GEM Total";#N/A,#N/A,TRUE,"Final Assembly";#N/A,#N/A,TRUE,"Cleaning";#N/A,#N/A,TRUE,"Schooping,Clearing";#N/A,#N/A,TRUE,"Winding"}</definedName>
    <definedName name="EDGest" hidden="1">{#N/A,#N/A,TRUE,"GEM Total";#N/A,#N/A,TRUE,"Final Assembly";#N/A,#N/A,TRUE,"Cleaning";#N/A,#N/A,TRUE,"Schooping,Clearing";#N/A,#N/A,TRUE,"Winding"}</definedName>
    <definedName name="ee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ee" localSheetId="0" hidden="1">{#N/A,#N/A,FALSE,"Aging Summary";#N/A,#N/A,FALSE,"Ratio Analysis";#N/A,#N/A,FALSE,"Test 120 Day Accts";#N/A,#N/A,FALSE,"Tickmarks"}</definedName>
    <definedName name="eee" hidden="1">{#N/A,#N/A,FALSE,"Aging Summary";#N/A,#N/A,FALSE,"Ratio Analysis";#N/A,#N/A,FALSE,"Test 120 Day Accts";#N/A,#N/A,FALSE,"Tickmarks"}</definedName>
    <definedName name="eeeeeeeeeeeeeee" hidden="1">#REF!</definedName>
    <definedName name="EFG" localSheetId="0" hidden="1">{"'Mach'!$A$1:$D$39"}</definedName>
    <definedName name="EFG" hidden="1">{"'Mach'!$A$1:$D$39"}</definedName>
    <definedName name="egege" localSheetId="0" hidden="1">{#N/A,#N/A,FALSE,"3";#N/A,#N/A,FALSE,"5";#N/A,#N/A,FALSE,"6";#N/A,#N/A,FALSE,"8";#N/A,#N/A,FALSE,"10";#N/A,#N/A,FALSE,"13";#N/A,#N/A,FALSE,"14";#N/A,#N/A,FALSE,"15";#N/A,#N/A,FALSE,"16"}</definedName>
    <definedName name="egege" hidden="1">{#N/A,#N/A,FALSE,"3";#N/A,#N/A,FALSE,"5";#N/A,#N/A,FALSE,"6";#N/A,#N/A,FALSE,"8";#N/A,#N/A,FALSE,"10";#N/A,#N/A,FALSE,"13";#N/A,#N/A,FALSE,"14";#N/A,#N/A,FALSE,"15";#N/A,#N/A,FALSE,"16"}</definedName>
    <definedName name="egegge" localSheetId="0" hidden="1">{#N/A,#N/A,FALSE,"3";#N/A,#N/A,FALSE,"5";#N/A,#N/A,FALSE,"6";#N/A,#N/A,FALSE,"8";#N/A,#N/A,FALSE,"10";#N/A,#N/A,FALSE,"13";#N/A,#N/A,FALSE,"14";#N/A,#N/A,FALSE,"15";#N/A,#N/A,FALSE,"16"}</definedName>
    <definedName name="egegge" hidden="1">{#N/A,#N/A,FALSE,"3";#N/A,#N/A,FALSE,"5";#N/A,#N/A,FALSE,"6";#N/A,#N/A,FALSE,"8";#N/A,#N/A,FALSE,"10";#N/A,#N/A,FALSE,"13";#N/A,#N/A,FALSE,"14";#N/A,#N/A,FALSE,"15";#N/A,#N/A,FALSE,"16"}</definedName>
    <definedName name="egg" localSheetId="0" hidden="1">{#N/A,#N/A,FALSE,"3";#N/A,#N/A,FALSE,"5";#N/A,#N/A,FALSE,"6";#N/A,#N/A,FALSE,"8";#N/A,#N/A,FALSE,"10";#N/A,#N/A,FALSE,"13";#N/A,#N/A,FALSE,"14";#N/A,#N/A,FALSE,"15";#N/A,#N/A,FALSE,"16"}</definedName>
    <definedName name="egg" hidden="1">{#N/A,#N/A,FALSE,"3";#N/A,#N/A,FALSE,"5";#N/A,#N/A,FALSE,"6";#N/A,#N/A,FALSE,"8";#N/A,#N/A,FALSE,"10";#N/A,#N/A,FALSE,"13";#N/A,#N/A,FALSE,"14";#N/A,#N/A,FALSE,"15";#N/A,#N/A,FALSE,"16"}</definedName>
    <definedName name="eggseg" localSheetId="0" hidden="1">{#N/A,#N/A,FALSE,"3";#N/A,#N/A,FALSE,"5";#N/A,#N/A,FALSE,"6";#N/A,#N/A,FALSE,"8";#N/A,#N/A,FALSE,"10";#N/A,#N/A,FALSE,"13";#N/A,#N/A,FALSE,"14";#N/A,#N/A,FALSE,"15";#N/A,#N/A,FALSE,"16"}</definedName>
    <definedName name="eggseg" hidden="1">{#N/A,#N/A,FALSE,"3";#N/A,#N/A,FALSE,"5";#N/A,#N/A,FALSE,"6";#N/A,#N/A,FALSE,"8";#N/A,#N/A,FALSE,"10";#N/A,#N/A,FALSE,"13";#N/A,#N/A,FALSE,"14";#N/A,#N/A,FALSE,"15";#N/A,#N/A,FALSE,"16"}</definedName>
    <definedName name="eghegehhe" localSheetId="0" hidden="1">{#N/A,#N/A,FALSE,"3";#N/A,#N/A,FALSE,"5";#N/A,#N/A,FALSE,"6";#N/A,#N/A,FALSE,"8";#N/A,#N/A,FALSE,"10";#N/A,#N/A,FALSE,"13";#N/A,#N/A,FALSE,"14";#N/A,#N/A,FALSE,"15";#N/A,#N/A,FALSE,"16"}</definedName>
    <definedName name="eghegehhe" hidden="1">{#N/A,#N/A,FALSE,"3";#N/A,#N/A,FALSE,"5";#N/A,#N/A,FALSE,"6";#N/A,#N/A,FALSE,"8";#N/A,#N/A,FALSE,"10";#N/A,#N/A,FALSE,"13";#N/A,#N/A,FALSE,"14";#N/A,#N/A,FALSE,"15";#N/A,#N/A,FALSE,"16"}</definedName>
    <definedName name="elan" localSheetId="0" hidden="1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name="elan" hidden="1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name="Electricity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MM" localSheetId="0" hidden="1">{#N/A,#N/A,TRUE,"Cover";#N/A,#N/A,TRUE,"Content";"Orders EMM",#N/A,TRUE,"Order Sales";"project EMM",#N/A,TRUE,"Project Control";"Cash EMM",#N/A,TRUE,"Cash Control";"KPI EMM",#N/A,TRUE,"KPI-EMM";"Empl EMM",#N/A,TRUE,"Employees"}</definedName>
    <definedName name="EMM" hidden="1">{#N/A,#N/A,TRUE,"Cover";#N/A,#N/A,TRUE,"Content";"Orders EMM",#N/A,TRUE,"Order Sales";"project EMM",#N/A,TRUE,"Project Control";"Cash EMM",#N/A,TRUE,"Cash Control";"KPI EMM",#N/A,TRUE,"KPI-EMM";"Empl EMM",#N/A,TRUE,"Employees"}</definedName>
    <definedName name="encl" localSheetId="0" hidden="1">{#N/A,#N/A,FALSE,"COMICRO";#N/A,#N/A,FALSE,"BALSCH";#N/A,#N/A,FALSE,"GLASS";#N/A,#N/A,FALSE,"DEPRE";#N/A,#N/A,FALSE,"A&amp;MCUR";#N/A,#N/A,FALSE,"AGEANAlysis";#N/A,#N/A,FALSE,"CHECKS";#N/A,#N/A,FALSE,"CHECKS"}</definedName>
    <definedName name="encl" hidden="1">{#N/A,#N/A,FALSE,"COMICRO";#N/A,#N/A,FALSE,"BALSCH";#N/A,#N/A,FALSE,"GLASS";#N/A,#N/A,FALSE,"DEPRE";#N/A,#N/A,FALSE,"A&amp;MCUR";#N/A,#N/A,FALSE,"AGEANAlysis";#N/A,#N/A,FALSE,"CHECKS";#N/A,#N/A,FALSE,"CHECKS"}</definedName>
    <definedName name="ENGEL" hidden="1">#REF!</definedName>
    <definedName name="EPMWorkbookOptions_1" hidden="1">"RwEAAB|LCAAAAAAABADtvQdgHEmWJSYvbcp7f0r1StfgdKEIgGATJNiQQBDswYjN5pLsHWlHIymrKoHKZVZlXWYWQMztnbz33nvvvffee||997o7nU4n99//P1xmZAFs9s5K2smeIYCqyB8/fnwfPyIe/x7vFmV6mddNUS0/|2h3vPNRmi|n1axYXnz20bo939799KPf4|g3Th5/t6rfTqrq7Zerlpo2Kb23bB69a4rPPpq37erR3btXV1fjq3v"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"jqr64u7ezs3v39/7i|evpPF9k28WyabPlNP/IvjW7|a2PqNc0ffwqP6/zZv7l8stVvjxq63X||G74GTc7KfOsfpq12ZfL19llfnSelQ217H7Mbc1QXtZVm0/bfGZa978I21/N0rughW2oxDj6fwDZL/IxRwEAAA=="</definedName>
    <definedName name="erer" localSheetId="0" hidden="1">{#N/A,#N/A,FALSE,"3";#N/A,#N/A,FALSE,"5";#N/A,#N/A,FALSE,"6";#N/A,#N/A,FALSE,"8";#N/A,#N/A,FALSE,"10";#N/A,#N/A,FALSE,"13";#N/A,#N/A,FALSE,"14";#N/A,#N/A,FALSE,"15";#N/A,#N/A,FALSE,"16"}</definedName>
    <definedName name="erer" hidden="1">{#N/A,#N/A,FALSE,"3";#N/A,#N/A,FALSE,"5";#N/A,#N/A,FALSE,"6";#N/A,#N/A,FALSE,"8";#N/A,#N/A,FALSE,"10";#N/A,#N/A,FALSE,"13";#N/A,#N/A,FALSE,"14";#N/A,#N/A,FALSE,"15";#N/A,#N/A,FALSE,"16"}</definedName>
    <definedName name="esadfsdg" localSheetId="0" hidden="1">{#N/A,#N/A,FALSE,"USMED 3";#N/A,#N/A,FALSE,"MARCHALLENGER 1";#N/A,#N/A,FALSE,"MARCHALLENGER 2";#N/A,#N/A,FALSE,"MARCHALLENGER 3";#N/A,#N/A,FALSE,"MARCHALLENGER 4"}</definedName>
    <definedName name="esadfsdg" hidden="1">{#N/A,#N/A,FALSE,"USMED 3";#N/A,#N/A,FALSE,"MARCHALLENGER 1";#N/A,#N/A,FALSE,"MARCHALLENGER 2";#N/A,#N/A,FALSE,"MARCHALLENGER 3";#N/A,#N/A,FALSE,"MARCHALLENGER 4"}</definedName>
    <definedName name="esge" localSheetId="0" hidden="1">{#N/A,#N/A,FALSE,"3";#N/A,#N/A,FALSE,"5";#N/A,#N/A,FALSE,"6";#N/A,#N/A,FALSE,"8";#N/A,#N/A,FALSE,"10";#N/A,#N/A,FALSE,"13";#N/A,#N/A,FALSE,"14";#N/A,#N/A,FALSE,"15";#N/A,#N/A,FALSE,"16"}</definedName>
    <definedName name="esge" hidden="1">{#N/A,#N/A,FALSE,"3";#N/A,#N/A,FALSE,"5";#N/A,#N/A,FALSE,"6";#N/A,#N/A,FALSE,"8";#N/A,#N/A,FALSE,"10";#N/A,#N/A,FALSE,"13";#N/A,#N/A,FALSE,"14";#N/A,#N/A,FALSE,"15";#N/A,#N/A,FALSE,"16"}</definedName>
    <definedName name="etc" hidden="1">#REF!</definedName>
    <definedName name="Europe" hidden="1">#REF!</definedName>
    <definedName name="EV__EVCOM_OPTIONS__" hidden="1">8</definedName>
    <definedName name="EV__EXPOPTIONS__" hidden="1">0</definedName>
    <definedName name="EV__LASTREFTIME__" hidden="1">41478.6306018519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134217855</definedName>
    <definedName name="EV__WBVERSION__" hidden="1">0</definedName>
    <definedName name="EV__WSINFO__" hidden="1">123</definedName>
    <definedName name="ewdw" hidden="1">#REF!</definedName>
    <definedName name="ez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ez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FA_SCHEDULE" localSheetId="0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A_SCHEDULE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aasfas" localSheetId="0" hidden="1">{#N/A,#N/A,FALSE,"3";#N/A,#N/A,FALSE,"5";#N/A,#N/A,FALSE,"6";#N/A,#N/A,FALSE,"8";#N/A,#N/A,FALSE,"10";#N/A,#N/A,FALSE,"13";#N/A,#N/A,FALSE,"14";#N/A,#N/A,FALSE,"15";#N/A,#N/A,FALSE,"16"}</definedName>
    <definedName name="faasfas" hidden="1">{#N/A,#N/A,FALSE,"3";#N/A,#N/A,FALSE,"5";#N/A,#N/A,FALSE,"6";#N/A,#N/A,FALSE,"8";#N/A,#N/A,FALSE,"10";#N/A,#N/A,FALSE,"13";#N/A,#N/A,FALSE,"14";#N/A,#N/A,FALSE,"15";#N/A,#N/A,FALSE,"16"}</definedName>
    <definedName name="fafawf" localSheetId="0" hidden="1">{"summary",#N/A,FALSE,"2000 vs 1999";"detail",#N/A,FALSE,"2000 vs 1999"}</definedName>
    <definedName name="fafawf" hidden="1">{"summary",#N/A,FALSE,"2000 vs 1999";"detail",#N/A,FALSE,"2000 vs 1999"}</definedName>
    <definedName name="fasf" localSheetId="0" hidden="1">{#N/A,#N/A,FALSE,"3";#N/A,#N/A,FALSE,"5";#N/A,#N/A,FALSE,"6";#N/A,#N/A,FALSE,"8";#N/A,#N/A,FALSE,"10";#N/A,#N/A,FALSE,"13";#N/A,#N/A,FALSE,"14";#N/A,#N/A,FALSE,"15";#N/A,#N/A,FALSE,"16"}</definedName>
    <definedName name="fasf" hidden="1">{#N/A,#N/A,FALSE,"3";#N/A,#N/A,FALSE,"5";#N/A,#N/A,FALSE,"6";#N/A,#N/A,FALSE,"8";#N/A,#N/A,FALSE,"10";#N/A,#N/A,FALSE,"13";#N/A,#N/A,FALSE,"14";#N/A,#N/A,FALSE,"15";#N/A,#N/A,FALSE,"16"}</definedName>
    <definedName name="FBT" localSheetId="0" hidden="1">{#N/A,#N/A,TRUE,"BALSCH";#N/A,#N/A,TRUE,"COMICRO";#N/A,#N/A,TRUE,"CHECKS";#N/A,#N/A,TRUE,"GLASS";#N/A,#N/A,TRUE,"DEPRE";#N/A,#N/A,TRUE,"A&amp;MCUR";#N/A,#N/A,TRUE,"AGEANAlysis";#N/A,#N/A,TRUE,"CHECKS"}</definedName>
    <definedName name="FBT" hidden="1">{#N/A,#N/A,TRUE,"BALSCH";#N/A,#N/A,TRUE,"COMICRO";#N/A,#N/A,TRUE,"CHECKS";#N/A,#N/A,TRUE,"GLASS";#N/A,#N/A,TRUE,"DEPRE";#N/A,#N/A,TRUE,"A&amp;MCUR";#N/A,#N/A,TRUE,"AGEANAlysis";#N/A,#N/A,TRUE,"CHECKS"}</definedName>
    <definedName name="FCode" hidden="1">#REF!</definedName>
    <definedName name="fd" hidden="1">#REF!</definedName>
    <definedName name="FDaFAF" localSheetId="0" hidden="1">{"'Mach'!$A$1:$D$39"}</definedName>
    <definedName name="FDaFAF" hidden="1">{"'Mach'!$A$1:$D$39"}</definedName>
    <definedName name="fdf" localSheetId="0" hidden="1">{#N/A,#N/A,FALSE,"3";#N/A,#N/A,FALSE,"5";#N/A,#N/A,FALSE,"6";#N/A,#N/A,FALSE,"8";#N/A,#N/A,FALSE,"10";#N/A,#N/A,FALSE,"13";#N/A,#N/A,FALSE,"14";#N/A,#N/A,FALSE,"15";#N/A,#N/A,FALSE,"16"}</definedName>
    <definedName name="fdf" hidden="1">{#N/A,#N/A,FALSE,"3";#N/A,#N/A,FALSE,"5";#N/A,#N/A,FALSE,"6";#N/A,#N/A,FALSE,"8";#N/A,#N/A,FALSE,"10";#N/A,#N/A,FALSE,"13";#N/A,#N/A,FALSE,"14";#N/A,#N/A,FALSE,"15";#N/A,#N/A,FALSE,"16"}</definedName>
    <definedName name="fdfsf" localSheetId="0" hidden="1">{#N/A,#N/A,TRUE,"KEY DATA";#N/A,#N/A,TRUE,"KEY DATA Base Case";#N/A,#N/A,TRUE,"JULY";#N/A,#N/A,TRUE,"AUG";#N/A,#N/A,TRUE,"SEPT";#N/A,#N/A,TRUE,"3Q"}</definedName>
    <definedName name="fdfsf" hidden="1">{#N/A,#N/A,TRUE,"KEY DATA";#N/A,#N/A,TRUE,"KEY DATA Base Case";#N/A,#N/A,TRUE,"JULY";#N/A,#N/A,TRUE,"AUG";#N/A,#N/A,TRUE,"SEPT";#N/A,#N/A,TRUE,"3Q"}</definedName>
    <definedName name="fdhdfhfdhdfh" localSheetId="0" hidden="1">{#N/A,#N/A,FALSE,"3";#N/A,#N/A,FALSE,"5";#N/A,#N/A,FALSE,"6";#N/A,#N/A,FALSE,"8";#N/A,#N/A,FALSE,"10";#N/A,#N/A,FALSE,"13";#N/A,#N/A,FALSE,"14";#N/A,#N/A,FALSE,"15";#N/A,#N/A,FALSE,"16"}</definedName>
    <definedName name="fdhdfhfdhdfh" hidden="1">{#N/A,#N/A,FALSE,"3";#N/A,#N/A,FALSE,"5";#N/A,#N/A,FALSE,"6";#N/A,#N/A,FALSE,"8";#N/A,#N/A,FALSE,"10";#N/A,#N/A,FALSE,"13";#N/A,#N/A,FALSE,"14";#N/A,#N/A,FALSE,"15";#N/A,#N/A,FALSE,"16"}</definedName>
    <definedName name="fdhgfdh" localSheetId="0" hidden="1">{#N/A,#N/A,FALSE,"3";#N/A,#N/A,FALSE,"5";#N/A,#N/A,FALSE,"6";#N/A,#N/A,FALSE,"8";#N/A,#N/A,FALSE,"10";#N/A,#N/A,FALSE,"13";#N/A,#N/A,FALSE,"14";#N/A,#N/A,FALSE,"15";#N/A,#N/A,FALSE,"16"}</definedName>
    <definedName name="fdhgfdh" hidden="1">{#N/A,#N/A,FALSE,"3";#N/A,#N/A,FALSE,"5";#N/A,#N/A,FALSE,"6";#N/A,#N/A,FALSE,"8";#N/A,#N/A,FALSE,"10";#N/A,#N/A,FALSE,"13";#N/A,#N/A,FALSE,"14";#N/A,#N/A,FALSE,"15";#N/A,#N/A,FALSE,"16"}</definedName>
    <definedName name="fffff" localSheetId="0" hidden="1">{#N/A,#N/A,FALSE,"COMICRO";#N/A,#N/A,FALSE,"BALSCH";#N/A,#N/A,FALSE,"GLASS";#N/A,#N/A,FALSE,"DEPRE";#N/A,#N/A,FALSE,"A&amp;MCUR";#N/A,#N/A,FALSE,"AGEANAlysis";#N/A,#N/A,FALSE,"CHECKS";#N/A,#N/A,FALSE,"CHECKS"}</definedName>
    <definedName name="fffff" hidden="1">{#N/A,#N/A,FALSE,"COMICRO";#N/A,#N/A,FALSE,"BALSCH";#N/A,#N/A,FALSE,"GLASS";#N/A,#N/A,FALSE,"DEPRE";#N/A,#N/A,FALSE,"A&amp;MCUR";#N/A,#N/A,FALSE,"AGEANAlysis";#N/A,#N/A,FALSE,"CHECKS";#N/A,#N/A,FALSE,"CHECKS"}</definedName>
    <definedName name="ffffff" localSheetId="0" hidden="1">{#N/A,#N/A,FALSE,"3";#N/A,#N/A,FALSE,"5";#N/A,#N/A,FALSE,"6";#N/A,#N/A,FALSE,"8";#N/A,#N/A,FALSE,"10";#N/A,#N/A,FALSE,"13";#N/A,#N/A,FALSE,"14";#N/A,#N/A,FALSE,"15";#N/A,#N/A,FALSE,"16"}</definedName>
    <definedName name="ffffff" hidden="1">{#N/A,#N/A,FALSE,"3";#N/A,#N/A,FALSE,"5";#N/A,#N/A,FALSE,"6";#N/A,#N/A,FALSE,"8";#N/A,#N/A,FALSE,"10";#N/A,#N/A,FALSE,"13";#N/A,#N/A,FALSE,"14";#N/A,#N/A,FALSE,"15";#N/A,#N/A,FALSE,"16"}</definedName>
    <definedName name="ffffffff" localSheetId="0" hidden="1">{#N/A,#N/A,FALSE,"3";#N/A,#N/A,FALSE,"5";#N/A,#N/A,FALSE,"6";#N/A,#N/A,FALSE,"8";#N/A,#N/A,FALSE,"10";#N/A,#N/A,FALSE,"13";#N/A,#N/A,FALSE,"14";#N/A,#N/A,FALSE,"15";#N/A,#N/A,FALSE,"16"}</definedName>
    <definedName name="ffffffff" hidden="1">{#N/A,#N/A,FALSE,"3";#N/A,#N/A,FALSE,"5";#N/A,#N/A,FALSE,"6";#N/A,#N/A,FALSE,"8";#N/A,#N/A,FALSE,"10";#N/A,#N/A,FALSE,"13";#N/A,#N/A,FALSE,"14";#N/A,#N/A,FALSE,"15";#N/A,#N/A,FALSE,"16"}</definedName>
    <definedName name="fffffffff" localSheetId="0" hidden="1">{#N/A,#N/A,FALSE,"3";#N/A,#N/A,FALSE,"5";#N/A,#N/A,FALSE,"6";#N/A,#N/A,FALSE,"8";#N/A,#N/A,FALSE,"10";#N/A,#N/A,FALSE,"13";#N/A,#N/A,FALSE,"14";#N/A,#N/A,FALSE,"15";#N/A,#N/A,FALSE,"16"}</definedName>
    <definedName name="fffffffff" hidden="1">{#N/A,#N/A,FALSE,"3";#N/A,#N/A,FALSE,"5";#N/A,#N/A,FALSE,"6";#N/A,#N/A,FALSE,"8";#N/A,#N/A,FALSE,"10";#N/A,#N/A,FALSE,"13";#N/A,#N/A,FALSE,"14";#N/A,#N/A,FALSE,"15";#N/A,#N/A,FALSE,"16"}</definedName>
    <definedName name="ffffffffff" localSheetId="0" hidden="1">{#N/A,#N/A,FALSE,"3";#N/A,#N/A,FALSE,"5";#N/A,#N/A,FALSE,"6";#N/A,#N/A,FALSE,"8";#N/A,#N/A,FALSE,"10";#N/A,#N/A,FALSE,"13";#N/A,#N/A,FALSE,"14";#N/A,#N/A,FALSE,"15";#N/A,#N/A,FALSE,"16"}</definedName>
    <definedName name="ffffffffff" hidden="1">{#N/A,#N/A,FALSE,"3";#N/A,#N/A,FALSE,"5";#N/A,#N/A,FALSE,"6";#N/A,#N/A,FALSE,"8";#N/A,#N/A,FALSE,"10";#N/A,#N/A,FALSE,"13";#N/A,#N/A,FALSE,"14";#N/A,#N/A,FALSE,"15";#N/A,#N/A,FALSE,"16"}</definedName>
    <definedName name="fffffffffff" localSheetId="0" hidden="1">{#N/A,#N/A,FALSE,"3";#N/A,#N/A,FALSE,"5";#N/A,#N/A,FALSE,"6";#N/A,#N/A,FALSE,"8";#N/A,#N/A,FALSE,"10";#N/A,#N/A,FALSE,"13";#N/A,#N/A,FALSE,"14";#N/A,#N/A,FALSE,"15";#N/A,#N/A,FALSE,"16"}</definedName>
    <definedName name="fffffffffff" hidden="1">{#N/A,#N/A,FALSE,"3";#N/A,#N/A,FALSE,"5";#N/A,#N/A,FALSE,"6";#N/A,#N/A,FALSE,"8";#N/A,#N/A,FALSE,"10";#N/A,#N/A,FALSE,"13";#N/A,#N/A,FALSE,"14";#N/A,#N/A,FALSE,"15";#N/A,#N/A,FALSE,"16"}</definedName>
    <definedName name="ffffffffffffff" hidden="1">#REF!</definedName>
    <definedName name="fgd" localSheetId="0" hidden="1">{#N/A,#N/A,FALSE,"Ventilation";#N/A,#N/A,FALSE,"Courbe1";#N/A,#N/A,FALSE,"Courbe2"}</definedName>
    <definedName name="fgd" hidden="1">{#N/A,#N/A,FALSE,"Ventilation";#N/A,#N/A,FALSE,"Courbe1";#N/A,#N/A,FALSE,"Courbe2"}</definedName>
    <definedName name="fgdsgdsg" localSheetId="0" hidden="1">{#N/A,#N/A,FALSE,"3";#N/A,#N/A,FALSE,"5";#N/A,#N/A,FALSE,"6";#N/A,#N/A,FALSE,"8";#N/A,#N/A,FALSE,"10";#N/A,#N/A,FALSE,"13";#N/A,#N/A,FALSE,"14";#N/A,#N/A,FALSE,"15";#N/A,#N/A,FALSE,"16"}</definedName>
    <definedName name="fgdsgdsg" hidden="1">{#N/A,#N/A,FALSE,"3";#N/A,#N/A,FALSE,"5";#N/A,#N/A,FALSE,"6";#N/A,#N/A,FALSE,"8";#N/A,#N/A,FALSE,"10";#N/A,#N/A,FALSE,"13";#N/A,#N/A,FALSE,"14";#N/A,#N/A,FALSE,"15";#N/A,#N/A,FALSE,"16"}</definedName>
    <definedName name="fghdfgdfg" localSheetId="0" hidden="1">{#N/A,#N/A,FALSE,"3";#N/A,#N/A,FALSE,"5";#N/A,#N/A,FALSE,"6";#N/A,#N/A,FALSE,"8";#N/A,#N/A,FALSE,"10";#N/A,#N/A,FALSE,"13";#N/A,#N/A,FALSE,"14";#N/A,#N/A,FALSE,"15";#N/A,#N/A,FALSE,"16"}</definedName>
    <definedName name="fghdfgdfg" hidden="1">{#N/A,#N/A,FALSE,"3";#N/A,#N/A,FALSE,"5";#N/A,#N/A,FALSE,"6";#N/A,#N/A,FALSE,"8";#N/A,#N/A,FALSE,"10";#N/A,#N/A,FALSE,"13";#N/A,#N/A,FALSE,"14";#N/A,#N/A,FALSE,"15";#N/A,#N/A,FALSE,"16"}</definedName>
    <definedName name="FGRW" hidden="1">#REF!</definedName>
    <definedName name="fh" localSheetId="0" hidden="1">{#N/A,#N/A,FALSE,"3";#N/A,#N/A,FALSE,"5";#N/A,#N/A,FALSE,"6";#N/A,#N/A,FALSE,"8";#N/A,#N/A,FALSE,"10";#N/A,#N/A,FALSE,"13";#N/A,#N/A,FALSE,"14";#N/A,#N/A,FALSE,"15";#N/A,#N/A,FALSE,"16"}</definedName>
    <definedName name="fh" hidden="1">{#N/A,#N/A,FALSE,"3";#N/A,#N/A,FALSE,"5";#N/A,#N/A,FALSE,"6";#N/A,#N/A,FALSE,"8";#N/A,#N/A,FALSE,"10";#N/A,#N/A,FALSE,"13";#N/A,#N/A,FALSE,"14";#N/A,#N/A,FALSE,"15";#N/A,#N/A,FALSE,"16"}</definedName>
    <definedName name="fhfhfh" localSheetId="0" hidden="1">{#N/A,#N/A,FALSE,"3";#N/A,#N/A,FALSE,"5";#N/A,#N/A,FALSE,"6";#N/A,#N/A,FALSE,"8";#N/A,#N/A,FALSE,"10";#N/A,#N/A,FALSE,"13";#N/A,#N/A,FALSE,"14";#N/A,#N/A,FALSE,"15";#N/A,#N/A,FALSE,"16"}</definedName>
    <definedName name="fhfhfh" hidden="1">{#N/A,#N/A,FALSE,"3";#N/A,#N/A,FALSE,"5";#N/A,#N/A,FALSE,"6";#N/A,#N/A,FALSE,"8";#N/A,#N/A,FALSE,"10";#N/A,#N/A,FALSE,"13";#N/A,#N/A,FALSE,"14";#N/A,#N/A,FALSE,"15";#N/A,#N/A,FALSE,"16"}</definedName>
    <definedName name="fhgfhf" localSheetId="0" hidden="1">{#N/A,#N/A,FALSE,"3";#N/A,#N/A,FALSE,"5";#N/A,#N/A,FALSE,"6";#N/A,#N/A,FALSE,"8";#N/A,#N/A,FALSE,"10";#N/A,#N/A,FALSE,"13";#N/A,#N/A,FALSE,"14";#N/A,#N/A,FALSE,"15";#N/A,#N/A,FALSE,"16"}</definedName>
    <definedName name="fhgfhf" hidden="1">{#N/A,#N/A,FALSE,"3";#N/A,#N/A,FALSE,"5";#N/A,#N/A,FALSE,"6";#N/A,#N/A,FALSE,"8";#N/A,#N/A,FALSE,"10";#N/A,#N/A,FALSE,"13";#N/A,#N/A,FALSE,"14";#N/A,#N/A,FALSE,"15";#N/A,#N/A,FALSE,"16"}</definedName>
    <definedName name="FixedAssets" localSheetId="0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ixedAssets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ixedassets_it" hidden="1">#REF!</definedName>
    <definedName name="fkfkf" localSheetId="0" hidden="1">{"'CQ1-4'!$B$1:$L$49"}</definedName>
    <definedName name="fkfkf" hidden="1">{"'CQ1-4'!$B$1:$L$49"}</definedName>
    <definedName name="fORM" localSheetId="0" hidden="1">{#N/A,#N/A,FALSE,"COMP"}</definedName>
    <definedName name="fORM" hidden="1">{#N/A,#N/A,FALSE,"COMP"}</definedName>
    <definedName name="form1" localSheetId="0" hidden="1">{#N/A,#N/A,FALSE,"COMP"}</definedName>
    <definedName name="form1" hidden="1">{#N/A,#N/A,FALSE,"COMP"}</definedName>
    <definedName name="FQSDF" localSheetId="0" hidden="1">{#N/A,#N/A,TRUE,"Cover";#N/A,#N/A,TRUE,"Content";"Orders EMM",#N/A,TRUE,"Order Sales";"project EMM",#N/A,TRUE,"Project Control";"Cash EMM",#N/A,TRUE,"Cash Control";"KPI EMM",#N/A,TRUE,"KPI-EMM";"Empl EMM",#N/A,TRUE,"Employees"}</definedName>
    <definedName name="FQSDF" hidden="1">{#N/A,#N/A,TRUE,"Cover";#N/A,#N/A,TRUE,"Content";"Orders EMM",#N/A,TRUE,"Order Sales";"project EMM",#N/A,TRUE,"Project Control";"Cash EMM",#N/A,TRUE,"Cash Control";"KPI EMM",#N/A,TRUE,"KPI-EMM";"Empl EMM",#N/A,TRUE,"Employees"}</definedName>
    <definedName name="franko" localSheetId="0" hidden="1">{#N/A,#N/A,FALSE,"Kosten97Einzel";#N/A,#N/A,FALSE,"Kosten97FZ"}</definedName>
    <definedName name="franko" hidden="1">{#N/A,#N/A,FALSE,"Kosten97Einzel";#N/A,#N/A,FALSE,"Kosten97FZ"}</definedName>
    <definedName name="frew" localSheetId="0" hidden="1">{"CashPrint",#N/A,FALSE,"Cash"}</definedName>
    <definedName name="frew" hidden="1">{"CashPrint",#N/A,FALSE,"Cash"}</definedName>
    <definedName name="from" localSheetId="0" hidden="1">{"'Typical Costs Estimates'!$C$158:$H$161"}</definedName>
    <definedName name="from" hidden="1">{"'Typical Costs Estimates'!$C$158:$H$161"}</definedName>
    <definedName name="frsdf" localSheetId="0" hidden="1">{#N/A,#N/A,FALSE,"3";#N/A,#N/A,FALSE,"5";#N/A,#N/A,FALSE,"6";#N/A,#N/A,FALSE,"8";#N/A,#N/A,FALSE,"10";#N/A,#N/A,FALSE,"13";#N/A,#N/A,FALSE,"14";#N/A,#N/A,FALSE,"15";#N/A,#N/A,FALSE,"16"}</definedName>
    <definedName name="frsdf" hidden="1">{#N/A,#N/A,FALSE,"3";#N/A,#N/A,FALSE,"5";#N/A,#N/A,FALSE,"6";#N/A,#N/A,FALSE,"8";#N/A,#N/A,FALSE,"10";#N/A,#N/A,FALSE,"13";#N/A,#N/A,FALSE,"14";#N/A,#N/A,FALSE,"15";#N/A,#N/A,FALSE,"16"}</definedName>
    <definedName name="fsdfsdf" localSheetId="0" hidden="1">{#N/A,#N/A,FALSE,"3";#N/A,#N/A,FALSE,"5";#N/A,#N/A,FALSE,"6";#N/A,#N/A,FALSE,"8";#N/A,#N/A,FALSE,"10";#N/A,#N/A,FALSE,"13";#N/A,#N/A,FALSE,"14";#N/A,#N/A,FALSE,"15";#N/A,#N/A,FALSE,"16"}</definedName>
    <definedName name="fsdfsdf" hidden="1">{#N/A,#N/A,FALSE,"3";#N/A,#N/A,FALSE,"5";#N/A,#N/A,FALSE,"6";#N/A,#N/A,FALSE,"8";#N/A,#N/A,FALSE,"10";#N/A,#N/A,FALSE,"13";#N/A,#N/A,FALSE,"14";#N/A,#N/A,FALSE,"15";#N/A,#N/A,FALSE,"16"}</definedName>
    <definedName name="fsfsf" localSheetId="0" hidden="1">{#N/A,#N/A,FALSE,"3";#N/A,#N/A,FALSE,"5";#N/A,#N/A,FALSE,"6";#N/A,#N/A,FALSE,"8";#N/A,#N/A,FALSE,"10";#N/A,#N/A,FALSE,"13";#N/A,#N/A,FALSE,"14";#N/A,#N/A,FALSE,"15";#N/A,#N/A,FALSE,"16"}</definedName>
    <definedName name="fsfsf" hidden="1">{#N/A,#N/A,FALSE,"3";#N/A,#N/A,FALSE,"5";#N/A,#N/A,FALSE,"6";#N/A,#N/A,FALSE,"8";#N/A,#N/A,FALSE,"10";#N/A,#N/A,FALSE,"13";#N/A,#N/A,FALSE,"14";#N/A,#N/A,FALSE,"15";#N/A,#N/A,FALSE,"16"}</definedName>
    <definedName name="fsfsfs" localSheetId="0" hidden="1">{#N/A,#N/A,FALSE,"3";#N/A,#N/A,FALSE,"5";#N/A,#N/A,FALSE,"6";#N/A,#N/A,FALSE,"8";#N/A,#N/A,FALSE,"10";#N/A,#N/A,FALSE,"13";#N/A,#N/A,FALSE,"14";#N/A,#N/A,FALSE,"15";#N/A,#N/A,FALSE,"16"}</definedName>
    <definedName name="fsfsfs" hidden="1">{#N/A,#N/A,FALSE,"3";#N/A,#N/A,FALSE,"5";#N/A,#N/A,FALSE,"6";#N/A,#N/A,FALSE,"8";#N/A,#N/A,FALSE,"10";#N/A,#N/A,FALSE,"13";#N/A,#N/A,FALSE,"14";#N/A,#N/A,FALSE,"15";#N/A,#N/A,FALSE,"16"}</definedName>
    <definedName name="gcb" localSheetId="0" hidden="1">{#N/A,#N/A,FALSE,"3";#N/A,#N/A,FALSE,"5";#N/A,#N/A,FALSE,"6";#N/A,#N/A,FALSE,"8";#N/A,#N/A,FALSE,"10";#N/A,#N/A,FALSE,"13";#N/A,#N/A,FALSE,"14";#N/A,#N/A,FALSE,"15";#N/A,#N/A,FALSE,"16"}</definedName>
    <definedName name="gcb" hidden="1">{#N/A,#N/A,FALSE,"3";#N/A,#N/A,FALSE,"5";#N/A,#N/A,FALSE,"6";#N/A,#N/A,FALSE,"8";#N/A,#N/A,FALSE,"10";#N/A,#N/A,FALSE,"13";#N/A,#N/A,FALSE,"14";#N/A,#N/A,FALSE,"15";#N/A,#N/A,FALSE,"16"}</definedName>
    <definedName name="GDFA" localSheetId="0" hidden="1">{#N/A,#N/A,FALSE,"COMP"}</definedName>
    <definedName name="GDFA" hidden="1">{#N/A,#N/A,FALSE,"COMP"}</definedName>
    <definedName name="gdfhgdhdf" localSheetId="0" hidden="1">{#N/A,#N/A,FALSE,"3";#N/A,#N/A,FALSE,"5";#N/A,#N/A,FALSE,"6";#N/A,#N/A,FALSE,"8";#N/A,#N/A,FALSE,"10";#N/A,#N/A,FALSE,"13";#N/A,#N/A,FALSE,"14";#N/A,#N/A,FALSE,"15";#N/A,#N/A,FALSE,"16"}</definedName>
    <definedName name="gdfhgdhdf" hidden="1">{#N/A,#N/A,FALSE,"3";#N/A,#N/A,FALSE,"5";#N/A,#N/A,FALSE,"6";#N/A,#N/A,FALSE,"8";#N/A,#N/A,FALSE,"10";#N/A,#N/A,FALSE,"13";#N/A,#N/A,FALSE,"14";#N/A,#N/A,FALSE,"15";#N/A,#N/A,FALSE,"16"}</definedName>
    <definedName name="gfdgdfgrdf" localSheetId="0" hidden="1">{#N/A,#N/A,FALSE,"3";#N/A,#N/A,FALSE,"5";#N/A,#N/A,FALSE,"6";#N/A,#N/A,FALSE,"8";#N/A,#N/A,FALSE,"10";#N/A,#N/A,FALSE,"13";#N/A,#N/A,FALSE,"14";#N/A,#N/A,FALSE,"15";#N/A,#N/A,FALSE,"16"}</definedName>
    <definedName name="gfdgdfgrdf" hidden="1">{#N/A,#N/A,FALSE,"3";#N/A,#N/A,FALSE,"5";#N/A,#N/A,FALSE,"6";#N/A,#N/A,FALSE,"8";#N/A,#N/A,FALSE,"10";#N/A,#N/A,FALSE,"13";#N/A,#N/A,FALSE,"14";#N/A,#N/A,FALSE,"15";#N/A,#N/A,FALSE,"16"}</definedName>
    <definedName name="gfdsg" localSheetId="0" hidden="1">{#N/A,#N/A,FALSE,"3";#N/A,#N/A,FALSE,"5";#N/A,#N/A,FALSE,"6";#N/A,#N/A,FALSE,"8";#N/A,#N/A,FALSE,"10";#N/A,#N/A,FALSE,"13";#N/A,#N/A,FALSE,"14";#N/A,#N/A,FALSE,"15";#N/A,#N/A,FALSE,"16"}</definedName>
    <definedName name="gfdsg" hidden="1">{#N/A,#N/A,FALSE,"3";#N/A,#N/A,FALSE,"5";#N/A,#N/A,FALSE,"6";#N/A,#N/A,FALSE,"8";#N/A,#N/A,FALSE,"10";#N/A,#N/A,FALSE,"13";#N/A,#N/A,FALSE,"14";#N/A,#N/A,FALSE,"15";#N/A,#N/A,FALSE,"16"}</definedName>
    <definedName name="gffdsgfds" localSheetId="0" hidden="1">{#N/A,#N/A,FALSE,"3";#N/A,#N/A,FALSE,"5";#N/A,#N/A,FALSE,"6";#N/A,#N/A,FALSE,"8";#N/A,#N/A,FALSE,"10";#N/A,#N/A,FALSE,"13";#N/A,#N/A,FALSE,"14";#N/A,#N/A,FALSE,"15";#N/A,#N/A,FALSE,"16"}</definedName>
    <definedName name="gffdsgfds" hidden="1">{#N/A,#N/A,FALSE,"3";#N/A,#N/A,FALSE,"5";#N/A,#N/A,FALSE,"6";#N/A,#N/A,FALSE,"8";#N/A,#N/A,FALSE,"10";#N/A,#N/A,FALSE,"13";#N/A,#N/A,FALSE,"14";#N/A,#N/A,FALSE,"15";#N/A,#N/A,FALSE,"16"}</definedName>
    <definedName name="ggggggg" localSheetId="0" hidden="1">{#N/A,#N/A,FALSE,"3";#N/A,#N/A,FALSE,"5";#N/A,#N/A,FALSE,"6";#N/A,#N/A,FALSE,"8";#N/A,#N/A,FALSE,"10";#N/A,#N/A,FALSE,"13";#N/A,#N/A,FALSE,"14";#N/A,#N/A,FALSE,"15";#N/A,#N/A,FALSE,"16"}</definedName>
    <definedName name="ggggggg" hidden="1">{#N/A,#N/A,FALSE,"3";#N/A,#N/A,FALSE,"5";#N/A,#N/A,FALSE,"6";#N/A,#N/A,FALSE,"8";#N/A,#N/A,FALSE,"10";#N/A,#N/A,FALSE,"13";#N/A,#N/A,FALSE,"14";#N/A,#N/A,FALSE,"15";#N/A,#N/A,FALSE,"16"}</definedName>
    <definedName name="gghgjj" localSheetId="0" hidden="1">{#N/A,#N/A,FALSE,"KPI-EMM-Graph";#N/A,#N/A,FALSE,"Cost Graph";#N/A,#N/A,FALSE,"Cash graph";#N/A,#N/A,FALSE,"Order Sales Graph"}</definedName>
    <definedName name="gghgjj" hidden="1">{#N/A,#N/A,FALSE,"KPI-EMM-Graph";#N/A,#N/A,FALSE,"Cost Graph";#N/A,#N/A,FALSE,"Cash graph";#N/A,#N/A,FALSE,"Order Sales Graph"}</definedName>
    <definedName name="ghg" localSheetId="0" hidden="1">{"'Typical Costs Estimates'!$C$158:$H$161"}</definedName>
    <definedName name="ghg" hidden="1">{"'Typical Costs Estimates'!$C$158:$H$161"}</definedName>
    <definedName name="ghikjl" hidden="1">#REF!</definedName>
    <definedName name="ghkggh" localSheetId="0" hidden="1">{#N/A,#N/A,FALSE,"3";#N/A,#N/A,FALSE,"5";#N/A,#N/A,FALSE,"6";#N/A,#N/A,FALSE,"8";#N/A,#N/A,FALSE,"10";#N/A,#N/A,FALSE,"13";#N/A,#N/A,FALSE,"14";#N/A,#N/A,FALSE,"15";#N/A,#N/A,FALSE,"16"}</definedName>
    <definedName name="ghkggh" hidden="1">{#N/A,#N/A,FALSE,"3";#N/A,#N/A,FALSE,"5";#N/A,#N/A,FALSE,"6";#N/A,#N/A,FALSE,"8";#N/A,#N/A,FALSE,"10";#N/A,#N/A,FALSE,"13";#N/A,#N/A,FALSE,"14";#N/A,#N/A,FALSE,"15";#N/A,#N/A,FALSE,"16"}</definedName>
    <definedName name="ghkghk" localSheetId="0" hidden="1">{#N/A,#N/A,FALSE,"3";#N/A,#N/A,FALSE,"5";#N/A,#N/A,FALSE,"6";#N/A,#N/A,FALSE,"8";#N/A,#N/A,FALSE,"10";#N/A,#N/A,FALSE,"13";#N/A,#N/A,FALSE,"14";#N/A,#N/A,FALSE,"15";#N/A,#N/A,FALSE,"16"}</definedName>
    <definedName name="ghkghk" hidden="1">{#N/A,#N/A,FALSE,"3";#N/A,#N/A,FALSE,"5";#N/A,#N/A,FALSE,"6";#N/A,#N/A,FALSE,"8";#N/A,#N/A,FALSE,"10";#N/A,#N/A,FALSE,"13";#N/A,#N/A,FALSE,"14";#N/A,#N/A,FALSE,"15";#N/A,#N/A,FALSE,"16"}</definedName>
    <definedName name="ghkk" localSheetId="0" hidden="1">{#N/A,#N/A,FALSE,"3";#N/A,#N/A,FALSE,"5";#N/A,#N/A,FALSE,"6";#N/A,#N/A,FALSE,"8";#N/A,#N/A,FALSE,"10";#N/A,#N/A,FALSE,"13";#N/A,#N/A,FALSE,"14";#N/A,#N/A,FALSE,"15";#N/A,#N/A,FALSE,"16"}</definedName>
    <definedName name="ghkk" hidden="1">{#N/A,#N/A,FALSE,"3";#N/A,#N/A,FALSE,"5";#N/A,#N/A,FALSE,"6";#N/A,#N/A,FALSE,"8";#N/A,#N/A,FALSE,"10";#N/A,#N/A,FALSE,"13";#N/A,#N/A,FALSE,"14";#N/A,#N/A,FALSE,"15";#N/A,#N/A,FALSE,"16"}</definedName>
    <definedName name="ghngfhtfhntf" hidden="1">#REF!</definedName>
    <definedName name="gjygj" localSheetId="0" hidden="1">{#N/A,#N/A,FALSE,"COMP"}</definedName>
    <definedName name="gjygj" hidden="1">{#N/A,#N/A,FALSE,"COMP"}</definedName>
    <definedName name="gkgfkghkffg" localSheetId="0" hidden="1">{#N/A,#N/A,FALSE,"3";#N/A,#N/A,FALSE,"5";#N/A,#N/A,FALSE,"6";#N/A,#N/A,FALSE,"8";#N/A,#N/A,FALSE,"10";#N/A,#N/A,FALSE,"13";#N/A,#N/A,FALSE,"14";#N/A,#N/A,FALSE,"15";#N/A,#N/A,FALSE,"16"}</definedName>
    <definedName name="gkgfkghkffg" hidden="1">{#N/A,#N/A,FALSE,"3";#N/A,#N/A,FALSE,"5";#N/A,#N/A,FALSE,"6";#N/A,#N/A,FALSE,"8";#N/A,#N/A,FALSE,"10";#N/A,#N/A,FALSE,"13";#N/A,#N/A,FALSE,"14";#N/A,#N/A,FALSE,"15";#N/A,#N/A,FALSE,"16"}</definedName>
    <definedName name="gkghk" localSheetId="0" hidden="1">{#N/A,#N/A,FALSE,"3";#N/A,#N/A,FALSE,"5";#N/A,#N/A,FALSE,"6";#N/A,#N/A,FALSE,"8";#N/A,#N/A,FALSE,"10";#N/A,#N/A,FALSE,"13";#N/A,#N/A,FALSE,"14";#N/A,#N/A,FALSE,"15";#N/A,#N/A,FALSE,"16"}</definedName>
    <definedName name="gkghk" hidden="1">{#N/A,#N/A,FALSE,"3";#N/A,#N/A,FALSE,"5";#N/A,#N/A,FALSE,"6";#N/A,#N/A,FALSE,"8";#N/A,#N/A,FALSE,"10";#N/A,#N/A,FALSE,"13";#N/A,#N/A,FALSE,"14";#N/A,#N/A,FALSE,"15";#N/A,#N/A,FALSE,"16"}</definedName>
    <definedName name="gkghkg" localSheetId="0" hidden="1">{#N/A,#N/A,FALSE,"3";#N/A,#N/A,FALSE,"5";#N/A,#N/A,FALSE,"6";#N/A,#N/A,FALSE,"8";#N/A,#N/A,FALSE,"10";#N/A,#N/A,FALSE,"13";#N/A,#N/A,FALSE,"14";#N/A,#N/A,FALSE,"15";#N/A,#N/A,FALSE,"16"}</definedName>
    <definedName name="gkghkg" hidden="1">{#N/A,#N/A,FALSE,"3";#N/A,#N/A,FALSE,"5";#N/A,#N/A,FALSE,"6";#N/A,#N/A,FALSE,"8";#N/A,#N/A,FALSE,"10";#N/A,#N/A,FALSE,"13";#N/A,#N/A,FALSE,"14";#N/A,#N/A,FALSE,"15";#N/A,#N/A,FALSE,"16"}</definedName>
    <definedName name="gkhkgh" localSheetId="0" hidden="1">{#N/A,#N/A,FALSE,"3";#N/A,#N/A,FALSE,"5";#N/A,#N/A,FALSE,"6";#N/A,#N/A,FALSE,"8";#N/A,#N/A,FALSE,"10";#N/A,#N/A,FALSE,"13";#N/A,#N/A,FALSE,"14";#N/A,#N/A,FALSE,"15";#N/A,#N/A,FALSE,"16"}</definedName>
    <definedName name="gkhkgh" hidden="1">{#N/A,#N/A,FALSE,"3";#N/A,#N/A,FALSE,"5";#N/A,#N/A,FALSE,"6";#N/A,#N/A,FALSE,"8";#N/A,#N/A,FALSE,"10";#N/A,#N/A,FALSE,"13";#N/A,#N/A,FALSE,"14";#N/A,#N/A,FALSE,"15";#N/A,#N/A,FALSE,"16"}</definedName>
    <definedName name="gkhkhk" localSheetId="0" hidden="1">{#N/A,#N/A,FALSE,"3";#N/A,#N/A,FALSE,"5";#N/A,#N/A,FALSE,"6";#N/A,#N/A,FALSE,"8";#N/A,#N/A,FALSE,"10";#N/A,#N/A,FALSE,"13";#N/A,#N/A,FALSE,"14";#N/A,#N/A,FALSE,"15";#N/A,#N/A,FALSE,"16"}</definedName>
    <definedName name="gkhkhk" hidden="1">{#N/A,#N/A,FALSE,"3";#N/A,#N/A,FALSE,"5";#N/A,#N/A,FALSE,"6";#N/A,#N/A,FALSE,"8";#N/A,#N/A,FALSE,"10";#N/A,#N/A,FALSE,"13";#N/A,#N/A,FALSE,"14";#N/A,#N/A,FALSE,"15";#N/A,#N/A,FALSE,"16"}</definedName>
    <definedName name="gkjgkgh" localSheetId="0" hidden="1">{#N/A,#N/A,FALSE,"3";#N/A,#N/A,FALSE,"5";#N/A,#N/A,FALSE,"6";#N/A,#N/A,FALSE,"8";#N/A,#N/A,FALSE,"10";#N/A,#N/A,FALSE,"13";#N/A,#N/A,FALSE,"14";#N/A,#N/A,FALSE,"15";#N/A,#N/A,FALSE,"16"}</definedName>
    <definedName name="gkjgkgh" hidden="1">{#N/A,#N/A,FALSE,"3";#N/A,#N/A,FALSE,"5";#N/A,#N/A,FALSE,"6";#N/A,#N/A,FALSE,"8";#N/A,#N/A,FALSE,"10";#N/A,#N/A,FALSE,"13";#N/A,#N/A,FALSE,"14";#N/A,#N/A,FALSE,"15";#N/A,#N/A,FALSE,"16"}</definedName>
    <definedName name="Grat" localSheetId="0" hidden="1">{#N/A,#N/A,FALSE,"COMP"}</definedName>
    <definedName name="Grat" hidden="1">{#N/A,#N/A,FALSE,"COMP"}</definedName>
    <definedName name="gsfds" localSheetId="0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y" localSheetId="0" hidden="1">{#N/A,#N/A,TRUE,"Summary";#N/A,#N/A,TRUE,"IS";#N/A,#N/A,TRUE,"Adj";#N/A,#N/A,TRUE,"BS";#N/A,#N/A,TRUE,"CF";#N/A,#N/A,TRUE,"Debt";#N/A,#N/A,TRUE,"IRR"}</definedName>
    <definedName name="gy" hidden="1">{#N/A,#N/A,TRUE,"Summary";#N/A,#N/A,TRUE,"IS";#N/A,#N/A,TRUE,"Adj";#N/A,#N/A,TRUE,"BS";#N/A,#N/A,TRUE,"CF";#N/A,#N/A,TRUE,"Debt";#N/A,#N/A,TRUE,"IRR"}</definedName>
    <definedName name="hddfhfdhfdh" localSheetId="0" hidden="1">{#N/A,#N/A,FALSE,"3";#N/A,#N/A,FALSE,"5";#N/A,#N/A,FALSE,"6";#N/A,#N/A,FALSE,"8";#N/A,#N/A,FALSE,"10";#N/A,#N/A,FALSE,"13";#N/A,#N/A,FALSE,"14";#N/A,#N/A,FALSE,"15";#N/A,#N/A,FALSE,"16"}</definedName>
    <definedName name="hddfhfdhfdh" hidden="1">{#N/A,#N/A,FALSE,"3";#N/A,#N/A,FALSE,"5";#N/A,#N/A,FALSE,"6";#N/A,#N/A,FALSE,"8";#N/A,#N/A,FALSE,"10";#N/A,#N/A,FALSE,"13";#N/A,#N/A,FALSE,"14";#N/A,#N/A,FALSE,"15";#N/A,#N/A,FALSE,"16"}</definedName>
    <definedName name="hdfdhdfhdfh" localSheetId="0" hidden="1">{#N/A,#N/A,FALSE,"3";#N/A,#N/A,FALSE,"5";#N/A,#N/A,FALSE,"6";#N/A,#N/A,FALSE,"8";#N/A,#N/A,FALSE,"10";#N/A,#N/A,FALSE,"13";#N/A,#N/A,FALSE,"14";#N/A,#N/A,FALSE,"15";#N/A,#N/A,FALSE,"16"}</definedName>
    <definedName name="hdfdhdfhdfh" hidden="1">{#N/A,#N/A,FALSE,"3";#N/A,#N/A,FALSE,"5";#N/A,#N/A,FALSE,"6";#N/A,#N/A,FALSE,"8";#N/A,#N/A,FALSE,"10";#N/A,#N/A,FALSE,"13";#N/A,#N/A,FALSE,"14";#N/A,#N/A,FALSE,"15";#N/A,#N/A,FALSE,"16"}</definedName>
    <definedName name="hdfh" localSheetId="0" hidden="1">{#N/A,#N/A,FALSE,"3";#N/A,#N/A,FALSE,"5";#N/A,#N/A,FALSE,"6";#N/A,#N/A,FALSE,"8";#N/A,#N/A,FALSE,"10";#N/A,#N/A,FALSE,"13";#N/A,#N/A,FALSE,"14";#N/A,#N/A,FALSE,"15";#N/A,#N/A,FALSE,"16"}</definedName>
    <definedName name="hdfh" hidden="1">{#N/A,#N/A,FALSE,"3";#N/A,#N/A,FALSE,"5";#N/A,#N/A,FALSE,"6";#N/A,#N/A,FALSE,"8";#N/A,#N/A,FALSE,"10";#N/A,#N/A,FALSE,"13";#N/A,#N/A,FALSE,"14";#N/A,#N/A,FALSE,"15";#N/A,#N/A,FALSE,"16"}</definedName>
    <definedName name="hdfhdfh" localSheetId="0" hidden="1">{#N/A,#N/A,FALSE,"3";#N/A,#N/A,FALSE,"5";#N/A,#N/A,FALSE,"6";#N/A,#N/A,FALSE,"8";#N/A,#N/A,FALSE,"10";#N/A,#N/A,FALSE,"13";#N/A,#N/A,FALSE,"14";#N/A,#N/A,FALSE,"15";#N/A,#N/A,FALSE,"16"}</definedName>
    <definedName name="hdfhdfh" hidden="1">{#N/A,#N/A,FALSE,"3";#N/A,#N/A,FALSE,"5";#N/A,#N/A,FALSE,"6";#N/A,#N/A,FALSE,"8";#N/A,#N/A,FALSE,"10";#N/A,#N/A,FALSE,"13";#N/A,#N/A,FALSE,"14";#N/A,#N/A,FALSE,"15";#N/A,#N/A,FALSE,"16"}</definedName>
    <definedName name="hdfhdfhdf" localSheetId="0" hidden="1">{#N/A,#N/A,FALSE,"3";#N/A,#N/A,FALSE,"5";#N/A,#N/A,FALSE,"6";#N/A,#N/A,FALSE,"8";#N/A,#N/A,FALSE,"10";#N/A,#N/A,FALSE,"13";#N/A,#N/A,FALSE,"14";#N/A,#N/A,FALSE,"15";#N/A,#N/A,FALSE,"16"}</definedName>
    <definedName name="hdfhdfhdf" hidden="1">{#N/A,#N/A,FALSE,"3";#N/A,#N/A,FALSE,"5";#N/A,#N/A,FALSE,"6";#N/A,#N/A,FALSE,"8";#N/A,#N/A,FALSE,"10";#N/A,#N/A,FALSE,"13";#N/A,#N/A,FALSE,"14";#N/A,#N/A,FALSE,"15";#N/A,#N/A,FALSE,"16"}</definedName>
    <definedName name="HDHD" hidden="1">#REF!</definedName>
    <definedName name="hdoihd\" hidden="1">#REF!</definedName>
    <definedName name="hf" localSheetId="0" hidden="1">{#N/A,#N/A,FALSE,"3";#N/A,#N/A,FALSE,"5";#N/A,#N/A,FALSE,"6";#N/A,#N/A,FALSE,"8";#N/A,#N/A,FALSE,"10";#N/A,#N/A,FALSE,"13";#N/A,#N/A,FALSE,"14";#N/A,#N/A,FALSE,"15";#N/A,#N/A,FALSE,"16"}</definedName>
    <definedName name="hf" hidden="1">{#N/A,#N/A,FALSE,"3";#N/A,#N/A,FALSE,"5";#N/A,#N/A,FALSE,"6";#N/A,#N/A,FALSE,"8";#N/A,#N/A,FALSE,"10";#N/A,#N/A,FALSE,"13";#N/A,#N/A,FALSE,"14";#N/A,#N/A,FALSE,"15";#N/A,#N/A,FALSE,"16"}</definedName>
    <definedName name="hfhfh" localSheetId="0" hidden="1">{#N/A,#N/A,FALSE,"3";#N/A,#N/A,FALSE,"5";#N/A,#N/A,FALSE,"6";#N/A,#N/A,FALSE,"8";#N/A,#N/A,FALSE,"10";#N/A,#N/A,FALSE,"13";#N/A,#N/A,FALSE,"14";#N/A,#N/A,FALSE,"15";#N/A,#N/A,FALSE,"16"}</definedName>
    <definedName name="hfhfh" hidden="1">{#N/A,#N/A,FALSE,"3";#N/A,#N/A,FALSE,"5";#N/A,#N/A,FALSE,"6";#N/A,#N/A,FALSE,"8";#N/A,#N/A,FALSE,"10";#N/A,#N/A,FALSE,"13";#N/A,#N/A,FALSE,"14";#N/A,#N/A,FALSE,"15";#N/A,#N/A,FALSE,"16"}</definedName>
    <definedName name="hgfh" localSheetId="0" hidden="1">{#N/A,#N/A,FALSE,"3";#N/A,#N/A,FALSE,"5";#N/A,#N/A,FALSE,"6";#N/A,#N/A,FALSE,"8";#N/A,#N/A,FALSE,"10";#N/A,#N/A,FALSE,"13";#N/A,#N/A,FALSE,"14";#N/A,#N/A,FALSE,"15";#N/A,#N/A,FALSE,"16"}</definedName>
    <definedName name="hgfh" hidden="1">{#N/A,#N/A,FALSE,"3";#N/A,#N/A,FALSE,"5";#N/A,#N/A,FALSE,"6";#N/A,#N/A,FALSE,"8";#N/A,#N/A,FALSE,"10";#N/A,#N/A,FALSE,"13";#N/A,#N/A,FALSE,"14";#N/A,#N/A,FALSE,"15";#N/A,#N/A,FALSE,"16"}</definedName>
    <definedName name="hgjghjghj" localSheetId="0" hidden="1">{#N/A,#N/A,FALSE,"3";#N/A,#N/A,FALSE,"5";#N/A,#N/A,FALSE,"6";#N/A,#N/A,FALSE,"8";#N/A,#N/A,FALSE,"10";#N/A,#N/A,FALSE,"13";#N/A,#N/A,FALSE,"14";#N/A,#N/A,FALSE,"15";#N/A,#N/A,FALSE,"16"}</definedName>
    <definedName name="hgjghjghj" hidden="1">{#N/A,#N/A,FALSE,"3";#N/A,#N/A,FALSE,"5";#N/A,#N/A,FALSE,"6";#N/A,#N/A,FALSE,"8";#N/A,#N/A,FALSE,"10";#N/A,#N/A,FALSE,"13";#N/A,#N/A,FALSE,"14";#N/A,#N/A,FALSE,"15";#N/A,#N/A,FALSE,"16"}</definedName>
    <definedName name="hhd" localSheetId="0" hidden="1">{#N/A,#N/A,FALSE,"3";#N/A,#N/A,FALSE,"5";#N/A,#N/A,FALSE,"6";#N/A,#N/A,FALSE,"8";#N/A,#N/A,FALSE,"10";#N/A,#N/A,FALSE,"13";#N/A,#N/A,FALSE,"14";#N/A,#N/A,FALSE,"15";#N/A,#N/A,FALSE,"16"}</definedName>
    <definedName name="hhd" hidden="1">{#N/A,#N/A,FALSE,"3";#N/A,#N/A,FALSE,"5";#N/A,#N/A,FALSE,"6";#N/A,#N/A,FALSE,"8";#N/A,#N/A,FALSE,"10";#N/A,#N/A,FALSE,"13";#N/A,#N/A,FALSE,"14";#N/A,#N/A,FALSE,"15";#N/A,#N/A,FALSE,"16"}</definedName>
    <definedName name="hhfdhdfd" localSheetId="0" hidden="1">{#N/A,#N/A,FALSE,"3";#N/A,#N/A,FALSE,"5";#N/A,#N/A,FALSE,"6";#N/A,#N/A,FALSE,"8";#N/A,#N/A,FALSE,"10";#N/A,#N/A,FALSE,"13";#N/A,#N/A,FALSE,"14";#N/A,#N/A,FALSE,"15";#N/A,#N/A,FALSE,"16"}</definedName>
    <definedName name="hhfdhdfd" hidden="1">{#N/A,#N/A,FALSE,"3";#N/A,#N/A,FALSE,"5";#N/A,#N/A,FALSE,"6";#N/A,#N/A,FALSE,"8";#N/A,#N/A,FALSE,"10";#N/A,#N/A,FALSE,"13";#N/A,#N/A,FALSE,"14";#N/A,#N/A,FALSE,"15";#N/A,#N/A,FALSE,"16"}</definedName>
    <definedName name="hhhhhhh" localSheetId="0" hidden="1">{#N/A,#N/A,FALSE,"Graficos    ( 9 )"}</definedName>
    <definedName name="hhhhhhh" hidden="1">{#N/A,#N/A,FALSE,"Graficos    ( 9 )"}</definedName>
    <definedName name="hhjgj" localSheetId="0" hidden="1">{#N/A,#N/A,FALSE,"3";#N/A,#N/A,FALSE,"5";#N/A,#N/A,FALSE,"6";#N/A,#N/A,FALSE,"8";#N/A,#N/A,FALSE,"10";#N/A,#N/A,FALSE,"13";#N/A,#N/A,FALSE,"14";#N/A,#N/A,FALSE,"15";#N/A,#N/A,FALSE,"16"}</definedName>
    <definedName name="hhjgj" hidden="1">{#N/A,#N/A,FALSE,"3";#N/A,#N/A,FALSE,"5";#N/A,#N/A,FALSE,"6";#N/A,#N/A,FALSE,"8";#N/A,#N/A,FALSE,"10";#N/A,#N/A,FALSE,"13";#N/A,#N/A,FALSE,"14";#N/A,#N/A,FALSE,"15";#N/A,#N/A,FALSE,"16"}</definedName>
    <definedName name="HHKJ" localSheetId="0" hidden="1">{#N/A,#N/A,TRUE,"Cover";#N/A,#N/A,TRUE,"Content";"Orders EMM",#N/A,TRUE,"Order Sales";"project EMM",#N/A,TRUE,"Project Control";"Cash EMM",#N/A,TRUE,"Cash Control";"KPI EMM",#N/A,TRUE,"KPI-EMM";"Empl EMM",#N/A,TRUE,"Employees"}</definedName>
    <definedName name="HHKJ" hidden="1">{#N/A,#N/A,TRUE,"Cover";#N/A,#N/A,TRUE,"Content";"Orders EMM",#N/A,TRUE,"Order Sales";"project EMM",#N/A,TRUE,"Project Control";"Cash EMM",#N/A,TRUE,"Cash Control";"KPI EMM",#N/A,TRUE,"KPI-EMM";"Empl EMM",#N/A,TRUE,"Employees"}</definedName>
    <definedName name="HiddenRows" hidden="1">#REF!</definedName>
    <definedName name="hjghj" localSheetId="0" hidden="1">{"raatios",#N/A,FALSE,"A";"ratios",#N/A,FALSE,"B";"ratios",#N/A,FALSE,"C";"ratios",#N/A,FALSE,"D";"ratios",#N/A,FALSE,"F"}</definedName>
    <definedName name="hjghj" hidden="1">{"raatios",#N/A,FALSE,"A";"ratios",#N/A,FALSE,"B";"ratios",#N/A,FALSE,"C";"ratios",#N/A,FALSE,"D";"ratios",#N/A,FALSE,"F"}</definedName>
    <definedName name="hjghjghjgh" localSheetId="0" hidden="1">{#N/A,#N/A,FALSE,"3";#N/A,#N/A,FALSE,"5";#N/A,#N/A,FALSE,"6";#N/A,#N/A,FALSE,"8";#N/A,#N/A,FALSE,"10";#N/A,#N/A,FALSE,"13";#N/A,#N/A,FALSE,"14";#N/A,#N/A,FALSE,"15";#N/A,#N/A,FALSE,"16"}</definedName>
    <definedName name="hjghjghjgh" hidden="1">{#N/A,#N/A,FALSE,"3";#N/A,#N/A,FALSE,"5";#N/A,#N/A,FALSE,"6";#N/A,#N/A,FALSE,"8";#N/A,#N/A,FALSE,"10";#N/A,#N/A,FALSE,"13";#N/A,#N/A,FALSE,"14";#N/A,#N/A,FALSE,"15";#N/A,#N/A,FALSE,"16"}</definedName>
    <definedName name="hjh" localSheetId="0" hidden="1">{#N/A,#N/A,TRUE,"Cover";#N/A,#N/A,TRUE,"Content";"Orders EMM",#N/A,TRUE,"Order Sales";"project EMM",#N/A,TRUE,"Project Control";"Cash EMM",#N/A,TRUE,"Cash Control";"KPI EMM",#N/A,TRUE,"KPI-EMM";"Empl EMM",#N/A,TRUE,"Employees"}</definedName>
    <definedName name="hjh" hidden="1">{#N/A,#N/A,TRUE,"Cover";#N/A,#N/A,TRUE,"Content";"Orders EMM",#N/A,TRUE,"Order Sales";"project EMM",#N/A,TRUE,"Project Control";"Cash EMM",#N/A,TRUE,"Cash Control";"KPI EMM",#N/A,TRUE,"KPI-EMM";"Empl EMM",#N/A,TRUE,"Employees"}</definedName>
    <definedName name="hjhgkj" localSheetId="0" hidden="1">{#N/A,#N/A,FALSE,"3";#N/A,#N/A,FALSE,"5";#N/A,#N/A,FALSE,"6";#N/A,#N/A,FALSE,"8";#N/A,#N/A,FALSE,"10";#N/A,#N/A,FALSE,"13";#N/A,#N/A,FALSE,"14";#N/A,#N/A,FALSE,"15";#N/A,#N/A,FALSE,"16"}</definedName>
    <definedName name="hjhgkj" hidden="1">{#N/A,#N/A,FALSE,"3";#N/A,#N/A,FALSE,"5";#N/A,#N/A,FALSE,"6";#N/A,#N/A,FALSE,"8";#N/A,#N/A,FALSE,"10";#N/A,#N/A,FALSE,"13";#N/A,#N/A,FALSE,"14";#N/A,#N/A,FALSE,"15";#N/A,#N/A,FALSE,"16"}</definedName>
    <definedName name="hjlhjlhjl" localSheetId="0" hidden="1">{#N/A,#N/A,FALSE,"3";#N/A,#N/A,FALSE,"5";#N/A,#N/A,FALSE,"6";#N/A,#N/A,FALSE,"8";#N/A,#N/A,FALSE,"10";#N/A,#N/A,FALSE,"13";#N/A,#N/A,FALSE,"14";#N/A,#N/A,FALSE,"15";#N/A,#N/A,FALSE,"16"}</definedName>
    <definedName name="hjlhjlhjl" hidden="1">{#N/A,#N/A,FALSE,"3";#N/A,#N/A,FALSE,"5";#N/A,#N/A,FALSE,"6";#N/A,#N/A,FALSE,"8";#N/A,#N/A,FALSE,"10";#N/A,#N/A,FALSE,"13";#N/A,#N/A,FALSE,"14";#N/A,#N/A,FALSE,"15";#N/A,#N/A,FALSE,"16"}</definedName>
    <definedName name="hkh" localSheetId="0" hidden="1">{#N/A,#N/A,FALSE,"3";#N/A,#N/A,FALSE,"5";#N/A,#N/A,FALSE,"6";#N/A,#N/A,FALSE,"8";#N/A,#N/A,FALSE,"10";#N/A,#N/A,FALSE,"13";#N/A,#N/A,FALSE,"14";#N/A,#N/A,FALSE,"15";#N/A,#N/A,FALSE,"16"}</definedName>
    <definedName name="hkh" hidden="1">{#N/A,#N/A,FALSE,"3";#N/A,#N/A,FALSE,"5";#N/A,#N/A,FALSE,"6";#N/A,#N/A,FALSE,"8";#N/A,#N/A,FALSE,"10";#N/A,#N/A,FALSE,"13";#N/A,#N/A,FALSE,"14";#N/A,#N/A,FALSE,"15";#N/A,#N/A,FALSE,"16"}</definedName>
    <definedName name="hkhk" localSheetId="0" hidden="1">{#N/A,#N/A,FALSE,"3";#N/A,#N/A,FALSE,"5";#N/A,#N/A,FALSE,"6";#N/A,#N/A,FALSE,"8";#N/A,#N/A,FALSE,"10";#N/A,#N/A,FALSE,"13";#N/A,#N/A,FALSE,"14";#N/A,#N/A,FALSE,"15";#N/A,#N/A,FALSE,"16"}</definedName>
    <definedName name="hkhk" hidden="1">{#N/A,#N/A,FALSE,"3";#N/A,#N/A,FALSE,"5";#N/A,#N/A,FALSE,"6";#N/A,#N/A,FALSE,"8";#N/A,#N/A,FALSE,"10";#N/A,#N/A,FALSE,"13";#N/A,#N/A,FALSE,"14";#N/A,#N/A,FALSE,"15";#N/A,#N/A,FALSE,"16"}</definedName>
    <definedName name="hkk" localSheetId="0" hidden="1">{#N/A,#N/A,FALSE,"3";#N/A,#N/A,FALSE,"5";#N/A,#N/A,FALSE,"6";#N/A,#N/A,FALSE,"8";#N/A,#N/A,FALSE,"10";#N/A,#N/A,FALSE,"13";#N/A,#N/A,FALSE,"14";#N/A,#N/A,FALSE,"15";#N/A,#N/A,FALSE,"16"}</definedName>
    <definedName name="hkk" hidden="1">{#N/A,#N/A,FALSE,"3";#N/A,#N/A,FALSE,"5";#N/A,#N/A,FALSE,"6";#N/A,#N/A,FALSE,"8";#N/A,#N/A,FALSE,"10";#N/A,#N/A,FALSE,"13";#N/A,#N/A,FALSE,"14";#N/A,#N/A,FALSE,"15";#N/A,#N/A,FALSE,"16"}</definedName>
    <definedName name="hlh" hidden="1">#REF!</definedName>
    <definedName name="hljlhjlhjl" localSheetId="0" hidden="1">{#N/A,#N/A,FALSE,"3";#N/A,#N/A,FALSE,"5";#N/A,#N/A,FALSE,"6";#N/A,#N/A,FALSE,"8";#N/A,#N/A,FALSE,"10";#N/A,#N/A,FALSE,"13";#N/A,#N/A,FALSE,"14";#N/A,#N/A,FALSE,"15";#N/A,#N/A,FALSE,"16"}</definedName>
    <definedName name="hljlhjlhjl" hidden="1">{#N/A,#N/A,FALSE,"3";#N/A,#N/A,FALSE,"5";#N/A,#N/A,FALSE,"6";#N/A,#N/A,FALSE,"8";#N/A,#N/A,FALSE,"10";#N/A,#N/A,FALSE,"13";#N/A,#N/A,FALSE,"14";#N/A,#N/A,FALSE,"15";#N/A,#N/A,FALSE,"16"}</definedName>
    <definedName name="HTML_CodePage" hidden="1">1252</definedName>
    <definedName name="HTML_Control" localSheetId="0" hidden="1">{"'Typical Costs Estimates'!$C$158:$H$161"}</definedName>
    <definedName name="HTML_Control" hidden="1">{"'Typical Costs Estimates'!$C$158:$H$161"}</definedName>
    <definedName name="HTML_Control2" localSheetId="0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"SUBNETS"</definedName>
    <definedName name="HTML_LastUpdate" hidden="1">"01/25/2000"</definedName>
    <definedName name="HTML_LineAfter" hidden="1">TRUE</definedName>
    <definedName name="HTML_LineBefore" hidden="1">FALSE</definedName>
    <definedName name="HTML_Name" hidden="1">"Jerry George"</definedName>
    <definedName name="HTML_OBDlg2" hidden="1">TRUE</definedName>
    <definedName name="HTML_OBDlg4" hidden="1">TRUE</definedName>
    <definedName name="HTML_OS" hidden="1">0</definedName>
    <definedName name="HTML_PathFile" hidden="1">"C:\WWW\IT\network\subnets.htm"</definedName>
    <definedName name="HTML_Title" hidden="1">"Subnets"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" hidden="1">"[poolprices.xls]Sheet1!$A$3:$F$16"</definedName>
    <definedName name="HTML2_10" hidden="1">"robert.schulten@corporate.ge.com"</definedName>
    <definedName name="HTML2_11" hidden="1">1</definedName>
    <definedName name="HTML2_12" hidden="1">"C:\webpage\poolpri2.htm"</definedName>
    <definedName name="HTML2_2" hidden="1">1</definedName>
    <definedName name="HTML2_3" hidden="1">"Consigned Metals Prices"</definedName>
    <definedName name="HTML2_4" hidden="1">"Consigned Metals Prices"</definedName>
    <definedName name="HTML2_5" hidden="1">"(Cents/Lb.)"</definedName>
    <definedName name="HTML2_6" hidden="1">1</definedName>
    <definedName name="HTML2_7" hidden="1">1</definedName>
    <definedName name="HTML2_8" hidden="1">"3/11/97"</definedName>
    <definedName name="HTML2_9" hidden="1">"Robert M. Schulten"</definedName>
    <definedName name="HTML3_1" hidden="1">"[poolprices.xls]Sheet1!$A$3:$F$17"</definedName>
    <definedName name="HTML3_10" hidden="1">"robert.schulten@corporate.ge.com"</definedName>
    <definedName name="HTML3_11" hidden="1">1</definedName>
    <definedName name="HTML3_12" hidden="1">"C:\webpage\MyHTML.htm"</definedName>
    <definedName name="HTML3_2" hidden="1">1</definedName>
    <definedName name="HTML3_3" hidden="1">"Consigned Metals Prices"</definedName>
    <definedName name="HTML3_4" hidden="1">"Consigned Metals Prices"</definedName>
    <definedName name="HTML3_5" hidden="1">"(Cents/lb)"</definedName>
    <definedName name="HTML3_6" hidden="1">-4146</definedName>
    <definedName name="HTML3_7" hidden="1">-4146</definedName>
    <definedName name="HTML3_8" hidden="1">"3/11/97"</definedName>
    <definedName name="HTML3_9" hidden="1">"Robert M. Schulten"</definedName>
    <definedName name="HTMLCount" hidden="1">1</definedName>
    <definedName name="iei" localSheetId="0" hidden="1">{"Inputs",#N/A,FALSE,"Data Reduction";"Outputs",#N/A,FALSE,"Data Reduction";"Cycle Deck Comparison",#N/A,FALSE,"Data Reduction"}</definedName>
    <definedName name="iei" hidden="1">{"Inputs",#N/A,FALSE,"Data Reduction";"Outputs",#N/A,FALSE,"Data Reduction";"Cycle Deck Comparison",#N/A,FALSE,"Data Reduction"}</definedName>
    <definedName name="ines" localSheetId="0" hidden="1">{#N/A,#N/A,FALSE,"3";#N/A,#N/A,FALSE,"5";#N/A,#N/A,FALSE,"6";#N/A,#N/A,FALSE,"8";#N/A,#N/A,FALSE,"10";#N/A,#N/A,FALSE,"13";#N/A,#N/A,FALSE,"14";#N/A,#N/A,FALSE,"15";#N/A,#N/A,FALSE,"16"}</definedName>
    <definedName name="ines" hidden="1">{#N/A,#N/A,FALSE,"3";#N/A,#N/A,FALSE,"5";#N/A,#N/A,FALSE,"6";#N/A,#N/A,FALSE,"8";#N/A,#N/A,FALSE,"10";#N/A,#N/A,FALSE,"13";#N/A,#N/A,FALSE,"14";#N/A,#N/A,FALSE,"15";#N/A,#N/A,FALSE,"16"}</definedName>
    <definedName name="Insurance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suranc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nventory" localSheetId="0" hidden="1">{"Summary analysis",#N/A,FALSE,"Total";"OCPH analysis",#N/A,FALSE,"Total";"detail analysis",#N/A,FALSE,"Total"}</definedName>
    <definedName name="Inventory" hidden="1">{"Summary analysis",#N/A,FALSE,"Total";"OCPH analysis",#N/A,FALSE,"Total";"detail analysis",#N/A,FALSE,"Total"}</definedName>
    <definedName name="Inventory1" localSheetId="0" hidden="1">{"Summary analysis",#N/A,FALSE,"Total";"OCPH analysis",#N/A,FALSE,"Total";"detail analysis",#N/A,FALSE,"Total"}</definedName>
    <definedName name="Inventory1" hidden="1">{"Summary analysis",#N/A,FALSE,"Total";"OCPH analysis",#N/A,FALSE,"Total";"detail analysis",#N/A,FALSE,"Total"}</definedName>
    <definedName name="inventory2" localSheetId="0" hidden="1">{"Summary analysis",#N/A,FALSE,"Total";"OCPH analysis",#N/A,FALSE,"Total";"detail analysis",#N/A,FALSE,"Total"}</definedName>
    <definedName name="inventory2" hidden="1">{"Summary analysis",#N/A,FALSE,"Total";"OCPH analysis",#N/A,FALSE,"Total";"detail analysis",#N/A,FALSE,"Total"}</definedName>
    <definedName name="ioiuoiu" localSheetId="0" hidden="1">{#N/A,#N/A,FALSE,"3";#N/A,#N/A,FALSE,"5";#N/A,#N/A,FALSE,"6";#N/A,#N/A,FALSE,"8";#N/A,#N/A,FALSE,"10";#N/A,#N/A,FALSE,"13";#N/A,#N/A,FALSE,"14";#N/A,#N/A,FALSE,"15";#N/A,#N/A,FALSE,"16"}</definedName>
    <definedName name="ioiuoiu" hidden="1">{#N/A,#N/A,FALSE,"3";#N/A,#N/A,FALSE,"5";#N/A,#N/A,FALSE,"6";#N/A,#N/A,FALSE,"8";#N/A,#N/A,FALSE,"10";#N/A,#N/A,FALSE,"13";#N/A,#N/A,FALSE,"14";#N/A,#N/A,FALSE,"15";#N/A,#N/A,FALSE,"16"}</definedName>
    <definedName name="ioiuouio" localSheetId="0" hidden="1">{#N/A,#N/A,FALSE,"3";#N/A,#N/A,FALSE,"5";#N/A,#N/A,FALSE,"6";#N/A,#N/A,FALSE,"8";#N/A,#N/A,FALSE,"10";#N/A,#N/A,FALSE,"13";#N/A,#N/A,FALSE,"14";#N/A,#N/A,FALSE,"15";#N/A,#N/A,FALSE,"16"}</definedName>
    <definedName name="ioiuouio" hidden="1">{#N/A,#N/A,FALSE,"3";#N/A,#N/A,FALSE,"5";#N/A,#N/A,FALSE,"6";#N/A,#N/A,FALSE,"8";#N/A,#N/A,FALSE,"10";#N/A,#N/A,FALSE,"13";#N/A,#N/A,FALSE,"14";#N/A,#N/A,FALSE,"15";#N/A,#N/A,FALSE,"16"}</definedName>
    <definedName name="iop" localSheetId="0" hidden="1">{#N/A,#N/A,TRUE,"Summary";#N/A,#N/A,TRUE,"IS";#N/A,#N/A,TRUE,"Adj";#N/A,#N/A,TRUE,"BS";#N/A,#N/A,TRUE,"CF";#N/A,#N/A,TRUE,"Debt";#N/A,#N/A,TRUE,"IRR"}</definedName>
    <definedName name="iop" hidden="1">{#N/A,#N/A,TRUE,"Summary";#N/A,#N/A,TRUE,"IS";#N/A,#N/A,TRUE,"Adj";#N/A,#N/A,TRUE,"BS";#N/A,#N/A,TRUE,"CF";#N/A,#N/A,TRUE,"Debt";#N/A,#N/A,TRUE,"IRR"}</definedName>
    <definedName name="iouiuouiooiu" localSheetId="0" hidden="1">{#N/A,#N/A,FALSE,"3";#N/A,#N/A,FALSE,"5";#N/A,#N/A,FALSE,"6";#N/A,#N/A,FALSE,"8";#N/A,#N/A,FALSE,"10";#N/A,#N/A,FALSE,"13";#N/A,#N/A,FALSE,"14";#N/A,#N/A,FALSE,"15";#N/A,#N/A,FALSE,"16"}</definedName>
    <definedName name="iouiuouiooiu" hidden="1">{#N/A,#N/A,FALSE,"3";#N/A,#N/A,FALSE,"5";#N/A,#N/A,FALSE,"6";#N/A,#N/A,FALSE,"8";#N/A,#N/A,FALSE,"10";#N/A,#N/A,FALSE,"13";#N/A,#N/A,FALSE,"14";#N/A,#N/A,FALSE,"15";#N/A,#N/A,FALSE,"16"}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O_EST" hidden="1">"c267"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HIGH_EST" hidden="1">"c269"</definedName>
    <definedName name="IQ_EPS_LOW_EST" hidden="1">"c270"</definedName>
    <definedName name="IQ_EPS_MEDIAN_EST" hidden="1">"c1661"</definedName>
    <definedName name="IQ_EPS_NO_EST" hidden="1">"c271"</definedName>
    <definedName name="IQ_EPS_NORM" hidden="1">"c1902"</definedName>
    <definedName name="IQ_EPS_NUM_EST" hidden="1">"c271"</definedName>
    <definedName name="IQ_EPS_STDDEV_EST" hidden="1">"c272"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O_EST" hidden="1">"c276"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40984.8419907407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"IQ_REVENUE_EST"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NO_EST" hidden="1">"c263"</definedName>
    <definedName name="IQ_REVENUE_NUM_EST" hidden="1">"c1129"</definedName>
    <definedName name="IQ_REVISION_DATE_" hidden="1">39175.3915972222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"c1204"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"c18"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2</definedName>
    <definedName name="IQRBA4" hidden="1">"$BA$5:$BA$9"</definedName>
    <definedName name="IQRBB4" hidden="1">"$BB$5:$BB$9"</definedName>
    <definedName name="itacma7" localSheetId="0" hidden="1">{#N/A,#N/A,FALSE,"USMED 3";#N/A,#N/A,FALSE,"MARCHALLENGER 1";#N/A,#N/A,FALSE,"MARCHALLENGER 2";#N/A,#N/A,FALSE,"MARCHALLENGER 3";#N/A,#N/A,FALSE,"MARCHALLENGER 4"}</definedName>
    <definedName name="itacma7" hidden="1">{#N/A,#N/A,FALSE,"USMED 3";#N/A,#N/A,FALSE,"MARCHALLENGER 1";#N/A,#N/A,FALSE,"MARCHALLENGER 2";#N/A,#N/A,FALSE,"MARCHALLENGER 3";#N/A,#N/A,FALSE,"MARCHALLENGER 4"}</definedName>
    <definedName name="itaemc7" localSheetId="0" hidden="1">{#N/A,#N/A,FALSE,"USMED 3";#N/A,#N/A,FALSE,"MARCHALLENGER 1";#N/A,#N/A,FALSE,"MARCHALLENGER 2";#N/A,#N/A,FALSE,"MARCHALLENGER 3";#N/A,#N/A,FALSE,"MARCHALLENGER 4"}</definedName>
    <definedName name="itaemc7" hidden="1">{#N/A,#N/A,FALSE,"USMED 3";#N/A,#N/A,FALSE,"MARCHALLENGER 1";#N/A,#N/A,FALSE,"MARCHALLENGER 2";#N/A,#N/A,FALSE,"MARCHALLENGER 3";#N/A,#N/A,FALSE,"MARCHALLENGER 4"}</definedName>
    <definedName name="itaemc9" localSheetId="0" hidden="1">{#N/A,#N/A,FALSE,"USMED 3";#N/A,#N/A,FALSE,"MARCHALLENGER 1";#N/A,#N/A,FALSE,"MARCHALLENGER 2";#N/A,#N/A,FALSE,"MARCHALLENGER 3";#N/A,#N/A,FALSE,"MARCHALLENGER 4"}</definedName>
    <definedName name="itaemc9" hidden="1">{#N/A,#N/A,FALSE,"USMED 3";#N/A,#N/A,FALSE,"MARCHALLENGER 1";#N/A,#N/A,FALSE,"MARCHALLENGER 2";#N/A,#N/A,FALSE,"MARCHALLENGER 3";#N/A,#N/A,FALSE,"MARCHALLENGER 4"}</definedName>
    <definedName name="ITAMEMC0" localSheetId="0" hidden="1">{#N/A,#N/A,FALSE,"USMED 3";#N/A,#N/A,FALSE,"MARCHALLENGER 1";#N/A,#N/A,FALSE,"MARCHALLENGER 2";#N/A,#N/A,FALSE,"MARCHALLENGER 3";#N/A,#N/A,FALSE,"MARCHALLENGER 4"}</definedName>
    <definedName name="ITAMEMC0" hidden="1">{#N/A,#N/A,FALSE,"USMED 3";#N/A,#N/A,FALSE,"MARCHALLENGER 1";#N/A,#N/A,FALSE,"MARCHALLENGER 2";#N/A,#N/A,FALSE,"MARCHALLENGER 3";#N/A,#N/A,FALSE,"MARCHALLENGER 4"}</definedName>
    <definedName name="iteamc6" localSheetId="0" hidden="1">{#N/A,#N/A,FALSE,"USMED 3";#N/A,#N/A,FALSE,"MARCHALLENGER 1";#N/A,#N/A,FALSE,"MARCHALLENGER 2";#N/A,#N/A,FALSE,"MARCHALLENGER 3";#N/A,#N/A,FALSE,"MARCHALLENGER 4"}</definedName>
    <definedName name="iteamc6" hidden="1">{#N/A,#N/A,FALSE,"USMED 3";#N/A,#N/A,FALSE,"MARCHALLENGER 1";#N/A,#N/A,FALSE,"MARCHALLENGER 2";#N/A,#N/A,FALSE,"MARCHALLENGER 3";#N/A,#N/A,FALSE,"MARCHALLENGER 4"}</definedName>
    <definedName name="iuoiuoiu" localSheetId="0" hidden="1">{#N/A,#N/A,FALSE,"3";#N/A,#N/A,FALSE,"5";#N/A,#N/A,FALSE,"6";#N/A,#N/A,FALSE,"8";#N/A,#N/A,FALSE,"10";#N/A,#N/A,FALSE,"13";#N/A,#N/A,FALSE,"14";#N/A,#N/A,FALSE,"15";#N/A,#N/A,FALSE,"16"}</definedName>
    <definedName name="iuoiuoiu" hidden="1">{#N/A,#N/A,FALSE,"3";#N/A,#N/A,FALSE,"5";#N/A,#N/A,FALSE,"6";#N/A,#N/A,FALSE,"8";#N/A,#N/A,FALSE,"10";#N/A,#N/A,FALSE,"13";#N/A,#N/A,FALSE,"14";#N/A,#N/A,FALSE,"15";#N/A,#N/A,FALSE,"16"}</definedName>
    <definedName name="iuoiuouio" localSheetId="0" hidden="1">{#N/A,#N/A,FALSE,"3";#N/A,#N/A,FALSE,"5";#N/A,#N/A,FALSE,"6";#N/A,#N/A,FALSE,"8";#N/A,#N/A,FALSE,"10";#N/A,#N/A,FALSE,"13";#N/A,#N/A,FALSE,"14";#N/A,#N/A,FALSE,"15";#N/A,#N/A,FALSE,"16"}</definedName>
    <definedName name="iuoiuouio" hidden="1">{#N/A,#N/A,FALSE,"3";#N/A,#N/A,FALSE,"5";#N/A,#N/A,FALSE,"6";#N/A,#N/A,FALSE,"8";#N/A,#N/A,FALSE,"10";#N/A,#N/A,FALSE,"13";#N/A,#N/A,FALSE,"14";#N/A,#N/A,FALSE,"15";#N/A,#N/A,FALSE,"16"}</definedName>
    <definedName name="iuoiuouiouiou" localSheetId="0" hidden="1">{#N/A,#N/A,FALSE,"3";#N/A,#N/A,FALSE,"5";#N/A,#N/A,FALSE,"6";#N/A,#N/A,FALSE,"8";#N/A,#N/A,FALSE,"10";#N/A,#N/A,FALSE,"13";#N/A,#N/A,FALSE,"14";#N/A,#N/A,FALSE,"15";#N/A,#N/A,FALSE,"16"}</definedName>
    <definedName name="iuoiuouiouiou" hidden="1">{#N/A,#N/A,FALSE,"3";#N/A,#N/A,FALSE,"5";#N/A,#N/A,FALSE,"6";#N/A,#N/A,FALSE,"8";#N/A,#N/A,FALSE,"10";#N/A,#N/A,FALSE,"13";#N/A,#N/A,FALSE,"14";#N/A,#N/A,FALSE,"15";#N/A,#N/A,FALSE,"16"}</definedName>
    <definedName name="iuouiouio" localSheetId="0" hidden="1">{#N/A,#N/A,FALSE,"3";#N/A,#N/A,FALSE,"5";#N/A,#N/A,FALSE,"6";#N/A,#N/A,FALSE,"8";#N/A,#N/A,FALSE,"10";#N/A,#N/A,FALSE,"13";#N/A,#N/A,FALSE,"14";#N/A,#N/A,FALSE,"15";#N/A,#N/A,FALSE,"16"}</definedName>
    <definedName name="iuouiouio" hidden="1">{#N/A,#N/A,FALSE,"3";#N/A,#N/A,FALSE,"5";#N/A,#N/A,FALSE,"6";#N/A,#N/A,FALSE,"8";#N/A,#N/A,FALSE,"10";#N/A,#N/A,FALSE,"13";#N/A,#N/A,FALSE,"14";#N/A,#N/A,FALSE,"15";#N/A,#N/A,FALSE,"16"}</definedName>
    <definedName name="iuouiouiouio" localSheetId="0" hidden="1">{#N/A,#N/A,FALSE,"3";#N/A,#N/A,FALSE,"5";#N/A,#N/A,FALSE,"6";#N/A,#N/A,FALSE,"8";#N/A,#N/A,FALSE,"10";#N/A,#N/A,FALSE,"13";#N/A,#N/A,FALSE,"14";#N/A,#N/A,FALSE,"15";#N/A,#N/A,FALSE,"16"}</definedName>
    <definedName name="iuouiouiouio" hidden="1">{#N/A,#N/A,FALSE,"3";#N/A,#N/A,FALSE,"5";#N/A,#N/A,FALSE,"6";#N/A,#N/A,FALSE,"8";#N/A,#N/A,FALSE,"10";#N/A,#N/A,FALSE,"13";#N/A,#N/A,FALSE,"14";#N/A,#N/A,FALSE,"15";#N/A,#N/A,FALSE,"16"}</definedName>
    <definedName name="iyiy" localSheetId="0" hidden="1">{#N/A,#N/A,FALSE,"3";#N/A,#N/A,FALSE,"5";#N/A,#N/A,FALSE,"6";#N/A,#N/A,FALSE,"8";#N/A,#N/A,FALSE,"10";#N/A,#N/A,FALSE,"13";#N/A,#N/A,FALSE,"14";#N/A,#N/A,FALSE,"15";#N/A,#N/A,FALSE,"16"}</definedName>
    <definedName name="iyiy" hidden="1">{#N/A,#N/A,FALSE,"3";#N/A,#N/A,FALSE,"5";#N/A,#N/A,FALSE,"6";#N/A,#N/A,FALSE,"8";#N/A,#N/A,FALSE,"10";#N/A,#N/A,FALSE,"13";#N/A,#N/A,FALSE,"14";#N/A,#N/A,FALSE,"15";#N/A,#N/A,FALSE,"16"}</definedName>
    <definedName name="J" localSheetId="0" hidden="1">{#N/A,#N/A,FALSE,"USMED 3";#N/A,#N/A,FALSE,"MARCHALLENGER 1";#N/A,#N/A,FALSE,"MARCHALLENGER 2";#N/A,#N/A,FALSE,"MARCHALLENGER 3";#N/A,#N/A,FALSE,"MARCHALLENGER 4"}</definedName>
    <definedName name="J" hidden="1">{#N/A,#N/A,FALSE,"USMED 3";#N/A,#N/A,FALSE,"MARCHALLENGER 1";#N/A,#N/A,FALSE,"MARCHALLENGER 2";#N/A,#N/A,FALSE,"MARCHALLENGER 3";#N/A,#N/A,FALSE,"MARCHALLENGER 4"}</definedName>
    <definedName name="jghjghjghj" localSheetId="0" hidden="1">{#N/A,#N/A,FALSE,"3";#N/A,#N/A,FALSE,"5";#N/A,#N/A,FALSE,"6";#N/A,#N/A,FALSE,"8";#N/A,#N/A,FALSE,"10";#N/A,#N/A,FALSE,"13";#N/A,#N/A,FALSE,"14";#N/A,#N/A,FALSE,"15";#N/A,#N/A,FALSE,"16"}</definedName>
    <definedName name="jghjghjghj" hidden="1">{#N/A,#N/A,FALSE,"3";#N/A,#N/A,FALSE,"5";#N/A,#N/A,FALSE,"6";#N/A,#N/A,FALSE,"8";#N/A,#N/A,FALSE,"10";#N/A,#N/A,FALSE,"13";#N/A,#N/A,FALSE,"14";#N/A,#N/A,FALSE,"15";#N/A,#N/A,FALSE,"16"}</definedName>
    <definedName name="jghjgyhjgh" localSheetId="0" hidden="1">{#N/A,#N/A,FALSE,"3";#N/A,#N/A,FALSE,"5";#N/A,#N/A,FALSE,"6";#N/A,#N/A,FALSE,"8";#N/A,#N/A,FALSE,"10";#N/A,#N/A,FALSE,"13";#N/A,#N/A,FALSE,"14";#N/A,#N/A,FALSE,"15";#N/A,#N/A,FALSE,"16"}</definedName>
    <definedName name="jghjgyhjgh" hidden="1">{#N/A,#N/A,FALSE,"3";#N/A,#N/A,FALSE,"5";#N/A,#N/A,FALSE,"6";#N/A,#N/A,FALSE,"8";#N/A,#N/A,FALSE,"10";#N/A,#N/A,FALSE,"13";#N/A,#N/A,FALSE,"14";#N/A,#N/A,FALSE,"15";#N/A,#N/A,FALSE,"16"}</definedName>
    <definedName name="jhfdnjkfd" localSheetId="0" hidden="1">{#N/A,#N/A,TRUE,"Summary";#N/A,#N/A,TRUE,"IS";#N/A,#N/A,TRUE,"Adj";#N/A,#N/A,TRUE,"BS";#N/A,#N/A,TRUE,"CF";#N/A,#N/A,TRUE,"Debt";#N/A,#N/A,TRUE,"IRR"}</definedName>
    <definedName name="jhfdnjkfd" hidden="1">{#N/A,#N/A,TRUE,"Summary";#N/A,#N/A,TRUE,"IS";#N/A,#N/A,TRUE,"Adj";#N/A,#N/A,TRUE,"BS";#N/A,#N/A,TRUE,"CF";#N/A,#N/A,TRUE,"Debt";#N/A,#N/A,TRUE,"IRR"}</definedName>
    <definedName name="jhg" localSheetId="0" hidden="1">{#N/A,#N/A,FALSE,"3";#N/A,#N/A,FALSE,"5";#N/A,#N/A,FALSE,"6";#N/A,#N/A,FALSE,"8";#N/A,#N/A,FALSE,"10";#N/A,#N/A,FALSE,"13";#N/A,#N/A,FALSE,"14";#N/A,#N/A,FALSE,"15";#N/A,#N/A,FALSE,"16"}</definedName>
    <definedName name="jhg" hidden="1">{#N/A,#N/A,FALSE,"3";#N/A,#N/A,FALSE,"5";#N/A,#N/A,FALSE,"6";#N/A,#N/A,FALSE,"8";#N/A,#N/A,FALSE,"10";#N/A,#N/A,FALSE,"13";#N/A,#N/A,FALSE,"14";#N/A,#N/A,FALSE,"15";#N/A,#N/A,FALSE,"16"}</definedName>
    <definedName name="jhghj" localSheetId="0" hidden="1">{#N/A,#N/A,FALSE,"3";#N/A,#N/A,FALSE,"5";#N/A,#N/A,FALSE,"6";#N/A,#N/A,FALSE,"8";#N/A,#N/A,FALSE,"10";#N/A,#N/A,FALSE,"13";#N/A,#N/A,FALSE,"14";#N/A,#N/A,FALSE,"15";#N/A,#N/A,FALSE,"16"}</definedName>
    <definedName name="jhghj" hidden="1">{#N/A,#N/A,FALSE,"3";#N/A,#N/A,FALSE,"5";#N/A,#N/A,FALSE,"6";#N/A,#N/A,FALSE,"8";#N/A,#N/A,FALSE,"10";#N/A,#N/A,FALSE,"13";#N/A,#N/A,FALSE,"14";#N/A,#N/A,FALSE,"15";#N/A,#N/A,FALSE,"16"}</definedName>
    <definedName name="jhjhgj" localSheetId="0" hidden="1">{#N/A,#N/A,FALSE,"3";#N/A,#N/A,FALSE,"5";#N/A,#N/A,FALSE,"6";#N/A,#N/A,FALSE,"8";#N/A,#N/A,FALSE,"10";#N/A,#N/A,FALSE,"13";#N/A,#N/A,FALSE,"14";#N/A,#N/A,FALSE,"15";#N/A,#N/A,FALSE,"16"}</definedName>
    <definedName name="jhjhgj" hidden="1">{#N/A,#N/A,FALSE,"3";#N/A,#N/A,FALSE,"5";#N/A,#N/A,FALSE,"6";#N/A,#N/A,FALSE,"8";#N/A,#N/A,FALSE,"10";#N/A,#N/A,FALSE,"13";#N/A,#N/A,FALSE,"14";#N/A,#N/A,FALSE,"15";#N/A,#N/A,FALSE,"16"}</definedName>
    <definedName name="JJKJKJL" localSheetId="0" hidden="1">{"'Mach'!$A$1:$D$39"}</definedName>
    <definedName name="JJKJKJL" hidden="1">{"'Mach'!$A$1:$D$39"}</definedName>
    <definedName name="jkl" localSheetId="0" hidden="1">{"'Typical Costs Estimates'!$C$158:$H$161"}</definedName>
    <definedName name="jkl" hidden="1">{"'Typical Costs Estimates'!$C$158:$H$161"}</definedName>
    <definedName name="jlhhjlhjlhjl" localSheetId="0" hidden="1">{#N/A,#N/A,FALSE,"3";#N/A,#N/A,FALSE,"5";#N/A,#N/A,FALSE,"6";#N/A,#N/A,FALSE,"8";#N/A,#N/A,FALSE,"10";#N/A,#N/A,FALSE,"13";#N/A,#N/A,FALSE,"14";#N/A,#N/A,FALSE,"15";#N/A,#N/A,FALSE,"16"}</definedName>
    <definedName name="jlhhjlhjlhjl" hidden="1">{#N/A,#N/A,FALSE,"3";#N/A,#N/A,FALSE,"5";#N/A,#N/A,FALSE,"6";#N/A,#N/A,FALSE,"8";#N/A,#N/A,FALSE,"10";#N/A,#N/A,FALSE,"13";#N/A,#N/A,FALSE,"14";#N/A,#N/A,FALSE,"15";#N/A,#N/A,FALSE,"16"}</definedName>
    <definedName name="jlhjlhjl" localSheetId="0" hidden="1">{#N/A,#N/A,FALSE,"3";#N/A,#N/A,FALSE,"5";#N/A,#N/A,FALSE,"6";#N/A,#N/A,FALSE,"8";#N/A,#N/A,FALSE,"10";#N/A,#N/A,FALSE,"13";#N/A,#N/A,FALSE,"14";#N/A,#N/A,FALSE,"15";#N/A,#N/A,FALSE,"16"}</definedName>
    <definedName name="jlhjlhjl" hidden="1">{#N/A,#N/A,FALSE,"3";#N/A,#N/A,FALSE,"5";#N/A,#N/A,FALSE,"6";#N/A,#N/A,FALSE,"8";#N/A,#N/A,FALSE,"10";#N/A,#N/A,FALSE,"13";#N/A,#N/A,FALSE,"14";#N/A,#N/A,FALSE,"15";#N/A,#N/A,FALSE,"16"}</definedName>
    <definedName name="jlj" localSheetId="0" hidden="1">{#N/A,#N/A,FALSE,"3";#N/A,#N/A,FALSE,"5";#N/A,#N/A,FALSE,"6";#N/A,#N/A,FALSE,"8";#N/A,#N/A,FALSE,"10";#N/A,#N/A,FALSE,"13";#N/A,#N/A,FALSE,"14";#N/A,#N/A,FALSE,"15";#N/A,#N/A,FALSE,"16"}</definedName>
    <definedName name="jlj" hidden="1">{#N/A,#N/A,FALSE,"3";#N/A,#N/A,FALSE,"5";#N/A,#N/A,FALSE,"6";#N/A,#N/A,FALSE,"8";#N/A,#N/A,FALSE,"10";#N/A,#N/A,FALSE,"13";#N/A,#N/A,FALSE,"14";#N/A,#N/A,FALSE,"15";#N/A,#N/A,FALSE,"16"}</definedName>
    <definedName name="jlkj" localSheetId="0" hidden="1">{#N/A,#N/A,FALSE,"3";#N/A,#N/A,FALSE,"5";#N/A,#N/A,FALSE,"6";#N/A,#N/A,FALSE,"8";#N/A,#N/A,FALSE,"10";#N/A,#N/A,FALSE,"13";#N/A,#N/A,FALSE,"14";#N/A,#N/A,FALSE,"15";#N/A,#N/A,FALSE,"16"}</definedName>
    <definedName name="jlkj" hidden="1">{#N/A,#N/A,FALSE,"3";#N/A,#N/A,FALSE,"5";#N/A,#N/A,FALSE,"6";#N/A,#N/A,FALSE,"8";#N/A,#N/A,FALSE,"10";#N/A,#N/A,FALSE,"13";#N/A,#N/A,FALSE,"14";#N/A,#N/A,FALSE,"15";#N/A,#N/A,FALSE,"16"}</definedName>
    <definedName name="jlyulhjl" localSheetId="0" hidden="1">{#N/A,#N/A,FALSE,"3";#N/A,#N/A,FALSE,"5";#N/A,#N/A,FALSE,"6";#N/A,#N/A,FALSE,"8";#N/A,#N/A,FALSE,"10";#N/A,#N/A,FALSE,"13";#N/A,#N/A,FALSE,"14";#N/A,#N/A,FALSE,"15";#N/A,#N/A,FALSE,"16"}</definedName>
    <definedName name="jlyulhjl" hidden="1">{#N/A,#N/A,FALSE,"3";#N/A,#N/A,FALSE,"5";#N/A,#N/A,FALSE,"6";#N/A,#N/A,FALSE,"8";#N/A,#N/A,FALSE,"10";#N/A,#N/A,FALSE,"13";#N/A,#N/A,FALSE,"14";#N/A,#N/A,FALSE,"15";#N/A,#N/A,FALSE,"16"}</definedName>
    <definedName name="ｋ" hidden="1">#REF!</definedName>
    <definedName name="karen" localSheetId="0" hidden="1">{"Summary analysis",#N/A,FALSE,"Total";"OCPH analysis",#N/A,FALSE,"Total";"detail analysis",#N/A,FALSE,"Total"}</definedName>
    <definedName name="karen" hidden="1">{"Summary analysis",#N/A,FALSE,"Total";"OCPH analysis",#N/A,FALSE,"Total";"detail analysis",#N/A,FALSE,"Total"}</definedName>
    <definedName name="Kauhal" hidden="1">#REF!</definedName>
    <definedName name="kdsfmùmf" hidden="1">#REF!</definedName>
    <definedName name="kfgkgkgh" localSheetId="0" hidden="1">{#N/A,#N/A,FALSE,"3";#N/A,#N/A,FALSE,"5";#N/A,#N/A,FALSE,"6";#N/A,#N/A,FALSE,"8";#N/A,#N/A,FALSE,"10";#N/A,#N/A,FALSE,"13";#N/A,#N/A,FALSE,"14";#N/A,#N/A,FALSE,"15";#N/A,#N/A,FALSE,"16"}</definedName>
    <definedName name="kfgkgkgh" hidden="1">{#N/A,#N/A,FALSE,"3";#N/A,#N/A,FALSE,"5";#N/A,#N/A,FALSE,"6";#N/A,#N/A,FALSE,"8";#N/A,#N/A,FALSE,"10";#N/A,#N/A,FALSE,"13";#N/A,#N/A,FALSE,"14";#N/A,#N/A,FALSE,"15";#N/A,#N/A,FALSE,"16"}</definedName>
    <definedName name="kgghkgh" localSheetId="0" hidden="1">{#N/A,#N/A,FALSE,"3";#N/A,#N/A,FALSE,"5";#N/A,#N/A,FALSE,"6";#N/A,#N/A,FALSE,"8";#N/A,#N/A,FALSE,"10";#N/A,#N/A,FALSE,"13";#N/A,#N/A,FALSE,"14";#N/A,#N/A,FALSE,"15";#N/A,#N/A,FALSE,"16"}</definedName>
    <definedName name="kgghkgh" hidden="1">{#N/A,#N/A,FALSE,"3";#N/A,#N/A,FALSE,"5";#N/A,#N/A,FALSE,"6";#N/A,#N/A,FALSE,"8";#N/A,#N/A,FALSE,"10";#N/A,#N/A,FALSE,"13";#N/A,#N/A,FALSE,"14";#N/A,#N/A,FALSE,"15";#N/A,#N/A,FALSE,"16"}</definedName>
    <definedName name="kgghkgk" localSheetId="0" hidden="1">{#N/A,#N/A,FALSE,"3";#N/A,#N/A,FALSE,"5";#N/A,#N/A,FALSE,"6";#N/A,#N/A,FALSE,"8";#N/A,#N/A,FALSE,"10";#N/A,#N/A,FALSE,"13";#N/A,#N/A,FALSE,"14";#N/A,#N/A,FALSE,"15";#N/A,#N/A,FALSE,"16"}</definedName>
    <definedName name="kgghkgk" hidden="1">{#N/A,#N/A,FALSE,"3";#N/A,#N/A,FALSE,"5";#N/A,#N/A,FALSE,"6";#N/A,#N/A,FALSE,"8";#N/A,#N/A,FALSE,"10";#N/A,#N/A,FALSE,"13";#N/A,#N/A,FALSE,"14";#N/A,#N/A,FALSE,"15";#N/A,#N/A,FALSE,"16"}</definedName>
    <definedName name="kghgk" localSheetId="0" hidden="1">{#N/A,#N/A,FALSE,"3";#N/A,#N/A,FALSE,"5";#N/A,#N/A,FALSE,"6";#N/A,#N/A,FALSE,"8";#N/A,#N/A,FALSE,"10";#N/A,#N/A,FALSE,"13";#N/A,#N/A,FALSE,"14";#N/A,#N/A,FALSE,"15";#N/A,#N/A,FALSE,"16"}</definedName>
    <definedName name="kghgk" hidden="1">{#N/A,#N/A,FALSE,"3";#N/A,#N/A,FALSE,"5";#N/A,#N/A,FALSE,"6";#N/A,#N/A,FALSE,"8";#N/A,#N/A,FALSE,"10";#N/A,#N/A,FALSE,"13";#N/A,#N/A,FALSE,"14";#N/A,#N/A,FALSE,"15";#N/A,#N/A,FALSE,"16"}</definedName>
    <definedName name="kghkghkghkf" localSheetId="0" hidden="1">{#N/A,#N/A,FALSE,"3";#N/A,#N/A,FALSE,"5";#N/A,#N/A,FALSE,"6";#N/A,#N/A,FALSE,"8";#N/A,#N/A,FALSE,"10";#N/A,#N/A,FALSE,"13";#N/A,#N/A,FALSE,"14";#N/A,#N/A,FALSE,"15";#N/A,#N/A,FALSE,"16"}</definedName>
    <definedName name="kghkghkghkf" hidden="1">{#N/A,#N/A,FALSE,"3";#N/A,#N/A,FALSE,"5";#N/A,#N/A,FALSE,"6";#N/A,#N/A,FALSE,"8";#N/A,#N/A,FALSE,"10";#N/A,#N/A,FALSE,"13";#N/A,#N/A,FALSE,"14";#N/A,#N/A,FALSE,"15";#N/A,#N/A,FALSE,"16"}</definedName>
    <definedName name="kghkghkgk" localSheetId="0" hidden="1">{#N/A,#N/A,FALSE,"3";#N/A,#N/A,FALSE,"5";#N/A,#N/A,FALSE,"6";#N/A,#N/A,FALSE,"8";#N/A,#N/A,FALSE,"10";#N/A,#N/A,FALSE,"13";#N/A,#N/A,FALSE,"14";#N/A,#N/A,FALSE,"15";#N/A,#N/A,FALSE,"16"}</definedName>
    <definedName name="kghkghkgk" hidden="1">{#N/A,#N/A,FALSE,"3";#N/A,#N/A,FALSE,"5";#N/A,#N/A,FALSE,"6";#N/A,#N/A,FALSE,"8";#N/A,#N/A,FALSE,"10";#N/A,#N/A,FALSE,"13";#N/A,#N/A,FALSE,"14";#N/A,#N/A,FALSE,"15";#N/A,#N/A,FALSE,"16"}</definedName>
    <definedName name="kghkhgk" localSheetId="0" hidden="1">{#N/A,#N/A,FALSE,"3";#N/A,#N/A,FALSE,"5";#N/A,#N/A,FALSE,"6";#N/A,#N/A,FALSE,"8";#N/A,#N/A,FALSE,"10";#N/A,#N/A,FALSE,"13";#N/A,#N/A,FALSE,"14";#N/A,#N/A,FALSE,"15";#N/A,#N/A,FALSE,"16"}</definedName>
    <definedName name="kghkhgk" hidden="1">{#N/A,#N/A,FALSE,"3";#N/A,#N/A,FALSE,"5";#N/A,#N/A,FALSE,"6";#N/A,#N/A,FALSE,"8";#N/A,#N/A,FALSE,"10";#N/A,#N/A,FALSE,"13";#N/A,#N/A,FALSE,"14";#N/A,#N/A,FALSE,"15";#N/A,#N/A,FALSE,"16"}</definedName>
    <definedName name="kgkgk" localSheetId="0" hidden="1">{#N/A,#N/A,FALSE,"3";#N/A,#N/A,FALSE,"5";#N/A,#N/A,FALSE,"6";#N/A,#N/A,FALSE,"8";#N/A,#N/A,FALSE,"10";#N/A,#N/A,FALSE,"13";#N/A,#N/A,FALSE,"14";#N/A,#N/A,FALSE,"15";#N/A,#N/A,FALSE,"16"}</definedName>
    <definedName name="kgkgk" hidden="1">{#N/A,#N/A,FALSE,"3";#N/A,#N/A,FALSE,"5";#N/A,#N/A,FALSE,"6";#N/A,#N/A,FALSE,"8";#N/A,#N/A,FALSE,"10";#N/A,#N/A,FALSE,"13";#N/A,#N/A,FALSE,"14";#N/A,#N/A,FALSE,"15";#N/A,#N/A,FALSE,"16"}</definedName>
    <definedName name="khggkghk" localSheetId="0" hidden="1">{#N/A,#N/A,FALSE,"3";#N/A,#N/A,FALSE,"5";#N/A,#N/A,FALSE,"6";#N/A,#N/A,FALSE,"8";#N/A,#N/A,FALSE,"10";#N/A,#N/A,FALSE,"13";#N/A,#N/A,FALSE,"14";#N/A,#N/A,FALSE,"15";#N/A,#N/A,FALSE,"16"}</definedName>
    <definedName name="khggkghk" hidden="1">{#N/A,#N/A,FALSE,"3";#N/A,#N/A,FALSE,"5";#N/A,#N/A,FALSE,"6";#N/A,#N/A,FALSE,"8";#N/A,#N/A,FALSE,"10";#N/A,#N/A,FALSE,"13";#N/A,#N/A,FALSE,"14";#N/A,#N/A,FALSE,"15";#N/A,#N/A,FALSE,"16"}</definedName>
    <definedName name="khk" localSheetId="0" hidden="1">{#N/A,#N/A,FALSE,"3";#N/A,#N/A,FALSE,"5";#N/A,#N/A,FALSE,"6";#N/A,#N/A,FALSE,"8";#N/A,#N/A,FALSE,"10";#N/A,#N/A,FALSE,"13";#N/A,#N/A,FALSE,"14";#N/A,#N/A,FALSE,"15";#N/A,#N/A,FALSE,"16"}</definedName>
    <definedName name="khk" hidden="1">{#N/A,#N/A,FALSE,"3";#N/A,#N/A,FALSE,"5";#N/A,#N/A,FALSE,"6";#N/A,#N/A,FALSE,"8";#N/A,#N/A,FALSE,"10";#N/A,#N/A,FALSE,"13";#N/A,#N/A,FALSE,"14";#N/A,#N/A,FALSE,"15";#N/A,#N/A,FALSE,"16"}</definedName>
    <definedName name="khkh" localSheetId="0" hidden="1">{#N/A,#N/A,FALSE,"3";#N/A,#N/A,FALSE,"5";#N/A,#N/A,FALSE,"6";#N/A,#N/A,FALSE,"8";#N/A,#N/A,FALSE,"10";#N/A,#N/A,FALSE,"13";#N/A,#N/A,FALSE,"14";#N/A,#N/A,FALSE,"15";#N/A,#N/A,FALSE,"16"}</definedName>
    <definedName name="khkh" hidden="1">{#N/A,#N/A,FALSE,"3";#N/A,#N/A,FALSE,"5";#N/A,#N/A,FALSE,"6";#N/A,#N/A,FALSE,"8";#N/A,#N/A,FALSE,"10";#N/A,#N/A,FALSE,"13";#N/A,#N/A,FALSE,"14";#N/A,#N/A,FALSE,"15";#N/A,#N/A,FALSE,"16"}</definedName>
    <definedName name="khkhk" localSheetId="0" hidden="1">{#N/A,#N/A,FALSE,"3";#N/A,#N/A,FALSE,"5";#N/A,#N/A,FALSE,"6";#N/A,#N/A,FALSE,"8";#N/A,#N/A,FALSE,"10";#N/A,#N/A,FALSE,"13";#N/A,#N/A,FALSE,"14";#N/A,#N/A,FALSE,"15";#N/A,#N/A,FALSE,"16"}</definedName>
    <definedName name="khkhk" hidden="1">{#N/A,#N/A,FALSE,"3";#N/A,#N/A,FALSE,"5";#N/A,#N/A,FALSE,"6";#N/A,#N/A,FALSE,"8";#N/A,#N/A,FALSE,"10";#N/A,#N/A,FALSE,"13";#N/A,#N/A,FALSE,"14";#N/A,#N/A,FALSE,"15";#N/A,#N/A,FALSE,"16"}</definedName>
    <definedName name="kjlj" localSheetId="0" hidden="1">{"Summary analysis",#N/A,FALSE,"Total";"OCPH analysis",#N/A,FALSE,"Total";"detail analysis",#N/A,FALSE,"Total"}</definedName>
    <definedName name="kjlj" hidden="1">{"Summary analysis",#N/A,FALSE,"Total";"OCPH analysis",#N/A,FALSE,"Total";"detail analysis",#N/A,FALSE,"Total"}</definedName>
    <definedName name="kjlklk" hidden="1">#REF!</definedName>
    <definedName name="KK" localSheetId="0" hidden="1">{#N/A,#N/A,FALSE,"COMICRO";#N/A,#N/A,FALSE,"BALSCH";#N/A,#N/A,FALSE,"GLASS";#N/A,#N/A,FALSE,"DEPRE";#N/A,#N/A,FALSE,"A&amp;MCUR";#N/A,#N/A,FALSE,"AGEANAlysis";#N/A,#N/A,FALSE,"CHECKS";#N/A,#N/A,FALSE,"CHECKS"}</definedName>
    <definedName name="KK" hidden="1">{#N/A,#N/A,FALSE,"COMICRO";#N/A,#N/A,FALSE,"BALSCH";#N/A,#N/A,FALSE,"GLASS";#N/A,#N/A,FALSE,"DEPRE";#N/A,#N/A,FALSE,"A&amp;MCUR";#N/A,#N/A,FALSE,"AGEANAlysis";#N/A,#N/A,FALSE,"CHECKS";#N/A,#N/A,FALSE,"CHECKS"}</definedName>
    <definedName name="KUULSD" localSheetId="0" hidden="1">{#N/A,#N/A,FALSE,"COMP"}</definedName>
    <definedName name="KUULSD" hidden="1">{#N/A,#N/A,FALSE,"COMP"}</definedName>
    <definedName name="lalal" localSheetId="0" hidden="1">{"receivables",#N/A,FALSE,"SII 99";"sales",#N/A,FALSE,"SII 99";"turns",#N/A,FALSE,"SII 99";"pastdue",#N/A,FALSE,"SII 99"}</definedName>
    <definedName name="lalal" hidden="1">{"receivables",#N/A,FALSE,"SII 99";"sales",#N/A,FALSE,"SII 99";"turns",#N/A,FALSE,"SII 99";"pastdue",#N/A,FALSE,"SII 99"}</definedName>
    <definedName name="lhjlhjlh" localSheetId="0" hidden="1">{#N/A,#N/A,FALSE,"3";#N/A,#N/A,FALSE,"5";#N/A,#N/A,FALSE,"6";#N/A,#N/A,FALSE,"8";#N/A,#N/A,FALSE,"10";#N/A,#N/A,FALSE,"13";#N/A,#N/A,FALSE,"14";#N/A,#N/A,FALSE,"15";#N/A,#N/A,FALSE,"16"}</definedName>
    <definedName name="lhjlhjlh" hidden="1">{#N/A,#N/A,FALSE,"3";#N/A,#N/A,FALSE,"5";#N/A,#N/A,FALSE,"6";#N/A,#N/A,FALSE,"8";#N/A,#N/A,FALSE,"10";#N/A,#N/A,FALSE,"13";#N/A,#N/A,FALSE,"14";#N/A,#N/A,FALSE,"15";#N/A,#N/A,FALSE,"16"}</definedName>
    <definedName name="liliy" localSheetId="0" hidden="1">{#N/A,#N/A,FALSE,"3";#N/A,#N/A,FALSE,"5";#N/A,#N/A,FALSE,"6";#N/A,#N/A,FALSE,"8";#N/A,#N/A,FALSE,"10";#N/A,#N/A,FALSE,"13";#N/A,#N/A,FALSE,"14";#N/A,#N/A,FALSE,"15";#N/A,#N/A,FALSE,"16"}</definedName>
    <definedName name="liliy" hidden="1">{#N/A,#N/A,FALSE,"3";#N/A,#N/A,FALSE,"5";#N/A,#N/A,FALSE,"6";#N/A,#N/A,FALSE,"8";#N/A,#N/A,FALSE,"10";#N/A,#N/A,FALSE,"13";#N/A,#N/A,FALSE,"14";#N/A,#N/A,FALSE,"15";#N/A,#N/A,FALSE,"16"}</definedName>
    <definedName name="ljhlhjl" localSheetId="0" hidden="1">{#N/A,#N/A,FALSE,"3";#N/A,#N/A,FALSE,"5";#N/A,#N/A,FALSE,"6";#N/A,#N/A,FALSE,"8";#N/A,#N/A,FALSE,"10";#N/A,#N/A,FALSE,"13";#N/A,#N/A,FALSE,"14";#N/A,#N/A,FALSE,"15";#N/A,#N/A,FALSE,"16"}</definedName>
    <definedName name="ljhlhjl" hidden="1">{#N/A,#N/A,FALSE,"3";#N/A,#N/A,FALSE,"5";#N/A,#N/A,FALSE,"6";#N/A,#N/A,FALSE,"8";#N/A,#N/A,FALSE,"10";#N/A,#N/A,FALSE,"13";#N/A,#N/A,FALSE,"14";#N/A,#N/A,FALSE,"15";#N/A,#N/A,FALSE,"16"}</definedName>
    <definedName name="ljhlhjlhjlhjlhj" localSheetId="0" hidden="1">{#N/A,#N/A,FALSE,"3";#N/A,#N/A,FALSE,"5";#N/A,#N/A,FALSE,"6";#N/A,#N/A,FALSE,"8";#N/A,#N/A,FALSE,"10";#N/A,#N/A,FALSE,"13";#N/A,#N/A,FALSE,"14";#N/A,#N/A,FALSE,"15";#N/A,#N/A,FALSE,"16"}</definedName>
    <definedName name="ljhlhjlhjlhjlhj" hidden="1">{#N/A,#N/A,FALSE,"3";#N/A,#N/A,FALSE,"5";#N/A,#N/A,FALSE,"6";#N/A,#N/A,FALSE,"8";#N/A,#N/A,FALSE,"10";#N/A,#N/A,FALSE,"13";#N/A,#N/A,FALSE,"14";#N/A,#N/A,FALSE,"15";#N/A,#N/A,FALSE,"16"}</definedName>
    <definedName name="ljlhjlhjlj" localSheetId="0" hidden="1">{#N/A,#N/A,FALSE,"3";#N/A,#N/A,FALSE,"5";#N/A,#N/A,FALSE,"6";#N/A,#N/A,FALSE,"8";#N/A,#N/A,FALSE,"10";#N/A,#N/A,FALSE,"13";#N/A,#N/A,FALSE,"14";#N/A,#N/A,FALSE,"15";#N/A,#N/A,FALSE,"16"}</definedName>
    <definedName name="ljlhjlhjlj" hidden="1">{#N/A,#N/A,FALSE,"3";#N/A,#N/A,FALSE,"5";#N/A,#N/A,FALSE,"6";#N/A,#N/A,FALSE,"8";#N/A,#N/A,FALSE,"10";#N/A,#N/A,FALSE,"13";#N/A,#N/A,FALSE,"14";#N/A,#N/A,FALSE,"15";#N/A,#N/A,FALSE,"16"}</definedName>
    <definedName name="ljlj" localSheetId="0" hidden="1">{"PARTE1",#N/A,FALSE,"Plan1"}</definedName>
    <definedName name="ljlj" hidden="1">{"PARTE1",#N/A,FALSE,"Plan1"}</definedName>
    <definedName name="ljljl" localSheetId="0" hidden="1">{#N/A,#N/A,FALSE,"3";#N/A,#N/A,FALSE,"5";#N/A,#N/A,FALSE,"6";#N/A,#N/A,FALSE,"8";#N/A,#N/A,FALSE,"10";#N/A,#N/A,FALSE,"13";#N/A,#N/A,FALSE,"14";#N/A,#N/A,FALSE,"15";#N/A,#N/A,FALSE,"16"}</definedName>
    <definedName name="ljljl" hidden="1">{#N/A,#N/A,FALSE,"3";#N/A,#N/A,FALSE,"5";#N/A,#N/A,FALSE,"6";#N/A,#N/A,FALSE,"8";#N/A,#N/A,FALSE,"10";#N/A,#N/A,FALSE,"13";#N/A,#N/A,FALSE,"14";#N/A,#N/A,FALSE,"15";#N/A,#N/A,FALSE,"16"}</definedName>
    <definedName name="LM" hidden="1">#REF!</definedName>
    <definedName name="lps" localSheetId="0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m.m" localSheetId="0" hidden="1">{#N/A,#N/A,FALSE,"3";#N/A,#N/A,FALSE,"5";#N/A,#N/A,FALSE,"6";#N/A,#N/A,FALSE,"8";#N/A,#N/A,FALSE,"10";#N/A,#N/A,FALSE,"13";#N/A,#N/A,FALSE,"14";#N/A,#N/A,FALSE,"15";#N/A,#N/A,FALSE,"16"}</definedName>
    <definedName name="m.m" hidden="1">{#N/A,#N/A,FALSE,"3";#N/A,#N/A,FALSE,"5";#N/A,#N/A,FALSE,"6";#N/A,#N/A,FALSE,"8";#N/A,#N/A,FALSE,"10";#N/A,#N/A,FALSE,"13";#N/A,#N/A,FALSE,"14";#N/A,#N/A,FALSE,"15";#N/A,#N/A,FALSE,"16"}</definedName>
    <definedName name="madhavi" localSheetId="0" hidden="1">{"plansummary",#N/A,FALSE,"PlanSummary";"sales",#N/A,FALSE,"Sales Rec";"productivity",#N/A,FALSE,"Productivity Rec";"capitalspending",#N/A,FALSE,"Capital Spending"}</definedName>
    <definedName name="madhavi" hidden="1">{"plansummary",#N/A,FALSE,"PlanSummary";"sales",#N/A,FALSE,"Sales Rec";"productivity",#N/A,FALSE,"Productivity Rec";"capitalspending",#N/A,FALSE,"Capital Spending"}</definedName>
    <definedName name="maerskseal3" localSheetId="0" hidden="1">{#N/A,#N/A,FALSE,"USMED 3";#N/A,#N/A,FALSE,"MARCHALLENGER 1";#N/A,#N/A,FALSE,"MARCHALLENGER 2";#N/A,#N/A,FALSE,"MARCHALLENGER 3";#N/A,#N/A,FALSE,"MARCHALLENGER 4"}</definedName>
    <definedName name="maerskseal3" hidden="1">{#N/A,#N/A,FALSE,"USMED 3";#N/A,#N/A,FALSE,"MARCHALLENGER 1";#N/A,#N/A,FALSE,"MARCHALLENGER 2";#N/A,#N/A,FALSE,"MARCHALLENGER 3";#N/A,#N/A,FALSE,"MARCHALLENGER 4"}</definedName>
    <definedName name="maersksl3" localSheetId="0" hidden="1">{#N/A,#N/A,FALSE,"USMED 3";#N/A,#N/A,FALSE,"MARCHALLENGER 1";#N/A,#N/A,FALSE,"MARCHALLENGER 2";#N/A,#N/A,FALSE,"MARCHALLENGER 3";#N/A,#N/A,FALSE,"MARCHALLENGER 4"}</definedName>
    <definedName name="maersksl3" hidden="1">{#N/A,#N/A,FALSE,"USMED 3";#N/A,#N/A,FALSE,"MARCHALLENGER 1";#N/A,#N/A,FALSE,"MARCHALLENGER 2";#N/A,#N/A,FALSE,"MARCHALLENGER 3";#N/A,#N/A,FALSE,"MARCHALLENGER 4"}</definedName>
    <definedName name="maersl3" localSheetId="0" hidden="1">{#N/A,#N/A,FALSE,"USMED 3";#N/A,#N/A,FALSE,"MARCHALLENGER 1";#N/A,#N/A,FALSE,"MARCHALLENGER 2";#N/A,#N/A,FALSE,"MARCHALLENGER 3";#N/A,#N/A,FALSE,"MARCHALLENGER 4"}</definedName>
    <definedName name="maersl3" hidden="1">{#N/A,#N/A,FALSE,"USMED 3";#N/A,#N/A,FALSE,"MARCHALLENGER 1";#N/A,#N/A,FALSE,"MARCHALLENGER 2";#N/A,#N/A,FALSE,"MARCHALLENGER 3";#N/A,#N/A,FALSE,"MARCHALLENGER 4"}</definedName>
    <definedName name="maerssl3" localSheetId="0" hidden="1">{#N/A,#N/A,FALSE,"USMED 3";#N/A,#N/A,FALSE,"MARCHALLENGER 1";#N/A,#N/A,FALSE,"MARCHALLENGER 2";#N/A,#N/A,FALSE,"MARCHALLENGER 3";#N/A,#N/A,FALSE,"MARCHALLENGER 4"}</definedName>
    <definedName name="maerssl3" hidden="1">{#N/A,#N/A,FALSE,"USMED 3";#N/A,#N/A,FALSE,"MARCHALLENGER 1";#N/A,#N/A,FALSE,"MARCHALLENGER 2";#N/A,#N/A,FALSE,"MARCHALLENGER 3";#N/A,#N/A,FALSE,"MARCHALLENGER 4"}</definedName>
    <definedName name="maesl3" localSheetId="0" hidden="1">{#N/A,#N/A,FALSE,"USMED 3";#N/A,#N/A,FALSE,"MARCHALLENGER 1";#N/A,#N/A,FALSE,"MARCHALLENGER 2";#N/A,#N/A,FALSE,"MARCHALLENGER 3";#N/A,#N/A,FALSE,"MARCHALLENGER 4"}</definedName>
    <definedName name="maesl3" hidden="1">{#N/A,#N/A,FALSE,"USMED 3";#N/A,#N/A,FALSE,"MARCHALLENGER 1";#N/A,#N/A,FALSE,"MARCHALLENGER 2";#N/A,#N/A,FALSE,"MARCHALLENGER 3";#N/A,#N/A,FALSE,"MARCHALLENGER 4"}</definedName>
    <definedName name="mahantesh" localSheetId="0" hidden="1">{"'Typical Costs Estimates'!$C$158:$H$161"}</definedName>
    <definedName name="mahantesh" hidden="1">{"'Typical Costs Estimates'!$C$158:$H$161"}</definedName>
    <definedName name="mam" localSheetId="0" hidden="1">{#N/A,#N/A,TRUE,"TOTALS";#N/A,#N/A,TRUE,"ROUTES"}</definedName>
    <definedName name="mam" hidden="1">{#N/A,#N/A,TRUE,"TOTALS";#N/A,#N/A,TRUE,"ROUTES"}</definedName>
    <definedName name="mamma" localSheetId="0" hidden="1">{"inventory",#N/A,FALSE,"Inven. Turns 97 Rep";"sales",#N/A,FALSE,"Inven. Turns 97 Rep";"turns",#N/A,FALSE,"Inven. Turns 97 Rep";"days",#N/A,FALSE,"Inven. Turns 97 Rep"}</definedName>
    <definedName name="mamma" hidden="1">{"inventory",#N/A,FALSE,"Inven. Turns 97 Rep";"sales",#N/A,FALSE,"Inven. Turns 97 Rep";"turns",#N/A,FALSE,"Inven. Turns 97 Rep";"days",#N/A,FALSE,"Inven. Turns 97 Rep"}</definedName>
    <definedName name="Man" hidden="1">1</definedName>
    <definedName name="masl" localSheetId="0" hidden="1">{#N/A,#N/A,FALSE,"USMED 3";#N/A,#N/A,FALSE,"MARCHALLENGER 1";#N/A,#N/A,FALSE,"MARCHALLENGER 2";#N/A,#N/A,FALSE,"MARCHALLENGER 3";#N/A,#N/A,FALSE,"MARCHALLENGER 4"}</definedName>
    <definedName name="masl" hidden="1">{#N/A,#N/A,FALSE,"USMED 3";#N/A,#N/A,FALSE,"MARCHALLENGER 1";#N/A,#N/A,FALSE,"MARCHALLENGER 2";#N/A,#N/A,FALSE,"MARCHALLENGER 3";#N/A,#N/A,FALSE,"MARCHALLENGER 4"}</definedName>
    <definedName name="MBL" hidden="1">#REF!</definedName>
    <definedName name="mbm" localSheetId="0" hidden="1">{#N/A,#N/A,FALSE,"3";#N/A,#N/A,FALSE,"5";#N/A,#N/A,FALSE,"6";#N/A,#N/A,FALSE,"8";#N/A,#N/A,FALSE,"10";#N/A,#N/A,FALSE,"13";#N/A,#N/A,FALSE,"14";#N/A,#N/A,FALSE,"15";#N/A,#N/A,FALSE,"16"}</definedName>
    <definedName name="mbm" hidden="1">{#N/A,#N/A,FALSE,"3";#N/A,#N/A,FALSE,"5";#N/A,#N/A,FALSE,"6";#N/A,#N/A,FALSE,"8";#N/A,#N/A,FALSE,"10";#N/A,#N/A,FALSE,"13";#N/A,#N/A,FALSE,"14";#N/A,#N/A,FALSE,"15";#N/A,#N/A,FALSE,"16"}</definedName>
    <definedName name="mbmb" localSheetId="0" hidden="1">{#N/A,#N/A,FALSE,"3";#N/A,#N/A,FALSE,"5";#N/A,#N/A,FALSE,"6";#N/A,#N/A,FALSE,"8";#N/A,#N/A,FALSE,"10";#N/A,#N/A,FALSE,"13";#N/A,#N/A,FALSE,"14";#N/A,#N/A,FALSE,"15";#N/A,#N/A,FALSE,"16"}</definedName>
    <definedName name="mbmb" hidden="1">{#N/A,#N/A,FALSE,"3";#N/A,#N/A,FALSE,"5";#N/A,#N/A,FALSE,"6";#N/A,#N/A,FALSE,"8";#N/A,#N/A,FALSE,"10";#N/A,#N/A,FALSE,"13";#N/A,#N/A,FALSE,"14";#N/A,#N/A,FALSE,"15";#N/A,#N/A,FALSE,"16"}</definedName>
    <definedName name="michelle" localSheetId="0" hidden="1">{"Summary analysis",#N/A,FALSE,"Total";"OCPH analysis",#N/A,FALSE,"Total";"detail analysis",#N/A,FALSE,"Total"}</definedName>
    <definedName name="michelle" hidden="1">{"Summary analysis",#N/A,FALSE,"Total";"OCPH analysis",#N/A,FALSE,"Total";"detail analysis",#N/A,FALSE,"Total"}</definedName>
    <definedName name="Milano" localSheetId="0" hidden="1">{#N/A,#N/A,FALSE,"Cipta-All";#N/A,#N/A,FALSE,"Individual"}</definedName>
    <definedName name="Milano" hidden="1">{#N/A,#N/A,FALSE,"Cipta-All";#N/A,#N/A,FALSE,"Individual"}</definedName>
    <definedName name="miscpy" localSheetId="0" hidden="1">{"page1",#N/A,FALSE,"Taean 1&amp;2";"page2",#N/A,FALSE,"Taean 1&amp;2"}</definedName>
    <definedName name="miscpy" hidden="1">{"page1",#N/A,FALSE,"Taean 1&amp;2";"page2",#N/A,FALSE,"Taean 1&amp;2"}</definedName>
    <definedName name="Mix_Var_PJB" hidden="1">#REF!</definedName>
    <definedName name="ML" localSheetId="0" hidden="1">{#N/A,#N/A,FALSE,"USMED 3";#N/A,#N/A,FALSE,"MARCHALLENGER 1";#N/A,#N/A,FALSE,"MARCHALLENGER 2";#N/A,#N/A,FALSE,"MARCHALLENGER 3";#N/A,#N/A,FALSE,"MARCHALLENGER 4"}</definedName>
    <definedName name="ML" hidden="1">{#N/A,#N/A,FALSE,"USMED 3";#N/A,#N/A,FALSE,"MARCHALLENGER 1";#N/A,#N/A,FALSE,"MARCHALLENGER 2";#N/A,#N/A,FALSE,"MARCHALLENGER 3";#N/A,#N/A,FALSE,"MARCHALLENGER 4"}</definedName>
    <definedName name="mnmn" localSheetId="0" hidden="1">{#N/A,#N/A,FALSE,"3";#N/A,#N/A,FALSE,"5";#N/A,#N/A,FALSE,"6";#N/A,#N/A,FALSE,"8";#N/A,#N/A,FALSE,"10";#N/A,#N/A,FALSE,"13";#N/A,#N/A,FALSE,"14";#N/A,#N/A,FALSE,"15";#N/A,#N/A,FALSE,"16"}</definedName>
    <definedName name="mnmn" hidden="1">{#N/A,#N/A,FALSE,"3";#N/A,#N/A,FALSE,"5";#N/A,#N/A,FALSE,"6";#N/A,#N/A,FALSE,"8";#N/A,#N/A,FALSE,"10";#N/A,#N/A,FALSE,"13";#N/A,#N/A,FALSE,"14";#N/A,#N/A,FALSE,"15";#N/A,#N/A,FALSE,"16"}</definedName>
    <definedName name="mucwip" localSheetId="0" hidden="1">{#N/A,#N/A,TRUE,"RM-June"}</definedName>
    <definedName name="mucwip" hidden="1">{#N/A,#N/A,TRUE,"RM-June"}</definedName>
    <definedName name="navneet" localSheetId="0" hidden="1">{"'Sheet3'!$A$1:$B$30"}</definedName>
    <definedName name="navneet" hidden="1">{"'Sheet3'!$A$1:$B$30"}</definedName>
    <definedName name="NDGNDN" localSheetId="0" hidden="1">{"'Mach'!$A$1:$D$39"}</definedName>
    <definedName name="NDGNDN" hidden="1">{"'Mach'!$A$1:$D$39"}</definedName>
    <definedName name="Newone" localSheetId="0" hidden="1">{#N/A,#N/A,FALSE,"COMP"}</definedName>
    <definedName name="Newone" hidden="1">{#N/A,#N/A,FALSE,"COMP"}</definedName>
    <definedName name="news" localSheetId="0" hidden="1">{#N/A,#N/A,FALSE,"COMICRO";#N/A,#N/A,FALSE,"BALSCH";#N/A,#N/A,FALSE,"GLASS";#N/A,#N/A,FALSE,"DEPRE";#N/A,#N/A,FALSE,"A&amp;MCUR";#N/A,#N/A,FALSE,"AGEANAlysis";#N/A,#N/A,FALSE,"CHECKS";#N/A,#N/A,FALSE,"CHECKS"}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wt" localSheetId="0" hidden="1">{#N/A,#N/A,TRUE,"Summary";#N/A,#N/A,TRUE,"IS";#N/A,#N/A,TRUE,"Adj";#N/A,#N/A,TRUE,"BS";#N/A,#N/A,TRUE,"CF";#N/A,#N/A,TRUE,"Debt";#N/A,#N/A,TRUE,"IRR"}</definedName>
    <definedName name="newt" hidden="1">{#N/A,#N/A,TRUE,"Summary";#N/A,#N/A,TRUE,"IS";#N/A,#N/A,TRUE,"Adj";#N/A,#N/A,TRUE,"BS";#N/A,#N/A,TRUE,"CF";#N/A,#N/A,TRUE,"Debt";#N/A,#N/A,TRUE,"IRR"}</definedName>
    <definedName name="neww4" localSheetId="0" hidden="1">{#N/A,#N/A,FALSE,"3";#N/A,#N/A,FALSE,"5";#N/A,#N/A,FALSE,"6";#N/A,#N/A,FALSE,"8";#N/A,#N/A,FALSE,"10";#N/A,#N/A,FALSE,"13";#N/A,#N/A,FALSE,"14";#N/A,#N/A,FALSE,"15";#N/A,#N/A,FALSE,"16"}</definedName>
    <definedName name="neww4" hidden="1">{#N/A,#N/A,FALSE,"3";#N/A,#N/A,FALSE,"5";#N/A,#N/A,FALSE,"6";#N/A,#N/A,FALSE,"8";#N/A,#N/A,FALSE,"10";#N/A,#N/A,FALSE,"13";#N/A,#N/A,FALSE,"14";#N/A,#N/A,FALSE,"15";#N/A,#N/A,FALSE,"16"}</definedName>
    <definedName name="NHR" localSheetId="0" hidden="1">{"raatios",#N/A,FALSE,"A";"ratios",#N/A,FALSE,"B";"ratios",#N/A,FALSE,"C";"ratios",#N/A,FALSE,"D";"ratios",#N/A,FALSE,"F"}</definedName>
    <definedName name="NHR" hidden="1">{"raatios",#N/A,FALSE,"A";"ratios",#N/A,FALSE,"B";"ratios",#N/A,FALSE,"C";"ratios",#N/A,FALSE,"D";"ratios",#N/A,FALSE,"F"}</definedName>
    <definedName name="Nil" localSheetId="0" hidden="1">{#N/A,#N/A,FALSE,"Aging Summary";#N/A,#N/A,FALSE,"Ratio Analysis";#N/A,#N/A,FALSE,"Test 120 Day Accts";#N/A,#N/A,FALSE,"Tickmarks"}</definedName>
    <definedName name="Nil" hidden="1">{#N/A,#N/A,FALSE,"Aging Summary";#N/A,#N/A,FALSE,"Ratio Analysis";#N/A,#N/A,FALSE,"Test 120 Day Accts";#N/A,#N/A,FALSE,"Tickmarks"}</definedName>
    <definedName name="nir" hidden="1">#REF!</definedName>
    <definedName name="None" localSheetId="0" hidden="1">{"Summary analysis",#N/A,FALSE,"Total";"OCPH analysis",#N/A,FALSE,"Total";"detail analysis",#N/A,FALSE,"Total"}</definedName>
    <definedName name="None" hidden="1">{"Summary analysis",#N/A,FALSE,"Total";"OCPH analysis",#N/A,FALSE,"Total";"detail analysis",#N/A,FALSE,"Total"}</definedName>
    <definedName name="noura" localSheetId="0" hidden="1">{#N/A,#N/A,FALSE,"3";#N/A,#N/A,FALSE,"5";#N/A,#N/A,FALSE,"6";#N/A,#N/A,FALSE,"8";#N/A,#N/A,FALSE,"10";#N/A,#N/A,FALSE,"13";#N/A,#N/A,FALSE,"14";#N/A,#N/A,FALSE,"15";#N/A,#N/A,FALSE,"16"}</definedName>
    <definedName name="noura" hidden="1">{#N/A,#N/A,FALSE,"3";#N/A,#N/A,FALSE,"5";#N/A,#N/A,FALSE,"6";#N/A,#N/A,FALSE,"8";#N/A,#N/A,FALSE,"10";#N/A,#N/A,FALSE,"13";#N/A,#N/A,FALSE,"14";#N/A,#N/A,FALSE,"15";#N/A,#N/A,FALSE,"16"}</definedName>
    <definedName name="NOURA1" localSheetId="0" hidden="1">{#N/A,#N/A,FALSE,"3";#N/A,#N/A,FALSE,"5";#N/A,#N/A,FALSE,"6";#N/A,#N/A,FALSE,"8";#N/A,#N/A,FALSE,"10";#N/A,#N/A,FALSE,"13";#N/A,#N/A,FALSE,"14";#N/A,#N/A,FALSE,"15";#N/A,#N/A,FALSE,"16"}</definedName>
    <definedName name="NOURA1" hidden="1">{#N/A,#N/A,FALSE,"3";#N/A,#N/A,FALSE,"5";#N/A,#N/A,FALSE,"6";#N/A,#N/A,FALSE,"8";#N/A,#N/A,FALSE,"10";#N/A,#N/A,FALSE,"13";#N/A,#N/A,FALSE,"14";#N/A,#N/A,FALSE,"15";#N/A,#N/A,FALSE,"16"}</definedName>
    <definedName name="o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\" hidden="1">#REF!</definedName>
    <definedName name="oiuouio" localSheetId="0" hidden="1">{#N/A,#N/A,FALSE,"3";#N/A,#N/A,FALSE,"5";#N/A,#N/A,FALSE,"6";#N/A,#N/A,FALSE,"8";#N/A,#N/A,FALSE,"10";#N/A,#N/A,FALSE,"13";#N/A,#N/A,FALSE,"14";#N/A,#N/A,FALSE,"15";#N/A,#N/A,FALSE,"16"}</definedName>
    <definedName name="oiuouio" hidden="1">{#N/A,#N/A,FALSE,"3";#N/A,#N/A,FALSE,"5";#N/A,#N/A,FALSE,"6";#N/A,#N/A,FALSE,"8";#N/A,#N/A,FALSE,"10";#N/A,#N/A,FALSE,"13";#N/A,#N/A,FALSE,"14";#N/A,#N/A,FALSE,"15";#N/A,#N/A,FALSE,"16"}</definedName>
    <definedName name="ok" localSheetId="0" hidden="1">{#N/A,#N/A,TRUE,"KEY DATA";#N/A,#N/A,TRUE,"KEY DATA Base Case";#N/A,#N/A,TRUE,"JULY";#N/A,#N/A,TRUE,"AUG";#N/A,#N/A,TRUE,"SEPT";#N/A,#N/A,TRUE,"3Q"}</definedName>
    <definedName name="ok" hidden="1">{#N/A,#N/A,TRUE,"KEY DATA";#N/A,#N/A,TRUE,"KEY DATA Base Case";#N/A,#N/A,TRUE,"JULY";#N/A,#N/A,TRUE,"AUG";#N/A,#N/A,TRUE,"SEPT";#N/A,#N/A,TRUE,"3Q"}</definedName>
    <definedName name="okkk" localSheetId="0" hidden="1">{#N/A,#N/A,TRUE,"KEY DATA";#N/A,#N/A,TRUE,"KEY DATA Base Case";#N/A,#N/A,TRUE,"JULY";#N/A,#N/A,TRUE,"AUG";#N/A,#N/A,TRUE,"SEPT";#N/A,#N/A,TRUE,"3Q"}</definedName>
    <definedName name="okkk" hidden="1">{#N/A,#N/A,TRUE,"KEY DATA";#N/A,#N/A,TRUE,"KEY DATA Base Case";#N/A,#N/A,TRUE,"JULY";#N/A,#N/A,TRUE,"AUG";#N/A,#N/A,TRUE,"SEPT";#N/A,#N/A,TRUE,"3Q"}</definedName>
    <definedName name="open" localSheetId="0" hidden="1">{"plansummary",#N/A,FALSE,"PlanSummary";"sales",#N/A,FALSE,"Sales Rec";"productivity",#N/A,FALSE,"Productivity Rec";"capitalspending",#N/A,FALSE,"Capital Spending"}</definedName>
    <definedName name="open" hidden="1">{"plansummary",#N/A,FALSE,"PlanSummary";"sales",#N/A,FALSE,"Sales Rec";"productivity",#N/A,FALSE,"Productivity Rec";"capitalspending",#N/A,FALSE,"Capital Spending"}</definedName>
    <definedName name="Opening" localSheetId="0" hidden="1">{"plansummary",#N/A,FALSE,"PlanSummary";"sales",#N/A,FALSE,"Sales Rec";"productivity",#N/A,FALSE,"Productivity Rec";"capitalspending",#N/A,FALSE,"Capital Spending"}</definedName>
    <definedName name="Opening" hidden="1">{"plansummary",#N/A,FALSE,"PlanSummary";"sales",#N/A,FALSE,"Sales Rec";"productivity",#N/A,FALSE,"Productivity Rec";"capitalspending",#N/A,FALSE,"Capital Spending"}</definedName>
    <definedName name="opop" localSheetId="0" hidden="1">{#N/A,#N/A,FALSE,"3";#N/A,#N/A,FALSE,"5";#N/A,#N/A,FALSE,"6";#N/A,#N/A,FALSE,"8";#N/A,#N/A,FALSE,"10";#N/A,#N/A,FALSE,"13";#N/A,#N/A,FALSE,"14";#N/A,#N/A,FALSE,"15";#N/A,#N/A,FALSE,"16"}</definedName>
    <definedName name="opop" hidden="1">{#N/A,#N/A,FALSE,"3";#N/A,#N/A,FALSE,"5";#N/A,#N/A,FALSE,"6";#N/A,#N/A,FALSE,"8";#N/A,#N/A,FALSE,"10";#N/A,#N/A,FALSE,"13";#N/A,#N/A,FALSE,"14";#N/A,#N/A,FALSE,"15";#N/A,#N/A,FALSE,"16"}</definedName>
    <definedName name="Order1" hidden="1">0</definedName>
    <definedName name="OrderTable" hidden="1">#REF!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" localSheetId="0" hidden="1">{#N/A,#N/A,FALSE,"USMED 3";#N/A,#N/A,FALSE,"MARCHALLENGER 1";#N/A,#N/A,FALSE,"MARCHALLENGER 2";#N/A,#N/A,FALSE,"MARCHALLENGER 3";#N/A,#N/A,FALSE,"MARCHALLENGER 4"}</definedName>
    <definedName name="P" hidden="1">{#N/A,#N/A,FALSE,"USMED 3";#N/A,#N/A,FALSE,"MARCHALLENGER 1";#N/A,#N/A,FALSE,"MARCHALLENGER 2";#N/A,#N/A,FALSE,"MARCHALLENGER 3";#N/A,#N/A,FALSE,"MARCHALLENGER 4"}</definedName>
    <definedName name="PACKAGE3" localSheetId="0" hidden="1">{#N/A,#N/A,FALSE,"단축1";#N/A,#N/A,FALSE,"단축2";#N/A,#N/A,FALSE,"단축3";#N/A,#N/A,FALSE,"장축";#N/A,#N/A,FALSE,"4WD"}</definedName>
    <definedName name="PACKAGE3" hidden="1">{#N/A,#N/A,FALSE,"단축1";#N/A,#N/A,FALSE,"단축2";#N/A,#N/A,FALSE,"단축3";#N/A,#N/A,FALSE,"장축";#N/A,#N/A,FALSE,"4WD"}</definedName>
    <definedName name="Parte1a." localSheetId="0" hidden="1">{"PARTE1",#N/A,FALSE,"Plan1"}</definedName>
    <definedName name="Parte1a." hidden="1">{"PARTE1",#N/A,FALSE,"Plan1"}</definedName>
    <definedName name="Parte2" localSheetId="0" hidden="1">{"PARTE1",#N/A,FALSE,"Plan1"}</definedName>
    <definedName name="Parte2" hidden="1">{"PARTE1",#N/A,FALSE,"Plan1"}</definedName>
    <definedName name="pass" localSheetId="0" hidden="1">{#N/A,#N/A,FALSE,"COMICRO";#N/A,#N/A,FALSE,"BALSCH";#N/A,#N/A,FALSE,"GLASS";#N/A,#N/A,FALSE,"DEPRE";#N/A,#N/A,FALSE,"A&amp;MCUR";#N/A,#N/A,FALSE,"AGEANAlysis";#N/A,#N/A,FALSE,"CHECKS";#N/A,#N/A,FALSE,"CHECKS"}</definedName>
    <definedName name="pass" hidden="1">{#N/A,#N/A,FALSE,"COMICRO";#N/A,#N/A,FALSE,"BALSCH";#N/A,#N/A,FALSE,"GLASS";#N/A,#N/A,FALSE,"DEPRE";#N/A,#N/A,FALSE,"A&amp;MCUR";#N/A,#N/A,FALSE,"AGEANAlysis";#N/A,#N/A,FALSE,"CHECKS";#N/A,#N/A,FALSE,"CHECKS"}</definedName>
    <definedName name="Paul" localSheetId="0" hidden="1">{#N/A,#N/A,TRUE,"GEM Total";#N/A,#N/A,TRUE,"Final Assembly";#N/A,#N/A,TRUE,"Cleaning";#N/A,#N/A,TRUE,"Schooping,Clearing";#N/A,#N/A,TRUE,"Winding"}</definedName>
    <definedName name="Paul" hidden="1">{#N/A,#N/A,TRUE,"GEM Total";#N/A,#N/A,TRUE,"Final Assembly";#N/A,#N/A,TRUE,"Cleaning";#N/A,#N/A,TRUE,"Schooping,Clearing";#N/A,#N/A,TRUE,"Winding"}</definedName>
    <definedName name="payal" localSheetId="0" hidden="1">{"'Sheet3'!$A$1:$B$30"}</definedName>
    <definedName name="payal" hidden="1">{"'Sheet3'!$A$1:$B$30"}</definedName>
    <definedName name="Payroll" localSheetId="0" hidden="1">{"summary",#N/A,FALSE,"2000 vs 1999";"detail",#N/A,FALSE,"2000 vs 1999"}</definedName>
    <definedName name="Payroll" hidden="1">{"summary",#N/A,FALSE,"2000 vs 1999";"detail",#N/A,FALSE,"2000 vs 1999"}</definedName>
    <definedName name="PDC" hidden="1">#REF!</definedName>
    <definedName name="pep" localSheetId="0" hidden="1">{#N/A,#N/A,FALSE,"COMICRO";#N/A,#N/A,FALSE,"BALSCH";#N/A,#N/A,FALSE,"GLASS";#N/A,#N/A,FALSE,"DEPRE";#N/A,#N/A,FALSE,"A&amp;MCUR";#N/A,#N/A,FALSE,"AGEANAlysis";#N/A,#N/A,FALSE,"CHECKS";#N/A,#N/A,FALSE,"CHECKS"}</definedName>
    <definedName name="pep" hidden="1">{#N/A,#N/A,FALSE,"COMICRO";#N/A,#N/A,FALSE,"BALSCH";#N/A,#N/A,FALSE,"GLASS";#N/A,#N/A,FALSE,"DEPRE";#N/A,#N/A,FALSE,"A&amp;MCUR";#N/A,#N/A,FALSE,"AGEANAlysis";#N/A,#N/A,FALSE,"CHECKS";#N/A,#N/A,FALSE,"CHECKS"}</definedName>
    <definedName name="pepsi" localSheetId="0" hidden="1">{#N/A,#N/A,FALSE,"COMICRO";#N/A,#N/A,FALSE,"BALSCH";#N/A,#N/A,FALSE,"GLASS";#N/A,#N/A,FALSE,"DEPRE";#N/A,#N/A,FALSE,"A&amp;MCUR";#N/A,#N/A,FALSE,"AGEANAlysis";#N/A,#N/A,FALSE,"CHECKS";#N/A,#N/A,FALSE,"CHECKS"}</definedName>
    <definedName name="pepsi" hidden="1">{#N/A,#N/A,FALSE,"COMICRO";#N/A,#N/A,FALSE,"BALSCH";#N/A,#N/A,FALSE,"GLASS";#N/A,#N/A,FALSE,"DEPRE";#N/A,#N/A,FALSE,"A&amp;MCUR";#N/A,#N/A,FALSE,"AGEANAlysis";#N/A,#N/A,FALSE,"CHECKS";#N/A,#N/A,FALSE,"CHECKS"}</definedName>
    <definedName name="PerA" hidden="1">1</definedName>
    <definedName name="PerB" hidden="1">2</definedName>
    <definedName name="pinco" hidden="1">#REF!</definedName>
    <definedName name="pipe" localSheetId="0" hidden="1">{"'Typical Costs Estimates'!$C$158:$H$161"}</definedName>
    <definedName name="pipe" hidden="1">{"'Typical Costs Estimates'!$C$158:$H$161"}</definedName>
    <definedName name="pippo_" localSheetId="0" hidden="1">{"receivables",#N/A,FALSE,"Receiv. Turns 3Q 98 Est";"sales",#N/A,FALSE,"Receiv. Turns 3Q 98 Est";"turns",#N/A,FALSE,"Receiv. Turns 3Q 98 Est";"pastdue",#N/A,FALSE,"Receiv. Turns 3Q 98 Est"}</definedName>
    <definedName name="pippo_" hidden="1">{"receivables",#N/A,FALSE,"Receiv. Turns 3Q 98 Est";"sales",#N/A,FALSE,"Receiv. Turns 3Q 98 Est";"turns",#N/A,FALSE,"Receiv. Turns 3Q 98 Est";"pastdue",#N/A,FALSE,"Receiv. Turns 3Q 98 Est"}</definedName>
    <definedName name="PopCache_GL_INTERFACE_REFERENCE7" hidden="1">#REF!</definedName>
    <definedName name="Post" hidden="1">2</definedName>
    <definedName name="pppp" localSheetId="0" hidden="1">{#N/A,#N/A,FALSE,"COMICRO";#N/A,#N/A,FALSE,"BALSCH";#N/A,#N/A,FALSE,"GLASS";#N/A,#N/A,FALSE,"DEPRE";#N/A,#N/A,FALSE,"A&amp;MCUR";#N/A,#N/A,FALSE,"AGEANAlysis";#N/A,#N/A,FALSE,"CHECKS";#N/A,#N/A,FALSE,"CHECKS"}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rae" hidden="1">0</definedName>
    <definedName name="prakash" localSheetId="0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em" localSheetId="0" hidden="1">{"Summary analysis",#N/A,FALSE,"Total";"OCPH analysis",#N/A,FALSE,"Total";"detail analysis",#N/A,FALSE,"Total"}</definedName>
    <definedName name="prem" hidden="1">{"Summary analysis",#N/A,FALSE,"Total";"OCPH analysis",#N/A,FALSE,"Total";"detail analysis",#N/A,FALSE,"Total"}</definedName>
    <definedName name="Print_Tiles" hidden="1">#REF!</definedName>
    <definedName name="ProdForm" hidden="1">#REF!</definedName>
    <definedName name="Product" hidden="1">#REF!</definedName>
    <definedName name="Provision2" localSheetId="0" hidden="1">{"plansummary",#N/A,FALSE,"PlanSummary";"sales",#N/A,FALSE,"Sales Rec";"productivity",#N/A,FALSE,"Productivity Rec";"capitalspending",#N/A,FALSE,"Capital Spending"}</definedName>
    <definedName name="Provision2" hidden="1">{"plansummary",#N/A,FALSE,"PlanSummary";"sales",#N/A,FALSE,"Sales Rec";"productivity",#N/A,FALSE,"Productivity Rec";"capitalspending",#N/A,FALSE,"Capital Spending"}</definedName>
    <definedName name="pss" localSheetId="0" hidden="1">{#N/A,#N/A,FALSE,"COMICRO";#N/A,#N/A,FALSE,"BALSCH";#N/A,#N/A,FALSE,"GLASS";#N/A,#N/A,FALSE,"DEPRE";#N/A,#N/A,FALSE,"A&amp;MCUR";#N/A,#N/A,FALSE,"AGEANAlysis";#N/A,#N/A,FALSE,"CHECKS";#N/A,#N/A,FALSE,"CHECKS"}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0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TDATA" localSheetId="0" hidden="1">{"page1",#N/A,FALSE,"Taean 1&amp;2";"page2",#N/A,FALSE,"Taean 1&amp;2"}</definedName>
    <definedName name="PTDATA" hidden="1">{"page1",#N/A,FALSE,"Taean 1&amp;2";"page2",#N/A,FALSE,"Taean 1&amp;2"}</definedName>
    <definedName name="puoipui" localSheetId="0" hidden="1">{#N/A,#N/A,FALSE,"3";#N/A,#N/A,FALSE,"5";#N/A,#N/A,FALSE,"6";#N/A,#N/A,FALSE,"8";#N/A,#N/A,FALSE,"10";#N/A,#N/A,FALSE,"13";#N/A,#N/A,FALSE,"14";#N/A,#N/A,FALSE,"15";#N/A,#N/A,FALSE,"16"}</definedName>
    <definedName name="puoipui" hidden="1">{#N/A,#N/A,FALSE,"3";#N/A,#N/A,FALSE,"5";#N/A,#N/A,FALSE,"6";#N/A,#N/A,FALSE,"8";#N/A,#N/A,FALSE,"10";#N/A,#N/A,FALSE,"13";#N/A,#N/A,FALSE,"14";#N/A,#N/A,FALSE,"15";#N/A,#N/A,FALSE,"16"}</definedName>
    <definedName name="q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q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qsdf" localSheetId="0" hidden="1">{#N/A,#N/A,FALSE,"Ventilation";#N/A,#N/A,FALSE,"Courbe1";#N/A,#N/A,FALSE,"Courbe2"}</definedName>
    <definedName name="qsdf" hidden="1">{#N/A,#N/A,FALSE,"Ventilation";#N/A,#N/A,FALSE,"Courbe1";#N/A,#N/A,FALSE,"Courbe2"}</definedName>
    <definedName name="qweqw" localSheetId="0" hidden="1">{#N/A,#N/A,FALSE,"3";#N/A,#N/A,FALSE,"5";#N/A,#N/A,FALSE,"6";#N/A,#N/A,FALSE,"8";#N/A,#N/A,FALSE,"10";#N/A,#N/A,FALSE,"13";#N/A,#N/A,FALSE,"14";#N/A,#N/A,FALSE,"15";#N/A,#N/A,FALSE,"16"}</definedName>
    <definedName name="qweqw" hidden="1">{#N/A,#N/A,FALSE,"3";#N/A,#N/A,FALSE,"5";#N/A,#N/A,FALSE,"6";#N/A,#N/A,FALSE,"8";#N/A,#N/A,FALSE,"10";#N/A,#N/A,FALSE,"13";#N/A,#N/A,FALSE,"14";#N/A,#N/A,FALSE,"15";#N/A,#N/A,FALSE,"16"}</definedName>
    <definedName name="qwqewqe" localSheetId="0" hidden="1">{#N/A,#N/A,FALSE,"3";#N/A,#N/A,FALSE,"5";#N/A,#N/A,FALSE,"6";#N/A,#N/A,FALSE,"8";#N/A,#N/A,FALSE,"10";#N/A,#N/A,FALSE,"13";#N/A,#N/A,FALSE,"14";#N/A,#N/A,FALSE,"15";#N/A,#N/A,FALSE,"16"}</definedName>
    <definedName name="qwqewqe" hidden="1">{#N/A,#N/A,FALSE,"3";#N/A,#N/A,FALSE,"5";#N/A,#N/A,FALSE,"6";#N/A,#N/A,FALSE,"8";#N/A,#N/A,FALSE,"10";#N/A,#N/A,FALSE,"13";#N/A,#N/A,FALSE,"14";#N/A,#N/A,FALSE,"15";#N/A,#N/A,FALSE,"16"}</definedName>
    <definedName name="RATUO" localSheetId="0" hidden="1">{#N/A,#N/A,FALSE,"COMICRO";#N/A,#N/A,FALSE,"BALSCH";#N/A,#N/A,FALSE,"GLASS";#N/A,#N/A,FALSE,"DEPRE";#N/A,#N/A,FALSE,"A&amp;MCUR";#N/A,#N/A,FALSE,"AGEANAlysis";#N/A,#N/A,FALSE,"CHECKS";#N/A,#N/A,FALSE,"CHECKS"}</definedName>
    <definedName name="RATUO" hidden="1">{#N/A,#N/A,FALSE,"COMICRO";#N/A,#N/A,FALSE,"BALSCH";#N/A,#N/A,FALSE,"GLASS";#N/A,#N/A,FALSE,"DEPRE";#N/A,#N/A,FALSE,"A&amp;MCUR";#N/A,#N/A,FALSE,"AGEANAlysis";#N/A,#N/A,FALSE,"CHECKS";#N/A,#N/A,FALSE,"CHECKS"}</definedName>
    <definedName name="ravi" localSheetId="0" hidden="1">{#N/A,#N/A,FALSE,"COMICRO";#N/A,#N/A,FALSE,"BALSCH";#N/A,#N/A,FALSE,"GLASS";#N/A,#N/A,FALSE,"DEPRE";#N/A,#N/A,FALSE,"A&amp;MCUR";#N/A,#N/A,FALSE,"AGEANAlysis";#N/A,#N/A,FALSE,"CHECKS";#N/A,#N/A,FALSE,"CHECKS"}</definedName>
    <definedName name="ravi" hidden="1">{#N/A,#N/A,FALSE,"COMICRO";#N/A,#N/A,FALSE,"BALSCH";#N/A,#N/A,FALSE,"GLASS";#N/A,#N/A,FALSE,"DEPRE";#N/A,#N/A,FALSE,"A&amp;MCUR";#N/A,#N/A,FALSE,"AGEANAlysis";#N/A,#N/A,FALSE,"CHECKS";#N/A,#N/A,FALSE,"CHECKS"}</definedName>
    <definedName name="rawtwaeg" hidden="1">#REF!</definedName>
    <definedName name="RCArea" hidden="1">#REF!</definedName>
    <definedName name="reer" localSheetId="0" hidden="1">{#N/A,#N/A,FALSE,"3";#N/A,#N/A,FALSE,"5";#N/A,#N/A,FALSE,"6";#N/A,#N/A,FALSE,"8";#N/A,#N/A,FALSE,"10";#N/A,#N/A,FALSE,"13";#N/A,#N/A,FALSE,"14";#N/A,#N/A,FALSE,"15";#N/A,#N/A,FALSE,"16"}</definedName>
    <definedName name="reer" hidden="1">{#N/A,#N/A,FALSE,"3";#N/A,#N/A,FALSE,"5";#N/A,#N/A,FALSE,"6";#N/A,#N/A,FALSE,"8";#N/A,#N/A,FALSE,"10";#N/A,#N/A,FALSE,"13";#N/A,#N/A,FALSE,"14";#N/A,#N/A,FALSE,"15";#N/A,#N/A,FALSE,"16"}</definedName>
    <definedName name="REF" localSheetId="0" hidden="1">{#N/A,#N/A,FALSE,"COMP"}</definedName>
    <definedName name="REF" hidden="1">{#N/A,#N/A,FALSE,"COMP"}</definedName>
    <definedName name="regerge" localSheetId="0" hidden="1">{#N/A,#N/A,FALSE,"3";#N/A,#N/A,FALSE,"5";#N/A,#N/A,FALSE,"6";#N/A,#N/A,FALSE,"8";#N/A,#N/A,FALSE,"10";#N/A,#N/A,FALSE,"13";#N/A,#N/A,FALSE,"14";#N/A,#N/A,FALSE,"15";#N/A,#N/A,FALSE,"16"}</definedName>
    <definedName name="regerge" hidden="1">{#N/A,#N/A,FALSE,"3";#N/A,#N/A,FALSE,"5";#N/A,#N/A,FALSE,"6";#N/A,#N/A,FALSE,"8";#N/A,#N/A,FALSE,"10";#N/A,#N/A,FALSE,"13";#N/A,#N/A,FALSE,"14";#N/A,#N/A,FALSE,"15";#N/A,#N/A,FALSE,"16"}</definedName>
    <definedName name="remove" localSheetId="0" hidden="1">{#N/A,#N/A,TRUE,"KEY DATA";#N/A,#N/A,TRUE,"KEY DATA Base Case";#N/A,#N/A,TRUE,"JULY";#N/A,#N/A,TRUE,"AUG";#N/A,#N/A,TRUE,"SEPT";#N/A,#N/A,TRUE,"3Q"}</definedName>
    <definedName name="remove" hidden="1">{#N/A,#N/A,TRUE,"KEY DATA";#N/A,#N/A,TRUE,"KEY DATA Base Case";#N/A,#N/A,TRUE,"JULY";#N/A,#N/A,TRUE,"AUG";#N/A,#N/A,TRUE,"SEPT";#N/A,#N/A,TRUE,"3Q"}</definedName>
    <definedName name="remove2" localSheetId="0" hidden="1">{#N/A,#N/A,TRUE,"KEY DATA";#N/A,#N/A,TRUE,"KEY DATA Base Case";#N/A,#N/A,TRUE,"JULY";#N/A,#N/A,TRUE,"AUG";#N/A,#N/A,TRUE,"SEPT";#N/A,#N/A,TRUE,"3Q"}</definedName>
    <definedName name="remove2" hidden="1">{#N/A,#N/A,TRUE,"KEY DATA";#N/A,#N/A,TRUE,"KEY DATA Base Case";#N/A,#N/A,TRUE,"JULY";#N/A,#N/A,TRUE,"AUG";#N/A,#N/A,TRUE,"SEPT";#N/A,#N/A,TRUE,"3Q"}</definedName>
    <definedName name="rewqfe" localSheetId="0" hidden="1">{#N/A,#N/A,FALSE,"3";#N/A,#N/A,FALSE,"5";#N/A,#N/A,FALSE,"6";#N/A,#N/A,FALSE,"8";#N/A,#N/A,FALSE,"10";#N/A,#N/A,FALSE,"13";#N/A,#N/A,FALSE,"14";#N/A,#N/A,FALSE,"15";#N/A,#N/A,FALSE,"16"}</definedName>
    <definedName name="rewqfe" hidden="1">{#N/A,#N/A,FALSE,"3";#N/A,#N/A,FALSE,"5";#N/A,#N/A,FALSE,"6";#N/A,#N/A,FALSE,"8";#N/A,#N/A,FALSE,"10";#N/A,#N/A,FALSE,"13";#N/A,#N/A,FALSE,"14";#N/A,#N/A,FALSE,"15";#N/A,#N/A,FALSE,"16"}</definedName>
    <definedName name="reyrey" localSheetId="0" hidden="1">{#N/A,#N/A,FALSE,"3";#N/A,#N/A,FALSE,"5";#N/A,#N/A,FALSE,"6";#N/A,#N/A,FALSE,"8";#N/A,#N/A,FALSE,"10";#N/A,#N/A,FALSE,"13";#N/A,#N/A,FALSE,"14";#N/A,#N/A,FALSE,"15";#N/A,#N/A,FALSE,"16"}</definedName>
    <definedName name="reyrey" hidden="1">{#N/A,#N/A,FALSE,"3";#N/A,#N/A,FALSE,"5";#N/A,#N/A,FALSE,"6";#N/A,#N/A,FALSE,"8";#N/A,#N/A,FALSE,"10";#N/A,#N/A,FALSE,"13";#N/A,#N/A,FALSE,"14";#N/A,#N/A,FALSE,"15";#N/A,#N/A,FALSE,"16"}</definedName>
    <definedName name="rhs" localSheetId="0" hidden="1">{#N/A,#N/A,TRUE,"KEY DATA";#N/A,#N/A,TRUE,"KEY DATA Base Case";#N/A,#N/A,TRUE,"JULY";#N/A,#N/A,TRUE,"AUG";#N/A,#N/A,TRUE,"SEPT";#N/A,#N/A,TRUE,"3Q"}</definedName>
    <definedName name="rhs" hidden="1">{#N/A,#N/A,TRUE,"KEY DATA";#N/A,#N/A,TRUE,"KEY DATA Base Case";#N/A,#N/A,TRUE,"JULY";#N/A,#N/A,TRUE,"AUG";#N/A,#N/A,TRUE,"SEPT";#N/A,#N/A,TRUE,"3Q"}</definedName>
    <definedName name="roy" localSheetId="0" hidden="1">{"Summary analysis",#N/A,FALSE,"Total";"OCPH analysis",#N/A,FALSE,"Total";"detail analysis",#N/A,FALSE,"Total"}</definedName>
    <definedName name="roy" hidden="1">{"Summary analysis",#N/A,FALSE,"Total";"OCPH analysis",#N/A,FALSE,"Total";"detail analysis",#N/A,FALSE,"Total"}</definedName>
    <definedName name="rqwrqwrq" localSheetId="0" hidden="1">{#N/A,#N/A,FALSE,"3";#N/A,#N/A,FALSE,"5";#N/A,#N/A,FALSE,"6";#N/A,#N/A,FALSE,"8";#N/A,#N/A,FALSE,"10";#N/A,#N/A,FALSE,"13";#N/A,#N/A,FALSE,"14";#N/A,#N/A,FALSE,"15";#N/A,#N/A,FALSE,"16"}</definedName>
    <definedName name="rqwrqwrq" hidden="1">{#N/A,#N/A,FALSE,"3";#N/A,#N/A,FALSE,"5";#N/A,#N/A,FALSE,"6";#N/A,#N/A,FALSE,"8";#N/A,#N/A,FALSE,"10";#N/A,#N/A,FALSE,"13";#N/A,#N/A,FALSE,"14";#N/A,#N/A,FALSE,"15";#N/A,#N/A,FALSE,"16"}</definedName>
    <definedName name="rr" localSheetId="0" hidden="1">{"plansummary",#N/A,FALSE,"PlanSummary";"sales",#N/A,FALSE,"Sales Rec";"productivity",#N/A,FALSE,"Productivity Rec";"capitalspending",#N/A,FALSE,"Capital Spending"}</definedName>
    <definedName name="rr" hidden="1">{"plansummary",#N/A,FALSE,"PlanSummary";"sales",#N/A,FALSE,"Sales Rec";"productivity",#N/A,FALSE,"Productivity Rec";"capitalspending",#N/A,FALSE,"Capital Spending"}</definedName>
    <definedName name="rrrrrrrrrrrrrr" hidden="1">#REF!</definedName>
    <definedName name="rturtu" localSheetId="0" hidden="1">{#N/A,#N/A,FALSE,"3";#N/A,#N/A,FALSE,"5";#N/A,#N/A,FALSE,"6";#N/A,#N/A,FALSE,"8";#N/A,#N/A,FALSE,"10";#N/A,#N/A,FALSE,"13";#N/A,#N/A,FALSE,"14";#N/A,#N/A,FALSE,"15";#N/A,#N/A,FALSE,"16"}</definedName>
    <definedName name="rturtu" hidden="1">{#N/A,#N/A,FALSE,"3";#N/A,#N/A,FALSE,"5";#N/A,#N/A,FALSE,"6";#N/A,#N/A,FALSE,"8";#N/A,#N/A,FALSE,"10";#N/A,#N/A,FALSE,"13";#N/A,#N/A,FALSE,"14";#N/A,#N/A,FALSE,"15";#N/A,#N/A,FALSE,"16"}</definedName>
    <definedName name="rturtutr" localSheetId="0" hidden="1">{#N/A,#N/A,FALSE,"3";#N/A,#N/A,FALSE,"5";#N/A,#N/A,FALSE,"6";#N/A,#N/A,FALSE,"8";#N/A,#N/A,FALSE,"10";#N/A,#N/A,FALSE,"13";#N/A,#N/A,FALSE,"14";#N/A,#N/A,FALSE,"15";#N/A,#N/A,FALSE,"16"}</definedName>
    <definedName name="rturtutr" hidden="1">{#N/A,#N/A,FALSE,"3";#N/A,#N/A,FALSE,"5";#N/A,#N/A,FALSE,"6";#N/A,#N/A,FALSE,"8";#N/A,#N/A,FALSE,"10";#N/A,#N/A,FALSE,"13";#N/A,#N/A,FALSE,"14";#N/A,#N/A,FALSE,"15";#N/A,#N/A,FALSE,"16"}</definedName>
    <definedName name="rturtutrut" localSheetId="0" hidden="1">{#N/A,#N/A,FALSE,"3";#N/A,#N/A,FALSE,"5";#N/A,#N/A,FALSE,"6";#N/A,#N/A,FALSE,"8";#N/A,#N/A,FALSE,"10";#N/A,#N/A,FALSE,"13";#N/A,#N/A,FALSE,"14";#N/A,#N/A,FALSE,"15";#N/A,#N/A,FALSE,"16"}</definedName>
    <definedName name="rturtutrut" hidden="1">{#N/A,#N/A,FALSE,"3";#N/A,#N/A,FALSE,"5";#N/A,#N/A,FALSE,"6";#N/A,#N/A,FALSE,"8";#N/A,#N/A,FALSE,"10";#N/A,#N/A,FALSE,"13";#N/A,#N/A,FALSE,"14";#N/A,#N/A,FALSE,"15";#N/A,#N/A,FALSE,"16"}</definedName>
    <definedName name="rtut" localSheetId="0" hidden="1">{#N/A,#N/A,FALSE,"3";#N/A,#N/A,FALSE,"5";#N/A,#N/A,FALSE,"6";#N/A,#N/A,FALSE,"8";#N/A,#N/A,FALSE,"10";#N/A,#N/A,FALSE,"13";#N/A,#N/A,FALSE,"14";#N/A,#N/A,FALSE,"15";#N/A,#N/A,FALSE,"16"}</definedName>
    <definedName name="rtut" hidden="1">{#N/A,#N/A,FALSE,"3";#N/A,#N/A,FALSE,"5";#N/A,#N/A,FALSE,"6";#N/A,#N/A,FALSE,"8";#N/A,#N/A,FALSE,"10";#N/A,#N/A,FALSE,"13";#N/A,#N/A,FALSE,"14";#N/A,#N/A,FALSE,"15";#N/A,#N/A,FALSE,"16"}</definedName>
    <definedName name="rtutrut" localSheetId="0" hidden="1">{#N/A,#N/A,FALSE,"3";#N/A,#N/A,FALSE,"5";#N/A,#N/A,FALSE,"6";#N/A,#N/A,FALSE,"8";#N/A,#N/A,FALSE,"10";#N/A,#N/A,FALSE,"13";#N/A,#N/A,FALSE,"14";#N/A,#N/A,FALSE,"15";#N/A,#N/A,FALSE,"16"}</definedName>
    <definedName name="rtutrut" hidden="1">{#N/A,#N/A,FALSE,"3";#N/A,#N/A,FALSE,"5";#N/A,#N/A,FALSE,"6";#N/A,#N/A,FALSE,"8";#N/A,#N/A,FALSE,"10";#N/A,#N/A,FALSE,"13";#N/A,#N/A,FALSE,"14";#N/A,#N/A,FALSE,"15";#N/A,#N/A,FALSE,"16"}</definedName>
    <definedName name="rwafwaf" hidden="1">#REF!</definedName>
    <definedName name="rwqrqwrw" localSheetId="0" hidden="1">{#N/A,#N/A,FALSE,"3";#N/A,#N/A,FALSE,"5";#N/A,#N/A,FALSE,"6";#N/A,#N/A,FALSE,"8";#N/A,#N/A,FALSE,"10";#N/A,#N/A,FALSE,"13";#N/A,#N/A,FALSE,"14";#N/A,#N/A,FALSE,"15";#N/A,#N/A,FALSE,"16"}</definedName>
    <definedName name="rwqrqwrw" hidden="1">{#N/A,#N/A,FALSE,"3";#N/A,#N/A,FALSE,"5";#N/A,#N/A,FALSE,"6";#N/A,#N/A,FALSE,"8";#N/A,#N/A,FALSE,"10";#N/A,#N/A,FALSE,"13";#N/A,#N/A,FALSE,"14";#N/A,#N/A,FALSE,"15";#N/A,#N/A,FALSE,"16"}</definedName>
    <definedName name="rwrw" hidden="1">#REF!</definedName>
    <definedName name="ryer" localSheetId="0" hidden="1">{#N/A,#N/A,FALSE,"3";#N/A,#N/A,FALSE,"5";#N/A,#N/A,FALSE,"6";#N/A,#N/A,FALSE,"8";#N/A,#N/A,FALSE,"10";#N/A,#N/A,FALSE,"13";#N/A,#N/A,FALSE,"14";#N/A,#N/A,FALSE,"15";#N/A,#N/A,FALSE,"16"}</definedName>
    <definedName name="ryer" hidden="1">{#N/A,#N/A,FALSE,"3";#N/A,#N/A,FALSE,"5";#N/A,#N/A,FALSE,"6";#N/A,#N/A,FALSE,"8";#N/A,#N/A,FALSE,"10";#N/A,#N/A,FALSE,"13";#N/A,#N/A,FALSE,"14";#N/A,#N/A,FALSE,"15";#N/A,#N/A,FALSE,"16"}</definedName>
    <definedName name="ryyry" localSheetId="0" hidden="1">{#N/A,#N/A,FALSE,"3";#N/A,#N/A,FALSE,"5";#N/A,#N/A,FALSE,"6";#N/A,#N/A,FALSE,"8";#N/A,#N/A,FALSE,"10";#N/A,#N/A,FALSE,"13";#N/A,#N/A,FALSE,"14";#N/A,#N/A,FALSE,"15";#N/A,#N/A,FALSE,"16"}</definedName>
    <definedName name="ryyry" hidden="1">{#N/A,#N/A,FALSE,"3";#N/A,#N/A,FALSE,"5";#N/A,#N/A,FALSE,"6";#N/A,#N/A,FALSE,"8";#N/A,#N/A,FALSE,"10";#N/A,#N/A,FALSE,"13";#N/A,#N/A,FALSE,"14";#N/A,#N/A,FALSE,"15";#N/A,#N/A,FALSE,"16"}</definedName>
    <definedName name="S3a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S3a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safasf" localSheetId="0" hidden="1">{#N/A,#N/A,FALSE,"3";#N/A,#N/A,FALSE,"5";#N/A,#N/A,FALSE,"6";#N/A,#N/A,FALSE,"8";#N/A,#N/A,FALSE,"10";#N/A,#N/A,FALSE,"13";#N/A,#N/A,FALSE,"14";#N/A,#N/A,FALSE,"15";#N/A,#N/A,FALSE,"16"}</definedName>
    <definedName name="safasf" hidden="1">{#N/A,#N/A,FALSE,"3";#N/A,#N/A,FALSE,"5";#N/A,#N/A,FALSE,"6";#N/A,#N/A,FALSE,"8";#N/A,#N/A,FALSE,"10";#N/A,#N/A,FALSE,"13";#N/A,#N/A,FALSE,"14";#N/A,#N/A,FALSE,"15";#N/A,#N/A,FALSE,"16"}</definedName>
    <definedName name="saff" localSheetId="0" hidden="1">{#N/A,#N/A,FALSE,"3";#N/A,#N/A,FALSE,"5";#N/A,#N/A,FALSE,"6";#N/A,#N/A,FALSE,"8";#N/A,#N/A,FALSE,"10";#N/A,#N/A,FALSE,"13";#N/A,#N/A,FALSE,"14";#N/A,#N/A,FALSE,"15";#N/A,#N/A,FALSE,"16"}</definedName>
    <definedName name="saff" hidden="1">{#N/A,#N/A,FALSE,"3";#N/A,#N/A,FALSE,"5";#N/A,#N/A,FALSE,"6";#N/A,#N/A,FALSE,"8";#N/A,#N/A,FALSE,"10";#N/A,#N/A,FALSE,"13";#N/A,#N/A,FALSE,"14";#N/A,#N/A,FALSE,"15";#N/A,#N/A,FALSE,"16"}</definedName>
    <definedName name="san" localSheetId="0" hidden="1">{#N/A,#N/A,FALSE,"COMICRO";#N/A,#N/A,FALSE,"BALSCH";#N/A,#N/A,FALSE,"GLASS";#N/A,#N/A,FALSE,"DEPRE";#N/A,#N/A,FALSE,"A&amp;MCUR";#N/A,#N/A,FALSE,"AGEANAlysis";#N/A,#N/A,FALSE,"CHECKS";#N/A,#N/A,FALSE,"CHECKS"}</definedName>
    <definedName name="san" hidden="1">{#N/A,#N/A,FALSE,"COMICRO";#N/A,#N/A,FALSE,"BALSCH";#N/A,#N/A,FALSE,"GLASS";#N/A,#N/A,FALSE,"DEPRE";#N/A,#N/A,FALSE,"A&amp;MCUR";#N/A,#N/A,FALSE,"AGEANAlysis";#N/A,#N/A,FALSE,"CHECKS";#N/A,#N/A,FALSE,"CHECKS"}</definedName>
    <definedName name="sand" localSheetId="0" hidden="1">{#N/A,#N/A,FALSE,"COMICRO";#N/A,#N/A,FALSE,"BALSCH";#N/A,#N/A,FALSE,"GLASS";#N/A,#N/A,FALSE,"DEPRE";#N/A,#N/A,FALSE,"A&amp;MCUR";#N/A,#N/A,FALSE,"AGEANAlysis";#N/A,#N/A,FALSE,"CHECKS";#N/A,#N/A,FALSE,"CHECKS"}</definedName>
    <definedName name="sand" hidden="1">{#N/A,#N/A,FALSE,"COMICRO";#N/A,#N/A,FALSE,"BALSCH";#N/A,#N/A,FALSE,"GLASS";#N/A,#N/A,FALSE,"DEPRE";#N/A,#N/A,FALSE,"A&amp;MCUR";#N/A,#N/A,FALSE,"AGEANAlysis";#N/A,#N/A,FALSE,"CHECKS";#N/A,#N/A,FALSE,"CHECKS"}</definedName>
    <definedName name="SANDE" localSheetId="0" hidden="1">{#N/A,#N/A,TRUE,"BALSCH";#N/A,#N/A,TRUE,"COMICRO";#N/A,#N/A,TRUE,"CHECKS";#N/A,#N/A,TRUE,"GLASS";#N/A,#N/A,TRUE,"DEPRE";#N/A,#N/A,TRUE,"A&amp;MCUR";#N/A,#N/A,TRUE,"AGEANAlysis";#N/A,#N/A,TRUE,"CHECKS"}</definedName>
    <definedName name="SANDE" hidden="1">{#N/A,#N/A,TRUE,"BALSCH";#N/A,#N/A,TRUE,"COMICRO";#N/A,#N/A,TRUE,"CHECKS";#N/A,#N/A,TRUE,"GLASS";#N/A,#N/A,TRUE,"DEPRE";#N/A,#N/A,TRUE,"A&amp;MCUR";#N/A,#N/A,TRUE,"AGEANAlysis";#N/A,#N/A,TRUE,"CHECKS"}</definedName>
    <definedName name="SAPBEXhrIndnt" hidden="1">1</definedName>
    <definedName name="SAPBEXrevision" hidden="1">5</definedName>
    <definedName name="SAPBEXsysID" hidden="1">"BP0"</definedName>
    <definedName name="SAPBEXwbID" hidden="1">"3OL6VG88FWB4CUKP9H8ZYSRJ1"</definedName>
    <definedName name="sASa" localSheetId="0" hidden="1">{#N/A,#N/A,FALSE,"3";#N/A,#N/A,FALSE,"5";#N/A,#N/A,FALSE,"6";#N/A,#N/A,FALSE,"8";#N/A,#N/A,FALSE,"10";#N/A,#N/A,FALSE,"13";#N/A,#N/A,FALSE,"14";#N/A,#N/A,FALSE,"15";#N/A,#N/A,FALSE,"16"}</definedName>
    <definedName name="sASa" hidden="1">{#N/A,#N/A,FALSE,"3";#N/A,#N/A,FALSE,"5";#N/A,#N/A,FALSE,"6";#N/A,#N/A,FALSE,"8";#N/A,#N/A,FALSE,"10";#N/A,#N/A,FALSE,"13";#N/A,#N/A,FALSE,"14";#N/A,#N/A,FALSE,"15";#N/A,#N/A,FALSE,"16"}</definedName>
    <definedName name="saurabh" localSheetId="0" hidden="1">{"'Mach'!$A$1:$D$39"}</definedName>
    <definedName name="saurabh" hidden="1">{"'Mach'!$A$1:$D$39"}</definedName>
    <definedName name="scasc" localSheetId="0" hidden="1">{#N/A,#N/A,FALSE,"3";#N/A,#N/A,FALSE,"5";#N/A,#N/A,FALSE,"6";#N/A,#N/A,FALSE,"8";#N/A,#N/A,FALSE,"10";#N/A,#N/A,FALSE,"13";#N/A,#N/A,FALSE,"14";#N/A,#N/A,FALSE,"15";#N/A,#N/A,FALSE,"16"}</definedName>
    <definedName name="scasc" hidden="1">{#N/A,#N/A,FALSE,"3";#N/A,#N/A,FALSE,"5";#N/A,#N/A,FALSE,"6";#N/A,#N/A,FALSE,"8";#N/A,#N/A,FALSE,"10";#N/A,#N/A,FALSE,"13";#N/A,#N/A,FALSE,"14";#N/A,#N/A,FALSE,"15";#N/A,#N/A,FALSE,"16"}</definedName>
    <definedName name="scedule" localSheetId="0" hidden="1">{"'CQ1-4'!$B$1:$L$49"}</definedName>
    <definedName name="scedule" hidden="1">{"'CQ1-4'!$B$1:$L$49"}</definedName>
    <definedName name="scen_name1" hidden="1">"high1 normal"</definedName>
    <definedName name="scen_name2" hidden="1">"high1 high"</definedName>
    <definedName name="scen_name3" hidden="1">"low1 normal"</definedName>
    <definedName name="scen_name4" hidden="1">"low 2 normal"</definedName>
    <definedName name="scen_name5" hidden="1">"low2 high"</definedName>
    <definedName name="scen_name6" hidden="1">"low1 high"</definedName>
    <definedName name="scen_user1" hidden="1">"Dorit Timman"</definedName>
    <definedName name="scen_user2" hidden="1">"Dorit Timman"</definedName>
    <definedName name="scen_user3" hidden="1">"Dorit Timman"</definedName>
    <definedName name="scen_user4" hidden="1">"Dorit Timman"</definedName>
    <definedName name="scen_user5" hidden="1">"Dorit Timman"</definedName>
    <definedName name="scen_user6" hidden="1">"Dorit Timman"</definedName>
    <definedName name="Schdule1" localSheetId="0" hidden="1">{#N/A,#N/A,FALSE,"COMP"}</definedName>
    <definedName name="Schdule1" hidden="1">{#N/A,#N/A,FALSE,"COMP"}</definedName>
    <definedName name="sched" localSheetId="0" hidden="1">{"'CQ1-4'!$B$1:$L$49"}</definedName>
    <definedName name="sched" hidden="1">{"'CQ1-4'!$B$1:$L$49"}</definedName>
    <definedName name="schedu" localSheetId="0" hidden="1">{"'CQ1-4'!$B$1:$L$49"}</definedName>
    <definedName name="schedu" hidden="1">{"'CQ1-4'!$B$1:$L$49"}</definedName>
    <definedName name="schedule" localSheetId="0" hidden="1">{#N/A,#N/A,FALSE,"COMP"}</definedName>
    <definedName name="schedule" hidden="1">{#N/A,#N/A,FALSE,"COMP"}</definedName>
    <definedName name="scsdaf" localSheetId="0" hidden="1">{#N/A,#N/A,FALSE,"3";#N/A,#N/A,FALSE,"5";#N/A,#N/A,FALSE,"6";#N/A,#N/A,FALSE,"8";#N/A,#N/A,FALSE,"10";#N/A,#N/A,FALSE,"13";#N/A,#N/A,FALSE,"14";#N/A,#N/A,FALSE,"15";#N/A,#N/A,FALSE,"16"}</definedName>
    <definedName name="scsdaf" hidden="1">{#N/A,#N/A,FALSE,"3";#N/A,#N/A,FALSE,"5";#N/A,#N/A,FALSE,"6";#N/A,#N/A,FALSE,"8";#N/A,#N/A,FALSE,"10";#N/A,#N/A,FALSE,"13";#N/A,#N/A,FALSE,"14";#N/A,#N/A,FALSE,"15";#N/A,#N/A,FALSE,"16"}</definedName>
    <definedName name="sdd" hidden="1">#REF!</definedName>
    <definedName name="sdfgdsg" localSheetId="0" hidden="1">{#N/A,#N/A,FALSE,"3";#N/A,#N/A,FALSE,"5";#N/A,#N/A,FALSE,"6";#N/A,#N/A,FALSE,"8";#N/A,#N/A,FALSE,"10";#N/A,#N/A,FALSE,"13";#N/A,#N/A,FALSE,"14";#N/A,#N/A,FALSE,"15";#N/A,#N/A,FALSE,"16"}</definedName>
    <definedName name="sdfgdsg" hidden="1">{#N/A,#N/A,FALSE,"3";#N/A,#N/A,FALSE,"5";#N/A,#N/A,FALSE,"6";#N/A,#N/A,FALSE,"8";#N/A,#N/A,FALSE,"10";#N/A,#N/A,FALSE,"13";#N/A,#N/A,FALSE,"14";#N/A,#N/A,FALSE,"15";#N/A,#N/A,FALSE,"16"}</definedName>
    <definedName name="sdfs" localSheetId="0" hidden="1">{#N/A,#N/A,FALSE,"3";#N/A,#N/A,FALSE,"5";#N/A,#N/A,FALSE,"6";#N/A,#N/A,FALSE,"8";#N/A,#N/A,FALSE,"10";#N/A,#N/A,FALSE,"13";#N/A,#N/A,FALSE,"14";#N/A,#N/A,FALSE,"15";#N/A,#N/A,FALSE,"16"}</definedName>
    <definedName name="sdfs" hidden="1">{#N/A,#N/A,FALSE,"3";#N/A,#N/A,FALSE,"5";#N/A,#N/A,FALSE,"6";#N/A,#N/A,FALSE,"8";#N/A,#N/A,FALSE,"10";#N/A,#N/A,FALSE,"13";#N/A,#N/A,FALSE,"14";#N/A,#N/A,FALSE,"15";#N/A,#N/A,FALSE,"16"}</definedName>
    <definedName name="sdqsdfg" localSheetId="0" hidden="1">{#N/A,#N/A,FALSE,"Ventilation";#N/A,#N/A,FALSE,"Courbe1";#N/A,#N/A,FALSE,"Courbe2"}</definedName>
    <definedName name="sdqsdfg" hidden="1">{#N/A,#N/A,FALSE,"Ventilation";#N/A,#N/A,FALSE,"Courbe1";#N/A,#N/A,FALSE,"Courbe2"}</definedName>
    <definedName name="sds" localSheetId="0" hidden="1">{"plansummary",#N/A,FALSE,"PlanSummary";"sales",#N/A,FALSE,"Sales Rec";"productivity",#N/A,FALSE,"Productivity Rec";"capitalspending",#N/A,FALSE,"Capital Spending"}</definedName>
    <definedName name="sds" hidden="1">{"plansummary",#N/A,FALSE,"PlanSummary";"sales",#N/A,FALSE,"Sales Rec";"productivity",#N/A,FALSE,"Productivity Rec";"capitalspending",#N/A,FALSE,"Capital Spending"}</definedName>
    <definedName name="sdsad" localSheetId="0" hidden="1">{#N/A,#N/A,FALSE,"3";#N/A,#N/A,FALSE,"5";#N/A,#N/A,FALSE,"6";#N/A,#N/A,FALSE,"8";#N/A,#N/A,FALSE,"10";#N/A,#N/A,FALSE,"13";#N/A,#N/A,FALSE,"14";#N/A,#N/A,FALSE,"15";#N/A,#N/A,FALSE,"16"}</definedName>
    <definedName name="sdsad" hidden="1">{#N/A,#N/A,FALSE,"3";#N/A,#N/A,FALSE,"5";#N/A,#N/A,FALSE,"6";#N/A,#N/A,FALSE,"8";#N/A,#N/A,FALSE,"10";#N/A,#N/A,FALSE,"13";#N/A,#N/A,FALSE,"14";#N/A,#N/A,FALSE,"15";#N/A,#N/A,FALSE,"16"}</definedName>
    <definedName name="sealand3" localSheetId="0" hidden="1">{#N/A,#N/A,FALSE,"USMED 3";#N/A,#N/A,FALSE,"MARCHALLENGER 1";#N/A,#N/A,FALSE,"MARCHALLENGER 2";#N/A,#N/A,FALSE,"MARCHALLENGER 3";#N/A,#N/A,FALSE,"MARCHALLENGER 4"}</definedName>
    <definedName name="sealand3" hidden="1">{#N/A,#N/A,FALSE,"USMED 3";#N/A,#N/A,FALSE,"MARCHALLENGER 1";#N/A,#N/A,FALSE,"MARCHALLENGER 2";#N/A,#N/A,FALSE,"MARCHALLENGER 3";#N/A,#N/A,FALSE,"MARCHALLENGER 4"}</definedName>
    <definedName name="sencount" hidden="1">1</definedName>
    <definedName name="sfaf" localSheetId="0" hidden="1">{#N/A,#N/A,FALSE,"3";#N/A,#N/A,FALSE,"5";#N/A,#N/A,FALSE,"6";#N/A,#N/A,FALSE,"8";#N/A,#N/A,FALSE,"10";#N/A,#N/A,FALSE,"13";#N/A,#N/A,FALSE,"14";#N/A,#N/A,FALSE,"15";#N/A,#N/A,FALSE,"16"}</definedName>
    <definedName name="sfaf" hidden="1">{#N/A,#N/A,FALSE,"3";#N/A,#N/A,FALSE,"5";#N/A,#N/A,FALSE,"6";#N/A,#N/A,FALSE,"8";#N/A,#N/A,FALSE,"10";#N/A,#N/A,FALSE,"13";#N/A,#N/A,FALSE,"14";#N/A,#N/A,FALSE,"15";#N/A,#N/A,FALSE,"16"}</definedName>
    <definedName name="sfsaf" localSheetId="0" hidden="1">{#N/A,#N/A,FALSE,"3";#N/A,#N/A,FALSE,"5";#N/A,#N/A,FALSE,"6";#N/A,#N/A,FALSE,"8";#N/A,#N/A,FALSE,"10";#N/A,#N/A,FALSE,"13";#N/A,#N/A,FALSE,"14";#N/A,#N/A,FALSE,"15";#N/A,#N/A,FALSE,"16"}</definedName>
    <definedName name="sfsaf" hidden="1">{#N/A,#N/A,FALSE,"3";#N/A,#N/A,FALSE,"5";#N/A,#N/A,FALSE,"6";#N/A,#N/A,FALSE,"8";#N/A,#N/A,FALSE,"10";#N/A,#N/A,FALSE,"13";#N/A,#N/A,FALSE,"14";#N/A,#N/A,FALSE,"15";#N/A,#N/A,FALSE,"16"}</definedName>
    <definedName name="shankar" localSheetId="0" hidden="1">{#N/A,#N/A,FALSE,"COMICRO";#N/A,#N/A,FALSE,"BALSCH";#N/A,#N/A,FALSE,"GLASS";#N/A,#N/A,FALSE,"DEPRE";#N/A,#N/A,FALSE,"A&amp;MCUR";#N/A,#N/A,FALSE,"AGEANAlysis";#N/A,#N/A,FALSE,"CHECKS";#N/A,#N/A,FALSE,"CHECKS"}</definedName>
    <definedName name="shankar" hidden="1">{#N/A,#N/A,FALSE,"COMICRO";#N/A,#N/A,FALSE,"BALSCH";#N/A,#N/A,FALSE,"GLASS";#N/A,#N/A,FALSE,"DEPRE";#N/A,#N/A,FALSE,"A&amp;MCUR";#N/A,#N/A,FALSE,"AGEANAlysis";#N/A,#N/A,FALSE,"CHECKS";#N/A,#N/A,FALSE,"CHECKS"}</definedName>
    <definedName name="shiva" localSheetId="0" hidden="1">{#N/A,#N/A,TRUE,"BALSCH";#N/A,#N/A,TRUE,"COMICRO";#N/A,#N/A,TRUE,"CHECKS";#N/A,#N/A,TRUE,"GLASS";#N/A,#N/A,TRUE,"DEPRE";#N/A,#N/A,TRUE,"A&amp;MCUR";#N/A,#N/A,TRUE,"AGEANAlysis";#N/A,#N/A,TRUE,"CHECKS"}</definedName>
    <definedName name="shiva" hidden="1">{#N/A,#N/A,TRUE,"BALSCH";#N/A,#N/A,TRUE,"COMICRO";#N/A,#N/A,TRUE,"CHECKS";#N/A,#N/A,TRUE,"GLASS";#N/A,#N/A,TRUE,"DEPRE";#N/A,#N/A,TRUE,"A&amp;MCUR";#N/A,#N/A,TRUE,"AGEANAlysis";#N/A,#N/A,TRUE,"CHECKS"}</definedName>
    <definedName name="sky" localSheetId="0" hidden="1">{"Summary analysis",#N/A,FALSE,"Total";"OCPH analysis",#N/A,FALSE,"Total";"detail analysis",#N/A,FALSE,"Total"}</definedName>
    <definedName name="sky" hidden="1">{"Summary analysis",#N/A,FALSE,"Total";"OCPH analysis",#N/A,FALSE,"Total";"detail analysis",#N/A,FALSE,"Total"}</definedName>
    <definedName name="slotcost21kts" localSheetId="0" hidden="1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name="slotcost21kts" hidden="1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el2" hidden="1">1</definedName>
    <definedName name="solver_rel3" hidden="1">3</definedName>
    <definedName name="solver_rhs1" hidden="1">1</definedName>
    <definedName name="solver_rhs2" hidden="1">0.5</definedName>
    <definedName name="solver_rhs3" hidden="1">-0.5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hidden="1">#REF!</definedName>
    <definedName name="SpecialPrice" hidden="1">#REF!</definedName>
    <definedName name="srtgh" localSheetId="0" hidden="1">{#N/A,#N/A,FALSE,"3";#N/A,#N/A,FALSE,"5";#N/A,#N/A,FALSE,"6";#N/A,#N/A,FALSE,"8";#N/A,#N/A,FALSE,"10";#N/A,#N/A,FALSE,"13";#N/A,#N/A,FALSE,"14";#N/A,#N/A,FALSE,"15";#N/A,#N/A,FALSE,"16"}</definedName>
    <definedName name="srtgh" hidden="1">{#N/A,#N/A,FALSE,"3";#N/A,#N/A,FALSE,"5";#N/A,#N/A,FALSE,"6";#N/A,#N/A,FALSE,"8";#N/A,#N/A,FALSE,"10";#N/A,#N/A,FALSE,"13";#N/A,#N/A,FALSE,"14";#N/A,#N/A,FALSE,"15";#N/A,#N/A,FALSE,"16"}</definedName>
    <definedName name="srweatfwa" hidden="1">#REF!</definedName>
    <definedName name="ss" localSheetId="0" hidden="1">{#N/A,#N/A,FALSE,"Cipta-All";#N/A,#N/A,FALSE,"Individual"}</definedName>
    <definedName name="ss" hidden="1">{#N/A,#N/A,FALSE,"Cipta-All";#N/A,#N/A,FALSE,"Individual"}</definedName>
    <definedName name="ssdd" localSheetId="0" hidden="1">{"'Typical Costs Estimates'!$C$158:$H$161"}</definedName>
    <definedName name="ssdd" hidden="1">{"'Typical Costs Estimates'!$C$158:$H$161"}</definedName>
    <definedName name="SSDP" localSheetId="0" hidden="1">{#N/A,#N/A,FALSE,"Cipta-All";#N/A,#N/A,FALSE,"Individual"}</definedName>
    <definedName name="SSDP" hidden="1">{#N/A,#N/A,FALSE,"Cipta-All";#N/A,#N/A,FALSE,"Individual"}</definedName>
    <definedName name="SSK" localSheetId="0" hidden="1">{#N/A,#N/A,FALSE,"COMP"}</definedName>
    <definedName name="SSK" hidden="1">{#N/A,#N/A,FALSE,"COMP"}</definedName>
    <definedName name="SSSSS" localSheetId="0" hidden="1">{#N/A,#N/A,FALSE,"COMICRO";#N/A,#N/A,FALSE,"BALSCH";#N/A,#N/A,FALSE,"GLASS";#N/A,#N/A,FALSE,"DEPRE";#N/A,#N/A,FALSE,"A&amp;MCUR";#N/A,#N/A,FALSE,"AGEANAlysis";#N/A,#N/A,FALSE,"CHECKS";#N/A,#N/A,FALSE,"CHECKS"}</definedName>
    <definedName name="SSSSS" hidden="1">{#N/A,#N/A,FALSE,"COMICRO";#N/A,#N/A,FALSE,"BALSCH";#N/A,#N/A,FALSE,"GLASS";#N/A,#N/A,FALSE,"DEPRE";#N/A,#N/A,FALSE,"A&amp;MCUR";#N/A,#N/A,FALSE,"AGEANAlysis";#N/A,#N/A,FALSE,"CHECKS";#N/A,#N/A,FALSE,"CHECKS"}</definedName>
    <definedName name="st" localSheetId="0" hidden="1">{#N/A,#N/A,FALSE,"USMED 3";#N/A,#N/A,FALSE,"MARCHALLENGER 1";#N/A,#N/A,FALSE,"MARCHALLENGER 2";#N/A,#N/A,FALSE,"MARCHALLENGER 3";#N/A,#N/A,FALSE,"MARCHALLENGER 4"}</definedName>
    <definedName name="st" hidden="1">{#N/A,#N/A,FALSE,"USMED 3";#N/A,#N/A,FALSE,"MARCHALLENGER 1";#N/A,#N/A,FALSE,"MARCHALLENGER 2";#N/A,#N/A,FALSE,"MARCHALLENGER 3";#N/A,#N/A,FALSE,"MARCHALLENGER 4"}</definedName>
    <definedName name="summaryty" localSheetId="0" hidden="1">{#N/A,#N/A,TRUE,"KEY DATA";#N/A,#N/A,TRUE,"KEY DATA Base Case";#N/A,#N/A,TRUE,"JULY";#N/A,#N/A,TRUE,"AUG";#N/A,#N/A,TRUE,"SEPT";#N/A,#N/A,TRUE,"3Q"}</definedName>
    <definedName name="summaryty" hidden="1">{#N/A,#N/A,TRUE,"KEY DATA";#N/A,#N/A,TRUE,"KEY DATA Base Case";#N/A,#N/A,TRUE,"JULY";#N/A,#N/A,TRUE,"AUG";#N/A,#N/A,TRUE,"SEPT";#N/A,#N/A,TRUE,"3Q"}</definedName>
    <definedName name="summaryty." localSheetId="0" hidden="1">{#N/A,#N/A,TRUE,"KEY DATA";#N/A,#N/A,TRUE,"KEY DATA Base Case";#N/A,#N/A,TRUE,"JULY";#N/A,#N/A,TRUE,"AUG";#N/A,#N/A,TRUE,"SEPT";#N/A,#N/A,TRUE,"3Q"}</definedName>
    <definedName name="summaryty." hidden="1">{#N/A,#N/A,TRUE,"KEY DATA";#N/A,#N/A,TRUE,"KEY DATA Base Case";#N/A,#N/A,TRUE,"JULY";#N/A,#N/A,TRUE,"AUG";#N/A,#N/A,TRUE,"SEPT";#N/A,#N/A,TRUE,"3Q"}</definedName>
    <definedName name="summmmmm" localSheetId="0" hidden="1">{#N/A,#N/A,TRUE,"KEY DATA";#N/A,#N/A,TRUE,"KEY DATA Base Case";#N/A,#N/A,TRUE,"JULY";#N/A,#N/A,TRUE,"AUG";#N/A,#N/A,TRUE,"SEPT";#N/A,#N/A,TRUE,"3Q"}</definedName>
    <definedName name="summmmmm" hidden="1">{#N/A,#N/A,TRUE,"KEY DATA";#N/A,#N/A,TRUE,"KEY DATA Base Case";#N/A,#N/A,TRUE,"JULY";#N/A,#N/A,TRUE,"AUG";#N/A,#N/A,TRUE,"SEPT";#N/A,#N/A,TRUE,"3Q"}</definedName>
    <definedName name="Sushil" localSheetId="0" hidden="1">{#N/A,#N/A,FALSE,"6"}</definedName>
    <definedName name="Sushil" hidden="1">{#N/A,#N/A,FALSE,"6"}</definedName>
    <definedName name="sw" localSheetId="0" hidden="1">{#N/A,#N/A,TRUE,"BALSCH";#N/A,#N/A,TRUE,"COMICRO";#N/A,#N/A,TRUE,"CHECKS";#N/A,#N/A,TRUE,"GLASS";#N/A,#N/A,TRUE,"DEPRE";#N/A,#N/A,TRUE,"A&amp;MCUR";#N/A,#N/A,TRUE,"AGEANAlysis";#N/A,#N/A,TRUE,"CHECKS"}</definedName>
    <definedName name="sw" hidden="1">{#N/A,#N/A,TRUE,"BALSCH";#N/A,#N/A,TRUE,"COMICRO";#N/A,#N/A,TRUE,"CHECKS";#N/A,#N/A,TRUE,"GLASS";#N/A,#N/A,TRUE,"DEPRE";#N/A,#N/A,TRUE,"A&amp;MCUR";#N/A,#N/A,TRUE,"AGEANAlysis";#N/A,#N/A,TRUE,"CHECKS"}</definedName>
    <definedName name="tbl_ProdInfo" hidden="1">#REF!</definedName>
    <definedName name="tdryr" hidden="1">#REF!</definedName>
    <definedName name="Tech" localSheetId="0" hidden="1">{"Summary analysis",#N/A,FALSE,"Total";"OCPH analysis",#N/A,FALSE,"Total";"detail analysis",#N/A,FALSE,"Total"}</definedName>
    <definedName name="Tech" hidden="1">{"Summary analysis",#N/A,FALSE,"Total";"OCPH analysis",#N/A,FALSE,"Total";"detail analysis",#N/A,FALSE,"Total"}</definedName>
    <definedName name="TELE" localSheetId="0" hidden="1">{"'Mach'!$A$1:$D$39"}</definedName>
    <definedName name="TELE" hidden="1">{"'Mach'!$A$1:$D$39"}</definedName>
    <definedName name="temp." localSheetId="0" hidden="1">{#N/A,#N/A,TRUE,"KEY DATA";#N/A,#N/A,TRUE,"KEY DATA Base Case";#N/A,#N/A,TRUE,"JULY";#N/A,#N/A,TRUE,"AUG";#N/A,#N/A,TRUE,"SEPT";#N/A,#N/A,TRUE,"3Q"}</definedName>
    <definedName name="temp." hidden="1">{#N/A,#N/A,TRUE,"KEY DATA";#N/A,#N/A,TRUE,"KEY DATA Base Case";#N/A,#N/A,TRUE,"JULY";#N/A,#N/A,TRUE,"AUG";#N/A,#N/A,TRUE,"SEPT";#N/A,#N/A,TRUE,"3Q"}</definedName>
    <definedName name="temp12" localSheetId="0" hidden="1">{#N/A,#N/A,TRUE,"KEY DATA";#N/A,#N/A,TRUE,"KEY DATA Base Case";#N/A,#N/A,TRUE,"JULY";#N/A,#N/A,TRUE,"AUG";#N/A,#N/A,TRUE,"SEPT";#N/A,#N/A,TRUE,"3Q"}</definedName>
    <definedName name="temp12" hidden="1">{#N/A,#N/A,TRUE,"KEY DATA";#N/A,#N/A,TRUE,"KEY DATA Base Case";#N/A,#N/A,TRUE,"JULY";#N/A,#N/A,TRUE,"AUG";#N/A,#N/A,TRUE,"SEPT";#N/A,#N/A,TRUE,"3Q"}</definedName>
    <definedName name="temp12." localSheetId="0" hidden="1">{#N/A,#N/A,TRUE,"KEY DATA";#N/A,#N/A,TRUE,"KEY DATA Base Case";#N/A,#N/A,TRUE,"JULY";#N/A,#N/A,TRUE,"AUG";#N/A,#N/A,TRUE,"SEPT";#N/A,#N/A,TRUE,"3Q"}</definedName>
    <definedName name="temp12." hidden="1">{#N/A,#N/A,TRUE,"KEY DATA";#N/A,#N/A,TRUE,"KEY DATA Base Case";#N/A,#N/A,TRUE,"JULY";#N/A,#N/A,TRUE,"AUG";#N/A,#N/A,TRUE,"SEPT";#N/A,#N/A,TRUE,"3Q"}</definedName>
    <definedName name="TextRefCopyRangeCount" hidden="1">31</definedName>
    <definedName name="tftchristine" localSheetId="0" hidden="1">{#N/A,#N/A,FALSE,"3";#N/A,#N/A,FALSE,"5";#N/A,#N/A,FALSE,"6";#N/A,#N/A,FALSE,"8";#N/A,#N/A,FALSE,"10";#N/A,#N/A,FALSE,"13";#N/A,#N/A,FALSE,"14";#N/A,#N/A,FALSE,"15";#N/A,#N/A,FALSE,"16"}</definedName>
    <definedName name="tftchristine" hidden="1">{#N/A,#N/A,FALSE,"3";#N/A,#N/A,FALSE,"5";#N/A,#N/A,FALSE,"6";#N/A,#N/A,FALSE,"8";#N/A,#N/A,FALSE,"10";#N/A,#N/A,FALSE,"13";#N/A,#N/A,FALSE,"14";#N/A,#N/A,FALSE,"15";#N/A,#N/A,FALSE,"16"}</definedName>
    <definedName name="tftchristine2" localSheetId="0" hidden="1">{#N/A,#N/A,FALSE,"3";#N/A,#N/A,FALSE,"5";#N/A,#N/A,FALSE,"6";#N/A,#N/A,FALSE,"8";#N/A,#N/A,FALSE,"10";#N/A,#N/A,FALSE,"13";#N/A,#N/A,FALSE,"14";#N/A,#N/A,FALSE,"15";#N/A,#N/A,FALSE,"16"}</definedName>
    <definedName name="tftchristine2" hidden="1">{#N/A,#N/A,FALSE,"3";#N/A,#N/A,FALSE,"5";#N/A,#N/A,FALSE,"6";#N/A,#N/A,FALSE,"8";#N/A,#N/A,FALSE,"10";#N/A,#N/A,FALSE,"13";#N/A,#N/A,FALSE,"14";#N/A,#N/A,FALSE,"15";#N/A,#N/A,FALSE,"16"}</definedName>
    <definedName name="tony" localSheetId="0" hidden="1">{"Summary analysis",#N/A,FALSE,"Total";"OCPH analysis",#N/A,FALSE,"Total";"detail analysis",#N/A,FALSE,"Total"}</definedName>
    <definedName name="tony" hidden="1">{"Summary analysis",#N/A,FALSE,"Total";"OCPH analysis",#N/A,FALSE,"Total";"detail analysis",#N/A,FALSE,"Total"}</definedName>
    <definedName name="tototo2" localSheetId="0" hidden="1">{#N/A,#N/A,FALSE,"3";#N/A,#N/A,FALSE,"5";#N/A,#N/A,FALSE,"6";#N/A,#N/A,FALSE,"8";#N/A,#N/A,FALSE,"10";#N/A,#N/A,FALSE,"13";#N/A,#N/A,FALSE,"14";#N/A,#N/A,FALSE,"15";#N/A,#N/A,FALSE,"16"}</definedName>
    <definedName name="tototo2" hidden="1">{#N/A,#N/A,FALSE,"3";#N/A,#N/A,FALSE,"5";#N/A,#N/A,FALSE,"6";#N/A,#N/A,FALSE,"8";#N/A,#N/A,FALSE,"10";#N/A,#N/A,FALSE,"13";#N/A,#N/A,FALSE,"14";#N/A,#N/A,FALSE,"15";#N/A,#N/A,FALSE,"16"}</definedName>
    <definedName name="TP_Footer_Path" hidden="1">"P:\CLILIST\GLOBAL_CLOSURE_SYSTEMS\95257\2006\001_EvalAct\Workfile\IAS 2006\Compta\"</definedName>
    <definedName name="TP_Footer_User" hidden="1">"FETZERB"</definedName>
    <definedName name="TP_Footer_Version" hidden="1">"v4.00"</definedName>
    <definedName name="tpfp" hidden="1">"P:\CLILIST\MICHELIN\50728\2000\002\Workfile\Due Diligence\france\"</definedName>
    <definedName name="trurtu" localSheetId="0" hidden="1">{#N/A,#N/A,FALSE,"3";#N/A,#N/A,FALSE,"5";#N/A,#N/A,FALSE,"6";#N/A,#N/A,FALSE,"8";#N/A,#N/A,FALSE,"10";#N/A,#N/A,FALSE,"13";#N/A,#N/A,FALSE,"14";#N/A,#N/A,FALSE,"15";#N/A,#N/A,FALSE,"16"}</definedName>
    <definedName name="trurtu" hidden="1">{#N/A,#N/A,FALSE,"3";#N/A,#N/A,FALSE,"5";#N/A,#N/A,FALSE,"6";#N/A,#N/A,FALSE,"8";#N/A,#N/A,FALSE,"10";#N/A,#N/A,FALSE,"13";#N/A,#N/A,FALSE,"14";#N/A,#N/A,FALSE,"15";#N/A,#N/A,FALSE,"16"}</definedName>
    <definedName name="trurturturt" localSheetId="0" hidden="1">{#N/A,#N/A,FALSE,"3";#N/A,#N/A,FALSE,"5";#N/A,#N/A,FALSE,"6";#N/A,#N/A,FALSE,"8";#N/A,#N/A,FALSE,"10";#N/A,#N/A,FALSE,"13";#N/A,#N/A,FALSE,"14";#N/A,#N/A,FALSE,"15";#N/A,#N/A,FALSE,"16"}</definedName>
    <definedName name="trurturturt" hidden="1">{#N/A,#N/A,FALSE,"3";#N/A,#N/A,FALSE,"5";#N/A,#N/A,FALSE,"6";#N/A,#N/A,FALSE,"8";#N/A,#N/A,FALSE,"10";#N/A,#N/A,FALSE,"13";#N/A,#N/A,FALSE,"14";#N/A,#N/A,FALSE,"15";#N/A,#N/A,FALSE,"16"}</definedName>
    <definedName name="trurtutru" localSheetId="0" hidden="1">{#N/A,#N/A,FALSE,"3";#N/A,#N/A,FALSE,"5";#N/A,#N/A,FALSE,"6";#N/A,#N/A,FALSE,"8";#N/A,#N/A,FALSE,"10";#N/A,#N/A,FALSE,"13";#N/A,#N/A,FALSE,"14";#N/A,#N/A,FALSE,"15";#N/A,#N/A,FALSE,"16"}</definedName>
    <definedName name="trurtutru" hidden="1">{#N/A,#N/A,FALSE,"3";#N/A,#N/A,FALSE,"5";#N/A,#N/A,FALSE,"6";#N/A,#N/A,FALSE,"8";#N/A,#N/A,FALSE,"10";#N/A,#N/A,FALSE,"13";#N/A,#N/A,FALSE,"14";#N/A,#N/A,FALSE,"15";#N/A,#N/A,FALSE,"16"}</definedName>
    <definedName name="trutrturt" localSheetId="0" hidden="1">{#N/A,#N/A,FALSE,"3";#N/A,#N/A,FALSE,"5";#N/A,#N/A,FALSE,"6";#N/A,#N/A,FALSE,"8";#N/A,#N/A,FALSE,"10";#N/A,#N/A,FALSE,"13";#N/A,#N/A,FALSE,"14";#N/A,#N/A,FALSE,"15";#N/A,#N/A,FALSE,"16"}</definedName>
    <definedName name="trutrturt" hidden="1">{#N/A,#N/A,FALSE,"3";#N/A,#N/A,FALSE,"5";#N/A,#N/A,FALSE,"6";#N/A,#N/A,FALSE,"8";#N/A,#N/A,FALSE,"10";#N/A,#N/A,FALSE,"13";#N/A,#N/A,FALSE,"14";#N/A,#N/A,FALSE,"15";#N/A,#N/A,FALSE,"16"}</definedName>
    <definedName name="turu" localSheetId="0" hidden="1">{#N/A,#N/A,FALSE,"3";#N/A,#N/A,FALSE,"5";#N/A,#N/A,FALSE,"6";#N/A,#N/A,FALSE,"8";#N/A,#N/A,FALSE,"10";#N/A,#N/A,FALSE,"13";#N/A,#N/A,FALSE,"14";#N/A,#N/A,FALSE,"15";#N/A,#N/A,FALSE,"16"}</definedName>
    <definedName name="turu" hidden="1">{#N/A,#N/A,FALSE,"3";#N/A,#N/A,FALSE,"5";#N/A,#N/A,FALSE,"6";#N/A,#N/A,FALSE,"8";#N/A,#N/A,FALSE,"10";#N/A,#N/A,FALSE,"13";#N/A,#N/A,FALSE,"14";#N/A,#N/A,FALSE,"15";#N/A,#N/A,FALSE,"16"}</definedName>
    <definedName name="tuut" localSheetId="0" hidden="1">{#N/A,#N/A,FALSE,"3";#N/A,#N/A,FALSE,"5";#N/A,#N/A,FALSE,"6";#N/A,#N/A,FALSE,"8";#N/A,#N/A,FALSE,"10";#N/A,#N/A,FALSE,"13";#N/A,#N/A,FALSE,"14";#N/A,#N/A,FALSE,"15";#N/A,#N/A,FALSE,"16"}</definedName>
    <definedName name="tuut" hidden="1">{#N/A,#N/A,FALSE,"3";#N/A,#N/A,FALSE,"5";#N/A,#N/A,FALSE,"6";#N/A,#N/A,FALSE,"8";#N/A,#N/A,FALSE,"10";#N/A,#N/A,FALSE,"13";#N/A,#N/A,FALSE,"14";#N/A,#N/A,FALSE,"15";#N/A,#N/A,FALSE,"16"}</definedName>
    <definedName name="tuytu" localSheetId="0" hidden="1">{#N/A,#N/A,FALSE,"3";#N/A,#N/A,FALSE,"5";#N/A,#N/A,FALSE,"6";#N/A,#N/A,FALSE,"8";#N/A,#N/A,FALSE,"10";#N/A,#N/A,FALSE,"13";#N/A,#N/A,FALSE,"14";#N/A,#N/A,FALSE,"15";#N/A,#N/A,FALSE,"16"}</definedName>
    <definedName name="tuytu" hidden="1">{#N/A,#N/A,FALSE,"3";#N/A,#N/A,FALSE,"5";#N/A,#N/A,FALSE,"6";#N/A,#N/A,FALSE,"8";#N/A,#N/A,FALSE,"10";#N/A,#N/A,FALSE,"13";#N/A,#N/A,FALSE,"14";#N/A,#N/A,FALSE,"15";#N/A,#N/A,FALSE,"16"}</definedName>
    <definedName name="twregfasd" localSheetId="0" hidden="1">{#N/A,#N/A,FALSE,"3";#N/A,#N/A,FALSE,"5";#N/A,#N/A,FALSE,"6";#N/A,#N/A,FALSE,"8";#N/A,#N/A,FALSE,"10";#N/A,#N/A,FALSE,"13";#N/A,#N/A,FALSE,"14";#N/A,#N/A,FALSE,"15";#N/A,#N/A,FALSE,"16"}</definedName>
    <definedName name="twregfasd" hidden="1">{#N/A,#N/A,FALSE,"3";#N/A,#N/A,FALSE,"5";#N/A,#N/A,FALSE,"6";#N/A,#N/A,FALSE,"8";#N/A,#N/A,FALSE,"10";#N/A,#N/A,FALSE,"13";#N/A,#N/A,FALSE,"14";#N/A,#N/A,FALSE,"15";#N/A,#N/A,FALSE,"16"}</definedName>
    <definedName name="ty" localSheetId="0" hidden="1">{"plansummary",#N/A,FALSE,"PlanSummary";"sales",#N/A,FALSE,"Sales Rec";"productivity",#N/A,FALSE,"Productivity Rec";"capitalspending",#N/A,FALSE,"Capital Spending"}</definedName>
    <definedName name="ty" hidden="1">{"plansummary",#N/A,FALSE,"PlanSummary";"sales",#N/A,FALSE,"Sales Rec";"productivity",#N/A,FALSE,"Productivity Rec";"capitalspending",#N/A,FALSE,"Capital Spending"}</definedName>
    <definedName name="tygrd5t4rd" hidden="1">#REF!</definedName>
    <definedName name="tyutyutyu" localSheetId="0" hidden="1">{#N/A,#N/A,FALSE,"3";#N/A,#N/A,FALSE,"5";#N/A,#N/A,FALSE,"6";#N/A,#N/A,FALSE,"8";#N/A,#N/A,FALSE,"10";#N/A,#N/A,FALSE,"13";#N/A,#N/A,FALSE,"14";#N/A,#N/A,FALSE,"15";#N/A,#N/A,FALSE,"16"}</definedName>
    <definedName name="tyutyutyu" hidden="1">{#N/A,#N/A,FALSE,"3";#N/A,#N/A,FALSE,"5";#N/A,#N/A,FALSE,"6";#N/A,#N/A,FALSE,"8";#N/A,#N/A,FALSE,"10";#N/A,#N/A,FALSE,"13";#N/A,#N/A,FALSE,"14";#N/A,#N/A,FALSE,"15";#N/A,#N/A,FALSE,"16"}</definedName>
    <definedName name="uiluliuliul" localSheetId="0" hidden="1">{#N/A,#N/A,FALSE,"3";#N/A,#N/A,FALSE,"5";#N/A,#N/A,FALSE,"6";#N/A,#N/A,FALSE,"8";#N/A,#N/A,FALSE,"10";#N/A,#N/A,FALSE,"13";#N/A,#N/A,FALSE,"14";#N/A,#N/A,FALSE,"15";#N/A,#N/A,FALSE,"16"}</definedName>
    <definedName name="uiluliuliul" hidden="1">{#N/A,#N/A,FALSE,"3";#N/A,#N/A,FALSE,"5";#N/A,#N/A,FALSE,"6";#N/A,#N/A,FALSE,"8";#N/A,#N/A,FALSE,"10";#N/A,#N/A,FALSE,"13";#N/A,#N/A,FALSE,"14";#N/A,#N/A,FALSE,"15";#N/A,#N/A,FALSE,"16"}</definedName>
    <definedName name="Uit" hidden="1">1</definedName>
    <definedName name="uiui" localSheetId="0" hidden="1">{#N/A,#N/A,FALSE,"3";#N/A,#N/A,FALSE,"5";#N/A,#N/A,FALSE,"6";#N/A,#N/A,FALSE,"8";#N/A,#N/A,FALSE,"10";#N/A,#N/A,FALSE,"13";#N/A,#N/A,FALSE,"14";#N/A,#N/A,FALSE,"15";#N/A,#N/A,FALSE,"16"}</definedName>
    <definedName name="uiui" hidden="1">{#N/A,#N/A,FALSE,"3";#N/A,#N/A,FALSE,"5";#N/A,#N/A,FALSE,"6";#N/A,#N/A,FALSE,"8";#N/A,#N/A,FALSE,"10";#N/A,#N/A,FALSE,"13";#N/A,#N/A,FALSE,"14";#N/A,#N/A,FALSE,"15";#N/A,#N/A,FALSE,"16"}</definedName>
    <definedName name="uiuyi" localSheetId="0" hidden="1">{#N/A,#N/A,FALSE,"3";#N/A,#N/A,FALSE,"5";#N/A,#N/A,FALSE,"6";#N/A,#N/A,FALSE,"8";#N/A,#N/A,FALSE,"10";#N/A,#N/A,FALSE,"13";#N/A,#N/A,FALSE,"14";#N/A,#N/A,FALSE,"15";#N/A,#N/A,FALSE,"16"}</definedName>
    <definedName name="uiuyi" hidden="1">{#N/A,#N/A,FALSE,"3";#N/A,#N/A,FALSE,"5";#N/A,#N/A,FALSE,"6";#N/A,#N/A,FALSE,"8";#N/A,#N/A,FALSE,"10";#N/A,#N/A,FALSE,"13";#N/A,#N/A,FALSE,"14";#N/A,#N/A,FALSE,"15";#N/A,#N/A,FALSE,"16"}</definedName>
    <definedName name="Unit_Risk" localSheetId="0" hidden="1">{#N/A,#N/A,FALSE,"CDA Plan"}</definedName>
    <definedName name="Unit_Risk" hidden="1">{#N/A,#N/A,FALSE,"CDA Plan"}</definedName>
    <definedName name="usmed7" localSheetId="0" hidden="1">{#N/A,#N/A,FALSE,"USMED 3";#N/A,#N/A,FALSE,"MARCHALLENGER 1";#N/A,#N/A,FALSE,"MARCHALLENGER 2";#N/A,#N/A,FALSE,"MARCHALLENGER 3";#N/A,#N/A,FALSE,"MARCHALLENGER 4"}</definedName>
    <definedName name="usmed7" hidden="1">{#N/A,#N/A,FALSE,"USMED 3";#N/A,#N/A,FALSE,"MARCHALLENGER 1";#N/A,#N/A,FALSE,"MARCHALLENGER 2";#N/A,#N/A,FALSE,"MARCHALLENGER 3";#N/A,#N/A,FALSE,"MARCHALLENGER 4"}</definedName>
    <definedName name="usmed9" localSheetId="0" hidden="1">{#N/A,#N/A,FALSE,"USMED 3";#N/A,#N/A,FALSE,"MARCHALLENGER 1";#N/A,#N/A,FALSE,"MARCHALLENGER 2";#N/A,#N/A,FALSE,"MARCHALLENGER 3";#N/A,#N/A,FALSE,"MARCHALLENGER 4"}</definedName>
    <definedName name="usmed9" hidden="1">{#N/A,#N/A,FALSE,"USMED 3";#N/A,#N/A,FALSE,"MARCHALLENGER 1";#N/A,#N/A,FALSE,"MARCHALLENGER 2";#N/A,#N/A,FALSE,"MARCHALLENGER 3";#N/A,#N/A,FALSE,"MARCHALLENGER 4"}</definedName>
    <definedName name="utyu" localSheetId="0" hidden="1">{#N/A,#N/A,FALSE,"3";#N/A,#N/A,FALSE,"5";#N/A,#N/A,FALSE,"6";#N/A,#N/A,FALSE,"8";#N/A,#N/A,FALSE,"10";#N/A,#N/A,FALSE,"13";#N/A,#N/A,FALSE,"14";#N/A,#N/A,FALSE,"15";#N/A,#N/A,FALSE,"16"}</definedName>
    <definedName name="utyu" hidden="1">{#N/A,#N/A,FALSE,"3";#N/A,#N/A,FALSE,"5";#N/A,#N/A,FALSE,"6";#N/A,#N/A,FALSE,"8";#N/A,#N/A,FALSE,"10";#N/A,#N/A,FALSE,"13";#N/A,#N/A,FALSE,"14";#N/A,#N/A,FALSE,"15";#N/A,#N/A,FALSE,"16"}</definedName>
    <definedName name="uyikuyik" localSheetId="0" hidden="1">{#N/A,#N/A,FALSE,"3";#N/A,#N/A,FALSE,"5";#N/A,#N/A,FALSE,"6";#N/A,#N/A,FALSE,"8";#N/A,#N/A,FALSE,"10";#N/A,#N/A,FALSE,"13";#N/A,#N/A,FALSE,"14";#N/A,#N/A,FALSE,"15";#N/A,#N/A,FALSE,"16"}</definedName>
    <definedName name="uyikuyik" hidden="1">{#N/A,#N/A,FALSE,"3";#N/A,#N/A,FALSE,"5";#N/A,#N/A,FALSE,"6";#N/A,#N/A,FALSE,"8";#N/A,#N/A,FALSE,"10";#N/A,#N/A,FALSE,"13";#N/A,#N/A,FALSE,"14";#N/A,#N/A,FALSE,"15";#N/A,#N/A,FALSE,"16"}</definedName>
    <definedName name="vcb" localSheetId="0" hidden="1">{#N/A,#N/A,FALSE,"3";#N/A,#N/A,FALSE,"5";#N/A,#N/A,FALSE,"6";#N/A,#N/A,FALSE,"8";#N/A,#N/A,FALSE,"10";#N/A,#N/A,FALSE,"13";#N/A,#N/A,FALSE,"14";#N/A,#N/A,FALSE,"15";#N/A,#N/A,FALSE,"16"}</definedName>
    <definedName name="vcb" hidden="1">{#N/A,#N/A,FALSE,"3";#N/A,#N/A,FALSE,"5";#N/A,#N/A,FALSE,"6";#N/A,#N/A,FALSE,"8";#N/A,#N/A,FALSE,"10";#N/A,#N/A,FALSE,"13";#N/A,#N/A,FALSE,"14";#N/A,#N/A,FALSE,"15";#N/A,#N/A,FALSE,"16"}</definedName>
    <definedName name="Vgl" localSheetId="0" hidden="1">{"K GuV o. Kommentar",#N/A,FALSE,"Kaufhof"}</definedName>
    <definedName name="Vgl" hidden="1">{"K GuV o. Kommentar",#N/A,FALSE,"Kaufhof"}</definedName>
    <definedName name="Vijay" hidden="1">#REF!</definedName>
    <definedName name="vinu" localSheetId="0" hidden="1">{#N/A,#N/A,FALSE,"COMICRO";#N/A,#N/A,FALSE,"BALSCH";#N/A,#N/A,FALSE,"GLASS";#N/A,#N/A,FALSE,"DEPRE";#N/A,#N/A,FALSE,"A&amp;MCUR";#N/A,#N/A,FALSE,"AGEANAlysis";#N/A,#N/A,FALSE,"CHECKS";#N/A,#N/A,FALSE,"CHECKS"}</definedName>
    <definedName name="vinu" hidden="1">{#N/A,#N/A,FALSE,"COMICRO";#N/A,#N/A,FALSE,"BALSCH";#N/A,#N/A,FALSE,"GLASS";#N/A,#N/A,FALSE,"DEPRE";#N/A,#N/A,FALSE,"A&amp;MCUR";#N/A,#N/A,FALSE,"AGEANAlysis";#N/A,#N/A,FALSE,"CHECKS";#N/A,#N/A,FALSE,"CHECKS"}</definedName>
    <definedName name="VISHWA" localSheetId="0" hidden="1">{"'Mach'!$A$1:$D$39"}</definedName>
    <definedName name="VISHWA" hidden="1">{"'Mach'!$A$1:$D$39"}</definedName>
    <definedName name="vnb" localSheetId="0" hidden="1">{#N/A,#N/A,FALSE,"3";#N/A,#N/A,FALSE,"5";#N/A,#N/A,FALSE,"6";#N/A,#N/A,FALSE,"8";#N/A,#N/A,FALSE,"10";#N/A,#N/A,FALSE,"13";#N/A,#N/A,FALSE,"14";#N/A,#N/A,FALSE,"15";#N/A,#N/A,FALSE,"16"}</definedName>
    <definedName name="vnb" hidden="1">{#N/A,#N/A,FALSE,"3";#N/A,#N/A,FALSE,"5";#N/A,#N/A,FALSE,"6";#N/A,#N/A,FALSE,"8";#N/A,#N/A,FALSE,"10";#N/A,#N/A,FALSE,"13";#N/A,#N/A,FALSE,"14";#N/A,#N/A,FALSE,"15";#N/A,#N/A,FALSE,"16"}</definedName>
    <definedName name="Vrw" hidden="1">2</definedName>
    <definedName name="vss" localSheetId="0" hidden="1">{#N/A,#N/A,FALSE,"COMICRO";#N/A,#N/A,FALSE,"BALSCH";#N/A,#N/A,FALSE,"GLASS";#N/A,#N/A,FALSE,"DEPRE";#N/A,#N/A,FALSE,"A&amp;MCUR";#N/A,#N/A,FALSE,"AGEANAlysis";#N/A,#N/A,FALSE,"CHECKS";#N/A,#N/A,FALSE,"CHECKS"}</definedName>
    <definedName name="vss" hidden="1">{#N/A,#N/A,FALSE,"COMICRO";#N/A,#N/A,FALSE,"BALSCH";#N/A,#N/A,FALSE,"GLASS";#N/A,#N/A,FALSE,"DEPRE";#N/A,#N/A,FALSE,"A&amp;MCUR";#N/A,#N/A,FALSE,"AGEANAlysis";#N/A,#N/A,FALSE,"CHECKS";#N/A,#N/A,FALSE,"CHECKS"}</definedName>
    <definedName name="we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rwq3rqw" hidden="1">#REF!</definedName>
    <definedName name="wn" localSheetId="0" hidden="1">{#N/A,#N/A,FALSE,"3";#N/A,#N/A,FALSE,"5";#N/A,#N/A,FALSE,"6";#N/A,#N/A,FALSE,"8";#N/A,#N/A,FALSE,"10";#N/A,#N/A,FALSE,"13";#N/A,#N/A,FALSE,"14";#N/A,#N/A,FALSE,"15";#N/A,#N/A,FALSE,"16"}</definedName>
    <definedName name="wn" hidden="1">{#N/A,#N/A,FALSE,"3";#N/A,#N/A,FALSE,"5";#N/A,#N/A,FALSE,"6";#N/A,#N/A,FALSE,"8";#N/A,#N/A,FALSE,"10";#N/A,#N/A,FALSE,"13";#N/A,#N/A,FALSE,"14";#N/A,#N/A,FALSE,"15";#N/A,#N/A,FALSE,"16"}</definedName>
    <definedName name="wnn" localSheetId="0" hidden="1">{"AFR200_P1",#N/A,FALSE,"AFR200";"AFR200_P2",#N/A,FALSE,"AFR200";"AFR200_P3",#N/A,FALSE,"AFR200";"AFR200_P4",#N/A,FALSE,"AFR200";"AFR200_P5",#N/A,FALSE,"AFR200"}</definedName>
    <definedName name="wnn" hidden="1">{"AFR200_P1",#N/A,FALSE,"AFR200";"AFR200_P2",#N/A,FALSE,"AFR200";"AFR200_P3",#N/A,FALSE,"AFR200";"AFR200_P4",#N/A,FALSE,"AFR200";"AFR200_P5",#N/A,FALSE,"AFR200"}</definedName>
    <definedName name="wnnn" localSheetId="0" hidden="1">{"AFR200_P1",#N/A,FALSE,"AFR200";"AFR200_P2",#N/A,FALSE,"AFR200";"AFR200_P3",#N/A,FALSE,"AFR200";"AFR200_P4",#N/A,FALSE,"AFR200";"AFR200_P5",#N/A,FALSE,"AFR200"}</definedName>
    <definedName name="wnnn" hidden="1">{"AFR200_P1",#N/A,FALSE,"AFR200";"AFR200_P2",#N/A,FALSE,"AFR200";"AFR200_P3",#N/A,FALSE,"AFR200";"AFR200_P4",#N/A,FALSE,"AFR200";"AFR200_P5",#N/A,FALSE,"AFR200"}</definedName>
    <definedName name="wns" localSheetId="0" hidden="1">{"AFR200_P1",#N/A,FALSE,"AFR200";"AFR200_P2",#N/A,FALSE,"AFR200";"AFR200_P3",#N/A,FALSE,"AFR200";"AFR200_P4",#N/A,FALSE,"AFR200";"AFR200_P5",#N/A,FALSE,"AFR200"}</definedName>
    <definedName name="wns" hidden="1">{"AFR200_P1",#N/A,FALSE,"AFR200";"AFR200_P2",#N/A,FALSE,"AFR200";"AFR200_P3",#N/A,FALSE,"AFR200";"AFR200_P4",#N/A,FALSE,"AFR200";"AFR200_P5",#N/A,FALSE,"AFR200"}</definedName>
    <definedName name="worksheet" localSheetId="0" hidden="1">{#N/A,#N/A,FALSE,"COMP"}</definedName>
    <definedName name="worksheet" hidden="1">{#N/A,#N/A,FALSE,"COMP"}</definedName>
    <definedName name="wqew" localSheetId="0" hidden="1">{#N/A,#N/A,FALSE,"3";#N/A,#N/A,FALSE,"5";#N/A,#N/A,FALSE,"6";#N/A,#N/A,FALSE,"8";#N/A,#N/A,FALSE,"10";#N/A,#N/A,FALSE,"13";#N/A,#N/A,FALSE,"14";#N/A,#N/A,FALSE,"15";#N/A,#N/A,FALSE,"16"}</definedName>
    <definedName name="wqew" hidden="1">{#N/A,#N/A,FALSE,"3";#N/A,#N/A,FALSE,"5";#N/A,#N/A,FALSE,"6";#N/A,#N/A,FALSE,"8";#N/A,#N/A,FALSE,"10";#N/A,#N/A,FALSE,"13";#N/A,#N/A,FALSE,"14";#N/A,#N/A,FALSE,"15";#N/A,#N/A,FALSE,"16"}</definedName>
    <definedName name="wqewqeqwe" localSheetId="0" hidden="1">{#N/A,#N/A,FALSE,"3";#N/A,#N/A,FALSE,"5";#N/A,#N/A,FALSE,"6";#N/A,#N/A,FALSE,"8";#N/A,#N/A,FALSE,"10";#N/A,#N/A,FALSE,"13";#N/A,#N/A,FALSE,"14";#N/A,#N/A,FALSE,"15";#N/A,#N/A,FALSE,"16"}</definedName>
    <definedName name="wqewqeqwe" hidden="1">{#N/A,#N/A,FALSE,"3";#N/A,#N/A,FALSE,"5";#N/A,#N/A,FALSE,"6";#N/A,#N/A,FALSE,"8";#N/A,#N/A,FALSE,"10";#N/A,#N/A,FALSE,"13";#N/A,#N/A,FALSE,"14";#N/A,#N/A,FALSE,"15";#N/A,#N/A,FALSE,"16"}</definedName>
    <definedName name="wr" localSheetId="0" hidden="1">{#N/A,#N/A,FALSE,"COMP"}</definedName>
    <definedName name="wr" hidden="1">{#N/A,#N/A,FALSE,"COMP"}</definedName>
    <definedName name="wreqwrwrw" localSheetId="0" hidden="1">{#N/A,#N/A,FALSE,"3";#N/A,#N/A,FALSE,"5";#N/A,#N/A,FALSE,"6";#N/A,#N/A,FALSE,"8";#N/A,#N/A,FALSE,"10";#N/A,#N/A,FALSE,"13";#N/A,#N/A,FALSE,"14";#N/A,#N/A,FALSE,"15";#N/A,#N/A,FALSE,"16"}</definedName>
    <definedName name="wreqwrwrw" hidden="1">{#N/A,#N/A,FALSE,"3";#N/A,#N/A,FALSE,"5";#N/A,#N/A,FALSE,"6";#N/A,#N/A,FALSE,"8";#N/A,#N/A,FALSE,"10";#N/A,#N/A,FALSE,"13";#N/A,#N/A,FALSE,"14";#N/A,#N/A,FALSE,"15";#N/A,#N/A,FALSE,"16"}</definedName>
    <definedName name="WRI" localSheetId="0" hidden="1">{#N/A,#N/A,FALSE,"COMP"}</definedName>
    <definedName name="WRI" hidden="1">{#N/A,#N/A,FALSE,"COMP"}</definedName>
    <definedName name="wrn" localSheetId="0" hidden="1">{#N/A,#N/A,FALSE,"단축1";#N/A,#N/A,FALSE,"단축2";#N/A,#N/A,FALSE,"단축3";#N/A,#N/A,FALSE,"장축";#N/A,#N/A,FALSE,"4WD"}</definedName>
    <definedName name="wrn" hidden="1">{#N/A,#N/A,FALSE,"단축1";#N/A,#N/A,FALSE,"단축2";#N/A,#N/A,FALSE,"단축3";#N/A,#N/A,FALSE,"장축";#N/A,#N/A,FALSE,"4WD"}</definedName>
    <definedName name="wrn.01." localSheetId="0" hidden="1">{#N/A,#N/A,FALSE,"1321";#N/A,#N/A,FALSE,"1324";#N/A,#N/A,FALSE,"1333";#N/A,#N/A,FALSE,"1371"}</definedName>
    <definedName name="wrn.01." hidden="1">{#N/A,#N/A,FALSE,"1321";#N/A,#N/A,FALSE,"1324";#N/A,#N/A,FALSE,"1333";#N/A,#N/A,FALSE,"1371"}</definedName>
    <definedName name="wrn.3._.hojas." localSheetId="0" hidden="1">{"DESVI1",#N/A,FALSE,"JULIO";"DESVI2",#N/A,FALSE,"JULIO";"DESVI3",#N/A,FALSE,"JULIO"}</definedName>
    <definedName name="wrn.3._.hojas." hidden="1">{"DESVI1",#N/A,FALSE,"JULIO";"DESVI2",#N/A,FALSE,"JULIO";"DESVI3",#N/A,FALSE,"JULIO"}</definedName>
    <definedName name="wrn.Accounts._.3Q98._.Est." localSheetId="0" hidden="1">{"receivables",#N/A,FALSE,"Receiv. Turns 3Q 98 Est";"sales",#N/A,FALSE,"Receiv. Turns 3Q 98 Est";"turns",#N/A,FALSE,"Receiv. Turns 3Q 98 Est";"pastdue",#N/A,FALSE,"Receiv. Turns 3Q 98 Est"}</definedName>
    <definedName name="wrn.Accounts._.3Q98._.Est." hidden="1">{"receivables",#N/A,FALSE,"Receiv. Turns 3Q 98 Est";"sales",#N/A,FALSE,"Receiv. Turns 3Q 98 Est";"turns",#N/A,FALSE,"Receiv. Turns 3Q 98 Est";"pastdue",#N/A,FALSE,"Receiv. Turns 3Q 98 Est"}</definedName>
    <definedName name="wrn.Accounts._.SII._.99." localSheetId="0" hidden="1">{"receivables",#N/A,FALSE,"SII 99";"sales",#N/A,FALSE,"SII 99";"turns",#N/A,FALSE,"SII 99";"pastdue",#N/A,FALSE,"SII 99"}</definedName>
    <definedName name="wrn.Accounts._.SII._.99." hidden="1">{"receivables",#N/A,FALSE,"SII 99";"sales",#N/A,FALSE,"SII 99";"turns",#N/A,FALSE,"SII 99";"pastdue",#N/A,FALSE,"SII 99"}</definedName>
    <definedName name="wrn.AFR200." localSheetId="0" hidden="1">{"AFR200_P1",#N/A,FALSE,"AFR200";"AFR200_P2",#N/A,FALSE,"AFR200";"AFR200_P3",#N/A,FALSE,"AFR200";"AFR200_P4",#N/A,FALSE,"AFR200";"AFR200_P5",#N/A,FALSE,"AFR200"}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im." localSheetId="0" hidden="1">{#N/A,#N/A,FALSE,"AIM";#N/A,#N/A,FALSE,"Africa";#N/A,#N/A,FALSE,"India";#N/A,#N/A,FALSE,"Gulf";#N/A,#N/A,FALSE,"Saudi";#N/A,#N/A,FALSE,"CJe0 backlog";#N/A,#N/A,FALSE,"Actual orders";#N/A,#N/A,FALSE,"CMS"}</definedName>
    <definedName name="wrn.aim." hidden="1">{#N/A,#N/A,FALSE,"AIM";#N/A,#N/A,FALSE,"Africa";#N/A,#N/A,FALSE,"India";#N/A,#N/A,FALSE,"Gulf";#N/A,#N/A,FALSE,"Saudi";#N/A,#N/A,FALSE,"CJe0 backlog";#N/A,#N/A,FALSE,"Actual orders";#N/A,#N/A,FALSE,"CMS"}</definedName>
    <definedName name="wrn.aim.2" localSheetId="0" hidden="1">{#N/A,#N/A,FALSE,"AIM";#N/A,#N/A,FALSE,"Africa";#N/A,#N/A,FALSE,"India";#N/A,#N/A,FALSE,"Gulf";#N/A,#N/A,FALSE,"Saudi";#N/A,#N/A,FALSE,"CJe0 backlog";#N/A,#N/A,FALSE,"Actual orders";#N/A,#N/A,FALSE,"CMS"}</definedName>
    <definedName name="wrn.aim.2" hidden="1">{#N/A,#N/A,FALSE,"AIM";#N/A,#N/A,FALSE,"Africa";#N/A,#N/A,FALSE,"India";#N/A,#N/A,FALSE,"Gulf";#N/A,#N/A,FALSE,"Saudi";#N/A,#N/A,FALSE,"CJe0 backlog";#N/A,#N/A,FALSE,"Actual orders";#N/A,#N/A,FALSE,"CMS"}</definedName>
    <definedName name="wrn.all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All._.Reports." localSheetId="0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Units." localSheetId="0" hidden="1">{"All Units",#N/A,FALSE,"Sheet1"}</definedName>
    <definedName name="wrn.All._.Units." hidden="1">{"All Units",#N/A,FALSE,"Sheet1"}</definedName>
    <definedName name="wrn.B.SHEET." localSheetId="0" hidden="1">{#N/A,#N/A,FALSE,"COMICRO";#N/A,#N/A,FALSE,"BALSCH";#N/A,#N/A,FALSE,"GLASS";#N/A,#N/A,FALSE,"DEPRE";#N/A,#N/A,FALSE,"A&amp;MCUR";#N/A,#N/A,FALSE,"AGEANAlysis";#N/A,#N/A,FALSE,"CHECKS";#N/A,#N/A,FALSE,"CHECKS"}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lance._.Sheet._.Accounts." localSheetId="0" hidden="1">{"Accrued (Bal Sht)",#N/A,FALSE,"Accrued";"Deposits (Balance Sheet)",#N/A,FALSE,"DEPOSITS";"Employee Adv (Bal Sht)",#N/A,FALSE,"EMPLOYADV";"401k (Balance Sheet)",#N/A,FALSE,"401K";"Goodwill (Balance Sheet)",#N/A,FALSE,"GOODWILL";"Prepaid Expense (Balance Sheet)",#N/A,FALSE,"PREPAID";"Payroll Tax (Balance Sheet)",#N/A,FALSE,"PR Tax Rec";"Income Tax (Balance Sheet)",#N/A,FALSE,"Inc Tax";"Wages Payable (Bal Sht)",#N/A,FALSE,"Wages_Payable";"Other Taxes Payable (Balance Sheet)",#N/A,FALSE,"Othr Tax";#N/A,#N/A,FALSE,"Cap Lease"}</definedName>
    <definedName name="wrn.Balance._.Sheet._.Accounts." hidden="1">{"Accrued (Bal Sht)",#N/A,FALSE,"Accrued";"Deposits (Balance Sheet)",#N/A,FALSE,"DEPOSITS";"Employee Adv (Bal Sht)",#N/A,FALSE,"EMPLOYADV";"401k (Balance Sheet)",#N/A,FALSE,"401K";"Goodwill (Balance Sheet)",#N/A,FALSE,"GOODWILL";"Prepaid Expense (Balance Sheet)",#N/A,FALSE,"PREPAID";"Payroll Tax (Balance Sheet)",#N/A,FALSE,"PR Tax Rec";"Income Tax (Balance Sheet)",#N/A,FALSE,"Inc Tax";"Wages Payable (Bal Sht)",#N/A,FALSE,"Wages_Payable";"Other Taxes Payable (Balance Sheet)",#N/A,FALSE,"Othr Tax";#N/A,#N/A,FALSE,"Cap Lease"}</definedName>
    <definedName name="wrn.Balance._.Sheet._.Rpts." localSheetId="0" hidden="1">{"Mgmt Bonus (Bal Sht)",#N/A,FALSE,"Mgmt Bonus Accrual";"Profit Sharing (Bal Sht)",#N/A,FALSE,"Profit Sharing Accrual"}</definedName>
    <definedName name="wrn.Balance._.Sheet._.Rpts." hidden="1">{"Mgmt Bonus (Bal Sht)",#N/A,FALSE,"Mgmt Bonus Accrual";"Profit Sharing (Bal Sht)",#N/A,FALSE,"Profit Sharing Accrual"}</definedName>
    <definedName name="wrn.bank._.model." localSheetId="0" hidden="1">{"banks",#N/A,FALSE,"BASIC"}</definedName>
    <definedName name="wrn.bank._.model." hidden="1">{"banks",#N/A,FALSE,"BASIC"}</definedName>
    <definedName name="wrn.Belgium_Total." localSheetId="0" hidden="1">{"Belgium_Total",#N/A,FALSE,"Belg Wksheet"}</definedName>
    <definedName name="wrn.Belgium_Total." hidden="1">{"Belgium_Total",#N/A,FALSE,"Belg Wksheet"}</definedName>
    <definedName name="wrn.BelgSummary." localSheetId="0" hidden="1">{"BelgSummary",#N/A,FALSE,"Belg Summary"}</definedName>
    <definedName name="wrn.BelgSummary." hidden="1">{"BelgSummary",#N/A,FALSE,"Belg Summary"}</definedName>
    <definedName name="wrn.Brief." localSheetId="0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BS_ALL." localSheetId="0" hidden="1">{"BS","id_9000",FALSE,"BS";"BS","id_7007",FALSE,"BS"}</definedName>
    <definedName name="wrn.BS_ALL." hidden="1">{"BS","id_9000",FALSE,"BS";"BS","id_7007",FALSE,"BS"}</definedName>
    <definedName name="wrn.CALL._.SUCCESS._.RATE." localSheetId="0" hidden="1">{#N/A,#N/A,TRUE,"TOTALS";#N/A,#N/A,TRUE,"ROUTES"}</definedName>
    <definedName name="wrn.CALL._.SUCCESS._.RATE." hidden="1">{#N/A,#N/A,TRUE,"TOTALS";#N/A,#N/A,TRUE,"ROUTES"}</definedName>
    <definedName name="wrn.Cash." localSheetId="0" hidden="1">{"CashPrint",#N/A,FALSE,"Cash"}</definedName>
    <definedName name="wrn.Cash." hidden="1">{"CashPrint",#N/A,FALSE,"Cash"}</definedName>
    <definedName name="wrn.CDA._.Plan._.Page." localSheetId="0" hidden="1">{#N/A,#N/A,FALSE,"CDA Plan"}</definedName>
    <definedName name="wrn.CDA._.Plan._.Page." hidden="1">{#N/A,#N/A,FALSE,"CDA Plan"}</definedName>
    <definedName name="wrn.Comptes95." localSheetId="0" hidden="1">{#N/A,#N/A,FALSE,"3";#N/A,#N/A,FALSE,"5";#N/A,#N/A,FALSE,"6";#N/A,#N/A,FALSE,"8";#N/A,#N/A,FALSE,"10";#N/A,#N/A,FALSE,"13";#N/A,#N/A,FALSE,"14";#N/A,#N/A,FALSE,"15";#N/A,#N/A,FALSE,"16"}</definedName>
    <definedName name="wrn.Comptes95." hidden="1">{#N/A,#N/A,FALSE,"3";#N/A,#N/A,FALSE,"5";#N/A,#N/A,FALSE,"6";#N/A,#N/A,FALSE,"8";#N/A,#N/A,FALSE,"10";#N/A,#N/A,FALSE,"13";#N/A,#N/A,FALSE,"14";#N/A,#N/A,FALSE,"15";#N/A,#N/A,FALSE,"16"}</definedName>
    <definedName name="wrn.country." localSheetId="0" hidden="1">{#N/A,#N/A,FALSE,"Operating income";#N/A,#N/A,FALSE,"Revenues";#N/A,#N/A,FALSE,"Alpha"}</definedName>
    <definedName name="wrn.country." hidden="1">{#N/A,#N/A,FALSE,"Operating income";#N/A,#N/A,FALSE,"Revenues";#N/A,#N/A,FALSE,"Alpha"}</definedName>
    <definedName name="wrn.Country._.Summary." localSheetId="0" hidden="1">{"Summary",#N/A,FALSE,"Country Summary"}</definedName>
    <definedName name="wrn.Country._.Summary." hidden="1">{"Summary",#N/A,FALSE,"Country Summary"}</definedName>
    <definedName name="wrn.Country._.Worksheet." localSheetId="0" hidden="1">{"WkSheet",#N/A,FALSE,"Country Wksheet"}</definedName>
    <definedName name="wrn.Country._.Worksheet." hidden="1">{"WkSheet",#N/A,FALSE,"Country Wksheet"}</definedName>
    <definedName name="wrn.Data._.Reduction." localSheetId="0" hidden="1">{"Inputs",#N/A,FALSE,"Data Reduction";"Outputs",#N/A,FALSE,"Data Reduction";"Cycle Deck Comparison",#N/A,FALSE,"Data Reduction"}</definedName>
    <definedName name="wrn.Data._.Reduction." hidden="1">{"Inputs",#N/A,FALSE,"Data Reduction";"Outputs",#N/A,FALSE,"Data Reduction";"Cycle Deck Comparison",#N/A,FALSE,"Data Reduction"}</definedName>
    <definedName name="wrn.Default._.Document._.for._.9351FB." localSheetId="0" hidden="1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name="wrn.Default._.Document._.for._.9351FB." hidden="1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name="wrn.Depotübersicht." localSheetId="0" hidden="1">{#N/A,#N/A,FALSE,"Tabelle1"}</definedName>
    <definedName name="wrn.Depotübersicht." hidden="1">{#N/A,#N/A,FALSE,"Tabelle1"}</definedName>
    <definedName name="wrn.Elaborate." localSheetId="0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Emg._.report." localSheetId="0" hidden="1">{#N/A,#N/A,FALSE,"Emerging Mkt Fund"}</definedName>
    <definedName name="wrn.Emg._.report." hidden="1">{#N/A,#N/A,FALSE,"Emerging Mkt Fund"}</definedName>
    <definedName name="wrn.EMM._.detail._.edition." localSheetId="0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falmex.xls." localSheetId="0" hidden="1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name="wrn.falmex.xls." hidden="1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name="wrn.falmexb.xls." localSheetId="0" hidden="1">{#N/A,#N/A,FALSE,"GEMINA";#N/A,#N/A,FALSE,"VIRGO";#N/A,#N/A,FALSE,"TAURUS + MIMOSA";#N/A,#N/A,FALSE,"FLEET FAL &amp; MEX 2";#N/A,#N/A,FALSE,"AQUARIUS + ORION";#N/A,#N/A,FALSE,"PASCAL";#N/A,#N/A,FALSE,"SAGITTA";#N/A,#N/A,FALSE,"VELA";#N/A,#N/A,FALSE,"ANTARES";#N/A,#N/A,FALSE,"TANIA";#N/A,#N/A,FALSE,"TBN PASTEUR"}</definedName>
    <definedName name="wrn.falmexb.xls." hidden="1">{#N/A,#N/A,FALSE,"GEMINA";#N/A,#N/A,FALSE,"VIRGO";#N/A,#N/A,FALSE,"TAURUS + MIMOSA";#N/A,#N/A,FALSE,"FLEET FAL &amp; MEX 2";#N/A,#N/A,FALSE,"AQUARIUS + ORION";#N/A,#N/A,FALSE,"PASCAL";#N/A,#N/A,FALSE,"SAGITTA";#N/A,#N/A,FALSE,"VELA";#N/A,#N/A,FALSE,"ANTARES";#N/A,#N/A,FALSE,"TANIA";#N/A,#N/A,FALSE,"TBN PASTEUR"}</definedName>
    <definedName name="wrn.Financial._.Pkg." localSheetId="0" hidden="1">{#N/A,#N/A,FALSE,"401K";"Goodwill (Financial)",#N/A,FALSE,"GOODWILL"}</definedName>
    <definedName name="wrn.Financial._.Pkg." hidden="1">{#N/A,#N/A,FALSE,"401K";"Goodwill (Financial)",#N/A,FALSE,"GOODWILL"}</definedName>
    <definedName name="wrn.Financials._.April._.02._.Rs._.000." localSheetId="0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rafico." localSheetId="0" hidden="1">{#N/A,#N/A,FALSE,"Graficos    ( 9 )"}</definedName>
    <definedName name="wrn.grafico." hidden="1">{#N/A,#N/A,FALSE,"Graficos    ( 9 )"}</definedName>
    <definedName name="wrn.Graph._.edition." localSheetId="0" hidden="1">{#N/A,#N/A,FALSE,"KPI-EMM-Graph";#N/A,#N/A,FALSE,"Cost Graph";#N/A,#N/A,FALSE,"Cash graph";#N/A,#N/A,FALSE,"Order Sales Graph"}</definedName>
    <definedName name="wrn.Graph._.edition." hidden="1">{#N/A,#N/A,FALSE,"KPI-EMM-Graph";#N/A,#N/A,FALSE,"Cost Graph";#N/A,#N/A,FALSE,"Cash graph";#N/A,#N/A,FALSE,"Order Sales Graph"}</definedName>
    <definedName name="wrn.impress." localSheetId="0" hidden="1">{#N/A,#N/A,FALSE,"Ventilation";#N/A,#N/A,FALSE,"Courbe1";#N/A,#N/A,FALSE,"Courbe2"}</definedName>
    <definedName name="wrn.impress." hidden="1">{#N/A,#N/A,FALSE,"Ventilation";#N/A,#N/A,FALSE,"Courbe1";#N/A,#N/A,FALSE,"Courbe2"}</definedName>
    <definedName name="wrn.INDICADORES." localSheetId="0" hidden="1">{"PARTE1",#N/A,FALSE,"Plan1"}</definedName>
    <definedName name="wrn.INDICADORES." hidden="1">{"PARTE1",#N/A,FALSE,"Plan1"}</definedName>
    <definedName name="wrn.inventario._.97._.Act." localSheetId="0" hidden="1">{"inventory",#N/A,FALSE,"Inven. Turns 97 Act";"sales",#N/A,FALSE,"Inven. Turns 97 Act";"turns",#N/A,FALSE,"Inven. Turns 97 Act";"days",#N/A,FALSE,"Inven. Turns 97 Act"}</definedName>
    <definedName name="wrn.inventario._.97._.Act." hidden="1">{"inventory",#N/A,FALSE,"Inven. Turns 97 Act";"sales",#N/A,FALSE,"Inven. Turns 97 Act";"turns",#N/A,FALSE,"Inven. Turns 97 Act";"days",#N/A,FALSE,"Inven. Turns 97 Act"}</definedName>
    <definedName name="wrn.inventario._.97._.OP." localSheetId="0" hidden="1">{"inventory",#N/A,TRUE,"Inven. Turns 97 OP";"sales",#N/A,TRUE,"Inven. Turns 97 OP";"turns",#N/A,TRUE,"Inven. Turns 97 OP";"days",#N/A,TRUE,"Inven. Turns 97 OP"}</definedName>
    <definedName name="wrn.inventario._.97._.OP." hidden="1">{"inventory",#N/A,TRUE,"Inven. Turns 97 OP";"sales",#N/A,TRUE,"Inven. Turns 97 OP";"turns",#N/A,TRUE,"Inven. Turns 97 OP";"days",#N/A,TRUE,"Inven. Turns 97 OP"}</definedName>
    <definedName name="wrn.inventario._.97._.Rep." localSheetId="0" hidden="1">{"inventory",#N/A,FALSE,"Inven. Turns 97 Rep";"sales",#N/A,FALSE,"Inven. Turns 97 Rep";"turns",#N/A,FALSE,"Inven. Turns 97 Rep";"days",#N/A,FALSE,"Inven. Turns 97 Rep"}</definedName>
    <definedName name="wrn.inventario._.97._.Rep." hidden="1">{"inventory",#N/A,FALSE,"Inven. Turns 97 Rep";"sales",#N/A,FALSE,"Inven. Turns 97 Rep";"turns",#N/A,FALSE,"Inven. Turns 97 Rep";"days",#N/A,FALSE,"Inven. Turns 97 Rep"}</definedName>
    <definedName name="wrn.inventario96." localSheetId="0" hidden="1">{"Inventory",#N/A,TRUE,"Inven. Turns 1996";"sales",#N/A,TRUE,"Inven. Turns 1996";"Turns",#N/A,TRUE,"Inven. Turns 1996";"days",#N/A,TRUE,"Inven. Turns 1996"}</definedName>
    <definedName name="wrn.inventario96." hidden="1">{"Inventory",#N/A,TRUE,"Inven. Turns 1996";"sales",#N/A,TRUE,"Inven. Turns 1996";"Turns",#N/A,TRUE,"Inven. Turns 1996";"days",#N/A,TRUE,"Inven. Turns 1996"}</definedName>
    <definedName name="wrn.Invoice._.Print." localSheetId="0" hidden="1">{#N/A,#N/A,FALSE,"Invoices"}</definedName>
    <definedName name="wrn.Invoice._.Print." hidden="1">{#N/A,#N/A,FALSE,"Invoices"}</definedName>
    <definedName name="wrn.K._.GuV._.o.._.Kommentar." localSheetId="0" hidden="1">{"K GuV o. Kommentar",#N/A,FALSE,"Kaufhof"}</definedName>
    <definedName name="wrn.K._.GuV._.o.._.Kommentar." hidden="1">{"K GuV o. Kommentar",#N/A,FALSE,"Kaufhof"}</definedName>
    <definedName name="wrn.KBilanz._.o.._.Kommentar." localSheetId="0" hidden="1">{"K Bilanz o. Kommentar",#N/A,FALSE,"Kaufhof"}</definedName>
    <definedName name="wrn.KBilanz._.o.._.Kommentar." hidden="1">{"K Bilanz o. Kommentar",#N/A,FALSE,"Kaufhof"}</definedName>
    <definedName name="wrn.KESPCal." localSheetId="0" hidden="1">{#N/A,#N/A,FALSE,"Cipta-All";#N/A,#N/A,FALSE,"Individual"}</definedName>
    <definedName name="wrn.KESPCal." hidden="1">{#N/A,#N/A,FALSE,"Cipta-All";#N/A,#N/A,FALSE,"Individual"}</definedName>
    <definedName name="wrn.KostenPlan1997." localSheetId="0" hidden="1">{#N/A,#N/A,FALSE,"Kosten97FZallein";#N/A,#N/A,FALSE,"Ko97EinzelFZ"}</definedName>
    <definedName name="wrn.KostenPlan1997." hidden="1">{#N/A,#N/A,FALSE,"Kosten97FZallein";#N/A,#N/A,FALSE,"Ko97EinzelFZ"}</definedName>
    <definedName name="wrn.MARKF98FULL." localSheetId="0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F98FULL." hidden="1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wrn.MARKF98H." localSheetId="0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wrn.MARKF98H." hidden="1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name="wrn.MARKF98P." localSheetId="0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wrn.MARKF98P." hidden="1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name="wrn.MDS1." localSheetId="0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odel." localSheetId="0" hidden="1">{"basic",#N/A,FALSE,"BASIC"}</definedName>
    <definedName name="wrn.model." hidden="1">{"basic",#N/A,FALSE,"BASIC"}</definedName>
    <definedName name="wrn.Monthly." localSheetId="0" hidden="1">{#N/A,#N/A,FALSE,"EL-M-01";#N/A,#N/A,FALSE,"EL-M-02";#N/A,#N/A,FALSE,"EL-M-03";#N/A,#N/A,FALSE,"EL-S-01";#N/A,#N/A,FALSE,"EL-S-02";#N/A,#N/A,FALSE,"EL-A-01";#N/A,#N/A,FALSE,"EL-A-02"}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oldfleet.xls." localSheetId="0" hidden="1">{#N/A,#N/A,FALSE,"NORTHERN JOY";#N/A,#N/A,FALSE,"OLD FLEET FAL &amp; MEX";#N/A,#N/A,FALSE,"CALIFORNIA ORION";#N/A,#N/A,FALSE,"MED NAPLES";#N/A,#N/A,FALSE,"MED FOS";#N/A,#N/A,FALSE,"GEMINA";#N/A,#N/A,FALSE,"SAGITTA";#N/A,#N/A,FALSE,"NORMA";#N/A,#N/A,FALSE,"TAURUS + MIMOSA";#N/A,#N/A,FALSE,"AQUARIUS + ORION";#N/A,#N/A,FALSE,"VIRGO + ANTARES + TANIA"}</definedName>
    <definedName name="wrn.oldfleet.xls." hidden="1">{#N/A,#N/A,FALSE,"NORTHERN JOY";#N/A,#N/A,FALSE,"OLD FLEET FAL &amp; MEX";#N/A,#N/A,FALSE,"CALIFORNIA ORION";#N/A,#N/A,FALSE,"MED NAPLES";#N/A,#N/A,FALSE,"MED FOS";#N/A,#N/A,FALSE,"GEMINA";#N/A,#N/A,FALSE,"SAGITTA";#N/A,#N/A,FALSE,"NORMA";#N/A,#N/A,FALSE,"TAURUS + MIMOSA";#N/A,#N/A,FALSE,"AQUARIUS + ORION";#N/A,#N/A,FALSE,"VIRGO + ANTARES + TANIA"}</definedName>
    <definedName name="wrn.only" localSheetId="0" hidden="1">{#N/A,#N/A,FALSE,"JANLN2"}</definedName>
    <definedName name="wrn.only" hidden="1">{#N/A,#N/A,FALSE,"JANLN2"}</definedName>
    <definedName name="wrn.pg1." localSheetId="0" hidden="1">{#N/A,#N/A,FALSE,"1"}</definedName>
    <definedName name="wrn.pg1." hidden="1">{#N/A,#N/A,FALSE,"1"}</definedName>
    <definedName name="wrn.pg10." localSheetId="0" hidden="1">{#N/A,#N/A,FALSE,"10"}</definedName>
    <definedName name="wrn.pg10." hidden="1">{#N/A,#N/A,FALSE,"10"}</definedName>
    <definedName name="wrn.pg100" localSheetId="0" hidden="1">{#N/A,#N/A,FALSE,"8"}</definedName>
    <definedName name="wrn.pg100" hidden="1">{#N/A,#N/A,FALSE,"8"}</definedName>
    <definedName name="wrn.pg11." localSheetId="0" hidden="1">{#N/A,#N/A,FALSE,"11"}</definedName>
    <definedName name="wrn.pg11." hidden="1">{#N/A,#N/A,FALSE,"11"}</definedName>
    <definedName name="wrn.pg12." localSheetId="0" hidden="1">{#N/A,#N/A,FALSE,"12"}</definedName>
    <definedName name="wrn.pg12." hidden="1">{#N/A,#N/A,FALSE,"12"}</definedName>
    <definedName name="wrn.pg13." localSheetId="0" hidden="1">{#N/A,#N/A,FALSE,"13"}</definedName>
    <definedName name="wrn.pg13." hidden="1">{#N/A,#N/A,FALSE,"13"}</definedName>
    <definedName name="wrn.pg14." localSheetId="0" hidden="1">{#N/A,#N/A,FALSE,"14"}</definedName>
    <definedName name="wrn.pg14." hidden="1">{#N/A,#N/A,FALSE,"14"}</definedName>
    <definedName name="wrn.pg15." localSheetId="0" hidden="1">{#N/A,#N/A,FALSE,"15"}</definedName>
    <definedName name="wrn.pg15." hidden="1">{#N/A,#N/A,FALSE,"15"}</definedName>
    <definedName name="wrn.pg16." localSheetId="0" hidden="1">{#N/A,#N/A,FALSE,"16"}</definedName>
    <definedName name="wrn.pg16." hidden="1">{#N/A,#N/A,FALSE,"16"}</definedName>
    <definedName name="wrn.pg17." localSheetId="0" hidden="1">{#N/A,#N/A,FALSE,"17"}</definedName>
    <definedName name="wrn.pg17." hidden="1">{#N/A,#N/A,FALSE,"17"}</definedName>
    <definedName name="wrn.pg2." localSheetId="0" hidden="1">{#N/A,#N/A,FALSE,"2"}</definedName>
    <definedName name="wrn.pg2." hidden="1">{#N/A,#N/A,FALSE,"2"}</definedName>
    <definedName name="wrn.pg20" localSheetId="0" hidden="1">{#N/A,#N/A,FALSE,"4"}</definedName>
    <definedName name="wrn.pg20" hidden="1">{#N/A,#N/A,FALSE,"4"}</definedName>
    <definedName name="wrn.pg3." localSheetId="0" hidden="1">{#N/A,#N/A,FALSE,"3"}</definedName>
    <definedName name="wrn.pg3." hidden="1">{#N/A,#N/A,FALSE,"3"}</definedName>
    <definedName name="wrn.pg4." localSheetId="0" hidden="1">{#N/A,#N/A,FALSE,"4"}</definedName>
    <definedName name="wrn.pg4." hidden="1">{#N/A,#N/A,FALSE,"4"}</definedName>
    <definedName name="wrn.pg5." localSheetId="0" hidden="1">{#N/A,#N/A,FALSE,"5"}</definedName>
    <definedName name="wrn.pg5." hidden="1">{#N/A,#N/A,FALSE,"5"}</definedName>
    <definedName name="wrn.pg6." localSheetId="0" hidden="1">{#N/A,#N/A,FALSE,"6"}</definedName>
    <definedName name="wrn.pg6." hidden="1">{#N/A,#N/A,FALSE,"6"}</definedName>
    <definedName name="wrn.pg7" localSheetId="0" hidden="1">{#N/A,#N/A,FALSE,"6"}</definedName>
    <definedName name="wrn.pg7" hidden="1">{#N/A,#N/A,FALSE,"6"}</definedName>
    <definedName name="wrn.pg7." localSheetId="0" hidden="1">{#N/A,#N/A,FALSE,"7"}</definedName>
    <definedName name="wrn.pg7." hidden="1">{#N/A,#N/A,FALSE,"7"}</definedName>
    <definedName name="wrn.pg8." localSheetId="0" hidden="1">{#N/A,#N/A,FALSE,"8"}</definedName>
    <definedName name="wrn.pg8." hidden="1">{#N/A,#N/A,FALSE,"8"}</definedName>
    <definedName name="wrn.pg9." localSheetId="0" hidden="1">{#N/A,#N/A,FALSE,"9"}</definedName>
    <definedName name="wrn.pg9." hidden="1">{#N/A,#N/A,FALSE,"9"}</definedName>
    <definedName name="wrn.PL_ALL." localSheetId="0" hidden="1">{#N/A,"id_9000_y",FALSE,"PL";#N/A,"id_7007_y",FALSE,"PL"}</definedName>
    <definedName name="wrn.PL_ALL." hidden="1">{#N/A,"id_9000_y",FALSE,"PL";#N/A,"id_7007_y",FALSE,"PL"}</definedName>
    <definedName name="wrn.Plandurchsprache._.97." localSheetId="0" hidden="1">{#N/A,#N/A,TRUE,"Kosten97FZallein";#N/A,#N/A,TRUE,"Ko97EinzelFZ";#N/A,#N/A,TRUE,"UmsSumAnteilFZ";#N/A,#N/A,TRUE,"UmsatzEinzel";#N/A,#N/A,TRUE,"G&amp;V"}</definedName>
    <definedName name="wrn.Plandurchsprache._.97." hidden="1">{#N/A,#N/A,TRUE,"Kosten97FZallein";#N/A,#N/A,TRUE,"Ko97EinzelFZ";#N/A,#N/A,TRUE,"UmsSumAnteilFZ";#N/A,#N/A,TRUE,"UmsatzEinzel";#N/A,#N/A,TRUE,"G&amp;V"}</definedName>
    <definedName name="wrn.PMM_BSDDI." localSheetId="0" hidden="1">{#N/A,"ID_7086",FALSE,"BS";#N/A,"ID_5029",FALSE,"BS";#N/A,"ID_5059",FALSE,"BS";#N/A,"ID_5001",FALSE,"BS";#N/A,"ID_5026",FALSE,"BS";#N/A,"ID_5026",FALSE,"BS";#N/A,"ID_5030",FALSE,"BS";#N/A,"ID_5042",FALSE,"BS";#N/A,"ID_5069",FALSE,"BS";#N/A,"ID_0079",FALSE,"BS";#N/A,"ID_0079",FALSE,"BS";#N/A,"ID_0178",FALSE,"BS";#N/A,"ID_5078",FALSE,"BS";#N/A,"ID_0278",FALSE,"BS";#N/A,"ID_0186",FALSE,"BS";#N/A,"ID_5002",FALSE,"BS";#N/A,"ID_0086",FALSE,"BS"}</definedName>
    <definedName name="wrn.PMM_BSDDI." hidden="1">{#N/A,"ID_7086",FALSE,"BS";#N/A,"ID_5029",FALSE,"BS";#N/A,"ID_5059",FALSE,"BS";#N/A,"ID_5001",FALSE,"BS";#N/A,"ID_5026",FALSE,"BS";#N/A,"ID_5026",FALSE,"BS";#N/A,"ID_5030",FALSE,"BS";#N/A,"ID_5042",FALSE,"BS";#N/A,"ID_5069",FALSE,"BS";#N/A,"ID_0079",FALSE,"BS";#N/A,"ID_0079",FALSE,"BS";#N/A,"ID_0178",FALSE,"BS";#N/A,"ID_5078",FALSE,"BS";#N/A,"ID_0278",FALSE,"BS";#N/A,"ID_0186",FALSE,"BS";#N/A,"ID_5002",FALSE,"BS";#N/A,"ID_0086",FALSE,"BS"}</definedName>
    <definedName name="wrn.PMM_PLQ." localSheetId="0" hidden="1">{#N/A,"ID_7086_Q",FALSE,"PL";#N/A,"ID_5059_Q",FALSE,"PL";#N/A,"ID_5001_Q",FALSE,"PL";#N/A,"ID_5026_Q",FALSE,"PL";#N/A,"ID_5030_Q",FALSE,"PL";#N/A,"ID_5042_Q",FALSE,"PL";#N/A,"ID_5069_Q",FALSE,"PL";#N/A,"ID_0079_Q",FALSE,"PL";#N/A,#N/A,FALSE,"PL";#N/A,"ID_0178_Q",FALSE,"PL";#N/A,"ID_5078_Q",FALSE,"PL";#N/A,"ID_0278_Q",FALSE,"PL";#N/A,"ID_0186_Q",FALSE,"PL";#N/A,"ID_5002_Q",FALSE,"PL";#N/A,"ID_0086_Q",FALSE,"PL";#N/A,"id_5029_q",FALSE,"PL"}</definedName>
    <definedName name="wrn.PMM_PLQ." hidden="1">{#N/A,"ID_7086_Q",FALSE,"PL";#N/A,"ID_5059_Q",FALSE,"PL";#N/A,"ID_5001_Q",FALSE,"PL";#N/A,"ID_5026_Q",FALSE,"PL";#N/A,"ID_5030_Q",FALSE,"PL";#N/A,"ID_5042_Q",FALSE,"PL";#N/A,"ID_5069_Q",FALSE,"PL";#N/A,"ID_0079_Q",FALSE,"PL";#N/A,#N/A,FALSE,"PL";#N/A,"ID_0178_Q",FALSE,"PL";#N/A,"ID_5078_Q",FALSE,"PL";#N/A,"ID_0278_Q",FALSE,"PL";#N/A,"ID_0186_Q",FALSE,"PL";#N/A,"ID_5002_Q",FALSE,"PL";#N/A,"ID_0086_Q",FALSE,"PL";#N/A,"id_5029_q",FALSE,"PL"}</definedName>
    <definedName name="wrn.pp97schedules." localSheetId="0" hidden="1">{"plansummary",#N/A,FALSE,"PlanSummary";"sales",#N/A,FALSE,"Sales Rec";"productivity",#N/A,FALSE,"Productivity Rec";"capitalspending",#N/A,FALSE,"Capital Spending"}</definedName>
    <definedName name="wrn.pp97schedules." hidden="1">{"plansummary",#N/A,FALSE,"PlanSummary";"sales",#N/A,FALSE,"Sales Rec";"productivity",#N/A,FALSE,"Productivity Rec";"capitalspending",#N/A,FALSE,"Capital Spending"}</definedName>
    <definedName name="wrn.Print._.All._.Schedules." localSheetId="0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name="wrn.Print._.SchA." localSheetId="0" hidden="1">{"SchA1",#N/A,FALSE,"Schedules";"SchA2",#N/A,FALSE,"Schedules"}</definedName>
    <definedName name="wrn.Print._.SchA." hidden="1">{"SchA1",#N/A,FALSE,"Schedules";"SchA2",#N/A,FALSE,"Schedules"}</definedName>
    <definedName name="wrn.Print._.SchB." localSheetId="0" hidden="1">{"SchB1",#N/A,FALSE,"Schedules";"SchB2",#N/A,FALSE,"Schedules"}</definedName>
    <definedName name="wrn.Print._.SchB." hidden="1">{"SchB1",#N/A,FALSE,"Schedules";"SchB2",#N/A,FALSE,"Schedules"}</definedName>
    <definedName name="wrn.Print._.SchC." localSheetId="0" hidden="1">{"SchC1",#N/A,FALSE,"Schedules";"SchC2",#N/A,FALSE,"Schedules"}</definedName>
    <definedName name="wrn.Print._.SchC." hidden="1">{"SchC1",#N/A,FALSE,"Schedules";"SchC2",#N/A,FALSE,"Schedules"}</definedName>
    <definedName name="wrn.Print._.SchD." localSheetId="0" hidden="1">{"SchD1",#N/A,FALSE,"Schedules";"SchD2",#N/A,FALSE,"Schedules"}</definedName>
    <definedName name="wrn.Print._.SchD." hidden="1">{"SchD1",#N/A,FALSE,"Schedules";"SchD2",#N/A,FALSE,"Schedules"}</definedName>
    <definedName name="wrn.Print._.SchE." localSheetId="0" hidden="1">{"SchE1",#N/A,FALSE,"Schedules";"SchE2",#N/A,FALSE,"Schedules"}</definedName>
    <definedName name="wrn.Print._.SchE." hidden="1">{"SchE1",#N/A,FALSE,"Schedules";"SchE2",#N/A,FALSE,"Schedules"}</definedName>
    <definedName name="wrn.Print._.SchF." localSheetId="0" hidden="1">{"SchF1",#N/A,FALSE,"Schedules";"SchF2",#N/A,FALSE,"Schedules"}</definedName>
    <definedName name="wrn.Print._.SchF." hidden="1">{"SchF1",#N/A,FALSE,"Schedules";"SchF2",#N/A,FALSE,"Schedules"}</definedName>
    <definedName name="wrn.Print._.SchG." localSheetId="0" hidden="1">{"SchG1",#N/A,FALSE,"Schedules";"SchG2",#N/A,FALSE,"Schedules"}</definedName>
    <definedName name="wrn.Print._.SchG." hidden="1">{"SchG1",#N/A,FALSE,"Schedules";"SchG2",#N/A,FALSE,"Schedules"}</definedName>
    <definedName name="wrn.Print._.SchH." localSheetId="0" hidden="1">{"SchH1",#N/A,FALSE,"Schedules";"SchH2",#N/A,FALSE,"Schedules"}</definedName>
    <definedName name="wrn.Print._.SchH." hidden="1">{"SchH1",#N/A,FALSE,"Schedules";"SchH2",#N/A,FALSE,"Schedules"}</definedName>
    <definedName name="wrn.Print._.SchI." localSheetId="0" hidden="1">{"SchI1",#N/A,FALSE,"Schedules";"SchI2",#N/A,FALSE,"Schedules"}</definedName>
    <definedName name="wrn.Print._.SchI." hidden="1">{"SchI1",#N/A,FALSE,"Schedules";"SchI2",#N/A,FALSE,"Schedules"}</definedName>
    <definedName name="wrn.Print._.SchJ." localSheetId="0" hidden="1">{"SchJ1",#N/A,FALSE,"Schedules";"SchJ2",#N/A,FALSE,"Schedules"}</definedName>
    <definedName name="wrn.Print._.SchJ." hidden="1">{"SchJ1",#N/A,FALSE,"Schedules";"SchJ2",#N/A,FALSE,"Schedules"}</definedName>
    <definedName name="wrn.Print._.SchK." localSheetId="0" hidden="1">{"SchK1",#N/A,FALSE,"Schedules";"SchK2",#N/A,FALSE,"Schedules"}</definedName>
    <definedName name="wrn.Print._.SchK." hidden="1">{"SchK1",#N/A,FALSE,"Schedules";"SchK2",#N/A,FALSE,"Schedules"}</definedName>
    <definedName name="wrn.Print._.SchL." localSheetId="0" hidden="1">{"SchL1",#N/A,FALSE,"Schedules";"SchL2",#N/A,FALSE,"Schedules"}</definedName>
    <definedName name="wrn.Print._.SchL." hidden="1">{"SchL1",#N/A,FALSE,"Schedules";"SchL2",#N/A,FALSE,"Schedules"}</definedName>
    <definedName name="wrn.Print._.SchM." localSheetId="0" hidden="1">{"SchM1",#N/A,FALSE,"Schedules";"SchM2",#N/A,FALSE,"Schedules"}</definedName>
    <definedName name="wrn.Print._.SchM." hidden="1">{"SchM1",#N/A,FALSE,"Schedules";"SchM2",#N/A,FALSE,"Schedules"}</definedName>
    <definedName name="wrn.Print._.SchN." localSheetId="0" hidden="1">{"SchN1",#N/A,FALSE,"Schedules"}</definedName>
    <definedName name="wrn.Print._.SchN." hidden="1">{"SchN1",#N/A,FALSE,"Schedules"}</definedName>
    <definedName name="wrn.Print._.SchO." localSheetId="0" hidden="1">{"SchO1",#N/A,FALSE,"Schedules"}</definedName>
    <definedName name="wrn.Print._.SchO." hidden="1">{"SchO1",#N/A,FALSE,"Schedules"}</definedName>
    <definedName name="wrn.Print._.Summary." localSheetId="0" hidden="1">{"Summ1",#N/A,FALSE,"Summary"}</definedName>
    <definedName name="wrn.Print._.Summary." hidden="1">{"Summ1",#N/A,FALSE,"Summary"}</definedName>
    <definedName name="wrn.PrintAll." localSheetId="0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PrintAll.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PRODUCT" localSheetId="0" hidden="1">{"Detail analysis",#N/A,FALSE,"Model";"Summary analysis",#N/A,FALSE,"Model";"OCPH analysis",#N/A,FALSE,"Model"}</definedName>
    <definedName name="WRN.PRODUCT" hidden="1">{"Detail analysis",#N/A,FALSE,"Model";"Summary analysis",#N/A,FALSE,"Model";"OCPH analysis",#N/A,FALSE,"Model"}</definedName>
    <definedName name="wrn.Productivity." localSheetId="0" hidden="1">{"Summary analysis",#N/A,FALSE,"Total";"OCPH analysis",#N/A,FALSE,"Total";"detail analysis",#N/A,FALSE,"Total"}</definedName>
    <definedName name="wrn.Productivity." hidden="1">{"Summary analysis",#N/A,FALSE,"Total";"OCPH analysis",#N/A,FALSE,"Total";"detail analysis",#N/A,FALSE,"Total"}</definedName>
    <definedName name="wrn.purchase._.register." localSheetId="0" hidden="1">{#N/A,#N/A,TRUE,"RM-June"}</definedName>
    <definedName name="wrn.purchase._.register." hidden="1">{#N/A,#N/A,TRUE,"RM-June"}</definedName>
    <definedName name="wrn.Quantity." localSheetId="0" hidden="1">{#N/A,#N/A,FALSE,"MONTHLY "}</definedName>
    <definedName name="wrn.Quantity." hidden="1">{#N/A,#N/A,FALSE,"MONTHLY "}</definedName>
    <definedName name="wrn.rapport._.1." localSheetId="0" hidden="1">{#N/A,#N/A,TRUE,"Forecast &amp; Analysis";#N/A,#N/A,TRUE,"Market Values";#N/A,#N/A,TRUE,"Ratios";#N/A,#N/A,TRUE,"Regressions";#N/A,#N/A,TRUE,"Market Values";#N/A,#N/A,TRUE,"Parameters &amp; Results"}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os." localSheetId="0" hidden="1">{"raatios",#N/A,FALSE,"A";"ratios",#N/A,FALSE,"B";"ratios",#N/A,FALSE,"C";"ratios",#N/A,FALSE,"D";"ratios",#N/A,FALSE,"F"}</definedName>
    <definedName name="wrn.ratios." hidden="1">{"raatios",#N/A,FALSE,"A";"ratios",#N/A,FALSE,"B";"ratios",#N/A,FALSE,"C";"ratios",#N/A,FALSE,"D";"ratios",#N/A,FALSE,"F"}</definedName>
    <definedName name="wrn.report1." localSheetId="0" hidden="1">{"page1",#N/A,FALSE,"Taean 1&amp;2";"page2",#N/A,FALSE,"Taean 1&amp;2"}</definedName>
    <definedName name="wrn.report1." hidden="1">{"page1",#N/A,FALSE,"Taean 1&amp;2";"page2",#N/A,FALSE,"Taean 1&amp;2"}</definedName>
    <definedName name="wrn.results." localSheetId="0" hidden="1">{#N/A,#N/A,TRUE,"BALSCH";#N/A,#N/A,TRUE,"COMICRO";#N/A,#N/A,TRUE,"CHECKS";#N/A,#N/A,TRUE,"GLASS";#N/A,#N/A,TRUE,"DEPRE";#N/A,#N/A,TRUE,"A&amp;MCUR";#N/A,#N/A,TRUE,"AGEANAlysis";#N/A,#N/A,TRUE,"CHECKS"}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corecard._.rpt." localSheetId="0" hidden="1">{"scorecard view",#N/A,FALSE,"Scorecard output"}</definedName>
    <definedName name="wrn.scorecard._.rpt." hidden="1">{"scorecard view",#N/A,FALSE,"Scorecard output"}</definedName>
    <definedName name="wrn.SHIPMENTS." localSheetId="0" hidden="1">{#N/A,#N/A,FALSE,"JANLN2"}</definedName>
    <definedName name="wrn.SHIPMENTS." hidden="1">{#N/A,#N/A,FALSE,"JANLN2"}</definedName>
    <definedName name="wrn.Summary." localSheetId="0" hidden="1">{#N/A,#N/A,TRUE,"KEY DATA";#N/A,#N/A,TRUE,"KEY DATA Base Case";#N/A,#N/A,TRUE,"JULY";#N/A,#N/A,TRUE,"AUG";#N/A,#N/A,TRUE,"SEPT";#N/A,#N/A,TRUE,"3Q"}</definedName>
    <definedName name="wrn.Summary." hidden="1">{#N/A,#N/A,TRUE,"KEY DATA";#N/A,#N/A,TRUE,"KEY DATA Base Case";#N/A,#N/A,TRUE,"JULY";#N/A,#N/A,TRUE,"AUG";#N/A,#N/A,TRUE,"SEPT";#N/A,#N/A,TRUE,"3Q"}</definedName>
    <definedName name="wrn.summary.." localSheetId="0" hidden="1">{#N/A,#N/A,TRUE,"KEY DATA";#N/A,#N/A,TRUE,"KEY DATA Base Case";#N/A,#N/A,TRUE,"JULY";#N/A,#N/A,TRUE,"AUG";#N/A,#N/A,TRUE,"SEPT";#N/A,#N/A,TRUE,"3Q"}</definedName>
    <definedName name="wrn.summary.." hidden="1">{#N/A,#N/A,TRUE,"KEY DATA";#N/A,#N/A,TRUE,"KEY DATA Base Case";#N/A,#N/A,TRUE,"JULY";#N/A,#N/A,TRUE,"AUG";#N/A,#N/A,TRUE,"SEPT";#N/A,#N/A,TRUE,"3Q"}</definedName>
    <definedName name="wrn.totsch." localSheetId="0" hidden="1">{"offequipsch",#N/A,FALSE,"GTC_Schedule";"onconstsch",#N/A,FALSE,"GTC_Schedule";"techsch",#N/A,FALSE,"GTC_Schedule";"totsch",#N/A,FALSE,"GTC_Schedule"}</definedName>
    <definedName name="wrn.totsch." hidden="1">{"offequipsch",#N/A,FALSE,"GTC_Schedule";"onconstsch",#N/A,FALSE,"GTC_Schedule";"techsch",#N/A,FALSE,"GTC_Schedule";"totsch",#N/A,FALSE,"GTC_Schedule"}</definedName>
    <definedName name="wrn.TRAVELLING." localSheetId="0" hidden="1">{#N/A,#N/A,FALSE,"Sheet3"}</definedName>
    <definedName name="wrn.TRAVELLING." hidden="1">{#N/A,#N/A,FALSE,"Sheet3"}</definedName>
    <definedName name="wrn.UmsatzwertePlan1997." localSheetId="0" hidden="1">{#N/A,#N/A,TRUE,"UmsSumAnteilFZ";#N/A,#N/A,TRUE,"UmsatzSumme";#N/A,#N/A,TRUE,"G&amp;V"}</definedName>
    <definedName name="wrn.UmsatzwertePlan1997." hidden="1">{#N/A,#N/A,TRUE,"UmsSumAnteilFZ";#N/A,#N/A,TRUE,"UmsatzSumme";#N/A,#N/A,TRUE,"G&amp;V"}</definedName>
    <definedName name="wrn.usmed3." localSheetId="0" hidden="1">{#N/A,#N/A,FALSE,"USMED 3";#N/A,#N/A,FALSE,"MARCHALLENGER 1";#N/A,#N/A,FALSE,"MARCHALLENGER 2";#N/A,#N/A,FALSE,"MARCHALLENGER 3";#N/A,#N/A,FALSE,"MARCHALLENGER 4"}</definedName>
    <definedName name="wrn.usmed3." hidden="1">{#N/A,#N/A,FALSE,"USMED 3";#N/A,#N/A,FALSE,"MARCHALLENGER 1";#N/A,#N/A,FALSE,"MARCHALLENGER 2";#N/A,#N/A,FALSE,"MARCHALLENGER 3";#N/A,#N/A,FALSE,"MARCHALLENGER 4"}</definedName>
    <definedName name="wrn.Variances1Q._.97." localSheetId="0" hidden="1">{"pag1",#N/A,TRUE,"Graf1Q97";"pag2",#N/A,TRUE,"Graf1Q97";"pag3",#N/A,TRUE,"Graf1Q97";"pag4",#N/A,TRUE,"Graf1Q97";"pag5",#N/A,TRUE,"Graf1Q97";"pag6",#N/A,TRUE,"Graf1Q97"}</definedName>
    <definedName name="wrn.Variances1Q._.97." hidden="1">{"pag1",#N/A,TRUE,"Graf1Q97";"pag2",#N/A,TRUE,"Graf1Q97";"pag3",#N/A,TRUE,"Graf1Q97";"pag4",#N/A,TRUE,"Graf1Q97";"pag5",#N/A,TRUE,"Graf1Q97";"pag6",#N/A,TRUE,"Graf1Q97"}</definedName>
    <definedName name="wrn.Weekly._.Scrap._.Report." localSheetId="0" hidden="1">{#N/A,#N/A,TRUE,"GEM Total";#N/A,#N/A,TRUE,"Final Assembly";#N/A,#N/A,TRUE,"Cleaning";#N/A,#N/A,TRUE,"Schooping,Clearing";#N/A,#N/A,TRUE,"Winding"}</definedName>
    <definedName name="wrn.Weekly._.Scrap._.Report." hidden="1">{#N/A,#N/A,TRUE,"GEM Total";#N/A,#N/A,TRUE,"Final Assembly";#N/A,#N/A,TRUE,"Cleaning";#N/A,#N/A,TRUE,"Schooping,Clearing";#N/A,#N/A,TRUE,"Winding"}</definedName>
    <definedName name="wrn.weekly._.scrap._.report..." localSheetId="0" hidden="1">{#N/A,#N/A,TRUE,"GEM Total";#N/A,#N/A,TRUE,"Final Assembly";#N/A,#N/A,TRUE,"Cleaning";#N/A,#N/A,TRUE,"Schooping,Clearing";#N/A,#N/A,TRUE,"Winding"}</definedName>
    <definedName name="wrn.weekly._.scrap._.report..." hidden="1">{#N/A,#N/A,TRUE,"GEM Total";#N/A,#N/A,TRUE,"Final Assembly";#N/A,#N/A,TRUE,"Cleaning";#N/A,#N/A,TRUE,"Schooping,Clearing";#N/A,#N/A,TRUE,"Winding"}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1.FORM1." localSheetId="0" hidden="1">{#N/A,#N/A,FALSE,"COMP"}</definedName>
    <definedName name="wrn1.FORM1." hidden="1">{#N/A,#N/A,FALSE,"COMP"}</definedName>
    <definedName name="wrn1.summary" localSheetId="0" hidden="1">{#N/A,#N/A,TRUE,"KEY DATA";#N/A,#N/A,TRUE,"KEY DATA Base Case";#N/A,#N/A,TRUE,"JULY";#N/A,#N/A,TRUE,"AUG";#N/A,#N/A,TRUE,"SEPT";#N/A,#N/A,TRUE,"3Q"}</definedName>
    <definedName name="wrn1.summary" hidden="1">{#N/A,#N/A,TRUE,"KEY DATA";#N/A,#N/A,TRUE,"KEY DATA Base Case";#N/A,#N/A,TRUE,"JULY";#N/A,#N/A,TRUE,"AUG";#N/A,#N/A,TRUE,"SEPT";#N/A,#N/A,TRUE,"3Q"}</definedName>
    <definedName name="wrn1.summary.." localSheetId="0" hidden="1">{#N/A,#N/A,TRUE,"KEY DATA";#N/A,#N/A,TRUE,"KEY DATA Base Case";#N/A,#N/A,TRUE,"JULY";#N/A,#N/A,TRUE,"AUG";#N/A,#N/A,TRUE,"SEPT";#N/A,#N/A,TRUE,"3Q"}</definedName>
    <definedName name="wrn1.summary.." hidden="1">{#N/A,#N/A,TRUE,"KEY DATA";#N/A,#N/A,TRUE,"KEY DATA Base Case";#N/A,#N/A,TRUE,"JULY";#N/A,#N/A,TRUE,"AUG";#N/A,#N/A,TRUE,"SEPT";#N/A,#N/A,TRUE,"3Q"}</definedName>
    <definedName name="wrn2.FORM1." localSheetId="0" hidden="1">{#N/A,#N/A,FALSE,"COMP"}</definedName>
    <definedName name="wrn2.FORM1." hidden="1">{#N/A,#N/A,FALSE,"COMP"}</definedName>
    <definedName name="wrn3.FORM1." localSheetId="0" hidden="1">{#N/A,#N/A,FALSE,"COMP"}</definedName>
    <definedName name="wrn3.FORM1." hidden="1">{#N/A,#N/A,FALSE,"COMP"}</definedName>
    <definedName name="wwqwq" localSheetId="0" hidden="1">{#N/A,#N/A,FALSE,"COMP"}</definedName>
    <definedName name="wwqwq" hidden="1">{#N/A,#N/A,FALSE,"COMP"}</definedName>
    <definedName name="wwwww" localSheetId="0" hidden="1">{#N/A,#N/A,FALSE,"12"}</definedName>
    <definedName name="wwwww" hidden="1">{#N/A,#N/A,FALSE,"12"}</definedName>
    <definedName name="xa" localSheetId="0" hidden="1">{#N/A,#N/A,FALSE,"Aging Summary";#N/A,#N/A,FALSE,"Ratio Analysis";#N/A,#N/A,FALSE,"Test 120 Day Accts";#N/A,#N/A,FALSE,"Tickmarks"}</definedName>
    <definedName name="xa" hidden="1">{#N/A,#N/A,FALSE,"Aging Summary";#N/A,#N/A,FALSE,"Ratio Analysis";#N/A,#N/A,FALSE,"Test 120 Day Accts";#N/A,#N/A,FALSE,"Tickmarks"}</definedName>
    <definedName name="xcxc" localSheetId="0" hidden="1">{#N/A,#N/A,TRUE,"UmsatzSumme";#N/A,#N/A,TRUE,"UmsatzEinzel";#N/A,#N/A,TRUE,"UmsSumAnteilFZ"}</definedName>
    <definedName name="xcxc" hidden="1">{#N/A,#N/A,TRUE,"UmsatzSumme";#N/A,#N/A,TRUE,"UmsatzEinzel";#N/A,#N/A,TRUE,"UmsSumAnteilFZ"}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7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15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Row" hidden="1">#REF!</definedName>
    <definedName name="XRefPaste4" hidden="1">#REF!</definedName>
    <definedName name="XRefPaste40" hidden="1">#REF!</definedName>
    <definedName name="XRefPaste41" hidden="1">#REF!</definedName>
    <definedName name="XRefPaste43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24</definedName>
    <definedName name="xsasad" localSheetId="0" hidden="1">{#N/A,#N/A,FALSE,"COMICRO";#N/A,#N/A,FALSE,"BALSCH";#N/A,#N/A,FALSE,"GLASS";#N/A,#N/A,FALSE,"DEPRE";#N/A,#N/A,FALSE,"A&amp;MCUR";#N/A,#N/A,FALSE,"AGEANAlysis";#N/A,#N/A,FALSE,"CHECKS";#N/A,#N/A,FALSE,"CHECKS"}</definedName>
    <definedName name="xsasad" hidden="1">{#N/A,#N/A,FALSE,"COMICRO";#N/A,#N/A,FALSE,"BALSCH";#N/A,#N/A,FALSE,"GLASS";#N/A,#N/A,FALSE,"DEPRE";#N/A,#N/A,FALSE,"A&amp;MCUR";#N/A,#N/A,FALSE,"AGEANAlysis";#N/A,#N/A,FALSE,"CHECKS";#N/A,#N/A,FALSE,"CHECKS"}</definedName>
    <definedName name="XTEST" localSheetId="0" hidden="1">{#N/A,#N/A,FALSE,"JANLN2"}</definedName>
    <definedName name="XTEST" hidden="1">{#N/A,#N/A,FALSE,"JANLN2"}</definedName>
    <definedName name="xvx" localSheetId="0" hidden="1">{#N/A,#N/A,FALSE,"3";#N/A,#N/A,FALSE,"5";#N/A,#N/A,FALSE,"6";#N/A,#N/A,FALSE,"8";#N/A,#N/A,FALSE,"10";#N/A,#N/A,FALSE,"13";#N/A,#N/A,FALSE,"14";#N/A,#N/A,FALSE,"15";#N/A,#N/A,FALSE,"16"}</definedName>
    <definedName name="xvx" hidden="1">{#N/A,#N/A,FALSE,"3";#N/A,#N/A,FALSE,"5";#N/A,#N/A,FALSE,"6";#N/A,#N/A,FALSE,"8";#N/A,#N/A,FALSE,"10";#N/A,#N/A,FALSE,"13";#N/A,#N/A,FALSE,"14";#N/A,#N/A,FALSE,"15";#N/A,#N/A,FALSE,"16"}</definedName>
    <definedName name="xxv" localSheetId="0" hidden="1">{#N/A,#N/A,FALSE,"3";#N/A,#N/A,FALSE,"5";#N/A,#N/A,FALSE,"6";#N/A,#N/A,FALSE,"8";#N/A,#N/A,FALSE,"10";#N/A,#N/A,FALSE,"13";#N/A,#N/A,FALSE,"14";#N/A,#N/A,FALSE,"15";#N/A,#N/A,FALSE,"16"}</definedName>
    <definedName name="xxv" hidden="1">{#N/A,#N/A,FALSE,"3";#N/A,#N/A,FALSE,"5";#N/A,#N/A,FALSE,"6";#N/A,#N/A,FALSE,"8";#N/A,#N/A,FALSE,"10";#N/A,#N/A,FALSE,"13";#N/A,#N/A,FALSE,"14";#N/A,#N/A,FALSE,"15";#N/A,#N/A,FALSE,"16"}</definedName>
    <definedName name="xxxxx" localSheetId="0" hidden="1">{"'Typical Costs Estimates'!$C$158:$H$161"}</definedName>
    <definedName name="xxxxx" hidden="1">{"'Typical Costs Estimates'!$C$158:$H$161"}</definedName>
    <definedName name="xxxxxl" localSheetId="0" hidden="1">{#N/A,#N/A,FALSE,"COMICRO";#N/A,#N/A,FALSE,"BALSCH";#N/A,#N/A,FALSE,"GLASS";#N/A,#N/A,FALSE,"DEPRE";#N/A,#N/A,FALSE,"A&amp;MCUR";#N/A,#N/A,FALSE,"AGEANAlysis";#N/A,#N/A,FALSE,"CHECKS";#N/A,#N/A,FALSE,"CHECKS"}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xxxxx" localSheetId="0" hidden="1">{#N/A,#N/A,TRUE,"GEM Total";#N/A,#N/A,TRUE,"Final Assembly";#N/A,#N/A,TRUE,"Cleaning";#N/A,#N/A,TRUE,"Schooping,Clearing";#N/A,#N/A,TRUE,"Winding"}</definedName>
    <definedName name="xxxxxx" hidden="1">{#N/A,#N/A,TRUE,"GEM Total";#N/A,#N/A,TRUE,"Final Assembly";#N/A,#N/A,TRUE,"Cleaning";#N/A,#N/A,TRUE,"Schooping,Clearing";#N/A,#N/A,TRUE,"Winding"}</definedName>
    <definedName name="xxxxxxx" localSheetId="0" hidden="1">{#N/A,#N/A,TRUE,"GEM Total";#N/A,#N/A,TRUE,"Final Assembly";#N/A,#N/A,TRUE,"Cleaning";#N/A,#N/A,TRUE,"Schooping,Clearing";#N/A,#N/A,TRUE,"Winding"}</definedName>
    <definedName name="xxxxxxx" hidden="1">{#N/A,#N/A,TRUE,"GEM Total";#N/A,#N/A,TRUE,"Final Assembly";#N/A,#N/A,TRUE,"Cleaning";#N/A,#N/A,TRUE,"Schooping,Clearing";#N/A,#N/A,TRUE,"Winding"}</definedName>
    <definedName name="xxxxxxxxxxxxxx" localSheetId="0" hidden="1">{#N/A,#N/A,TRUE,"GEM Total";#N/A,#N/A,TRUE,"Final Assembly";#N/A,#N/A,TRUE,"Cleaning";#N/A,#N/A,TRUE,"Schooping,Clearing";#N/A,#N/A,TRUE,"Winding"}</definedName>
    <definedName name="xxxxxxxxxxxxxx" hidden="1">{#N/A,#N/A,TRUE,"GEM Total";#N/A,#N/A,TRUE,"Final Assembly";#N/A,#N/A,TRUE,"Cleaning";#N/A,#N/A,TRUE,"Schooping,Clearing";#N/A,#N/A,TRUE,"Winding"}</definedName>
    <definedName name="xxxxxxxxxxxxxxxx" localSheetId="0" hidden="1">{#N/A,#N/A,TRUE,"GEM Total";#N/A,#N/A,TRUE,"Final Assembly";#N/A,#N/A,TRUE,"Cleaning";#N/A,#N/A,TRUE,"Schooping,Clearing";#N/A,#N/A,TRUE,"Winding"}</definedName>
    <definedName name="xxxxxxxxxxxxxxxx" hidden="1">{#N/A,#N/A,TRUE,"GEM Total";#N/A,#N/A,TRUE,"Final Assembly";#N/A,#N/A,TRUE,"Cleaning";#N/A,#N/A,TRUE,"Schooping,Clearing";#N/A,#N/A,TRUE,"Winding"}</definedName>
    <definedName name="yhtfhtrfjhn" hidden="1">#REF!</definedName>
    <definedName name="yii" localSheetId="0" hidden="1">{#N/A,#N/A,FALSE,"3";#N/A,#N/A,FALSE,"5";#N/A,#N/A,FALSE,"6";#N/A,#N/A,FALSE,"8";#N/A,#N/A,FALSE,"10";#N/A,#N/A,FALSE,"13";#N/A,#N/A,FALSE,"14";#N/A,#N/A,FALSE,"15";#N/A,#N/A,FALSE,"16"}</definedName>
    <definedName name="yii" hidden="1">{#N/A,#N/A,FALSE,"3";#N/A,#N/A,FALSE,"5";#N/A,#N/A,FALSE,"6";#N/A,#N/A,FALSE,"8";#N/A,#N/A,FALSE,"10";#N/A,#N/A,FALSE,"13";#N/A,#N/A,FALSE,"14";#N/A,#N/A,FALSE,"15";#N/A,#N/A,FALSE,"16"}</definedName>
    <definedName name="yityi" localSheetId="0" hidden="1">{#N/A,#N/A,FALSE,"3";#N/A,#N/A,FALSE,"5";#N/A,#N/A,FALSE,"6";#N/A,#N/A,FALSE,"8";#N/A,#N/A,FALSE,"10";#N/A,#N/A,FALSE,"13";#N/A,#N/A,FALSE,"14";#N/A,#N/A,FALSE,"15";#N/A,#N/A,FALSE,"16"}</definedName>
    <definedName name="yityi" hidden="1">{#N/A,#N/A,FALSE,"3";#N/A,#N/A,FALSE,"5";#N/A,#N/A,FALSE,"6";#N/A,#N/A,FALSE,"8";#N/A,#N/A,FALSE,"10";#N/A,#N/A,FALSE,"13";#N/A,#N/A,FALSE,"14";#N/A,#N/A,FALSE,"15";#N/A,#N/A,FALSE,"16"}</definedName>
    <definedName name="yiyti" localSheetId="0" hidden="1">{#N/A,#N/A,FALSE,"3";#N/A,#N/A,FALSE,"5";#N/A,#N/A,FALSE,"6";#N/A,#N/A,FALSE,"8";#N/A,#N/A,FALSE,"10";#N/A,#N/A,FALSE,"13";#N/A,#N/A,FALSE,"14";#N/A,#N/A,FALSE,"15";#N/A,#N/A,FALSE,"16"}</definedName>
    <definedName name="yiyti" hidden="1">{#N/A,#N/A,FALSE,"3";#N/A,#N/A,FALSE,"5";#N/A,#N/A,FALSE,"6";#N/A,#N/A,FALSE,"8";#N/A,#N/A,FALSE,"10";#N/A,#N/A,FALSE,"13";#N/A,#N/A,FALSE,"14";#N/A,#N/A,FALSE,"15";#N/A,#N/A,FALSE,"16"}</definedName>
    <definedName name="ykhkhj" localSheetId="0" hidden="1">{#N/A,#N/A,FALSE,"3";#N/A,#N/A,FALSE,"5";#N/A,#N/A,FALSE,"6";#N/A,#N/A,FALSE,"8";#N/A,#N/A,FALSE,"10";#N/A,#N/A,FALSE,"13";#N/A,#N/A,FALSE,"14";#N/A,#N/A,FALSE,"15";#N/A,#N/A,FALSE,"16"}</definedName>
    <definedName name="ykhkhj" hidden="1">{#N/A,#N/A,FALSE,"3";#N/A,#N/A,FALSE,"5";#N/A,#N/A,FALSE,"6";#N/A,#N/A,FALSE,"8";#N/A,#N/A,FALSE,"10";#N/A,#N/A,FALSE,"13";#N/A,#N/A,FALSE,"14";#N/A,#N/A,FALSE,"15";#N/A,#N/A,FALSE,"16"}</definedName>
    <definedName name="ysx" hidden="1">#REF!</definedName>
    <definedName name="ytiyi" localSheetId="0" hidden="1">{#N/A,#N/A,FALSE,"3";#N/A,#N/A,FALSE,"5";#N/A,#N/A,FALSE,"6";#N/A,#N/A,FALSE,"8";#N/A,#N/A,FALSE,"10";#N/A,#N/A,FALSE,"13";#N/A,#N/A,FALSE,"14";#N/A,#N/A,FALSE,"15";#N/A,#N/A,FALSE,"16"}</definedName>
    <definedName name="ytiyi" hidden="1">{#N/A,#N/A,FALSE,"3";#N/A,#N/A,FALSE,"5";#N/A,#N/A,FALSE,"6";#N/A,#N/A,FALSE,"8";#N/A,#N/A,FALSE,"10";#N/A,#N/A,FALSE,"13";#N/A,#N/A,FALSE,"14";#N/A,#N/A,FALSE,"15";#N/A,#N/A,FALSE,"16"}</definedName>
    <definedName name="yuoo" localSheetId="0" hidden="1">{#N/A,#N/A,FALSE,"3";#N/A,#N/A,FALSE,"5";#N/A,#N/A,FALSE,"6";#N/A,#N/A,FALSE,"8";#N/A,#N/A,FALSE,"10";#N/A,#N/A,FALSE,"13";#N/A,#N/A,FALSE,"14";#N/A,#N/A,FALSE,"15";#N/A,#N/A,FALSE,"16"}</definedName>
    <definedName name="yuoo" hidden="1">{#N/A,#N/A,FALSE,"3";#N/A,#N/A,FALSE,"5";#N/A,#N/A,FALSE,"6";#N/A,#N/A,FALSE,"8";#N/A,#N/A,FALSE,"10";#N/A,#N/A,FALSE,"13";#N/A,#N/A,FALSE,"14";#N/A,#N/A,FALSE,"15";#N/A,#N/A,FALSE,"16"}</definedName>
    <definedName name="Z_05F4FD85_78BF_4C07_8E5A_1B8AA1BAF4A4_.wvu.Cols" hidden="1">#REF!</definedName>
    <definedName name="Z_05F4FD85_78BF_4C07_8E5A_1B8AA1BAF4A4_.wvu.FilterData" hidden="1">#REF!</definedName>
    <definedName name="Z_05F4FD85_78BF_4C07_8E5A_1B8AA1BAF4A4_.wvu.PrintArea" hidden="1">#REF!</definedName>
    <definedName name="Z_1567207B_D6F2_4A4F_A22F_762661042FAE_.wvu.PrintArea" hidden="1">#REF!</definedName>
    <definedName name="Z_20CA9464_1EA5_4B7B_8734_F87A7690B6FA_.wvu.Cols" hidden="1">#REF!</definedName>
    <definedName name="Z_20CA9464_1EA5_4B7B_8734_F87A7690B6FA_.wvu.FilterData" hidden="1">#REF!</definedName>
    <definedName name="Z_37CA1147_34BB_4C62_91EF_A453038298B1_.wvu.FilterData" hidden="1">#REF!</definedName>
    <definedName name="Z_37CA1147_34BB_4C62_91EF_A453038298B1_.wvu.PrintArea" hidden="1">#REF!</definedName>
    <definedName name="Z_3D53C85A_1670_43A3_85FD_D83DBC1A5DDD_.wvu.Rows" hidden="1">#REF!,#REF!,#REF!,#REF!,#REF!,#REF!,#REF!,#REF!,#REF!,#REF!,#REF!,#REF!,#REF!,#REF!,#REF!,#REF!,#REF!,#REF!,#REF!,#REF!,#REF!,#REF!,#REF!</definedName>
    <definedName name="Z_46643836_6218_4612_A19A_A73A8D1FDDD8_.wvu.PrintArea" hidden="1">#REF!</definedName>
    <definedName name="Z_46643836_6218_4612_A19A_A73A8D1FDDD8_.wvu.Rows" hidden="1">#REF!</definedName>
    <definedName name="Z_48284223_12A7_4EE9_B0E4_B9A89AC74F33_.wvu.Cols" hidden="1">#REF!</definedName>
    <definedName name="Z_48284223_12A7_4EE9_B0E4_B9A89AC74F33_.wvu.FilterData" hidden="1">#REF!</definedName>
    <definedName name="Z_48877919_4222_477F_B825_6B52F182C5EE_.wvu.Rows" hidden="1">#REF!</definedName>
    <definedName name="Z_5602346D_EE3A_4FAA_AADB_D23E8602D7F9_.wvu.Cols" hidden="1">#REF!,#REF!,#REF!,#REF!,#REF!,#REF!</definedName>
    <definedName name="Z_5602346D_EE3A_4FAA_AADB_D23E8602D7F9_.wvu.Rows" hidden="1">#REF!</definedName>
    <definedName name="Z_56A4B98B_54F3_43B4_8BE0_1998C027F1B4_.wvu.Cols" hidden="1">#REF!</definedName>
    <definedName name="Z_56A4B98B_54F3_43B4_8BE0_1998C027F1B4_.wvu.FilterData" hidden="1">#REF!</definedName>
    <definedName name="Z_642DA10D_64FA_4358_B0DC_5DBF203593E7_.wvu.Cols" hidden="1">#REF!,#REF!</definedName>
    <definedName name="Z_642DA10D_64FA_4358_B0DC_5DBF203593E7_.wvu.FilterData" hidden="1">#REF!</definedName>
    <definedName name="Z_68B903B0_E98E_46D9_B8AC_F40334AD3811_.wvu.FilterData" hidden="1">#REF!</definedName>
    <definedName name="Z_72433B6B_52A5_44EF_B66A_CDF264F3CA3B_.wvu.Cols" hidden="1">#REF!</definedName>
    <definedName name="Z_72433B6B_52A5_44EF_B66A_CDF264F3CA3B_.wvu.PrintArea" hidden="1">#REF!</definedName>
    <definedName name="Z_72433B6B_52A5_44EF_B66A_CDF264F3CA3B_.wvu.PrintTitles" hidden="1">#REF!</definedName>
    <definedName name="Z_746852D3_BFD6_47E8_9DA9_56CF052FA174_.wvu.Rows" hidden="1">#REF!</definedName>
    <definedName name="Z_7F5C00BE_B8A2_494E_9D68_FD543BCCC153_.wvu.FilterData" hidden="1">#REF!</definedName>
    <definedName name="Z_7F5C00BE_B8A2_494E_9D68_FD543BCCC153_.wvu.PrintArea" hidden="1">#REF!</definedName>
    <definedName name="Z_8F8B8CEA_5C23_422C_B1AD_05181AEFA8F5_.wvu.Cols" hidden="1">#REF!</definedName>
    <definedName name="Z_8F8B8CEA_5C23_422C_B1AD_05181AEFA8F5_.wvu.FilterData" hidden="1">#REF!</definedName>
    <definedName name="Z_8F8B8CEA_5C23_422C_B1AD_05181AEFA8F5_.wvu.PrintArea" hidden="1">#REF!</definedName>
    <definedName name="Z_94331F79_2978_4D9C_A34D_0B28D57636AC_.wvu.Cols" hidden="1">#REF!</definedName>
    <definedName name="Z_94331F79_2978_4D9C_A34D_0B28D57636AC_.wvu.FilterData" hidden="1">#REF!</definedName>
    <definedName name="Z_B38843BF_DFDF_44FA_8E71_0A2E36B1AD6C_.wvu.Cols" hidden="1">#REF!</definedName>
    <definedName name="Z_B38843BF_DFDF_44FA_8E71_0A2E36B1AD6C_.wvu.PrintArea" hidden="1">#REF!</definedName>
    <definedName name="Z_B38843BF_DFDF_44FA_8E71_0A2E36B1AD6C_.wvu.Rows" hidden="1">#REF!</definedName>
    <definedName name="Z_B58DAAE9_7602_47B2_9962_D9B410AF60F9_.wvu.Cols" hidden="1">#REF!</definedName>
    <definedName name="Z_B58DAAE9_7602_47B2_9962_D9B410AF60F9_.wvu.FilterData" hidden="1">#REF!</definedName>
    <definedName name="Z_C0B37B4C_3386_4542_9DCC_D004B914D214_.wvu.Cols" hidden="1">#REF!</definedName>
    <definedName name="Z_C0B37B4C_3386_4542_9DCC_D004B914D214_.wvu.FilterData" hidden="1">#REF!</definedName>
    <definedName name="Z_C0B37B4C_3386_4542_9DCC_D004B914D214_.wvu.PrintArea" hidden="1">#REF!</definedName>
    <definedName name="Z_DC41D810_DAD8_11D2_A4E1_00105AF280E4_.wvu.Cols" hidden="1">#REF!,#REF!,#REF!,#REF!,#REF!</definedName>
    <definedName name="Z_DC41D810_DAD8_11D2_A4E1_00105AF280E4_.wvu.PrintTitles" hidden="1">#REF!</definedName>
    <definedName name="Z_DE54EB4E_7288_4CBC_B1F8_54C2468A83E6_.wvu.Cols" hidden="1">#REF!,#REF!</definedName>
    <definedName name="Z_DE54EB4E_7288_4CBC_B1F8_54C2468A83E6_.wvu.PrintArea" hidden="1">#REF!</definedName>
    <definedName name="Z_DE54EB4E_7288_4CBC_B1F8_54C2468A83E6_.wvu.Rows" hidden="1">#REF!,#REF!,#REF!,#REF!</definedName>
    <definedName name="Z_EE726717_6F86_4902_92A9_5FC10CA897E6_.wvu.Cols" hidden="1">#N/A</definedName>
    <definedName name="Z_EE726717_6F86_4902_92A9_5FC10CA897E6_.wvu.FilterData" hidden="1">#N/A</definedName>
    <definedName name="Z_EE726717_6F86_4902_92A9_5FC10CA897E6_.wvu.PrintArea" hidden="1">#N/A</definedName>
    <definedName name="Z_FCD948B3_B82B_4963_9638_A0A3297E3ACD_.wvu.Cols" hidden="1">#REF!</definedName>
    <definedName name="Z_FCD948B3_B82B_4963_9638_A0A3297E3ACD_.wvu.FilterData" hidden="1">#REF!</definedName>
    <definedName name="Z_FCD948B3_B82B_4963_9638_A0A3297E3ACD_.wvu.PrintArea" hidden="1">#REF!</definedName>
    <definedName name="zaed" localSheetId="0" hidden="1">{#N/A,#N/A,FALSE,"Ventilation";#N/A,#N/A,FALSE,"Courbe1";#N/A,#N/A,FALSE,"Courbe2"}</definedName>
    <definedName name="zaed" hidden="1">{#N/A,#N/A,FALSE,"Ventilation";#N/A,#N/A,FALSE,"Courbe1";#N/A,#N/A,FALSE,"Courbe2"}</definedName>
    <definedName name="ZUT" localSheetId="0" hidden="1">{#N/A,#N/A,FALSE,"COMICRO";#N/A,#N/A,FALSE,"BALSCH";#N/A,#N/A,FALSE,"GLASS";#N/A,#N/A,FALSE,"DEPRE";#N/A,#N/A,FALSE,"A&amp;MCUR";#N/A,#N/A,FALSE,"AGEANAlysis";#N/A,#N/A,FALSE,"CHECKS";#N/A,#N/A,FALSE,"CHECKS"}</definedName>
    <definedName name="ZUT" hidden="1">{#N/A,#N/A,FALSE,"COMICRO";#N/A,#N/A,FALSE,"BALSCH";#N/A,#N/A,FALSE,"GLASS";#N/A,#N/A,FALSE,"DEPRE";#N/A,#N/A,FALSE,"A&amp;MCUR";#N/A,#N/A,FALSE,"AGEANAlysis";#N/A,#N/A,FALSE,"CHECKS";#N/A,#N/A,FALSE,"CHECKS"}</definedName>
    <definedName name="zxz" localSheetId="0" hidden="1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name="zxz" hidden="1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name="zz" localSheetId="0" hidden="1">{#N/A,#N/A,FALSE,"3";#N/A,#N/A,FALSE,"5";#N/A,#N/A,FALSE,"6";#N/A,#N/A,FALSE,"8";#N/A,#N/A,FALSE,"10";#N/A,#N/A,FALSE,"13";#N/A,#N/A,FALSE,"14";#N/A,#N/A,FALSE,"15";#N/A,#N/A,FALSE,"16"}</definedName>
    <definedName name="zz" hidden="1">{#N/A,#N/A,FALSE,"3";#N/A,#N/A,FALSE,"5";#N/A,#N/A,FALSE,"6";#N/A,#N/A,FALSE,"8";#N/A,#N/A,FALSE,"10";#N/A,#N/A,FALSE,"13";#N/A,#N/A,FALSE,"14";#N/A,#N/A,FALSE,"15";#N/A,#N/A,FALSE,"16"}</definedName>
    <definedName name="zzz.." localSheetId="0" hidden="1">{#N/A,#N/A,TRUE,"GEM Total";#N/A,#N/A,TRUE,"Final Assembly";#N/A,#N/A,TRUE,"Cleaning";#N/A,#N/A,TRUE,"Schooping,Clearing";#N/A,#N/A,TRUE,"Winding"}</definedName>
    <definedName name="zzz.." hidden="1">{#N/A,#N/A,TRUE,"GEM Total";#N/A,#N/A,TRUE,"Final Assembly";#N/A,#N/A,TRUE,"Cleaning";#N/A,#N/A,TRUE,"Schooping,Clearing";#N/A,#N/A,TRUE,"Winding"}</definedName>
    <definedName name="zzzz" localSheetId="0" hidden="1">{#N/A,#N/A,FALSE,"3";#N/A,#N/A,FALSE,"5";#N/A,#N/A,FALSE,"6";#N/A,#N/A,FALSE,"8";#N/A,#N/A,FALSE,"10";#N/A,#N/A,FALSE,"13";#N/A,#N/A,FALSE,"14";#N/A,#N/A,FALSE,"15";#N/A,#N/A,FALSE,"16"}</definedName>
    <definedName name="zzzz" hidden="1">{#N/A,#N/A,FALSE,"3";#N/A,#N/A,FALSE,"5";#N/A,#N/A,FALSE,"6";#N/A,#N/A,FALSE,"8";#N/A,#N/A,FALSE,"10";#N/A,#N/A,FALSE,"13";#N/A,#N/A,FALSE,"14";#N/A,#N/A,FALSE,"15";#N/A,#N/A,FALSE,"16"}</definedName>
    <definedName name="개발시험종합" hidden="1">#REF!</definedName>
    <definedName name="보고" localSheetId="0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셀리카" hidden="1">#REF!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업체방문" localSheetId="0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이란" localSheetId="0" hidden="1">{#N/A,#N/A,FALSE,"단축1";#N/A,#N/A,FALSE,"단축2";#N/A,#N/A,FALSE,"단축3";#N/A,#N/A,FALSE,"장축";#N/A,#N/A,FALSE,"4WD"}</definedName>
    <definedName name="이란" hidden="1">{#N/A,#N/A,FALSE,"단축1";#N/A,#N/A,FALSE,"단축2";#N/A,#N/A,FALSE,"단축3";#N/A,#N/A,FALSE,"장축";#N/A,#N/A,FALSE,"4WD"}</definedName>
    <definedName name="ㅈㅈㅈ" localSheetId="0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진출의사보유" localSheetId="0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첨" localSheetId="0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투자" hidden="1">1</definedName>
    <definedName name="하늘" localSheetId="0" hidden="1">{#N/A,#N/A,FALSE,"단축1";#N/A,#N/A,FALSE,"단축2";#N/A,#N/A,FALSE,"단축3";#N/A,#N/A,FALSE,"장축";#N/A,#N/A,FALSE,"4WD"}</definedName>
    <definedName name="하늘" hidden="1">{#N/A,#N/A,FALSE,"단축1";#N/A,#N/A,FALSE,"단축2";#N/A,#N/A,FALSE,"단축3";#N/A,#N/A,FALSE,"장축";#N/A,#N/A,FALSE,"4WD"}</definedName>
    <definedName name="固定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1" i="2" l="1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I14" i="2" s="1"/>
  <c r="I15" i="2" s="1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B20" i="2"/>
  <c r="B21" i="2" s="1"/>
  <c r="B19" i="2"/>
  <c r="E15" i="2"/>
  <c r="D15" i="2"/>
  <c r="C15" i="2"/>
  <c r="B15" i="2"/>
  <c r="A6" i="2"/>
  <c r="F34" i="1"/>
  <c r="F33" i="1"/>
  <c r="F32" i="1"/>
  <c r="F31" i="1"/>
  <c r="F30" i="1"/>
  <c r="F29" i="1"/>
  <c r="F28" i="1"/>
  <c r="F27" i="1"/>
  <c r="F26" i="1"/>
  <c r="F25" i="1"/>
  <c r="B19" i="1"/>
  <c r="B20" i="1" s="1"/>
  <c r="B18" i="1"/>
  <c r="L15" i="1"/>
  <c r="K15" i="1"/>
  <c r="J15" i="1"/>
  <c r="I15" i="1"/>
  <c r="H15" i="1"/>
  <c r="G15" i="1"/>
  <c r="F15" i="1"/>
  <c r="E15" i="1"/>
  <c r="D15" i="1"/>
  <c r="C15" i="1"/>
  <c r="B15" i="1"/>
  <c r="A6" i="1"/>
  <c r="C80" i="2" l="1"/>
  <c r="C68" i="2"/>
  <c r="C56" i="2"/>
  <c r="C44" i="2"/>
  <c r="C32" i="2"/>
  <c r="C34" i="2"/>
  <c r="C75" i="2"/>
  <c r="C51" i="2"/>
  <c r="C73" i="2"/>
  <c r="C61" i="2"/>
  <c r="C49" i="2"/>
  <c r="C37" i="2"/>
  <c r="C25" i="2"/>
  <c r="C78" i="2"/>
  <c r="C66" i="2"/>
  <c r="C54" i="2"/>
  <c r="C42" i="2"/>
  <c r="C30" i="2"/>
  <c r="C38" i="2"/>
  <c r="C70" i="2"/>
  <c r="C58" i="2"/>
  <c r="C63" i="2"/>
  <c r="C71" i="2"/>
  <c r="C59" i="2"/>
  <c r="C47" i="2"/>
  <c r="C35" i="2"/>
  <c r="C50" i="2"/>
  <c r="E24" i="2"/>
  <c r="C46" i="2"/>
  <c r="C39" i="2"/>
  <c r="C27" i="2"/>
  <c r="C76" i="2"/>
  <c r="C64" i="2"/>
  <c r="C52" i="2"/>
  <c r="C40" i="2"/>
  <c r="C28" i="2"/>
  <c r="C62" i="2"/>
  <c r="C81" i="2"/>
  <c r="C69" i="2"/>
  <c r="C57" i="2"/>
  <c r="C45" i="2"/>
  <c r="C33" i="2"/>
  <c r="C74" i="2"/>
  <c r="C26" i="2"/>
  <c r="C79" i="2"/>
  <c r="C67" i="2"/>
  <c r="C55" i="2"/>
  <c r="C43" i="2"/>
  <c r="C31" i="2"/>
  <c r="C72" i="2"/>
  <c r="C60" i="2"/>
  <c r="C48" i="2"/>
  <c r="C36" i="2"/>
  <c r="C24" i="2"/>
  <c r="C77" i="2"/>
  <c r="C65" i="2"/>
  <c r="C53" i="2"/>
  <c r="C41" i="2"/>
  <c r="C29" i="2"/>
  <c r="B24" i="2"/>
  <c r="D24" i="2" s="1"/>
  <c r="B25" i="2" s="1"/>
  <c r="D25" i="2" s="1"/>
  <c r="B26" i="2" s="1"/>
  <c r="D26" i="2" s="1"/>
  <c r="B27" i="2" s="1"/>
  <c r="D27" i="2" s="1"/>
  <c r="B28" i="2" s="1"/>
  <c r="D28" i="2" s="1"/>
  <c r="B29" i="2" s="1"/>
  <c r="D29" i="2" s="1"/>
  <c r="B30" i="2" s="1"/>
  <c r="D30" i="2" s="1"/>
  <c r="B31" i="2" s="1"/>
  <c r="D31" i="2" s="1"/>
  <c r="B32" i="2" s="1"/>
  <c r="D32" i="2" s="1"/>
  <c r="B33" i="2" s="1"/>
  <c r="D33" i="2" s="1"/>
  <c r="B34" i="2" s="1"/>
  <c r="D34" i="2" s="1"/>
  <c r="B35" i="2" s="1"/>
  <c r="D35" i="2" s="1"/>
  <c r="B36" i="2" s="1"/>
  <c r="D36" i="2" s="1"/>
  <c r="B37" i="2" s="1"/>
  <c r="D37" i="2" s="1"/>
  <c r="B38" i="2" s="1"/>
  <c r="D38" i="2" s="1"/>
  <c r="B39" i="2" s="1"/>
  <c r="D39" i="2" s="1"/>
  <c r="B40" i="2" s="1"/>
  <c r="D40" i="2" s="1"/>
  <c r="B41" i="2" s="1"/>
  <c r="D41" i="2" s="1"/>
  <c r="B42" i="2" s="1"/>
  <c r="D42" i="2" s="1"/>
  <c r="B43" i="2" s="1"/>
  <c r="D43" i="2" s="1"/>
  <c r="B44" i="2" s="1"/>
  <c r="D44" i="2" s="1"/>
  <c r="B45" i="2" s="1"/>
  <c r="D45" i="2" s="1"/>
  <c r="B46" i="2" s="1"/>
  <c r="D46" i="2" s="1"/>
  <c r="B47" i="2" s="1"/>
  <c r="D47" i="2" s="1"/>
  <c r="B48" i="2" s="1"/>
  <c r="D48" i="2" s="1"/>
  <c r="B49" i="2" s="1"/>
  <c r="D49" i="2" s="1"/>
  <c r="B50" i="2" s="1"/>
  <c r="D50" i="2" s="1"/>
  <c r="B51" i="2" s="1"/>
  <c r="D51" i="2" s="1"/>
  <c r="B52" i="2" s="1"/>
  <c r="D52" i="2" s="1"/>
  <c r="B53" i="2" s="1"/>
  <c r="D53" i="2" s="1"/>
  <c r="B54" i="2" s="1"/>
  <c r="D54" i="2" s="1"/>
  <c r="B55" i="2" s="1"/>
  <c r="D55" i="2" s="1"/>
  <c r="B56" i="2" s="1"/>
  <c r="D56" i="2" s="1"/>
  <c r="B57" i="2" s="1"/>
  <c r="D57" i="2" s="1"/>
  <c r="B58" i="2" s="1"/>
  <c r="D58" i="2" s="1"/>
  <c r="B59" i="2" s="1"/>
  <c r="D59" i="2" s="1"/>
  <c r="B60" i="2" s="1"/>
  <c r="D60" i="2" s="1"/>
  <c r="B61" i="2" s="1"/>
  <c r="D61" i="2" s="1"/>
  <c r="B62" i="2" s="1"/>
  <c r="D62" i="2" s="1"/>
  <c r="B63" i="2" s="1"/>
  <c r="D63" i="2" s="1"/>
  <c r="C33" i="1"/>
  <c r="C29" i="1"/>
  <c r="C26" i="1"/>
  <c r="C31" i="1"/>
  <c r="C27" i="1"/>
  <c r="C32" i="1"/>
  <c r="C25" i="1"/>
  <c r="C30" i="1"/>
  <c r="B25" i="1"/>
  <c r="C28" i="1"/>
  <c r="C34" i="1"/>
  <c r="F14" i="2" l="1"/>
  <c r="F15" i="2" s="1"/>
  <c r="F24" i="2"/>
  <c r="H24" i="2" s="1"/>
  <c r="E25" i="2" s="1"/>
  <c r="B64" i="2"/>
  <c r="D64" i="2" s="1"/>
  <c r="B65" i="2" s="1"/>
  <c r="D65" i="2" s="1"/>
  <c r="B66" i="2" s="1"/>
  <c r="D66" i="2" s="1"/>
  <c r="B67" i="2" s="1"/>
  <c r="D67" i="2" s="1"/>
  <c r="B68" i="2" s="1"/>
  <c r="D68" i="2" s="1"/>
  <c r="B69" i="2" s="1"/>
  <c r="D69" i="2" s="1"/>
  <c r="B70" i="2" s="1"/>
  <c r="D70" i="2" s="1"/>
  <c r="B71" i="2" s="1"/>
  <c r="D71" i="2" s="1"/>
  <c r="B72" i="2" s="1"/>
  <c r="D72" i="2" s="1"/>
  <c r="B73" i="2" s="1"/>
  <c r="D73" i="2" s="1"/>
  <c r="B74" i="2" s="1"/>
  <c r="D74" i="2" s="1"/>
  <c r="B75" i="2" s="1"/>
  <c r="D75" i="2" s="1"/>
  <c r="B76" i="2" s="1"/>
  <c r="D76" i="2" s="1"/>
  <c r="B77" i="2" s="1"/>
  <c r="D77" i="2" s="1"/>
  <c r="B78" i="2" s="1"/>
  <c r="D78" i="2" s="1"/>
  <c r="B79" i="2" s="1"/>
  <c r="D79" i="2" s="1"/>
  <c r="B80" i="2" s="1"/>
  <c r="D80" i="2" s="1"/>
  <c r="B81" i="2" s="1"/>
  <c r="D81" i="2" s="1"/>
  <c r="G14" i="2"/>
  <c r="G15" i="2" s="1"/>
  <c r="E25" i="1"/>
  <c r="D25" i="1"/>
  <c r="B26" i="1" s="1"/>
  <c r="D26" i="1" s="1"/>
  <c r="B27" i="1" s="1"/>
  <c r="D27" i="1" s="1"/>
  <c r="B28" i="1" s="1"/>
  <c r="D28" i="1" s="1"/>
  <c r="B29" i="1" s="1"/>
  <c r="D29" i="1" s="1"/>
  <c r="B30" i="1" s="1"/>
  <c r="D30" i="1" s="1"/>
  <c r="B31" i="1" s="1"/>
  <c r="D31" i="1" s="1"/>
  <c r="B32" i="1" s="1"/>
  <c r="D32" i="1" s="1"/>
  <c r="B33" i="1" s="1"/>
  <c r="D33" i="1" s="1"/>
  <c r="B34" i="1" s="1"/>
  <c r="D34" i="1" s="1"/>
  <c r="F25" i="2" l="1"/>
  <c r="H25" i="2"/>
  <c r="E26" i="2" s="1"/>
  <c r="G25" i="1"/>
  <c r="H25" i="1"/>
  <c r="E26" i="1" s="1"/>
  <c r="F26" i="2" l="1"/>
  <c r="H26" i="2" s="1"/>
  <c r="E27" i="2" s="1"/>
  <c r="G26" i="1"/>
  <c r="H26" i="1" s="1"/>
  <c r="E27" i="1" s="1"/>
  <c r="F27" i="2" l="1"/>
  <c r="H27" i="2" s="1"/>
  <c r="E28" i="2" s="1"/>
  <c r="G27" i="1"/>
  <c r="H27" i="1" s="1"/>
  <c r="E28" i="1" s="1"/>
  <c r="F28" i="2" l="1"/>
  <c r="H28" i="2" s="1"/>
  <c r="E29" i="2" s="1"/>
  <c r="G28" i="1"/>
  <c r="H28" i="1" s="1"/>
  <c r="E29" i="1" s="1"/>
  <c r="F29" i="2" l="1"/>
  <c r="H29" i="2" s="1"/>
  <c r="E30" i="2" s="1"/>
  <c r="G29" i="1"/>
  <c r="H29" i="1"/>
  <c r="E30" i="1" s="1"/>
  <c r="F30" i="2" l="1"/>
  <c r="H30" i="2"/>
  <c r="E31" i="2" s="1"/>
  <c r="G30" i="1"/>
  <c r="H30" i="1" s="1"/>
  <c r="E31" i="1" s="1"/>
  <c r="H31" i="2" l="1"/>
  <c r="E32" i="2" s="1"/>
  <c r="F31" i="2"/>
  <c r="G31" i="1"/>
  <c r="H31" i="1" s="1"/>
  <c r="E32" i="1" s="1"/>
  <c r="F32" i="2" l="1"/>
  <c r="H32" i="2" s="1"/>
  <c r="E33" i="2" s="1"/>
  <c r="G32" i="1"/>
  <c r="H32" i="1" s="1"/>
  <c r="E33" i="1" s="1"/>
  <c r="H33" i="2" l="1"/>
  <c r="E34" i="2" s="1"/>
  <c r="F33" i="2"/>
  <c r="G33" i="1"/>
  <c r="H33" i="1" s="1"/>
  <c r="E34" i="1" s="1"/>
  <c r="H34" i="2" l="1"/>
  <c r="E35" i="2" s="1"/>
  <c r="F34" i="2"/>
  <c r="G34" i="1"/>
  <c r="H34" i="1" s="1"/>
  <c r="F35" i="2" l="1"/>
  <c r="H35" i="2" s="1"/>
  <c r="E36" i="2" s="1"/>
  <c r="H36" i="2" l="1"/>
  <c r="E37" i="2" s="1"/>
  <c r="F36" i="2"/>
  <c r="F37" i="2" l="1"/>
  <c r="H37" i="2"/>
  <c r="E38" i="2" s="1"/>
  <c r="F38" i="2" l="1"/>
  <c r="H38" i="2" s="1"/>
  <c r="E39" i="2" s="1"/>
  <c r="F39" i="2" l="1"/>
  <c r="H39" i="2" s="1"/>
  <c r="E40" i="2" s="1"/>
  <c r="F40" i="2" l="1"/>
  <c r="H40" i="2"/>
  <c r="E41" i="2" s="1"/>
  <c r="F41" i="2" l="1"/>
  <c r="H41" i="2" s="1"/>
  <c r="E42" i="2" s="1"/>
  <c r="F42" i="2" l="1"/>
  <c r="H42" i="2"/>
  <c r="E43" i="2" s="1"/>
  <c r="F43" i="2" l="1"/>
  <c r="H43" i="2" s="1"/>
  <c r="E44" i="2" s="1"/>
  <c r="H44" i="2" l="1"/>
  <c r="E45" i="2" s="1"/>
  <c r="F44" i="2"/>
  <c r="F45" i="2" l="1"/>
  <c r="H45" i="2" s="1"/>
  <c r="E46" i="2" s="1"/>
  <c r="F46" i="2" l="1"/>
  <c r="H46" i="2" s="1"/>
  <c r="E47" i="2" s="1"/>
  <c r="F47" i="2" l="1"/>
  <c r="H47" i="2" s="1"/>
  <c r="E48" i="2" s="1"/>
  <c r="F48" i="2" l="1"/>
  <c r="H48" i="2" s="1"/>
  <c r="E49" i="2" s="1"/>
  <c r="F49" i="2" l="1"/>
  <c r="H49" i="2"/>
  <c r="E50" i="2" s="1"/>
  <c r="H50" i="2" l="1"/>
  <c r="E51" i="2" s="1"/>
  <c r="F50" i="2"/>
  <c r="F51" i="2" l="1"/>
  <c r="H51" i="2" s="1"/>
  <c r="E52" i="2" s="1"/>
  <c r="F52" i="2" l="1"/>
  <c r="H52" i="2"/>
  <c r="E53" i="2" s="1"/>
  <c r="F53" i="2" l="1"/>
  <c r="H53" i="2" s="1"/>
  <c r="E54" i="2" s="1"/>
  <c r="F54" i="2" l="1"/>
  <c r="H54" i="2" s="1"/>
  <c r="E55" i="2" s="1"/>
  <c r="F55" i="2" l="1"/>
  <c r="H55" i="2" s="1"/>
  <c r="E56" i="2" s="1"/>
  <c r="F56" i="2" l="1"/>
  <c r="H56" i="2" l="1"/>
  <c r="E57" i="2" s="1"/>
  <c r="F57" i="2" l="1"/>
  <c r="H57" i="2" s="1"/>
  <c r="E58" i="2" s="1"/>
  <c r="F58" i="2" l="1"/>
  <c r="H58" i="2" s="1"/>
  <c r="E59" i="2" s="1"/>
  <c r="F59" i="2" l="1"/>
  <c r="H59" i="2"/>
  <c r="E60" i="2" s="1"/>
  <c r="F60" i="2" l="1"/>
  <c r="H60" i="2" s="1"/>
  <c r="E61" i="2" s="1"/>
  <c r="F61" i="2" l="1"/>
  <c r="H61" i="2"/>
  <c r="E62" i="2" s="1"/>
  <c r="F62" i="2" l="1"/>
  <c r="H62" i="2" s="1"/>
  <c r="E63" i="2" s="1"/>
  <c r="H63" i="2" l="1"/>
  <c r="F63" i="2"/>
  <c r="H14" i="2" s="1"/>
  <c r="H15" i="2" s="1"/>
  <c r="E64" i="2" l="1"/>
  <c r="J14" i="2"/>
  <c r="J15" i="2" l="1"/>
  <c r="F64" i="2"/>
  <c r="H64" i="2"/>
  <c r="E65" i="2" s="1"/>
  <c r="F65" i="2" l="1"/>
  <c r="H65" i="2" s="1"/>
  <c r="E66" i="2" s="1"/>
  <c r="F66" i="2" l="1"/>
  <c r="H66" i="2"/>
  <c r="E67" i="2" s="1"/>
  <c r="F67" i="2" l="1"/>
  <c r="H67" i="2" s="1"/>
  <c r="E68" i="2" s="1"/>
  <c r="F68" i="2" l="1"/>
  <c r="H68" i="2" s="1"/>
  <c r="E69" i="2" s="1"/>
  <c r="H69" i="2" l="1"/>
  <c r="E70" i="2" s="1"/>
  <c r="F69" i="2"/>
  <c r="F70" i="2" l="1"/>
  <c r="H70" i="2" s="1"/>
  <c r="E71" i="2" s="1"/>
  <c r="F71" i="2" l="1"/>
  <c r="H71" i="2" s="1"/>
  <c r="E72" i="2" s="1"/>
  <c r="F72" i="2" l="1"/>
  <c r="H72" i="2" s="1"/>
  <c r="E73" i="2" s="1"/>
  <c r="F73" i="2" l="1"/>
  <c r="H73" i="2"/>
  <c r="E74" i="2" s="1"/>
  <c r="F74" i="2" l="1"/>
  <c r="H74" i="2" s="1"/>
  <c r="E75" i="2" s="1"/>
  <c r="H75" i="2" l="1"/>
  <c r="E76" i="2" s="1"/>
  <c r="F75" i="2"/>
  <c r="F76" i="2" l="1"/>
  <c r="H76" i="2"/>
  <c r="E77" i="2" l="1"/>
  <c r="K14" i="2"/>
  <c r="K15" i="2" l="1"/>
  <c r="L14" i="2"/>
  <c r="L15" i="2" s="1"/>
  <c r="F77" i="2"/>
  <c r="H77" i="2" s="1"/>
  <c r="E78" i="2" s="1"/>
  <c r="F78" i="2" l="1"/>
  <c r="H78" i="2" s="1"/>
  <c r="E79" i="2" s="1"/>
  <c r="F79" i="2" l="1"/>
  <c r="H79" i="2" s="1"/>
  <c r="E80" i="2" s="1"/>
  <c r="F80" i="2" l="1"/>
  <c r="H80" i="2" s="1"/>
  <c r="E81" i="2" s="1"/>
  <c r="F81" i="2" l="1"/>
  <c r="H81" i="2" s="1"/>
</calcChain>
</file>

<file path=xl/sharedStrings.xml><?xml version="1.0" encoding="utf-8"?>
<sst xmlns="http://schemas.openxmlformats.org/spreadsheetml/2006/main" count="78" uniqueCount="38">
  <si>
    <t>To verify the lease working of the sample selected</t>
  </si>
  <si>
    <t>Summary</t>
  </si>
  <si>
    <t>Particulars</t>
  </si>
  <si>
    <t>Discount 
Rate</t>
  </si>
  <si>
    <t>Commencement 
Date</t>
  </si>
  <si>
    <t>Expiration 
Date</t>
  </si>
  <si>
    <t>Addition during
FY 2025-26</t>
  </si>
  <si>
    <t>Amortisation during 
FY 2025-26</t>
  </si>
  <si>
    <t>Closing WDV</t>
  </si>
  <si>
    <t>Interest</t>
  </si>
  <si>
    <t>Repayment</t>
  </si>
  <si>
    <t>Closing 
Balance</t>
  </si>
  <si>
    <t>ST</t>
  </si>
  <si>
    <t>LT</t>
  </si>
  <si>
    <t>As per Lease Report</t>
  </si>
  <si>
    <t>As per DHS Working</t>
  </si>
  <si>
    <t>Difference</t>
  </si>
  <si>
    <t>Quarterly Rent (In Advance)</t>
  </si>
  <si>
    <t>&lt;&lt; As per agreement &gt;&gt;</t>
  </si>
  <si>
    <t>Quarterly discount rate</t>
  </si>
  <si>
    <t>&lt;&lt; Link &gt;&gt;</t>
  </si>
  <si>
    <t>No of Quarters</t>
  </si>
  <si>
    <t>&lt;&lt; Formula &gt;&gt;</t>
  </si>
  <si>
    <t>PV of rent payments</t>
  </si>
  <si>
    <t>Right of Use Asset</t>
  </si>
  <si>
    <t>Lease Liability</t>
  </si>
  <si>
    <t xml:space="preserve">From </t>
  </si>
  <si>
    <t>Opening WDV</t>
  </si>
  <si>
    <t>Depreciation</t>
  </si>
  <si>
    <t xml:space="preserve">Closing WDV </t>
  </si>
  <si>
    <t>Opening Liability</t>
  </si>
  <si>
    <t>Closing Lease Liability</t>
  </si>
  <si>
    <t>*Lease was started in FY 23-24. Hence, no addition during the year</t>
  </si>
  <si>
    <t>Monthly Rent</t>
  </si>
  <si>
    <t>Monthly discount rate</t>
  </si>
  <si>
    <t>No of Months</t>
  </si>
  <si>
    <t>Month</t>
  </si>
  <si>
    <t>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</si>
</sst>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(* #,##0.0000_);_(* \(#,##0.0000\);_(* &quot;-&quot;??_);_(@_)"/>
    <numFmt numFmtId="166" formatCode="_(* #,##0_);_(* \(#,##0\);_(* &quot;-&quot;??_);_(@_)"/>
    <numFmt numFmtId="167" formatCode="[$-409]d\-mmm\-yy;@"/>
    <numFmt numFmtId="168" formatCode="mmm/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166" fontId="7" fillId="2" borderId="1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0" fontId="8" fillId="0" borderId="1" xfId="1" applyNumberFormat="1" applyFont="1" applyFill="1" applyBorder="1" applyAlignment="1">
      <alignment vertical="center"/>
    </xf>
    <xf numFmtId="15" fontId="8" fillId="0" borderId="1" xfId="0" applyNumberFormat="1" applyFont="1" applyBorder="1" applyAlignment="1">
      <alignment horizontal="center" vertical="center"/>
    </xf>
    <xf numFmtId="166" fontId="8" fillId="0" borderId="1" xfId="1" applyNumberFormat="1" applyFont="1" applyBorder="1" applyAlignment="1">
      <alignment vertical="center"/>
    </xf>
    <xf numFmtId="166" fontId="8" fillId="0" borderId="1" xfId="1" applyNumberFormat="1" applyFont="1" applyFill="1" applyBorder="1" applyAlignment="1">
      <alignment vertical="center"/>
    </xf>
    <xf numFmtId="10" fontId="1" fillId="0" borderId="2" xfId="0" applyNumberFormat="1" applyFont="1" applyBorder="1"/>
    <xf numFmtId="167" fontId="8" fillId="0" borderId="1" xfId="0" applyNumberFormat="1" applyFont="1" applyBorder="1" applyAlignment="1">
      <alignment horizontal="center" vertical="center"/>
    </xf>
    <xf numFmtId="166" fontId="4" fillId="0" borderId="1" xfId="1" applyNumberFormat="1" applyFont="1" applyBorder="1"/>
    <xf numFmtId="0" fontId="4" fillId="0" borderId="1" xfId="0" applyFont="1" applyBorder="1" applyAlignment="1">
      <alignment horizontal="center"/>
    </xf>
    <xf numFmtId="10" fontId="8" fillId="0" borderId="1" xfId="2" applyNumberFormat="1" applyFont="1" applyBorder="1" applyAlignment="1">
      <alignment vertical="center"/>
    </xf>
    <xf numFmtId="164" fontId="4" fillId="0" borderId="1" xfId="1" applyFont="1" applyBorder="1"/>
    <xf numFmtId="9" fontId="4" fillId="0" borderId="0" xfId="2" applyFont="1"/>
    <xf numFmtId="164" fontId="4" fillId="0" borderId="0" xfId="0" applyNumberFormat="1" applyFont="1"/>
    <xf numFmtId="166" fontId="4" fillId="0" borderId="0" xfId="1" applyNumberFormat="1" applyFont="1"/>
    <xf numFmtId="10" fontId="4" fillId="0" borderId="0" xfId="2" applyNumberFormat="1" applyFont="1"/>
    <xf numFmtId="43" fontId="4" fillId="0" borderId="0" xfId="0" applyNumberFormat="1" applyFont="1"/>
    <xf numFmtId="164" fontId="4" fillId="0" borderId="0" xfId="1" applyFont="1"/>
    <xf numFmtId="4" fontId="0" fillId="0" borderId="0" xfId="0" applyNumberFormat="1"/>
    <xf numFmtId="4" fontId="4" fillId="0" borderId="0" xfId="0" applyNumberFormat="1" applyFont="1"/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/>
    <xf numFmtId="10" fontId="8" fillId="0" borderId="1" xfId="2" applyNumberFormat="1" applyFont="1" applyFill="1" applyBorder="1" applyAlignment="1">
      <alignment vertical="center"/>
    </xf>
    <xf numFmtId="10" fontId="4" fillId="0" borderId="1" xfId="0" applyNumberFormat="1" applyFont="1" applyBorder="1"/>
    <xf numFmtId="14" fontId="4" fillId="0" borderId="0" xfId="0" applyNumberFormat="1" applyFont="1"/>
    <xf numFmtId="166" fontId="4" fillId="5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sharma19\Downloads\GE%20India\ROU%20&amp;%20Lease\IND%20AS%20116%20ROU%20&amp;%20Lease%20WP%2026.xlsx" TargetMode="External"/><Relationship Id="rId1" Type="http://schemas.openxmlformats.org/officeDocument/2006/relationships/externalLinkPath" Target="GE%20India/ROU%20&amp;%20Lease/IND%20AS%20116%20ROU%20&amp;%20Lease%20WP%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sharma19\Downloads\GE%20India\ROU%20&amp;%20Lease\ROU%2023-24\2.%20IND%20AS%20116%20ROU%20&amp;%20Lease.xlsx" TargetMode="External"/><Relationship Id="rId1" Type="http://schemas.openxmlformats.org/officeDocument/2006/relationships/externalLinkPath" Target="GE%20India/ROU%20&amp;%20Lease/ROU%2023-24/2.%20IND%20AS%20116%20ROU%20&amp;%20Le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ope"/>
      <sheetName val="Notes to Account"/>
      <sheetName val="Summary"/>
      <sheetName val="Testing"/>
      <sheetName val="Details 25-26"/>
      <sheetName val="59308"/>
      <sheetName val="57772"/>
      <sheetName val="66353"/>
      <sheetName val="66354"/>
      <sheetName val="56754"/>
      <sheetName val="65449"/>
      <sheetName val="64802"/>
      <sheetName val="64753"/>
      <sheetName val="64754"/>
      <sheetName val="62007"/>
      <sheetName val="60756"/>
      <sheetName val="59268"/>
      <sheetName val="53818"/>
      <sheetName val="Wind- Rent Alpha"/>
      <sheetName val="64418-1"/>
      <sheetName val="64418-2"/>
      <sheetName val="64807"/>
      <sheetName val="64806"/>
      <sheetName val="64797"/>
      <sheetName val="60014"/>
      <sheetName val="63100"/>
      <sheetName val="62561"/>
      <sheetName val="Security Deposit Discounting"/>
      <sheetName val="Rate impact"/>
      <sheetName val="G-Sec 1 Aug"/>
      <sheetName val="G-Sec 1 March"/>
      <sheetName val="G-Sec 29 Sept"/>
      <sheetName val="G Sec 1 Apr"/>
      <sheetName val="G Sec 11 Nov"/>
      <sheetName val="G Sec 1 July"/>
      <sheetName val="G Sec 1 Aug"/>
      <sheetName val="MUS Sample Additions"/>
    </sheetNames>
    <sheetDataSet>
      <sheetData sheetId="0">
        <row r="5">
          <cell r="A5" t="str">
            <v xml:space="preserve">Purpose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ope"/>
      <sheetName val="Notes to Account"/>
      <sheetName val="Summary"/>
      <sheetName val="Lease Schedule"/>
      <sheetName val="Sheet1"/>
      <sheetName val="Rate impact"/>
      <sheetName val="Testing"/>
      <sheetName val="63100"/>
      <sheetName val="60014"/>
      <sheetName val="62561"/>
      <sheetName val="57769"/>
      <sheetName val="38190"/>
      <sheetName val="62782"/>
      <sheetName val="59950"/>
      <sheetName val="G-Sec 1 March"/>
      <sheetName val="G-Sec 1 Aug"/>
      <sheetName val="G-Sec 29 Sept"/>
      <sheetName val="MUS Sample Addition"/>
      <sheetName val="MUS Sample Deletions"/>
      <sheetName val="MUS Sample Transfer"/>
    </sheetNames>
    <sheetDataSet>
      <sheetData sheetId="0">
        <row r="1">
          <cell r="A1" t="str">
            <v xml:space="preserve">Deloitte Haskins &amp; Sells </v>
          </cell>
        </row>
        <row r="6">
          <cell r="A6" t="str">
            <v xml:space="preserve">Purpose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E2A6-6514-4BDB-AC90-7C5E24D5EABF}">
  <sheetPr>
    <tabColor rgb="FF92D050"/>
  </sheetPr>
  <dimension ref="A1:L81"/>
  <sheetViews>
    <sheetView showGridLines="0" tabSelected="1" workbookViewId="0">
      <selection activeCell="A5" sqref="A1:A5"/>
    </sheetView>
  </sheetViews>
  <sheetFormatPr defaultColWidth="8.796875" defaultRowHeight="13.3" x14ac:dyDescent="0.3"/>
  <cols>
    <col min="1" max="1" width="19.19921875" style="2" customWidth="1"/>
    <col min="2" max="2" width="16.19921875" style="2" bestFit="1" customWidth="1"/>
    <col min="3" max="3" width="19.59765625" style="2" customWidth="1"/>
    <col min="4" max="4" width="19.19921875" style="2" bestFit="1" customWidth="1"/>
    <col min="5" max="5" width="19.796875" style="2" bestFit="1" customWidth="1"/>
    <col min="6" max="6" width="16.796875" style="2" bestFit="1" customWidth="1"/>
    <col min="7" max="7" width="13.796875" style="2" bestFit="1" customWidth="1"/>
    <col min="8" max="8" width="17.3984375" style="2" bestFit="1" customWidth="1"/>
    <col min="9" max="9" width="12.796875" style="2" bestFit="1" customWidth="1"/>
    <col min="10" max="10" width="13.796875" style="2" bestFit="1" customWidth="1"/>
    <col min="11" max="12" width="12.796875" style="2" bestFit="1" customWidth="1"/>
    <col min="13" max="16384" width="8.796875" style="2"/>
  </cols>
  <sheetData>
    <row r="1" spans="1:12" x14ac:dyDescent="0.3">
      <c r="A1" s="1"/>
    </row>
    <row r="2" spans="1:12" x14ac:dyDescent="0.3">
      <c r="A2" s="1"/>
    </row>
    <row r="3" spans="1:12" x14ac:dyDescent="0.3">
      <c r="A3" s="1"/>
    </row>
    <row r="4" spans="1:12" x14ac:dyDescent="0.3">
      <c r="A4" s="1"/>
    </row>
    <row r="5" spans="1:12" x14ac:dyDescent="0.3">
      <c r="A5" s="1"/>
    </row>
    <row r="6" spans="1:12" x14ac:dyDescent="0.3">
      <c r="A6" s="1" t="str">
        <f>[2]Scope!A6</f>
        <v xml:space="preserve">Purpose </v>
      </c>
    </row>
    <row r="7" spans="1:12" x14ac:dyDescent="0.3">
      <c r="A7" s="3" t="s">
        <v>0</v>
      </c>
    </row>
    <row r="10" spans="1:12" x14ac:dyDescent="0.3">
      <c r="A10" s="1" t="s">
        <v>1</v>
      </c>
    </row>
    <row r="11" spans="1:12" x14ac:dyDescent="0.3">
      <c r="B11" s="4" t="s">
        <v>20</v>
      </c>
      <c r="C11" s="4" t="s">
        <v>18</v>
      </c>
      <c r="D11" s="4" t="s">
        <v>18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2" ht="34.1" customHeight="1" x14ac:dyDescent="0.3">
      <c r="A12" s="5" t="s">
        <v>2</v>
      </c>
      <c r="B12" s="6" t="s">
        <v>3</v>
      </c>
      <c r="C12" s="7" t="s">
        <v>4</v>
      </c>
      <c r="D12" s="7" t="s">
        <v>5</v>
      </c>
      <c r="E12" s="8" t="s">
        <v>6</v>
      </c>
      <c r="F12" s="8" t="s">
        <v>7</v>
      </c>
      <c r="G12" s="8" t="s">
        <v>11</v>
      </c>
      <c r="H12" s="8" t="s">
        <v>9</v>
      </c>
      <c r="I12" s="8" t="s">
        <v>10</v>
      </c>
      <c r="J12" s="8" t="s">
        <v>11</v>
      </c>
      <c r="K12" s="8" t="s">
        <v>12</v>
      </c>
      <c r="L12" s="8" t="s">
        <v>13</v>
      </c>
    </row>
    <row r="13" spans="1:12" x14ac:dyDescent="0.3">
      <c r="A13" s="9" t="s">
        <v>14</v>
      </c>
      <c r="B13" s="10">
        <v>5.1214999999999997E-2</v>
      </c>
      <c r="C13" s="11">
        <v>44926</v>
      </c>
      <c r="D13" s="11">
        <v>46691</v>
      </c>
      <c r="E13" s="12">
        <v>0</v>
      </c>
      <c r="F13" s="12">
        <v>6558072.7200000025</v>
      </c>
      <c r="G13" s="13">
        <v>10383615.079999994</v>
      </c>
      <c r="H13" s="12">
        <v>720542.53</v>
      </c>
      <c r="I13" s="12">
        <v>7279309.3200000012</v>
      </c>
      <c r="J13" s="12">
        <v>11095180.960000001</v>
      </c>
      <c r="K13" s="12">
        <v>6902672.25</v>
      </c>
      <c r="L13" s="12">
        <v>4192508.51</v>
      </c>
    </row>
    <row r="14" spans="1:12" x14ac:dyDescent="0.3">
      <c r="A14" s="9" t="s">
        <v>15</v>
      </c>
      <c r="B14" s="34">
        <v>5.1214999999999997E-2</v>
      </c>
      <c r="C14" s="15">
        <v>44926</v>
      </c>
      <c r="D14" s="15">
        <v>46691</v>
      </c>
      <c r="E14" s="12">
        <v>0</v>
      </c>
      <c r="F14" s="12">
        <f>SUM(C52:C63)</f>
        <v>6436214.8018581448</v>
      </c>
      <c r="G14" s="13">
        <f>D63</f>
        <v>9654322.2027871981</v>
      </c>
      <c r="H14" s="12">
        <f>SUM(F52:F63)</f>
        <v>720542.52991354757</v>
      </c>
      <c r="I14" s="12">
        <f>-SUM(G52:G63)</f>
        <v>7279309.3200000012</v>
      </c>
      <c r="J14" s="13">
        <f>H63</f>
        <v>10488571.660596324</v>
      </c>
      <c r="K14" s="16">
        <f>H63-H76</f>
        <v>7493977.0125828758</v>
      </c>
      <c r="L14" s="16">
        <f>J14-K14</f>
        <v>2994594.6480134483</v>
      </c>
    </row>
    <row r="15" spans="1:12" x14ac:dyDescent="0.3">
      <c r="A15" s="17" t="s">
        <v>16</v>
      </c>
      <c r="B15" s="35">
        <f>B13-B14</f>
        <v>0</v>
      </c>
      <c r="C15" s="16">
        <f t="shared" ref="C15:L15" si="0">C13-C14</f>
        <v>0</v>
      </c>
      <c r="D15" s="16">
        <f>D13-D14</f>
        <v>0</v>
      </c>
      <c r="E15" s="16">
        <f t="shared" si="0"/>
        <v>0</v>
      </c>
      <c r="F15" s="16">
        <f>F13-F14</f>
        <v>121857.91814185772</v>
      </c>
      <c r="G15" s="16">
        <f>G13-G14</f>
        <v>729292.87721279636</v>
      </c>
      <c r="H15" s="16">
        <f>H13-H14</f>
        <v>8.6452462710440159E-5</v>
      </c>
      <c r="I15" s="16">
        <f>I13-I14</f>
        <v>0</v>
      </c>
      <c r="J15" s="16">
        <f>J13-J14</f>
        <v>606609.29940367676</v>
      </c>
      <c r="K15" s="16">
        <f t="shared" si="0"/>
        <v>-591304.76258287579</v>
      </c>
      <c r="L15" s="16">
        <f t="shared" si="0"/>
        <v>1197913.8619865514</v>
      </c>
    </row>
    <row r="16" spans="1:12" x14ac:dyDescent="0.3">
      <c r="A16" s="1" t="s">
        <v>32</v>
      </c>
      <c r="D16" s="36"/>
      <c r="E16" s="36"/>
      <c r="F16" s="36"/>
    </row>
    <row r="18" spans="1:8" x14ac:dyDescent="0.3">
      <c r="A18" s="1" t="s">
        <v>33</v>
      </c>
      <c r="B18" s="37">
        <v>606609.11</v>
      </c>
      <c r="C18" s="4" t="s">
        <v>18</v>
      </c>
      <c r="D18" s="25"/>
    </row>
    <row r="19" spans="1:8" x14ac:dyDescent="0.3">
      <c r="A19" s="1" t="s">
        <v>34</v>
      </c>
      <c r="B19" s="23">
        <f>B14/12</f>
        <v>4.2679166666666664E-3</v>
      </c>
      <c r="C19" s="4" t="s">
        <v>20</v>
      </c>
      <c r="D19" s="21"/>
    </row>
    <row r="20" spans="1:8" x14ac:dyDescent="0.3">
      <c r="A20" s="1" t="s">
        <v>35</v>
      </c>
      <c r="B20" s="22">
        <f>ROUND(((D14-C14)/30.5),0)</f>
        <v>58</v>
      </c>
      <c r="C20" s="4" t="s">
        <v>22</v>
      </c>
    </row>
    <row r="21" spans="1:8" x14ac:dyDescent="0.3">
      <c r="A21" s="1" t="s">
        <v>23</v>
      </c>
      <c r="B21" s="22">
        <f>-PV(B19,B20,B18)</f>
        <v>31108371.542314362</v>
      </c>
      <c r="C21" s="4" t="s">
        <v>22</v>
      </c>
    </row>
    <row r="23" spans="1:8" x14ac:dyDescent="0.3">
      <c r="A23" s="5" t="s">
        <v>36</v>
      </c>
      <c r="B23" s="30" t="s">
        <v>27</v>
      </c>
      <c r="C23" s="30" t="s">
        <v>37</v>
      </c>
      <c r="D23" s="30" t="s">
        <v>29</v>
      </c>
      <c r="E23" s="30" t="s">
        <v>30</v>
      </c>
      <c r="F23" s="30" t="s">
        <v>9</v>
      </c>
      <c r="G23" s="30" t="s">
        <v>10</v>
      </c>
      <c r="H23" s="30" t="s">
        <v>31</v>
      </c>
    </row>
    <row r="24" spans="1:8" x14ac:dyDescent="0.3">
      <c r="A24" s="32">
        <v>44896</v>
      </c>
      <c r="B24" s="33">
        <f>$B$21</f>
        <v>31108371.542314362</v>
      </c>
      <c r="C24" s="16">
        <f>$B$21/$B$20</f>
        <v>536351.2334881787</v>
      </c>
      <c r="D24" s="33">
        <f t="shared" ref="D24:D81" si="1">B24-C24</f>
        <v>30572020.308826182</v>
      </c>
      <c r="E24" s="33">
        <f>$B$21</f>
        <v>31108371.542314362</v>
      </c>
      <c r="F24" s="33">
        <f t="shared" ref="F24:F81" si="2">E24*$B$19</f>
        <v>132767.93737830251</v>
      </c>
      <c r="G24" s="33">
        <f t="shared" ref="G24:G81" si="3">-$B$18</f>
        <v>-606609.11</v>
      </c>
      <c r="H24" s="33">
        <f t="shared" ref="H24:H81" si="4">SUM(E24:G24)</f>
        <v>30634530.369692665</v>
      </c>
    </row>
    <row r="25" spans="1:8" x14ac:dyDescent="0.3">
      <c r="A25" s="32">
        <v>44927</v>
      </c>
      <c r="B25" s="33">
        <f>D24</f>
        <v>30572020.308826182</v>
      </c>
      <c r="C25" s="16">
        <f t="shared" ref="C25:C81" si="5">$B$21/$B$20</f>
        <v>536351.2334881787</v>
      </c>
      <c r="D25" s="33">
        <f t="shared" si="1"/>
        <v>30035669.075338002</v>
      </c>
      <c r="E25" s="33">
        <f>H24</f>
        <v>30634530.369692665</v>
      </c>
      <c r="F25" s="33">
        <f t="shared" si="2"/>
        <v>130745.62274031747</v>
      </c>
      <c r="G25" s="33">
        <f t="shared" si="3"/>
        <v>-606609.11</v>
      </c>
      <c r="H25" s="33">
        <f t="shared" si="4"/>
        <v>30158666.882432982</v>
      </c>
    </row>
    <row r="26" spans="1:8" x14ac:dyDescent="0.3">
      <c r="A26" s="32">
        <v>44958</v>
      </c>
      <c r="B26" s="33">
        <f t="shared" ref="B26:B81" si="6">D25</f>
        <v>30035669.075338002</v>
      </c>
      <c r="C26" s="16">
        <f t="shared" si="5"/>
        <v>536351.2334881787</v>
      </c>
      <c r="D26" s="33">
        <f t="shared" si="1"/>
        <v>29499317.841849823</v>
      </c>
      <c r="E26" s="33">
        <f t="shared" ref="E26:E81" si="7">H25</f>
        <v>30158666.882432982</v>
      </c>
      <c r="F26" s="33">
        <f t="shared" si="2"/>
        <v>128714.67703198375</v>
      </c>
      <c r="G26" s="33">
        <f t="shared" si="3"/>
        <v>-606609.11</v>
      </c>
      <c r="H26" s="33">
        <f t="shared" si="4"/>
        <v>29680772.449464966</v>
      </c>
    </row>
    <row r="27" spans="1:8" x14ac:dyDescent="0.3">
      <c r="A27" s="32">
        <v>44986</v>
      </c>
      <c r="B27" s="33">
        <f t="shared" si="6"/>
        <v>29499317.841849823</v>
      </c>
      <c r="C27" s="16">
        <f t="shared" si="5"/>
        <v>536351.2334881787</v>
      </c>
      <c r="D27" s="33">
        <f t="shared" si="1"/>
        <v>28962966.608361643</v>
      </c>
      <c r="E27" s="33">
        <f t="shared" si="7"/>
        <v>29680772.449464966</v>
      </c>
      <c r="F27" s="33">
        <f t="shared" si="2"/>
        <v>126675.06341661235</v>
      </c>
      <c r="G27" s="33">
        <f t="shared" si="3"/>
        <v>-606609.11</v>
      </c>
      <c r="H27" s="33">
        <f t="shared" si="4"/>
        <v>29200838.402881578</v>
      </c>
    </row>
    <row r="28" spans="1:8" x14ac:dyDescent="0.3">
      <c r="A28" s="32">
        <v>45017</v>
      </c>
      <c r="B28" s="33">
        <f t="shared" si="6"/>
        <v>28962966.608361643</v>
      </c>
      <c r="C28" s="16">
        <f t="shared" si="5"/>
        <v>536351.2334881787</v>
      </c>
      <c r="D28" s="33">
        <f t="shared" si="1"/>
        <v>28426615.374873463</v>
      </c>
      <c r="E28" s="33">
        <f t="shared" si="7"/>
        <v>29200838.402881578</v>
      </c>
      <c r="F28" s="33">
        <f t="shared" si="2"/>
        <v>124626.74490029832</v>
      </c>
      <c r="G28" s="33">
        <f t="shared" si="3"/>
        <v>-606609.11</v>
      </c>
      <c r="H28" s="33">
        <f t="shared" si="4"/>
        <v>28718856.037781876</v>
      </c>
    </row>
    <row r="29" spans="1:8" x14ac:dyDescent="0.3">
      <c r="A29" s="32">
        <v>45047</v>
      </c>
      <c r="B29" s="33">
        <f t="shared" si="6"/>
        <v>28426615.374873463</v>
      </c>
      <c r="C29" s="16">
        <f t="shared" si="5"/>
        <v>536351.2334881787</v>
      </c>
      <c r="D29" s="33">
        <f t="shared" si="1"/>
        <v>27890264.141385283</v>
      </c>
      <c r="E29" s="33">
        <f t="shared" si="7"/>
        <v>28718856.037781876</v>
      </c>
      <c r="F29" s="33">
        <f t="shared" si="2"/>
        <v>122569.68433124988</v>
      </c>
      <c r="G29" s="33">
        <f t="shared" si="3"/>
        <v>-606609.11</v>
      </c>
      <c r="H29" s="33">
        <f t="shared" si="4"/>
        <v>28234816.612113126</v>
      </c>
    </row>
    <row r="30" spans="1:8" x14ac:dyDescent="0.3">
      <c r="A30" s="32">
        <v>45078</v>
      </c>
      <c r="B30" s="33">
        <f t="shared" si="6"/>
        <v>27890264.141385283</v>
      </c>
      <c r="C30" s="16">
        <f t="shared" si="5"/>
        <v>536351.2334881787</v>
      </c>
      <c r="D30" s="33">
        <f t="shared" si="1"/>
        <v>27353912.907897104</v>
      </c>
      <c r="E30" s="33">
        <f t="shared" si="7"/>
        <v>28234816.612113126</v>
      </c>
      <c r="F30" s="33">
        <f t="shared" si="2"/>
        <v>120503.84439911447</v>
      </c>
      <c r="G30" s="33">
        <f t="shared" si="3"/>
        <v>-606609.11</v>
      </c>
      <c r="H30" s="33">
        <f t="shared" si="4"/>
        <v>27748711.346512239</v>
      </c>
    </row>
    <row r="31" spans="1:8" x14ac:dyDescent="0.3">
      <c r="A31" s="32">
        <v>45108</v>
      </c>
      <c r="B31" s="33">
        <f t="shared" si="6"/>
        <v>27353912.907897104</v>
      </c>
      <c r="C31" s="16">
        <f t="shared" si="5"/>
        <v>536351.2334881787</v>
      </c>
      <c r="D31" s="33">
        <f t="shared" si="1"/>
        <v>26817561.674408924</v>
      </c>
      <c r="E31" s="33">
        <f t="shared" si="7"/>
        <v>27748711.346512239</v>
      </c>
      <c r="F31" s="33">
        <f t="shared" si="2"/>
        <v>118429.18763430203</v>
      </c>
      <c r="G31" s="33">
        <f t="shared" si="3"/>
        <v>-606609.11</v>
      </c>
      <c r="H31" s="33">
        <f t="shared" si="4"/>
        <v>27260531.42414654</v>
      </c>
    </row>
    <row r="32" spans="1:8" x14ac:dyDescent="0.3">
      <c r="A32" s="32">
        <v>45139</v>
      </c>
      <c r="B32" s="33">
        <f t="shared" si="6"/>
        <v>26817561.674408924</v>
      </c>
      <c r="C32" s="16">
        <f t="shared" si="5"/>
        <v>536351.2334881787</v>
      </c>
      <c r="D32" s="33">
        <f t="shared" si="1"/>
        <v>26281210.440920744</v>
      </c>
      <c r="E32" s="33">
        <f t="shared" si="7"/>
        <v>27260531.42414654</v>
      </c>
      <c r="F32" s="33">
        <f t="shared" si="2"/>
        <v>116345.67640730542</v>
      </c>
      <c r="G32" s="33">
        <f t="shared" si="3"/>
        <v>-606609.11</v>
      </c>
      <c r="H32" s="33">
        <f t="shared" si="4"/>
        <v>26770267.990553845</v>
      </c>
    </row>
    <row r="33" spans="1:8" x14ac:dyDescent="0.3">
      <c r="A33" s="32">
        <v>45170</v>
      </c>
      <c r="B33" s="33">
        <f t="shared" si="6"/>
        <v>26281210.440920744</v>
      </c>
      <c r="C33" s="16">
        <f t="shared" si="5"/>
        <v>536351.2334881787</v>
      </c>
      <c r="D33" s="33">
        <f t="shared" si="1"/>
        <v>25744859.207432564</v>
      </c>
      <c r="E33" s="33">
        <f t="shared" si="7"/>
        <v>26770267.990553845</v>
      </c>
      <c r="F33" s="33">
        <f t="shared" si="2"/>
        <v>114253.27292801792</v>
      </c>
      <c r="G33" s="33">
        <f t="shared" si="3"/>
        <v>-606609.11</v>
      </c>
      <c r="H33" s="33">
        <f t="shared" si="4"/>
        <v>26277912.153481863</v>
      </c>
    </row>
    <row r="34" spans="1:8" x14ac:dyDescent="0.3">
      <c r="A34" s="32">
        <v>45200</v>
      </c>
      <c r="B34" s="33">
        <f t="shared" si="6"/>
        <v>25744859.207432564</v>
      </c>
      <c r="C34" s="16">
        <f t="shared" si="5"/>
        <v>536351.2334881787</v>
      </c>
      <c r="D34" s="33">
        <f t="shared" si="1"/>
        <v>25208507.973944385</v>
      </c>
      <c r="E34" s="33">
        <f t="shared" si="7"/>
        <v>26277912.153481863</v>
      </c>
      <c r="F34" s="33">
        <f t="shared" si="2"/>
        <v>112151.93924504779</v>
      </c>
      <c r="G34" s="33">
        <f t="shared" si="3"/>
        <v>-606609.11</v>
      </c>
      <c r="H34" s="33">
        <f t="shared" si="4"/>
        <v>25783454.982726913</v>
      </c>
    </row>
    <row r="35" spans="1:8" x14ac:dyDescent="0.3">
      <c r="A35" s="32">
        <v>45231</v>
      </c>
      <c r="B35" s="33">
        <f t="shared" si="6"/>
        <v>25208507.973944385</v>
      </c>
      <c r="C35" s="16">
        <f t="shared" si="5"/>
        <v>536351.2334881787</v>
      </c>
      <c r="D35" s="33">
        <f t="shared" si="1"/>
        <v>24672156.740456205</v>
      </c>
      <c r="E35" s="33">
        <f t="shared" si="7"/>
        <v>25783454.982726913</v>
      </c>
      <c r="F35" s="33">
        <f t="shared" si="2"/>
        <v>110041.63724502989</v>
      </c>
      <c r="G35" s="33">
        <f t="shared" si="3"/>
        <v>-606609.11</v>
      </c>
      <c r="H35" s="33">
        <f t="shared" si="4"/>
        <v>25286887.509971943</v>
      </c>
    </row>
    <row r="36" spans="1:8" x14ac:dyDescent="0.3">
      <c r="A36" s="32">
        <v>45261</v>
      </c>
      <c r="B36" s="33">
        <f t="shared" si="6"/>
        <v>24672156.740456205</v>
      </c>
      <c r="C36" s="16">
        <f t="shared" si="5"/>
        <v>536351.2334881787</v>
      </c>
      <c r="D36" s="33">
        <f t="shared" si="1"/>
        <v>24135805.506968025</v>
      </c>
      <c r="E36" s="33">
        <f t="shared" si="7"/>
        <v>25286887.509971943</v>
      </c>
      <c r="F36" s="33">
        <f t="shared" si="2"/>
        <v>107922.32865193441</v>
      </c>
      <c r="G36" s="33">
        <f t="shared" si="3"/>
        <v>-606609.11</v>
      </c>
      <c r="H36" s="33">
        <f t="shared" si="4"/>
        <v>24788200.728623878</v>
      </c>
    </row>
    <row r="37" spans="1:8" x14ac:dyDescent="0.3">
      <c r="A37" s="32">
        <v>45292</v>
      </c>
      <c r="B37" s="33">
        <f t="shared" si="6"/>
        <v>24135805.506968025</v>
      </c>
      <c r="C37" s="16">
        <f t="shared" si="5"/>
        <v>536351.2334881787</v>
      </c>
      <c r="D37" s="33">
        <f t="shared" si="1"/>
        <v>23599454.273479845</v>
      </c>
      <c r="E37" s="33">
        <f t="shared" si="7"/>
        <v>24788200.728623878</v>
      </c>
      <c r="F37" s="33">
        <f t="shared" si="2"/>
        <v>105793.97502637266</v>
      </c>
      <c r="G37" s="33">
        <f t="shared" si="3"/>
        <v>-606609.11</v>
      </c>
      <c r="H37" s="33">
        <f t="shared" si="4"/>
        <v>24287385.593650252</v>
      </c>
    </row>
    <row r="38" spans="1:8" x14ac:dyDescent="0.3">
      <c r="A38" s="32">
        <v>45323</v>
      </c>
      <c r="B38" s="33">
        <f t="shared" si="6"/>
        <v>23599454.273479845</v>
      </c>
      <c r="C38" s="16">
        <f t="shared" si="5"/>
        <v>536351.2334881787</v>
      </c>
      <c r="D38" s="33">
        <f t="shared" si="1"/>
        <v>23063103.039991666</v>
      </c>
      <c r="E38" s="33">
        <f t="shared" si="7"/>
        <v>24287385.593650252</v>
      </c>
      <c r="F38" s="33">
        <f t="shared" si="2"/>
        <v>103656.5377648998</v>
      </c>
      <c r="G38" s="33">
        <f t="shared" si="3"/>
        <v>-606609.11</v>
      </c>
      <c r="H38" s="33">
        <f t="shared" si="4"/>
        <v>23784433.021415152</v>
      </c>
    </row>
    <row r="39" spans="1:8" x14ac:dyDescent="0.3">
      <c r="A39" s="32">
        <v>45352</v>
      </c>
      <c r="B39" s="33">
        <f t="shared" si="6"/>
        <v>23063103.039991666</v>
      </c>
      <c r="C39" s="16">
        <f t="shared" si="5"/>
        <v>536351.2334881787</v>
      </c>
      <c r="D39" s="33">
        <f t="shared" si="1"/>
        <v>22526751.806503486</v>
      </c>
      <c r="E39" s="33">
        <f t="shared" si="7"/>
        <v>23784433.021415152</v>
      </c>
      <c r="F39" s="33">
        <f t="shared" si="2"/>
        <v>101509.97809931474</v>
      </c>
      <c r="G39" s="33">
        <f t="shared" si="3"/>
        <v>-606609.11</v>
      </c>
      <c r="H39" s="33">
        <f t="shared" si="4"/>
        <v>23279333.889514469</v>
      </c>
    </row>
    <row r="40" spans="1:8" x14ac:dyDescent="0.3">
      <c r="A40" s="32">
        <v>45383</v>
      </c>
      <c r="B40" s="33">
        <f t="shared" si="6"/>
        <v>22526751.806503486</v>
      </c>
      <c r="C40" s="16">
        <f t="shared" si="5"/>
        <v>536351.2334881787</v>
      </c>
      <c r="D40" s="33">
        <f t="shared" si="1"/>
        <v>21990400.573015306</v>
      </c>
      <c r="E40" s="33">
        <f t="shared" si="7"/>
        <v>23279333.889514469</v>
      </c>
      <c r="F40" s="33">
        <f t="shared" si="2"/>
        <v>99354.257095956957</v>
      </c>
      <c r="G40" s="33">
        <f t="shared" si="3"/>
        <v>-606609.11</v>
      </c>
      <c r="H40" s="33">
        <f t="shared" si="4"/>
        <v>22772079.036610425</v>
      </c>
    </row>
    <row r="41" spans="1:8" x14ac:dyDescent="0.3">
      <c r="A41" s="32">
        <v>45413</v>
      </c>
      <c r="B41" s="33">
        <f t="shared" si="6"/>
        <v>21990400.573015306</v>
      </c>
      <c r="C41" s="16">
        <f t="shared" si="5"/>
        <v>536351.2334881787</v>
      </c>
      <c r="D41" s="33">
        <f t="shared" si="1"/>
        <v>21454049.339527126</v>
      </c>
      <c r="E41" s="33">
        <f t="shared" si="7"/>
        <v>22772079.036610425</v>
      </c>
      <c r="F41" s="33">
        <f t="shared" si="2"/>
        <v>97189.335655000235</v>
      </c>
      <c r="G41" s="33">
        <f t="shared" si="3"/>
        <v>-606609.11</v>
      </c>
      <c r="H41" s="33">
        <f t="shared" si="4"/>
        <v>22262659.262265425</v>
      </c>
    </row>
    <row r="42" spans="1:8" x14ac:dyDescent="0.3">
      <c r="A42" s="32">
        <v>45444</v>
      </c>
      <c r="B42" s="33">
        <f t="shared" si="6"/>
        <v>21454049.339527126</v>
      </c>
      <c r="C42" s="16">
        <f t="shared" si="5"/>
        <v>536351.2334881787</v>
      </c>
      <c r="D42" s="33">
        <f t="shared" si="1"/>
        <v>20917698.106038947</v>
      </c>
      <c r="E42" s="33">
        <f t="shared" si="7"/>
        <v>22262659.262265425</v>
      </c>
      <c r="F42" s="33">
        <f t="shared" si="2"/>
        <v>95015.174509743636</v>
      </c>
      <c r="G42" s="33">
        <f t="shared" si="3"/>
        <v>-606609.11</v>
      </c>
      <c r="H42" s="33">
        <f t="shared" si="4"/>
        <v>21751065.326775171</v>
      </c>
    </row>
    <row r="43" spans="1:8" x14ac:dyDescent="0.3">
      <c r="A43" s="32">
        <v>45474</v>
      </c>
      <c r="B43" s="33">
        <f t="shared" si="6"/>
        <v>20917698.106038947</v>
      </c>
      <c r="C43" s="16">
        <f t="shared" si="5"/>
        <v>536351.2334881787</v>
      </c>
      <c r="D43" s="33">
        <f t="shared" si="1"/>
        <v>20381346.872550767</v>
      </c>
      <c r="E43" s="33">
        <f t="shared" si="7"/>
        <v>21751065.326775171</v>
      </c>
      <c r="F43" s="33">
        <f t="shared" si="2"/>
        <v>92831.734225899185</v>
      </c>
      <c r="G43" s="33">
        <f t="shared" si="3"/>
        <v>-606609.11</v>
      </c>
      <c r="H43" s="33">
        <f t="shared" si="4"/>
        <v>21237287.95100107</v>
      </c>
    </row>
    <row r="44" spans="1:8" x14ac:dyDescent="0.3">
      <c r="A44" s="32">
        <v>45505</v>
      </c>
      <c r="B44" s="33">
        <f t="shared" si="6"/>
        <v>20381346.872550767</v>
      </c>
      <c r="C44" s="16">
        <f t="shared" si="5"/>
        <v>536351.2334881787</v>
      </c>
      <c r="D44" s="33">
        <f t="shared" si="1"/>
        <v>19844995.639062587</v>
      </c>
      <c r="E44" s="33">
        <f t="shared" si="7"/>
        <v>21237287.95100107</v>
      </c>
      <c r="F44" s="33">
        <f t="shared" si="2"/>
        <v>90638.975200876652</v>
      </c>
      <c r="G44" s="33">
        <f t="shared" si="3"/>
        <v>-606609.11</v>
      </c>
      <c r="H44" s="33">
        <f t="shared" si="4"/>
        <v>20721317.816201948</v>
      </c>
    </row>
    <row r="45" spans="1:8" x14ac:dyDescent="0.3">
      <c r="A45" s="32">
        <v>45536</v>
      </c>
      <c r="B45" s="33">
        <f t="shared" si="6"/>
        <v>19844995.639062587</v>
      </c>
      <c r="C45" s="16">
        <f t="shared" si="5"/>
        <v>536351.2334881787</v>
      </c>
      <c r="D45" s="33">
        <f t="shared" si="1"/>
        <v>19308644.405574407</v>
      </c>
      <c r="E45" s="33">
        <f t="shared" si="7"/>
        <v>20721317.816201948</v>
      </c>
      <c r="F45" s="33">
        <f t="shared" si="2"/>
        <v>88436.857663065224</v>
      </c>
      <c r="G45" s="33">
        <f t="shared" si="3"/>
        <v>-606609.11</v>
      </c>
      <c r="H45" s="33">
        <f t="shared" si="4"/>
        <v>20203145.563865013</v>
      </c>
    </row>
    <row r="46" spans="1:8" x14ac:dyDescent="0.3">
      <c r="A46" s="32">
        <v>45566</v>
      </c>
      <c r="B46" s="33">
        <f t="shared" si="6"/>
        <v>19308644.405574407</v>
      </c>
      <c r="C46" s="16">
        <f t="shared" si="5"/>
        <v>536351.2334881787</v>
      </c>
      <c r="D46" s="33">
        <f t="shared" si="1"/>
        <v>18772293.172086228</v>
      </c>
      <c r="E46" s="33">
        <f t="shared" si="7"/>
        <v>20203145.563865013</v>
      </c>
      <c r="F46" s="33">
        <f t="shared" si="2"/>
        <v>86225.341671112212</v>
      </c>
      <c r="G46" s="33">
        <f t="shared" si="3"/>
        <v>-606609.11</v>
      </c>
      <c r="H46" s="33">
        <f t="shared" si="4"/>
        <v>19682761.795536127</v>
      </c>
    </row>
    <row r="47" spans="1:8" x14ac:dyDescent="0.3">
      <c r="A47" s="32">
        <v>45597</v>
      </c>
      <c r="B47" s="33">
        <f t="shared" si="6"/>
        <v>18772293.172086228</v>
      </c>
      <c r="C47" s="16">
        <f t="shared" si="5"/>
        <v>536351.2334881787</v>
      </c>
      <c r="D47" s="33">
        <f t="shared" si="1"/>
        <v>18235941.938598048</v>
      </c>
      <c r="E47" s="33">
        <f t="shared" si="7"/>
        <v>19682761.795536127</v>
      </c>
      <c r="F47" s="33">
        <f t="shared" si="2"/>
        <v>84004.387113198551</v>
      </c>
      <c r="G47" s="33">
        <f t="shared" si="3"/>
        <v>-606609.11</v>
      </c>
      <c r="H47" s="33">
        <f t="shared" si="4"/>
        <v>19160157.072649326</v>
      </c>
    </row>
    <row r="48" spans="1:8" x14ac:dyDescent="0.3">
      <c r="A48" s="32">
        <v>45627</v>
      </c>
      <c r="B48" s="33">
        <f t="shared" si="6"/>
        <v>18235941.938598048</v>
      </c>
      <c r="C48" s="16">
        <f t="shared" si="5"/>
        <v>536351.2334881787</v>
      </c>
      <c r="D48" s="33">
        <f t="shared" si="1"/>
        <v>17699590.705109868</v>
      </c>
      <c r="E48" s="33">
        <f t="shared" si="7"/>
        <v>19160157.072649326</v>
      </c>
      <c r="F48" s="33">
        <f t="shared" si="2"/>
        <v>81773.953706311266</v>
      </c>
      <c r="G48" s="33">
        <f t="shared" si="3"/>
        <v>-606609.11</v>
      </c>
      <c r="H48" s="33">
        <f t="shared" si="4"/>
        <v>18635321.91635564</v>
      </c>
    </row>
    <row r="49" spans="1:8" x14ac:dyDescent="0.3">
      <c r="A49" s="32">
        <v>45658</v>
      </c>
      <c r="B49" s="33">
        <f t="shared" si="6"/>
        <v>17699590.705109868</v>
      </c>
      <c r="C49" s="16">
        <f t="shared" si="5"/>
        <v>536351.2334881787</v>
      </c>
      <c r="D49" s="33">
        <f t="shared" si="1"/>
        <v>17163239.471621688</v>
      </c>
      <c r="E49" s="33">
        <f t="shared" si="7"/>
        <v>18635321.91635564</v>
      </c>
      <c r="F49" s="33">
        <f t="shared" si="2"/>
        <v>79534.000995512833</v>
      </c>
      <c r="G49" s="33">
        <f t="shared" si="3"/>
        <v>-606609.11</v>
      </c>
      <c r="H49" s="33">
        <f t="shared" si="4"/>
        <v>18108246.807351153</v>
      </c>
    </row>
    <row r="50" spans="1:8" x14ac:dyDescent="0.3">
      <c r="A50" s="32">
        <v>45689</v>
      </c>
      <c r="B50" s="33">
        <f t="shared" si="6"/>
        <v>17163239.471621688</v>
      </c>
      <c r="C50" s="16">
        <f t="shared" si="5"/>
        <v>536351.2334881787</v>
      </c>
      <c r="D50" s="33">
        <f t="shared" si="1"/>
        <v>16626888.238133511</v>
      </c>
      <c r="E50" s="33">
        <f t="shared" si="7"/>
        <v>18108246.807351153</v>
      </c>
      <c r="F50" s="33">
        <f t="shared" si="2"/>
        <v>77284.488353207431</v>
      </c>
      <c r="G50" s="33">
        <f t="shared" si="3"/>
        <v>-606609.11</v>
      </c>
      <c r="H50" s="33">
        <f t="shared" si="4"/>
        <v>17578922.185704362</v>
      </c>
    </row>
    <row r="51" spans="1:8" x14ac:dyDescent="0.3">
      <c r="A51" s="32">
        <v>45717</v>
      </c>
      <c r="B51" s="33">
        <f t="shared" si="6"/>
        <v>16626888.238133511</v>
      </c>
      <c r="C51" s="16">
        <f t="shared" si="5"/>
        <v>536351.2334881787</v>
      </c>
      <c r="D51" s="33">
        <f t="shared" si="1"/>
        <v>16090537.004645333</v>
      </c>
      <c r="E51" s="33">
        <f t="shared" si="7"/>
        <v>17578922.185704362</v>
      </c>
      <c r="F51" s="33">
        <f t="shared" si="2"/>
        <v>75025.37497840407</v>
      </c>
      <c r="G51" s="33">
        <f t="shared" si="3"/>
        <v>-606609.11</v>
      </c>
      <c r="H51" s="33">
        <f t="shared" si="4"/>
        <v>17047338.450682767</v>
      </c>
    </row>
    <row r="52" spans="1:8" x14ac:dyDescent="0.3">
      <c r="A52" s="32">
        <v>45748</v>
      </c>
      <c r="B52" s="33">
        <f t="shared" si="6"/>
        <v>16090537.004645333</v>
      </c>
      <c r="C52" s="16">
        <f t="shared" si="5"/>
        <v>536351.2334881787</v>
      </c>
      <c r="D52" s="33">
        <f t="shared" si="1"/>
        <v>15554185.771157155</v>
      </c>
      <c r="E52" s="33">
        <f t="shared" si="7"/>
        <v>17047338.450682767</v>
      </c>
      <c r="F52" s="33">
        <f t="shared" si="2"/>
        <v>72756.619895976488</v>
      </c>
      <c r="G52" s="33">
        <f t="shared" si="3"/>
        <v>-606609.11</v>
      </c>
      <c r="H52" s="33">
        <f t="shared" si="4"/>
        <v>16513485.960578743</v>
      </c>
    </row>
    <row r="53" spans="1:8" x14ac:dyDescent="0.3">
      <c r="A53" s="32">
        <v>45778</v>
      </c>
      <c r="B53" s="33">
        <f t="shared" si="6"/>
        <v>15554185.771157155</v>
      </c>
      <c r="C53" s="16">
        <f t="shared" si="5"/>
        <v>536351.2334881787</v>
      </c>
      <c r="D53" s="33">
        <f t="shared" si="1"/>
        <v>15017834.537668977</v>
      </c>
      <c r="E53" s="33">
        <f t="shared" si="7"/>
        <v>16513485.960578743</v>
      </c>
      <c r="F53" s="33">
        <f t="shared" si="2"/>
        <v>70478.181955920023</v>
      </c>
      <c r="G53" s="33">
        <f t="shared" si="3"/>
        <v>-606609.11</v>
      </c>
      <c r="H53" s="33">
        <f t="shared" si="4"/>
        <v>15977355.032534664</v>
      </c>
    </row>
    <row r="54" spans="1:8" x14ac:dyDescent="0.3">
      <c r="A54" s="32">
        <v>45809</v>
      </c>
      <c r="B54" s="33">
        <f t="shared" si="6"/>
        <v>15017834.537668977</v>
      </c>
      <c r="C54" s="16">
        <f t="shared" si="5"/>
        <v>536351.2334881787</v>
      </c>
      <c r="D54" s="33">
        <f t="shared" si="1"/>
        <v>14481483.304180799</v>
      </c>
      <c r="E54" s="33">
        <f t="shared" si="7"/>
        <v>15977355.032534664</v>
      </c>
      <c r="F54" s="33">
        <f t="shared" si="2"/>
        <v>68190.019832605234</v>
      </c>
      <c r="G54" s="33">
        <f t="shared" si="3"/>
        <v>-606609.11</v>
      </c>
      <c r="H54" s="33">
        <f t="shared" si="4"/>
        <v>15438935.942367271</v>
      </c>
    </row>
    <row r="55" spans="1:8" x14ac:dyDescent="0.3">
      <c r="A55" s="32">
        <v>45839</v>
      </c>
      <c r="B55" s="33">
        <f t="shared" si="6"/>
        <v>14481483.304180799</v>
      </c>
      <c r="C55" s="16">
        <f t="shared" si="5"/>
        <v>536351.2334881787</v>
      </c>
      <c r="D55" s="33">
        <f t="shared" si="1"/>
        <v>13945132.070692621</v>
      </c>
      <c r="E55" s="33">
        <f t="shared" si="7"/>
        <v>15438935.942367271</v>
      </c>
      <c r="F55" s="33">
        <f t="shared" si="2"/>
        <v>65892.092024028316</v>
      </c>
      <c r="G55" s="33">
        <f t="shared" si="3"/>
        <v>-606609.11</v>
      </c>
      <c r="H55" s="33">
        <f t="shared" si="4"/>
        <v>14898218.924391299</v>
      </c>
    </row>
    <row r="56" spans="1:8" x14ac:dyDescent="0.3">
      <c r="A56" s="32">
        <v>45870</v>
      </c>
      <c r="B56" s="33">
        <f t="shared" si="6"/>
        <v>13945132.070692621</v>
      </c>
      <c r="C56" s="16">
        <f t="shared" si="5"/>
        <v>536351.2334881787</v>
      </c>
      <c r="D56" s="33">
        <f t="shared" si="1"/>
        <v>13408780.837204443</v>
      </c>
      <c r="E56" s="33">
        <f t="shared" si="7"/>
        <v>14898218.924391299</v>
      </c>
      <c r="F56" s="33">
        <f t="shared" si="2"/>
        <v>63584.356851058365</v>
      </c>
      <c r="G56" s="33">
        <f t="shared" si="3"/>
        <v>-606609.11</v>
      </c>
      <c r="H56" s="33">
        <f t="shared" si="4"/>
        <v>14355194.171242358</v>
      </c>
    </row>
    <row r="57" spans="1:8" x14ac:dyDescent="0.3">
      <c r="A57" s="32">
        <v>45901</v>
      </c>
      <c r="B57" s="33">
        <f t="shared" si="6"/>
        <v>13408780.837204443</v>
      </c>
      <c r="C57" s="16">
        <f t="shared" si="5"/>
        <v>536351.2334881787</v>
      </c>
      <c r="D57" s="33">
        <f t="shared" si="1"/>
        <v>12872429.603716265</v>
      </c>
      <c r="E57" s="33">
        <f t="shared" si="7"/>
        <v>14355194.171242358</v>
      </c>
      <c r="F57" s="33">
        <f t="shared" si="2"/>
        <v>61266.772456681443</v>
      </c>
      <c r="G57" s="33">
        <f t="shared" si="3"/>
        <v>-606609.11</v>
      </c>
      <c r="H57" s="33">
        <f t="shared" si="4"/>
        <v>13809851.83369904</v>
      </c>
    </row>
    <row r="58" spans="1:8" x14ac:dyDescent="0.3">
      <c r="A58" s="32">
        <v>45931</v>
      </c>
      <c r="B58" s="33">
        <f t="shared" si="6"/>
        <v>12872429.603716265</v>
      </c>
      <c r="C58" s="16">
        <f t="shared" si="5"/>
        <v>536351.2334881787</v>
      </c>
      <c r="D58" s="33">
        <f t="shared" si="1"/>
        <v>12336078.370228088</v>
      </c>
      <c r="E58" s="33">
        <f t="shared" si="7"/>
        <v>13809851.83369904</v>
      </c>
      <c r="F58" s="33">
        <f t="shared" si="2"/>
        <v>58939.296805241356</v>
      </c>
      <c r="G58" s="33">
        <f t="shared" si="3"/>
        <v>-606609.11</v>
      </c>
      <c r="H58" s="33">
        <f t="shared" si="4"/>
        <v>13262182.020504283</v>
      </c>
    </row>
    <row r="59" spans="1:8" x14ac:dyDescent="0.3">
      <c r="A59" s="32">
        <v>45962</v>
      </c>
      <c r="B59" s="33">
        <f t="shared" si="6"/>
        <v>12336078.370228088</v>
      </c>
      <c r="C59" s="16">
        <f t="shared" si="5"/>
        <v>536351.2334881787</v>
      </c>
      <c r="D59" s="33">
        <f t="shared" si="1"/>
        <v>11799727.13673991</v>
      </c>
      <c r="E59" s="33">
        <f t="shared" si="7"/>
        <v>13262182.020504283</v>
      </c>
      <c r="F59" s="33">
        <f t="shared" si="2"/>
        <v>56601.887681677232</v>
      </c>
      <c r="G59" s="33">
        <f t="shared" si="3"/>
        <v>-606609.11</v>
      </c>
      <c r="H59" s="33">
        <f t="shared" si="4"/>
        <v>12712174.798185961</v>
      </c>
    </row>
    <row r="60" spans="1:8" x14ac:dyDescent="0.3">
      <c r="A60" s="32">
        <v>45992</v>
      </c>
      <c r="B60" s="33">
        <f t="shared" si="6"/>
        <v>11799727.13673991</v>
      </c>
      <c r="C60" s="16">
        <f t="shared" si="5"/>
        <v>536351.2334881787</v>
      </c>
      <c r="D60" s="33">
        <f t="shared" si="1"/>
        <v>11263375.903251732</v>
      </c>
      <c r="E60" s="33">
        <f t="shared" si="7"/>
        <v>12712174.798185961</v>
      </c>
      <c r="F60" s="33">
        <f t="shared" si="2"/>
        <v>54254.502690757829</v>
      </c>
      <c r="G60" s="33">
        <f t="shared" si="3"/>
        <v>-606609.11</v>
      </c>
      <c r="H60" s="33">
        <f t="shared" si="4"/>
        <v>12159820.19087672</v>
      </c>
    </row>
    <row r="61" spans="1:8" x14ac:dyDescent="0.3">
      <c r="A61" s="32">
        <v>46023</v>
      </c>
      <c r="B61" s="33">
        <f t="shared" si="6"/>
        <v>11263375.903251732</v>
      </c>
      <c r="C61" s="16">
        <f t="shared" si="5"/>
        <v>536351.2334881787</v>
      </c>
      <c r="D61" s="33">
        <f t="shared" si="1"/>
        <v>10727024.669763554</v>
      </c>
      <c r="E61" s="33">
        <f t="shared" si="7"/>
        <v>12159820.19087672</v>
      </c>
      <c r="F61" s="33">
        <f t="shared" si="2"/>
        <v>51897.099256312598</v>
      </c>
      <c r="G61" s="33">
        <f t="shared" si="3"/>
        <v>-606609.11</v>
      </c>
      <c r="H61" s="33">
        <f t="shared" si="4"/>
        <v>11605108.180133034</v>
      </c>
    </row>
    <row r="62" spans="1:8" x14ac:dyDescent="0.3">
      <c r="A62" s="32">
        <v>46054</v>
      </c>
      <c r="B62" s="33">
        <f t="shared" si="6"/>
        <v>10727024.669763554</v>
      </c>
      <c r="C62" s="16">
        <f t="shared" si="5"/>
        <v>536351.2334881787</v>
      </c>
      <c r="D62" s="33">
        <f t="shared" si="1"/>
        <v>10190673.436275376</v>
      </c>
      <c r="E62" s="33">
        <f t="shared" si="7"/>
        <v>11605108.180133034</v>
      </c>
      <c r="F62" s="33">
        <f t="shared" si="2"/>
        <v>49529.634620459437</v>
      </c>
      <c r="G62" s="33">
        <f t="shared" si="3"/>
        <v>-606609.11</v>
      </c>
      <c r="H62" s="33">
        <f t="shared" si="4"/>
        <v>11048028.704753494</v>
      </c>
    </row>
    <row r="63" spans="1:8" x14ac:dyDescent="0.3">
      <c r="A63" s="32">
        <v>46082</v>
      </c>
      <c r="B63" s="33">
        <f t="shared" si="6"/>
        <v>10190673.436275376</v>
      </c>
      <c r="C63" s="16">
        <f t="shared" si="5"/>
        <v>536351.2334881787</v>
      </c>
      <c r="D63" s="33">
        <f t="shared" si="1"/>
        <v>9654322.2027871981</v>
      </c>
      <c r="E63" s="33">
        <f t="shared" si="7"/>
        <v>11048028.704753494</v>
      </c>
      <c r="F63" s="33">
        <f t="shared" si="2"/>
        <v>47152.065842829179</v>
      </c>
      <c r="G63" s="33">
        <f t="shared" si="3"/>
        <v>-606609.11</v>
      </c>
      <c r="H63" s="33">
        <f t="shared" si="4"/>
        <v>10488571.660596324</v>
      </c>
    </row>
    <row r="64" spans="1:8" x14ac:dyDescent="0.3">
      <c r="A64" s="32">
        <v>46113</v>
      </c>
      <c r="B64" s="33">
        <f t="shared" si="6"/>
        <v>9654322.2027871981</v>
      </c>
      <c r="C64" s="16">
        <f t="shared" si="5"/>
        <v>536351.2334881787</v>
      </c>
      <c r="D64" s="33">
        <f t="shared" si="1"/>
        <v>9117970.9692990202</v>
      </c>
      <c r="E64" s="33">
        <f t="shared" si="7"/>
        <v>10488571.660596324</v>
      </c>
      <c r="F64" s="33">
        <f t="shared" si="2"/>
        <v>44764.349799786723</v>
      </c>
      <c r="G64" s="33">
        <f t="shared" si="3"/>
        <v>-606609.11</v>
      </c>
      <c r="H64" s="33">
        <f t="shared" si="4"/>
        <v>9926726.9003961124</v>
      </c>
    </row>
    <row r="65" spans="1:8" x14ac:dyDescent="0.3">
      <c r="A65" s="32">
        <v>46143</v>
      </c>
      <c r="B65" s="33">
        <f t="shared" si="6"/>
        <v>9117970.9692990202</v>
      </c>
      <c r="C65" s="16">
        <f t="shared" si="5"/>
        <v>536351.2334881787</v>
      </c>
      <c r="D65" s="33">
        <f t="shared" si="1"/>
        <v>8581619.7358108424</v>
      </c>
      <c r="E65" s="33">
        <f t="shared" si="7"/>
        <v>9926726.9003961124</v>
      </c>
      <c r="F65" s="33">
        <f t="shared" si="2"/>
        <v>42366.443183648902</v>
      </c>
      <c r="G65" s="33">
        <f t="shared" si="3"/>
        <v>-606609.11</v>
      </c>
      <c r="H65" s="33">
        <f t="shared" si="4"/>
        <v>9362484.2335797623</v>
      </c>
    </row>
    <row r="66" spans="1:8" x14ac:dyDescent="0.3">
      <c r="A66" s="32">
        <v>46174</v>
      </c>
      <c r="B66" s="33">
        <f t="shared" si="6"/>
        <v>8581619.7358108424</v>
      </c>
      <c r="C66" s="16">
        <f t="shared" si="5"/>
        <v>536351.2334881787</v>
      </c>
      <c r="D66" s="33">
        <f t="shared" si="1"/>
        <v>8045268.5023226636</v>
      </c>
      <c r="E66" s="33">
        <f t="shared" si="7"/>
        <v>9362484.2335797623</v>
      </c>
      <c r="F66" s="33">
        <f t="shared" si="2"/>
        <v>39958.302501898957</v>
      </c>
      <c r="G66" s="33">
        <f t="shared" si="3"/>
        <v>-606609.11</v>
      </c>
      <c r="H66" s="33">
        <f t="shared" si="4"/>
        <v>8795833.4260816611</v>
      </c>
    </row>
    <row r="67" spans="1:8" x14ac:dyDescent="0.3">
      <c r="A67" s="32">
        <v>46204</v>
      </c>
      <c r="B67" s="33">
        <f t="shared" si="6"/>
        <v>8045268.5023226636</v>
      </c>
      <c r="C67" s="16">
        <f t="shared" si="5"/>
        <v>536351.2334881787</v>
      </c>
      <c r="D67" s="33">
        <f t="shared" si="1"/>
        <v>7508917.2688344847</v>
      </c>
      <c r="E67" s="33">
        <f t="shared" si="7"/>
        <v>8795833.4260816611</v>
      </c>
      <c r="F67" s="33">
        <f t="shared" si="2"/>
        <v>37539.884076397684</v>
      </c>
      <c r="G67" s="33">
        <f t="shared" si="3"/>
        <v>-606609.11</v>
      </c>
      <c r="H67" s="33">
        <f t="shared" si="4"/>
        <v>8226764.2001580587</v>
      </c>
    </row>
    <row r="68" spans="1:8" x14ac:dyDescent="0.3">
      <c r="A68" s="32">
        <v>46235</v>
      </c>
      <c r="B68" s="33">
        <f t="shared" si="6"/>
        <v>7508917.2688344847</v>
      </c>
      <c r="C68" s="16">
        <f t="shared" si="5"/>
        <v>536351.2334881787</v>
      </c>
      <c r="D68" s="33">
        <f t="shared" si="1"/>
        <v>6972566.0353463059</v>
      </c>
      <c r="E68" s="33">
        <f t="shared" si="7"/>
        <v>8226764.2001580587</v>
      </c>
      <c r="F68" s="33">
        <f t="shared" si="2"/>
        <v>35111.144042591244</v>
      </c>
      <c r="G68" s="33">
        <f t="shared" si="3"/>
        <v>-606609.11</v>
      </c>
      <c r="H68" s="33">
        <f t="shared" si="4"/>
        <v>7655266.2342006499</v>
      </c>
    </row>
    <row r="69" spans="1:8" x14ac:dyDescent="0.3">
      <c r="A69" s="32">
        <v>46266</v>
      </c>
      <c r="B69" s="33">
        <f t="shared" si="6"/>
        <v>6972566.0353463059</v>
      </c>
      <c r="C69" s="16">
        <f t="shared" si="5"/>
        <v>536351.2334881787</v>
      </c>
      <c r="D69" s="33">
        <f t="shared" si="1"/>
        <v>6436214.8018581271</v>
      </c>
      <c r="E69" s="33">
        <f t="shared" si="7"/>
        <v>7655266.2342006499</v>
      </c>
      <c r="F69" s="33">
        <f t="shared" si="2"/>
        <v>32672.038348715523</v>
      </c>
      <c r="G69" s="33">
        <f t="shared" si="3"/>
        <v>-606609.11</v>
      </c>
      <c r="H69" s="33">
        <f t="shared" si="4"/>
        <v>7081329.1625493653</v>
      </c>
    </row>
    <row r="70" spans="1:8" x14ac:dyDescent="0.3">
      <c r="A70" s="32">
        <v>46296</v>
      </c>
      <c r="B70" s="33">
        <f t="shared" si="6"/>
        <v>6436214.8018581271</v>
      </c>
      <c r="C70" s="16">
        <f t="shared" si="5"/>
        <v>536351.2334881787</v>
      </c>
      <c r="D70" s="33">
        <f t="shared" si="1"/>
        <v>5899863.5683699483</v>
      </c>
      <c r="E70" s="33">
        <f t="shared" si="7"/>
        <v>7081329.1625493653</v>
      </c>
      <c r="F70" s="33">
        <f t="shared" si="2"/>
        <v>30222.522754997142</v>
      </c>
      <c r="G70" s="33">
        <f t="shared" si="3"/>
        <v>-606609.11</v>
      </c>
      <c r="H70" s="33">
        <f t="shared" si="4"/>
        <v>6504942.575304362</v>
      </c>
    </row>
    <row r="71" spans="1:8" x14ac:dyDescent="0.3">
      <c r="A71" s="32">
        <v>46327</v>
      </c>
      <c r="B71" s="33">
        <f t="shared" si="6"/>
        <v>5899863.5683699483</v>
      </c>
      <c r="C71" s="16">
        <f t="shared" si="5"/>
        <v>536351.2334881787</v>
      </c>
      <c r="D71" s="33">
        <f t="shared" si="1"/>
        <v>5363512.3348817695</v>
      </c>
      <c r="E71" s="33">
        <f t="shared" si="7"/>
        <v>6504942.575304362</v>
      </c>
      <c r="F71" s="33">
        <f t="shared" si="2"/>
        <v>27762.552832851074</v>
      </c>
      <c r="G71" s="33">
        <f t="shared" si="3"/>
        <v>-606609.11</v>
      </c>
      <c r="H71" s="33">
        <f t="shared" si="4"/>
        <v>5926096.0181372128</v>
      </c>
    </row>
    <row r="72" spans="1:8" x14ac:dyDescent="0.3">
      <c r="A72" s="32">
        <v>46357</v>
      </c>
      <c r="B72" s="33">
        <f t="shared" si="6"/>
        <v>5363512.3348817695</v>
      </c>
      <c r="C72" s="16">
        <f t="shared" si="5"/>
        <v>536351.2334881787</v>
      </c>
      <c r="D72" s="33">
        <f t="shared" si="1"/>
        <v>4827161.1013935907</v>
      </c>
      <c r="E72" s="33">
        <f t="shared" si="7"/>
        <v>5926096.0181372128</v>
      </c>
      <c r="F72" s="33">
        <f t="shared" si="2"/>
        <v>25292.083964074776</v>
      </c>
      <c r="G72" s="33">
        <f t="shared" si="3"/>
        <v>-606609.11</v>
      </c>
      <c r="H72" s="33">
        <f t="shared" si="4"/>
        <v>5344778.9921012875</v>
      </c>
    </row>
    <row r="73" spans="1:8" x14ac:dyDescent="0.3">
      <c r="A73" s="32">
        <v>46388</v>
      </c>
      <c r="B73" s="33">
        <f t="shared" si="6"/>
        <v>4827161.1013935907</v>
      </c>
      <c r="C73" s="16">
        <f t="shared" si="5"/>
        <v>536351.2334881787</v>
      </c>
      <c r="D73" s="33">
        <f t="shared" si="1"/>
        <v>4290809.8679054119</v>
      </c>
      <c r="E73" s="33">
        <f t="shared" si="7"/>
        <v>5344778.9921012875</v>
      </c>
      <c r="F73" s="33">
        <f t="shared" si="2"/>
        <v>22811.07134003895</v>
      </c>
      <c r="G73" s="33">
        <f t="shared" si="3"/>
        <v>-606609.11</v>
      </c>
      <c r="H73" s="33">
        <f t="shared" si="4"/>
        <v>4760980.9534413265</v>
      </c>
    </row>
    <row r="74" spans="1:8" x14ac:dyDescent="0.3">
      <c r="A74" s="32">
        <v>46419</v>
      </c>
      <c r="B74" s="33">
        <f t="shared" si="6"/>
        <v>4290809.8679054119</v>
      </c>
      <c r="C74" s="16">
        <f t="shared" si="5"/>
        <v>536351.2334881787</v>
      </c>
      <c r="D74" s="33">
        <f t="shared" si="1"/>
        <v>3754458.6344172331</v>
      </c>
      <c r="E74" s="33">
        <f t="shared" si="7"/>
        <v>4760980.9534413265</v>
      </c>
      <c r="F74" s="33">
        <f t="shared" si="2"/>
        <v>20319.469960874794</v>
      </c>
      <c r="G74" s="33">
        <f t="shared" si="3"/>
        <v>-606609.11</v>
      </c>
      <c r="H74" s="33">
        <f t="shared" si="4"/>
        <v>4174691.3134022015</v>
      </c>
    </row>
    <row r="75" spans="1:8" x14ac:dyDescent="0.3">
      <c r="A75" s="32">
        <v>46447</v>
      </c>
      <c r="B75" s="33">
        <f t="shared" si="6"/>
        <v>3754458.6344172331</v>
      </c>
      <c r="C75" s="16">
        <f t="shared" si="5"/>
        <v>536351.2334881787</v>
      </c>
      <c r="D75" s="33">
        <f t="shared" si="1"/>
        <v>3218107.4009290542</v>
      </c>
      <c r="E75" s="33">
        <f t="shared" si="7"/>
        <v>4174691.3134022015</v>
      </c>
      <c r="F75" s="33">
        <f t="shared" si="2"/>
        <v>17817.234634657812</v>
      </c>
      <c r="G75" s="33">
        <f t="shared" si="3"/>
        <v>-606609.11</v>
      </c>
      <c r="H75" s="33">
        <f t="shared" si="4"/>
        <v>3585899.4380368595</v>
      </c>
    </row>
    <row r="76" spans="1:8" x14ac:dyDescent="0.3">
      <c r="A76" s="32">
        <v>46478</v>
      </c>
      <c r="B76" s="33">
        <f t="shared" si="6"/>
        <v>3218107.4009290542</v>
      </c>
      <c r="C76" s="16">
        <f t="shared" si="5"/>
        <v>536351.2334881787</v>
      </c>
      <c r="D76" s="33">
        <f t="shared" si="1"/>
        <v>2681756.1674408754</v>
      </c>
      <c r="E76" s="33">
        <f t="shared" si="7"/>
        <v>3585899.4380368595</v>
      </c>
      <c r="F76" s="33">
        <f t="shared" si="2"/>
        <v>15304.319976588145</v>
      </c>
      <c r="G76" s="33">
        <f t="shared" si="3"/>
        <v>-606609.11</v>
      </c>
      <c r="H76" s="33">
        <f t="shared" si="4"/>
        <v>2994594.6480134479</v>
      </c>
    </row>
    <row r="77" spans="1:8" x14ac:dyDescent="0.3">
      <c r="A77" s="32">
        <v>46508</v>
      </c>
      <c r="B77" s="33">
        <f t="shared" si="6"/>
        <v>2681756.1674408754</v>
      </c>
      <c r="C77" s="16">
        <f t="shared" si="5"/>
        <v>536351.2334881787</v>
      </c>
      <c r="D77" s="33">
        <f t="shared" si="1"/>
        <v>2145404.9339526966</v>
      </c>
      <c r="E77" s="33">
        <f t="shared" si="7"/>
        <v>2994594.6480134479</v>
      </c>
      <c r="F77" s="33">
        <f t="shared" si="2"/>
        <v>12780.680408167394</v>
      </c>
      <c r="G77" s="33">
        <f t="shared" si="3"/>
        <v>-606609.11</v>
      </c>
      <c r="H77" s="33">
        <f t="shared" si="4"/>
        <v>2400766.2184216152</v>
      </c>
    </row>
    <row r="78" spans="1:8" x14ac:dyDescent="0.3">
      <c r="A78" s="32">
        <v>46539</v>
      </c>
      <c r="B78" s="33">
        <f t="shared" si="6"/>
        <v>2145404.9339526966</v>
      </c>
      <c r="C78" s="16">
        <f t="shared" si="5"/>
        <v>536351.2334881787</v>
      </c>
      <c r="D78" s="33">
        <f t="shared" si="1"/>
        <v>1609053.7004645178</v>
      </c>
      <c r="E78" s="33">
        <f t="shared" si="7"/>
        <v>2400766.2184216152</v>
      </c>
      <c r="F78" s="33">
        <f t="shared" si="2"/>
        <v>10246.270156371918</v>
      </c>
      <c r="G78" s="33">
        <f t="shared" si="3"/>
        <v>-606609.11</v>
      </c>
      <c r="H78" s="33">
        <f t="shared" si="4"/>
        <v>1804403.3785779872</v>
      </c>
    </row>
    <row r="79" spans="1:8" x14ac:dyDescent="0.3">
      <c r="A79" s="32">
        <v>46569</v>
      </c>
      <c r="B79" s="33">
        <f t="shared" si="6"/>
        <v>1609053.7004645178</v>
      </c>
      <c r="C79" s="16">
        <f t="shared" si="5"/>
        <v>536351.2334881787</v>
      </c>
      <c r="D79" s="33">
        <f t="shared" si="1"/>
        <v>1072702.466976339</v>
      </c>
      <c r="E79" s="33">
        <f t="shared" si="7"/>
        <v>1804403.3785779872</v>
      </c>
      <c r="F79" s="33">
        <f t="shared" si="2"/>
        <v>7701.0432528226338</v>
      </c>
      <c r="G79" s="33">
        <f t="shared" si="3"/>
        <v>-606609.11</v>
      </c>
      <c r="H79" s="33">
        <f t="shared" si="4"/>
        <v>1205495.3118308098</v>
      </c>
    </row>
    <row r="80" spans="1:8" x14ac:dyDescent="0.3">
      <c r="A80" s="32">
        <v>46600</v>
      </c>
      <c r="B80" s="33">
        <f t="shared" si="6"/>
        <v>1072702.466976339</v>
      </c>
      <c r="C80" s="16">
        <f t="shared" si="5"/>
        <v>536351.2334881787</v>
      </c>
      <c r="D80" s="33">
        <f t="shared" si="1"/>
        <v>536351.2334881603</v>
      </c>
      <c r="E80" s="33">
        <f t="shared" si="7"/>
        <v>1205495.3118308098</v>
      </c>
      <c r="F80" s="33">
        <f t="shared" si="2"/>
        <v>5144.9535329512437</v>
      </c>
      <c r="G80" s="33">
        <f t="shared" si="3"/>
        <v>-606609.11</v>
      </c>
      <c r="H80" s="33">
        <f t="shared" si="4"/>
        <v>604031.155363761</v>
      </c>
    </row>
    <row r="81" spans="1:8" x14ac:dyDescent="0.3">
      <c r="A81" s="32">
        <v>46631</v>
      </c>
      <c r="B81" s="33">
        <f t="shared" si="6"/>
        <v>536351.2334881603</v>
      </c>
      <c r="C81" s="16">
        <f t="shared" si="5"/>
        <v>536351.2334881787</v>
      </c>
      <c r="D81" s="33">
        <f t="shared" si="1"/>
        <v>-1.8393620848655701E-8</v>
      </c>
      <c r="E81" s="33">
        <f t="shared" si="7"/>
        <v>604031.155363761</v>
      </c>
      <c r="F81" s="33">
        <f t="shared" si="2"/>
        <v>2577.9546351629183</v>
      </c>
      <c r="G81" s="33">
        <f t="shared" si="3"/>
        <v>-606609.11</v>
      </c>
      <c r="H81" s="33">
        <f t="shared" si="4"/>
        <v>-1.0760268196463585E-6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A181-DA87-4EA1-A75D-5C5A368F27E6}">
  <dimension ref="A1:O34"/>
  <sheetViews>
    <sheetView showGridLines="0" zoomScale="85" zoomScaleNormal="85" workbookViewId="0">
      <selection activeCell="A3" sqref="A1:A3"/>
    </sheetView>
  </sheetViews>
  <sheetFormatPr defaultColWidth="8.796875" defaultRowHeight="13.3" x14ac:dyDescent="0.3"/>
  <cols>
    <col min="1" max="1" width="26.5" style="2" customWidth="1"/>
    <col min="2" max="2" width="16.796875" style="2" bestFit="1" customWidth="1"/>
    <col min="3" max="4" width="19" style="2" bestFit="1" customWidth="1"/>
    <col min="5" max="6" width="13.796875" style="2" bestFit="1" customWidth="1"/>
    <col min="7" max="7" width="14.796875" style="2" bestFit="1" customWidth="1"/>
    <col min="8" max="9" width="17.5" style="2" bestFit="1" customWidth="1"/>
    <col min="10" max="11" width="11.5" style="2" bestFit="1" customWidth="1"/>
    <col min="12" max="12" width="12.796875" style="2" bestFit="1" customWidth="1"/>
    <col min="13" max="13" width="8.796875" style="2"/>
    <col min="14" max="14" width="10.5" style="2" bestFit="1" customWidth="1"/>
    <col min="15" max="16384" width="8.796875" style="2"/>
  </cols>
  <sheetData>
    <row r="1" spans="1:12" x14ac:dyDescent="0.3">
      <c r="A1" s="1"/>
    </row>
    <row r="2" spans="1:12" x14ac:dyDescent="0.3">
      <c r="A2" s="1"/>
    </row>
    <row r="3" spans="1:12" x14ac:dyDescent="0.3">
      <c r="A3" s="1"/>
    </row>
    <row r="6" spans="1:12" x14ac:dyDescent="0.3">
      <c r="A6" s="1" t="str">
        <f>[1]Scope!A5</f>
        <v xml:space="preserve">Purpose </v>
      </c>
    </row>
    <row r="7" spans="1:12" x14ac:dyDescent="0.3">
      <c r="A7" s="3" t="s">
        <v>0</v>
      </c>
    </row>
    <row r="9" spans="1:12" ht="14.4" x14ac:dyDescent="0.3">
      <c r="F9"/>
    </row>
    <row r="10" spans="1:12" x14ac:dyDescent="0.3">
      <c r="A10" s="1" t="s">
        <v>1</v>
      </c>
    </row>
    <row r="11" spans="1:12" x14ac:dyDescent="0.3">
      <c r="B11" s="4"/>
      <c r="C11" s="4"/>
      <c r="D11" s="4"/>
      <c r="E11" s="4"/>
      <c r="F11" s="4"/>
      <c r="G11" s="4"/>
      <c r="H11" s="4"/>
      <c r="I11" s="4"/>
      <c r="J11" s="4"/>
    </row>
    <row r="12" spans="1:12" ht="43.1" customHeight="1" x14ac:dyDescent="0.3">
      <c r="A12" s="5" t="s">
        <v>2</v>
      </c>
      <c r="B12" s="6" t="s">
        <v>3</v>
      </c>
      <c r="C12" s="7" t="s">
        <v>4</v>
      </c>
      <c r="D12" s="7" t="s">
        <v>5</v>
      </c>
      <c r="E12" s="8" t="s">
        <v>6</v>
      </c>
      <c r="F12" s="8" t="s">
        <v>7</v>
      </c>
      <c r="G12" s="8" t="s">
        <v>8</v>
      </c>
      <c r="H12" s="8" t="s">
        <v>9</v>
      </c>
      <c r="I12" s="8" t="s">
        <v>10</v>
      </c>
      <c r="J12" s="8" t="s">
        <v>11</v>
      </c>
      <c r="K12" s="8" t="s">
        <v>12</v>
      </c>
      <c r="L12" s="8" t="s">
        <v>13</v>
      </c>
    </row>
    <row r="13" spans="1:12" x14ac:dyDescent="0.3">
      <c r="A13" s="9" t="s">
        <v>14</v>
      </c>
      <c r="B13" s="10">
        <v>7.3532E-2</v>
      </c>
      <c r="C13" s="11">
        <v>44805</v>
      </c>
      <c r="D13" s="11">
        <v>46022</v>
      </c>
      <c r="E13" s="12">
        <v>6063067.7999999998</v>
      </c>
      <c r="F13" s="12">
        <v>11099215.039999999</v>
      </c>
      <c r="G13" s="13">
        <v>0</v>
      </c>
      <c r="H13" s="12">
        <v>91040.98</v>
      </c>
      <c r="I13" s="12">
        <v>13560138.59</v>
      </c>
      <c r="J13" s="12">
        <v>0</v>
      </c>
      <c r="K13" s="13">
        <v>0</v>
      </c>
      <c r="L13" s="13">
        <v>0</v>
      </c>
    </row>
    <row r="14" spans="1:12" ht="14.4" x14ac:dyDescent="0.3">
      <c r="A14" s="9" t="s">
        <v>15</v>
      </c>
      <c r="B14" s="14">
        <v>7.3532E-2</v>
      </c>
      <c r="C14" s="15">
        <v>44805</v>
      </c>
      <c r="D14" s="15">
        <v>46022</v>
      </c>
      <c r="E14" s="12">
        <v>0</v>
      </c>
      <c r="F14" s="12"/>
      <c r="G14" s="13"/>
      <c r="H14" s="12"/>
      <c r="I14" s="12"/>
      <c r="J14" s="13"/>
      <c r="K14" s="16"/>
      <c r="L14" s="16"/>
    </row>
    <row r="15" spans="1:12" x14ac:dyDescent="0.3">
      <c r="A15" s="17" t="s">
        <v>16</v>
      </c>
      <c r="B15" s="18">
        <f>B13-B14</f>
        <v>0</v>
      </c>
      <c r="C15" s="19">
        <f t="shared" ref="C15:L15" si="0">C13-C14</f>
        <v>0</v>
      </c>
      <c r="D15" s="19">
        <f t="shared" si="0"/>
        <v>0</v>
      </c>
      <c r="E15" s="16">
        <f t="shared" si="0"/>
        <v>6063067.7999999998</v>
      </c>
      <c r="F15" s="16">
        <f t="shared" si="0"/>
        <v>11099215.039999999</v>
      </c>
      <c r="G15" s="16">
        <f t="shared" si="0"/>
        <v>0</v>
      </c>
      <c r="H15" s="16">
        <f t="shared" si="0"/>
        <v>91040.98</v>
      </c>
      <c r="I15" s="16">
        <f t="shared" si="0"/>
        <v>13560138.59</v>
      </c>
      <c r="J15" s="16">
        <f>J13-J14</f>
        <v>0</v>
      </c>
      <c r="K15" s="16">
        <f t="shared" si="0"/>
        <v>0</v>
      </c>
      <c r="L15" s="16">
        <f t="shared" si="0"/>
        <v>0</v>
      </c>
    </row>
    <row r="16" spans="1:12" x14ac:dyDescent="0.3">
      <c r="B16" s="20"/>
      <c r="C16" s="21"/>
      <c r="E16" s="21"/>
      <c r="G16" s="21"/>
      <c r="H16" s="21"/>
    </row>
    <row r="17" spans="1:15" x14ac:dyDescent="0.3">
      <c r="A17" s="1" t="s">
        <v>17</v>
      </c>
      <c r="B17" s="22">
        <v>4548437.9400000004</v>
      </c>
      <c r="C17" s="4" t="s">
        <v>18</v>
      </c>
      <c r="E17" s="21"/>
      <c r="F17" s="21"/>
      <c r="G17" s="21"/>
      <c r="H17" s="21"/>
      <c r="I17" s="21"/>
      <c r="J17" s="21"/>
    </row>
    <row r="18" spans="1:15" x14ac:dyDescent="0.3">
      <c r="A18" s="1" t="s">
        <v>19</v>
      </c>
      <c r="B18" s="23">
        <f>B14/4</f>
        <v>1.8383E-2</v>
      </c>
      <c r="C18" s="4" t="s">
        <v>20</v>
      </c>
      <c r="F18" s="24"/>
    </row>
    <row r="19" spans="1:15" ht="14.4" x14ac:dyDescent="0.3">
      <c r="A19" s="1" t="s">
        <v>21</v>
      </c>
      <c r="B19" s="25">
        <f>ROUND(((D14-C14)/30.5)/4,0)</f>
        <v>10</v>
      </c>
      <c r="C19" s="4" t="s">
        <v>22</v>
      </c>
      <c r="E19" s="21"/>
      <c r="F19" s="26"/>
      <c r="G19" s="21"/>
    </row>
    <row r="20" spans="1:15" ht="14.4" x14ac:dyDescent="0.3">
      <c r="A20" s="1" t="s">
        <v>23</v>
      </c>
      <c r="B20" s="22">
        <f>-PV(B18,B19,B17,,1)</f>
        <v>41962023.887275405</v>
      </c>
      <c r="C20" s="4" t="s">
        <v>22</v>
      </c>
      <c r="D20" s="27"/>
      <c r="E20" s="21"/>
      <c r="F20" s="26"/>
    </row>
    <row r="21" spans="1:15" x14ac:dyDescent="0.3">
      <c r="A21" s="1"/>
      <c r="B21" s="22"/>
      <c r="C21" s="4"/>
      <c r="E21" s="21"/>
    </row>
    <row r="22" spans="1:15" x14ac:dyDescent="0.3">
      <c r="A22" s="1"/>
      <c r="B22" s="22"/>
      <c r="C22" s="4"/>
      <c r="E22" s="21"/>
    </row>
    <row r="23" spans="1:15" x14ac:dyDescent="0.3">
      <c r="B23" s="28" t="s">
        <v>24</v>
      </c>
      <c r="C23" s="28"/>
      <c r="D23" s="28"/>
      <c r="E23" s="29" t="s">
        <v>25</v>
      </c>
      <c r="F23" s="29"/>
      <c r="G23" s="29"/>
      <c r="H23" s="29"/>
    </row>
    <row r="24" spans="1:15" s="31" customFormat="1" x14ac:dyDescent="0.3">
      <c r="A24" s="5" t="s">
        <v>26</v>
      </c>
      <c r="B24" s="30" t="s">
        <v>27</v>
      </c>
      <c r="C24" s="30" t="s">
        <v>28</v>
      </c>
      <c r="D24" s="30" t="s">
        <v>29</v>
      </c>
      <c r="E24" s="30" t="s">
        <v>30</v>
      </c>
      <c r="F24" s="30" t="s">
        <v>10</v>
      </c>
      <c r="G24" s="30" t="s">
        <v>9</v>
      </c>
      <c r="H24" s="30" t="s">
        <v>31</v>
      </c>
      <c r="I24" s="2"/>
      <c r="J24" s="2"/>
      <c r="K24" s="2"/>
      <c r="L24" s="2"/>
      <c r="M24" s="2"/>
      <c r="N24" s="2"/>
      <c r="O24" s="2"/>
    </row>
    <row r="25" spans="1:15" x14ac:dyDescent="0.3">
      <c r="A25" s="32">
        <v>44805</v>
      </c>
      <c r="B25" s="33">
        <f>B20</f>
        <v>41962023.887275405</v>
      </c>
      <c r="C25" s="16">
        <f>$B$20/$B$19</f>
        <v>4196202.3887275402</v>
      </c>
      <c r="D25" s="33">
        <f>B25-C25</f>
        <v>37765821.498547867</v>
      </c>
      <c r="E25" s="33">
        <f>B25</f>
        <v>41962023.887275405</v>
      </c>
      <c r="F25" s="33">
        <f t="shared" ref="F25:F34" si="1">-$B$17</f>
        <v>-4548437.9400000004</v>
      </c>
      <c r="G25" s="33">
        <f t="shared" ref="G25:G34" si="2">(E25+F25)*$B$18</f>
        <v>687773.95046876383</v>
      </c>
      <c r="H25" s="33">
        <f>E25+F25+G25</f>
        <v>38101359.897744171</v>
      </c>
    </row>
    <row r="26" spans="1:15" x14ac:dyDescent="0.3">
      <c r="A26" s="32">
        <v>44896</v>
      </c>
      <c r="B26" s="33">
        <f t="shared" ref="B26:B34" si="3">D25</f>
        <v>37765821.498547867</v>
      </c>
      <c r="C26" s="16">
        <f t="shared" ref="C26:C34" si="4">$B$20/$B$19</f>
        <v>4196202.3887275402</v>
      </c>
      <c r="D26" s="33">
        <f t="shared" ref="D26:D34" si="5">B26-C26</f>
        <v>33569619.109820329</v>
      </c>
      <c r="E26" s="33">
        <f t="shared" ref="E26:E34" si="6">H25</f>
        <v>38101359.897744171</v>
      </c>
      <c r="F26" s="33">
        <f t="shared" si="1"/>
        <v>-4548437.9400000004</v>
      </c>
      <c r="G26" s="33">
        <f t="shared" si="2"/>
        <v>616803.3643492111</v>
      </c>
      <c r="H26" s="33">
        <f t="shared" ref="H26:H34" si="7">E26+F26+G26</f>
        <v>34169725.322093382</v>
      </c>
    </row>
    <row r="27" spans="1:15" x14ac:dyDescent="0.3">
      <c r="A27" s="32">
        <v>44986</v>
      </c>
      <c r="B27" s="33">
        <f t="shared" si="3"/>
        <v>33569619.109820329</v>
      </c>
      <c r="C27" s="16">
        <f t="shared" si="4"/>
        <v>4196202.3887275402</v>
      </c>
      <c r="D27" s="33">
        <f t="shared" si="5"/>
        <v>29373416.72109279</v>
      </c>
      <c r="E27" s="33">
        <f t="shared" si="6"/>
        <v>34169725.322093382</v>
      </c>
      <c r="F27" s="33">
        <f t="shared" si="1"/>
        <v>-4548437.9400000004</v>
      </c>
      <c r="G27" s="33">
        <f t="shared" si="2"/>
        <v>544528.12594502268</v>
      </c>
      <c r="H27" s="33">
        <f t="shared" si="7"/>
        <v>30165815.508038405</v>
      </c>
    </row>
    <row r="28" spans="1:15" x14ac:dyDescent="0.3">
      <c r="A28" s="32">
        <v>45078</v>
      </c>
      <c r="B28" s="33">
        <f t="shared" si="3"/>
        <v>29373416.72109279</v>
      </c>
      <c r="C28" s="16">
        <f t="shared" si="4"/>
        <v>4196202.3887275402</v>
      </c>
      <c r="D28" s="33">
        <f t="shared" si="5"/>
        <v>25177214.332365252</v>
      </c>
      <c r="E28" s="33">
        <f t="shared" si="6"/>
        <v>30165815.508038405</v>
      </c>
      <c r="F28" s="33">
        <f t="shared" si="1"/>
        <v>-4548437.9400000004</v>
      </c>
      <c r="G28" s="33">
        <f t="shared" si="2"/>
        <v>470924.25183324999</v>
      </c>
      <c r="H28" s="33">
        <f t="shared" si="7"/>
        <v>26088301.819871653</v>
      </c>
    </row>
    <row r="29" spans="1:15" x14ac:dyDescent="0.3">
      <c r="A29" s="32">
        <v>45170</v>
      </c>
      <c r="B29" s="33">
        <f t="shared" si="3"/>
        <v>25177214.332365252</v>
      </c>
      <c r="C29" s="16">
        <f t="shared" si="4"/>
        <v>4196202.3887275402</v>
      </c>
      <c r="D29" s="33">
        <f t="shared" si="5"/>
        <v>20981011.943637714</v>
      </c>
      <c r="E29" s="33">
        <f t="shared" si="6"/>
        <v>26088301.819871653</v>
      </c>
      <c r="F29" s="33">
        <f t="shared" si="1"/>
        <v>-4548437.9400000004</v>
      </c>
      <c r="G29" s="33">
        <f t="shared" si="2"/>
        <v>395967.31770368054</v>
      </c>
      <c r="H29" s="33">
        <f t="shared" si="7"/>
        <v>21935831.197575331</v>
      </c>
    </row>
    <row r="30" spans="1:15" x14ac:dyDescent="0.3">
      <c r="A30" s="32">
        <v>45261</v>
      </c>
      <c r="B30" s="33">
        <f t="shared" si="3"/>
        <v>20981011.943637714</v>
      </c>
      <c r="C30" s="16">
        <f t="shared" si="4"/>
        <v>4196202.3887275402</v>
      </c>
      <c r="D30" s="33">
        <f t="shared" si="5"/>
        <v>16784809.554910176</v>
      </c>
      <c r="E30" s="33">
        <f t="shared" si="6"/>
        <v>21935831.197575331</v>
      </c>
      <c r="F30" s="33">
        <f t="shared" si="1"/>
        <v>-4548437.9400000004</v>
      </c>
      <c r="G30" s="33">
        <f t="shared" si="2"/>
        <v>319632.4502540073</v>
      </c>
      <c r="H30" s="33">
        <f t="shared" si="7"/>
        <v>17707025.707829338</v>
      </c>
    </row>
    <row r="31" spans="1:15" x14ac:dyDescent="0.3">
      <c r="A31" s="32">
        <v>45352</v>
      </c>
      <c r="B31" s="33">
        <f t="shared" si="3"/>
        <v>16784809.554910176</v>
      </c>
      <c r="C31" s="16">
        <f t="shared" si="4"/>
        <v>4196202.3887275402</v>
      </c>
      <c r="D31" s="33">
        <f t="shared" si="5"/>
        <v>12588607.166182635</v>
      </c>
      <c r="E31" s="33">
        <f t="shared" si="6"/>
        <v>17707025.707829338</v>
      </c>
      <c r="F31" s="33">
        <f t="shared" si="1"/>
        <v>-4548437.9400000004</v>
      </c>
      <c r="G31" s="33">
        <f t="shared" si="2"/>
        <v>241894.31893600669</v>
      </c>
      <c r="H31" s="33">
        <f t="shared" si="7"/>
        <v>13400482.086765343</v>
      </c>
    </row>
    <row r="32" spans="1:15" x14ac:dyDescent="0.3">
      <c r="A32" s="32">
        <v>45444</v>
      </c>
      <c r="B32" s="33">
        <f t="shared" si="3"/>
        <v>12588607.166182635</v>
      </c>
      <c r="C32" s="16">
        <f t="shared" si="4"/>
        <v>4196202.3887275402</v>
      </c>
      <c r="D32" s="33">
        <f t="shared" si="5"/>
        <v>8392404.7774550952</v>
      </c>
      <c r="E32" s="33">
        <f t="shared" si="6"/>
        <v>13400482.086765343</v>
      </c>
      <c r="F32" s="33">
        <f t="shared" si="1"/>
        <v>-4548437.9400000004</v>
      </c>
      <c r="G32" s="33">
        <f t="shared" si="2"/>
        <v>162727.12754998732</v>
      </c>
      <c r="H32" s="33">
        <f t="shared" si="7"/>
        <v>9014771.2743153311</v>
      </c>
    </row>
    <row r="33" spans="1:8" x14ac:dyDescent="0.3">
      <c r="A33" s="32">
        <v>45536</v>
      </c>
      <c r="B33" s="33">
        <f t="shared" si="3"/>
        <v>8392404.7774550952</v>
      </c>
      <c r="C33" s="16">
        <f t="shared" si="4"/>
        <v>4196202.3887275402</v>
      </c>
      <c r="D33" s="33">
        <f t="shared" si="5"/>
        <v>4196202.3887275551</v>
      </c>
      <c r="E33" s="33">
        <f t="shared" si="6"/>
        <v>9014771.2743153311</v>
      </c>
      <c r="F33" s="33">
        <f t="shared" si="1"/>
        <v>-4548437.9400000004</v>
      </c>
      <c r="G33" s="33">
        <f t="shared" si="2"/>
        <v>82104.605684718728</v>
      </c>
      <c r="H33" s="33">
        <f t="shared" si="7"/>
        <v>4548437.9400000498</v>
      </c>
    </row>
    <row r="34" spans="1:8" x14ac:dyDescent="0.3">
      <c r="A34" s="32">
        <v>45627</v>
      </c>
      <c r="B34" s="33">
        <f t="shared" si="3"/>
        <v>4196202.3887275551</v>
      </c>
      <c r="C34" s="16">
        <f t="shared" si="4"/>
        <v>4196202.3887275402</v>
      </c>
      <c r="D34" s="33">
        <f t="shared" si="5"/>
        <v>1.4901161193847656E-8</v>
      </c>
      <c r="E34" s="33">
        <f t="shared" si="6"/>
        <v>4548437.9400000498</v>
      </c>
      <c r="F34" s="33">
        <f t="shared" si="1"/>
        <v>-4548437.9400000004</v>
      </c>
      <c r="G34" s="33">
        <f t="shared" si="2"/>
        <v>9.0738665312528613E-10</v>
      </c>
      <c r="H34" s="33">
        <f t="shared" si="7"/>
        <v>5.0267483107745649E-8</v>
      </c>
    </row>
  </sheetData>
  <mergeCells count="2">
    <mergeCell ref="B23:D23"/>
    <mergeCell ref="E23:H2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57772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2026-08-08T10:37:53Z</dcterms:created>
  <dcterms:modified xsi:type="dcterms:W3CDTF">2026-08-08T10:38:38Z</dcterms:modified>
</cp:coreProperties>
</file>