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ksharma19\Downloads\GE India\GEITC Year End Audit\Other Expenses\"/>
    </mc:Choice>
  </mc:AlternateContent>
  <xr:revisionPtr revIDLastSave="0" documentId="13_ncr:1_{CE8438B8-0041-4CD2-AF0F-890D6EF26415}" xr6:coauthVersionLast="47" xr6:coauthVersionMax="47" xr10:uidLastSave="{00000000-0000-0000-0000-000000000000}"/>
  <bookViews>
    <workbookView xWindow="-100" yWindow="-100" windowWidth="21467" windowHeight="11443" activeTab="1" xr2:uid="{C34839C6-5F67-4B34-B4A7-0AB3B950E659}"/>
  </bookViews>
  <sheets>
    <sheet name="Memo" sheetId="2" r:id="rId1"/>
    <sheet name="Summary" sheetId="1" r:id="rId2"/>
  </sheets>
  <definedNames>
    <definedName name="_xlnm._FilterDatabase" localSheetId="1" hidden="1">Summary!$A$12:$G$37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5" i="1"/>
  <c r="E25" i="1" s="1"/>
  <c r="D26" i="1"/>
  <c r="E26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6" i="1"/>
  <c r="E16" i="1" s="1"/>
  <c r="D15" i="1"/>
  <c r="E15" i="1" s="1"/>
  <c r="C37" i="1"/>
  <c r="B37" i="1"/>
  <c r="A3" i="1" l="1"/>
</calcChain>
</file>

<file path=xl/sharedStrings.xml><?xml version="1.0" encoding="utf-8"?>
<sst xmlns="http://schemas.openxmlformats.org/spreadsheetml/2006/main" count="89" uniqueCount="81">
  <si>
    <t>2.28: Other expenses</t>
  </si>
  <si>
    <t>Particulars</t>
  </si>
  <si>
    <t>Power and fuel</t>
  </si>
  <si>
    <t>Rent (refer note 2.35)</t>
  </si>
  <si>
    <t>Repairs and maintenance:</t>
  </si>
  <si>
    <t xml:space="preserve"> - buildings</t>
  </si>
  <si>
    <t xml:space="preserve"> - plant and machinery</t>
  </si>
  <si>
    <t xml:space="preserve"> - others</t>
  </si>
  <si>
    <t>Rates and taxes</t>
  </si>
  <si>
    <t>Traveling and conveyance</t>
  </si>
  <si>
    <t>Communication</t>
  </si>
  <si>
    <t>Legal and professional fees</t>
  </si>
  <si>
    <t>Auditor's remuneration (refer note 2.33)</t>
  </si>
  <si>
    <t>Asset lease rentals and hire charges (refer note 2.35)</t>
  </si>
  <si>
    <t>Product development expenses</t>
  </si>
  <si>
    <t>Bank charges</t>
  </si>
  <si>
    <t>Provision for doubtful advances</t>
  </si>
  <si>
    <t>Training and seminar expenses</t>
  </si>
  <si>
    <t>Outsourced service costs</t>
  </si>
  <si>
    <t>Donations</t>
  </si>
  <si>
    <t>Computer software charged off</t>
  </si>
  <si>
    <t>Membership and subscriptions</t>
  </si>
  <si>
    <t>Other miscellaneous expenses</t>
  </si>
  <si>
    <t>Other Admin. Expenses- Inter Division</t>
  </si>
  <si>
    <t>Variance</t>
  </si>
  <si>
    <t>Variance %</t>
  </si>
  <si>
    <t>WP Reference</t>
  </si>
  <si>
    <t>Deloitte Haskins &amp; Sells</t>
  </si>
  <si>
    <t>GE India Industrial Private Limited</t>
  </si>
  <si>
    <t>Audit Area</t>
  </si>
  <si>
    <t>Purpose</t>
  </si>
  <si>
    <t>Scope of work</t>
  </si>
  <si>
    <t>1. ET obtained expense dump from the client.</t>
  </si>
  <si>
    <t>Completeness and Accuracy of IPE :</t>
  </si>
  <si>
    <t>ET has traced the GL amount with trial balance to ensure the completeness and accuracy of the schedule and evaluating whether the information is sufficiently precise and detailed for our purposes.</t>
  </si>
  <si>
    <t>Observation</t>
  </si>
  <si>
    <t>None</t>
  </si>
  <si>
    <t>Conclusion</t>
  </si>
  <si>
    <t>Based on our audit procedures performed, account balances are not materially misstated</t>
  </si>
  <si>
    <t>Other Expense</t>
  </si>
  <si>
    <t>The purpose of this work paper is to summarize all the other expenses and to document the major balance compirse of and to document the reason for variance</t>
  </si>
  <si>
    <t>2. ET has given refrence of wp where a particular expense is tested</t>
  </si>
  <si>
    <t>3. ET has documented the major balance comprise of a particular expense</t>
  </si>
  <si>
    <t>4. ET has documented the reasons of variances</t>
  </si>
  <si>
    <t>Work done</t>
  </si>
  <si>
    <t>1. ET has given refrence of wp where a particular expense is tested</t>
  </si>
  <si>
    <t>2. ET has documented the major balance comprise of a particular expense</t>
  </si>
  <si>
    <t>3. ET has documented the reasons of variances</t>
  </si>
  <si>
    <t>Refer WP "OPEX-GEITC Power &amp; fuel"</t>
  </si>
  <si>
    <t>Refer WP"OPEX-GEITC Rates &amp; Taxes GEITC Wp"</t>
  </si>
  <si>
    <t>Refer Wp "OPEX-GEITC Communication 2024 Wp"</t>
  </si>
  <si>
    <t>Refer Wp "OPEX-GEITC Legal &amp; prof exp wp  2024"</t>
  </si>
  <si>
    <t>Refer Wp "OPEX-GEITC Travelling and conveyance 2024 WP"</t>
  </si>
  <si>
    <t>Refer Wp"OPEX-GEITC Rent WP"</t>
  </si>
  <si>
    <t>Refer WP "OPEX-GEITC Repairs &amp; Maintenance - Building WP"</t>
  </si>
  <si>
    <t>Refer Wp "OPEX-GEITC Repairs - P&amp;M WP GEITC"</t>
  </si>
  <si>
    <t>Refer Wp "OPEX-GEITC Repairs &amp; Maintenance - Others WP"</t>
  </si>
  <si>
    <t>Refer WP "OPEX-GEITC Asset lease rentals  WP"</t>
  </si>
  <si>
    <t>Refer Wp "OPEX-GEITC Product development expenses- WP "</t>
  </si>
  <si>
    <t>Refer Wp "OPEX-GEITC Outsourced service costs WP"</t>
  </si>
  <si>
    <t>Refer WP "OPEX-GEITC Computer software charged off  WP"</t>
  </si>
  <si>
    <t>Refer WP "OPEX-GEITC Other Miscellaneous expenses WP"</t>
  </si>
  <si>
    <t>Majorly the increase is due to: 
INR 2.93 crores on account of increase in Power upgrade for Rack setup in STT global data center</t>
  </si>
  <si>
    <t>The decrease is on account of decrease in EB cars is purchased in 2025</t>
  </si>
  <si>
    <t>The separation civil/interior/Electrical works accross JF site was more in the FY 24 as compared to the works in the FY 2025.</t>
  </si>
  <si>
    <t>Variance due to below costs being iincurred in the FY 2024
1. INR 2.50 crores is procured in Battery procurement &amp; Installation from ABB India on account of standby in 2024 &amp; it's only 50 Lakhs in 2025
2. INR 2.6 crores of AV equipments procured from Fillip in 2024 on account of De-merger &amp; only 11 lakhs booked in 2025
3. INR 2.23 crores of electrical panels &amp; works from Shobha electricals is done in 2024, it's only 22 lakhs booked in 2025
4. INR 1.13 crores of electrical panels is procured from Sharon controls in 2024 &amp; only 11 lakhs is booked in 2025
5. INR 2 crores of Tables &amp; furniture is procured from ISIT in 2024 &amp; only 37 lakhs is booked in 2025
6. INR 1.3 crores of Network equipment is procured from WWT in 2024 &amp; only 11 Lakhs is booked in 2025</t>
  </si>
  <si>
    <t>Immaterial</t>
  </si>
  <si>
    <t>In the Current FY, BBMP property tax settlement was being done amounting to around 35 Cr.</t>
  </si>
  <si>
    <t>Because of demerger during the FY 2023-24, the travel costs was higher as compared to in the CY.</t>
  </si>
  <si>
    <t>Reduction in the billings done to the following w..t to the Data circuits:
1. INR 0.85 crores is decreased from Bharthi Airtel
2. INR 0.30 crores is decreased from Tata communication Ltd</t>
  </si>
  <si>
    <t>Reduction of INR 2.5 crore in the Coretech billings (Lease Laptop- IT) in the 2025, because of transfer of the employees to other divisions due to demerger.</t>
  </si>
  <si>
    <t>Reversal of the excess Provision of 12.27 in the CY.</t>
  </si>
  <si>
    <t>The change is majorly due to the timing difference in the lease rentals</t>
  </si>
  <si>
    <t>During the year, the company incurred the following major incremental Training costs:
1) Charges for Instructor - Composite Training at TASL INR 13 lacs
2) Charges towards External Communications Sensitization Workshop for GE Aerospace leadership team INR 8 lacs
3) Charges for Class charges &amp; T&amp;E fee for Advanced Architecting on AWS for DT team INR 7 lacs
4) Charges for Gartner summit annual fees INR 10 lacs</t>
  </si>
  <si>
    <t xml:space="preserve">The expense is increased in the CY is due to additional services from the Quest &amp; Belcon. 
As comapred to the PY, in the CY the no of contracted employees increased from 260 To 360
</t>
  </si>
  <si>
    <t>The donations are dependent on the CSR compliance and as per the profits.</t>
  </si>
  <si>
    <t>Interdivision entries</t>
  </si>
  <si>
    <t>Composition and variance reasons</t>
  </si>
  <si>
    <t>For the year ended 31 March 2026</t>
  </si>
  <si>
    <t>For the year ended 31 March 2025</t>
  </si>
  <si>
    <t>Audit for the year ended March,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</si>
</sst>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[$-409]d/mmm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8"/>
      <color rgb="FFFF0000"/>
      <name val="Verdana"/>
      <family val="2"/>
    </font>
    <font>
      <sz val="8"/>
      <name val="Verdana"/>
      <family val="2"/>
    </font>
    <font>
      <sz val="8"/>
      <color rgb="FFFF0000"/>
      <name val="Verdana"/>
      <family val="2"/>
    </font>
    <font>
      <b/>
      <sz val="8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/>
    <xf numFmtId="165" fontId="1" fillId="0" borderId="0"/>
  </cellStyleXfs>
  <cellXfs count="43">
    <xf numFmtId="0" fontId="0" fillId="0" borderId="0" xfId="0"/>
    <xf numFmtId="0" fontId="3" fillId="0" borderId="0" xfId="3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4" applyFont="1" applyAlignment="1">
      <alignment horizontal="left"/>
    </xf>
    <xf numFmtId="0" fontId="7" fillId="3" borderId="0" xfId="5" applyFont="1" applyFill="1" applyAlignment="1">
      <alignment horizontal="left"/>
    </xf>
    <xf numFmtId="0" fontId="8" fillId="3" borderId="0" xfId="5" applyFont="1" applyFill="1" applyAlignment="1">
      <alignment horizontal="left"/>
    </xf>
    <xf numFmtId="0" fontId="8" fillId="0" borderId="0" xfId="4" applyFont="1" applyAlignment="1">
      <alignment horizontal="left" vertical="top"/>
    </xf>
    <xf numFmtId="0" fontId="7" fillId="3" borderId="0" xfId="6" applyFont="1" applyFill="1" applyAlignment="1">
      <alignment horizontal="left"/>
    </xf>
    <xf numFmtId="0" fontId="8" fillId="3" borderId="0" xfId="5" applyFont="1" applyFill="1" applyAlignment="1">
      <alignment horizontal="left" vertical="top"/>
    </xf>
    <xf numFmtId="0" fontId="8" fillId="0" borderId="0" xfId="4" applyFont="1" applyAlignment="1">
      <alignment horizontal="left" vertical="center"/>
    </xf>
    <xf numFmtId="0" fontId="7" fillId="0" borderId="0" xfId="4" applyFont="1" applyAlignment="1">
      <alignment horizontal="left" vertical="center"/>
    </xf>
    <xf numFmtId="165" fontId="8" fillId="0" borderId="0" xfId="7" applyFont="1" applyAlignment="1">
      <alignment horizontal="left"/>
    </xf>
    <xf numFmtId="0" fontId="4" fillId="0" borderId="0" xfId="4" applyFont="1" applyAlignment="1">
      <alignment horizontal="left"/>
    </xf>
    <xf numFmtId="0" fontId="3" fillId="0" borderId="0" xfId="3" applyFon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4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4" fontId="3" fillId="0" borderId="1" xfId="1" applyNumberFormat="1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164" fontId="4" fillId="0" borderId="1" xfId="1" applyNumberFormat="1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9" fontId="4" fillId="0" borderId="1" xfId="2" applyFont="1" applyBorder="1" applyAlignment="1">
      <alignment horizontal="left" vertical="center"/>
    </xf>
    <xf numFmtId="9" fontId="9" fillId="0" borderId="1" xfId="2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4" fillId="0" borderId="1" xfId="1" applyNumberFormat="1" applyFont="1" applyBorder="1" applyAlignment="1">
      <alignment horizontal="left" vertical="center"/>
    </xf>
    <xf numFmtId="9" fontId="9" fillId="0" borderId="1" xfId="2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9" fontId="4" fillId="0" borderId="1" xfId="2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9" fontId="4" fillId="0" borderId="1" xfId="2" applyFont="1" applyFill="1" applyBorder="1" applyAlignment="1">
      <alignment horizontal="left" vertical="center" wrapText="1"/>
    </xf>
    <xf numFmtId="164" fontId="10" fillId="2" borderId="1" xfId="1" applyNumberFormat="1" applyFont="1" applyFill="1" applyBorder="1" applyAlignment="1">
      <alignment horizontal="left" vertical="top" wrapText="1"/>
    </xf>
    <xf numFmtId="164" fontId="10" fillId="2" borderId="1" xfId="1" applyNumberFormat="1" applyFont="1" applyFill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left" vertical="top" wrapText="1"/>
    </xf>
    <xf numFmtId="164" fontId="10" fillId="2" borderId="3" xfId="1" applyNumberFormat="1" applyFont="1" applyFill="1" applyBorder="1" applyAlignment="1">
      <alignment horizontal="left" vertical="top"/>
    </xf>
    <xf numFmtId="164" fontId="10" fillId="2" borderId="4" xfId="1" applyNumberFormat="1" applyFont="1" applyFill="1" applyBorder="1" applyAlignment="1">
      <alignment horizontal="left" vertical="top"/>
    </xf>
    <xf numFmtId="0" fontId="10" fillId="2" borderId="2" xfId="0" applyFont="1" applyFill="1" applyBorder="1" applyAlignment="1">
      <alignment horizontal="left" vertical="top"/>
    </xf>
    <xf numFmtId="0" fontId="10" fillId="2" borderId="3" xfId="0" applyFont="1" applyFill="1" applyBorder="1" applyAlignment="1">
      <alignment horizontal="left" vertical="top"/>
    </xf>
    <xf numFmtId="0" fontId="10" fillId="2" borderId="4" xfId="0" applyFont="1" applyFill="1" applyBorder="1" applyAlignment="1">
      <alignment horizontal="left" vertical="top"/>
    </xf>
  </cellXfs>
  <cellStyles count="8">
    <cellStyle name="Comma" xfId="1" builtinId="3"/>
    <cellStyle name="Normal" xfId="0" builtinId="0"/>
    <cellStyle name="Normal 2" xfId="7" xr:uid="{D924F148-E1C8-4C25-A5E7-00441B6576BE}"/>
    <cellStyle name="Normal 2 2" xfId="5" xr:uid="{A77F85E0-0FB7-432E-833D-713D3CE3E3E7}"/>
    <cellStyle name="Normal 3" xfId="3" xr:uid="{BBDF9618-D640-4E86-A72C-F704694EB273}"/>
    <cellStyle name="Normal 6" xfId="4" xr:uid="{EE5CA6AD-63DD-48F9-90E8-52FB46421AF2}"/>
    <cellStyle name="Normal_SHEET" xfId="6" xr:uid="{BC795AA2-D44D-43BF-80FB-93B8C1E4AC7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1F8A-83F3-4E0D-B248-B5174240E539}">
  <sheetPr codeName="Sheet1"/>
  <dimension ref="A1:A25"/>
  <sheetViews>
    <sheetView showGridLines="0" workbookViewId="0">
      <selection activeCell="A4" sqref="A4"/>
    </sheetView>
  </sheetViews>
  <sheetFormatPr defaultColWidth="8.796875" defaultRowHeight="10" x14ac:dyDescent="0.2"/>
  <cols>
    <col min="1" max="1" width="16.296875" style="12" customWidth="1"/>
    <col min="2" max="2" width="10.59765625" style="2" bestFit="1" customWidth="1"/>
    <col min="3" max="3" width="15.09765625" style="2" bestFit="1" customWidth="1"/>
    <col min="4" max="4" width="10.69921875" style="2" bestFit="1" customWidth="1"/>
    <col min="5" max="16384" width="8.796875" style="2"/>
  </cols>
  <sheetData>
    <row r="1" spans="1:1" x14ac:dyDescent="0.2">
      <c r="A1" s="1" t="s">
        <v>27</v>
      </c>
    </row>
    <row r="2" spans="1:1" x14ac:dyDescent="0.2">
      <c r="A2" s="1" t="s">
        <v>28</v>
      </c>
    </row>
    <row r="3" spans="1:1" x14ac:dyDescent="0.2">
      <c r="A3" s="1" t="s">
        <v>80</v>
      </c>
    </row>
    <row r="4" spans="1:1" x14ac:dyDescent="0.2">
      <c r="A4" s="3"/>
    </row>
    <row r="5" spans="1:1" x14ac:dyDescent="0.2">
      <c r="A5" s="4" t="s">
        <v>29</v>
      </c>
    </row>
    <row r="6" spans="1:1" x14ac:dyDescent="0.2">
      <c r="A6" s="5" t="s">
        <v>39</v>
      </c>
    </row>
    <row r="7" spans="1:1" x14ac:dyDescent="0.2">
      <c r="A7" s="3"/>
    </row>
    <row r="8" spans="1:1" x14ac:dyDescent="0.2">
      <c r="A8" s="4" t="s">
        <v>30</v>
      </c>
    </row>
    <row r="9" spans="1:1" x14ac:dyDescent="0.2">
      <c r="A9" s="6" t="s">
        <v>40</v>
      </c>
    </row>
    <row r="10" spans="1:1" x14ac:dyDescent="0.2">
      <c r="A10" s="6"/>
    </row>
    <row r="11" spans="1:1" x14ac:dyDescent="0.2">
      <c r="A11" s="7" t="s">
        <v>31</v>
      </c>
    </row>
    <row r="12" spans="1:1" x14ac:dyDescent="0.2">
      <c r="A12" s="8" t="s">
        <v>32</v>
      </c>
    </row>
    <row r="13" spans="1:1" x14ac:dyDescent="0.2">
      <c r="A13" s="8" t="s">
        <v>41</v>
      </c>
    </row>
    <row r="14" spans="1:1" x14ac:dyDescent="0.2">
      <c r="A14" s="8" t="s">
        <v>42</v>
      </c>
    </row>
    <row r="15" spans="1:1" x14ac:dyDescent="0.2">
      <c r="A15" s="8" t="s">
        <v>43</v>
      </c>
    </row>
    <row r="16" spans="1:1" x14ac:dyDescent="0.2">
      <c r="A16" s="8"/>
    </row>
    <row r="17" spans="1:1" x14ac:dyDescent="0.2">
      <c r="A17" s="9"/>
    </row>
    <row r="18" spans="1:1" x14ac:dyDescent="0.2">
      <c r="A18" s="10" t="s">
        <v>33</v>
      </c>
    </row>
    <row r="19" spans="1:1" x14ac:dyDescent="0.2">
      <c r="A19" s="9" t="s">
        <v>34</v>
      </c>
    </row>
    <row r="20" spans="1:1" x14ac:dyDescent="0.2">
      <c r="A20" s="11"/>
    </row>
    <row r="21" spans="1:1" x14ac:dyDescent="0.2">
      <c r="A21" s="10" t="s">
        <v>35</v>
      </c>
    </row>
    <row r="22" spans="1:1" x14ac:dyDescent="0.2">
      <c r="A22" s="5" t="s">
        <v>36</v>
      </c>
    </row>
    <row r="23" spans="1:1" x14ac:dyDescent="0.2">
      <c r="A23" s="5"/>
    </row>
    <row r="24" spans="1:1" x14ac:dyDescent="0.2">
      <c r="A24" s="7" t="s">
        <v>37</v>
      </c>
    </row>
    <row r="25" spans="1:1" x14ac:dyDescent="0.2">
      <c r="A25" s="5" t="s">
        <v>38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8BA2-C354-4A59-BB1F-6BD33D1CC83F}">
  <sheetPr codeName="Sheet2"/>
  <dimension ref="A1:H37"/>
  <sheetViews>
    <sheetView showGridLines="0" tabSelected="1" topLeftCell="A27" zoomScale="89" zoomScaleNormal="80" workbookViewId="0">
      <selection activeCell="A3" sqref="A3"/>
    </sheetView>
  </sheetViews>
  <sheetFormatPr defaultColWidth="8.796875" defaultRowHeight="10" x14ac:dyDescent="0.3"/>
  <cols>
    <col min="1" max="1" width="30.796875" style="14" customWidth="1"/>
    <col min="2" max="3" width="20.09765625" style="15" bestFit="1" customWidth="1"/>
    <col min="4" max="4" width="17.19921875" style="14" bestFit="1" customWidth="1"/>
    <col min="5" max="5" width="10.19921875" style="14" customWidth="1"/>
    <col min="6" max="6" width="22.19921875" style="19" customWidth="1"/>
    <col min="7" max="7" width="84.69921875" style="14" customWidth="1"/>
    <col min="8" max="16384" width="8.796875" style="14"/>
  </cols>
  <sheetData>
    <row r="1" spans="1:7" x14ac:dyDescent="0.3">
      <c r="A1" s="13" t="s">
        <v>27</v>
      </c>
    </row>
    <row r="2" spans="1:7" x14ac:dyDescent="0.3">
      <c r="A2" s="13" t="s">
        <v>28</v>
      </c>
    </row>
    <row r="3" spans="1:7" x14ac:dyDescent="0.3">
      <c r="A3" s="13" t="str">
        <f>Memo!A3</f>
        <v>Audit for the year ended March, 2026</v>
      </c>
    </row>
    <row r="5" spans="1:7" x14ac:dyDescent="0.3">
      <c r="A5" s="13" t="s">
        <v>44</v>
      </c>
    </row>
    <row r="6" spans="1:7" x14ac:dyDescent="0.3">
      <c r="A6" s="8" t="s">
        <v>45</v>
      </c>
      <c r="B6" s="14"/>
      <c r="C6" s="14"/>
    </row>
    <row r="7" spans="1:7" x14ac:dyDescent="0.3">
      <c r="A7" s="8" t="s">
        <v>46</v>
      </c>
      <c r="B7" s="14"/>
      <c r="C7" s="14"/>
    </row>
    <row r="8" spans="1:7" x14ac:dyDescent="0.3">
      <c r="A8" s="8" t="s">
        <v>47</v>
      </c>
      <c r="B8" s="14"/>
      <c r="C8" s="14"/>
    </row>
    <row r="11" spans="1:7" x14ac:dyDescent="0.3">
      <c r="A11" s="16" t="s">
        <v>0</v>
      </c>
    </row>
    <row r="12" spans="1:7" s="16" customFormat="1" x14ac:dyDescent="0.3">
      <c r="A12" s="40" t="s">
        <v>1</v>
      </c>
      <c r="B12" s="37" t="s">
        <v>78</v>
      </c>
      <c r="C12" s="37" t="s">
        <v>79</v>
      </c>
      <c r="D12" s="37" t="s">
        <v>24</v>
      </c>
      <c r="E12" s="37" t="s">
        <v>25</v>
      </c>
      <c r="F12" s="35" t="s">
        <v>26</v>
      </c>
      <c r="G12" s="35" t="s">
        <v>77</v>
      </c>
    </row>
    <row r="13" spans="1:7" s="16" customFormat="1" x14ac:dyDescent="0.3">
      <c r="A13" s="41"/>
      <c r="B13" s="38"/>
      <c r="C13" s="38"/>
      <c r="D13" s="38"/>
      <c r="E13" s="38"/>
      <c r="F13" s="35"/>
      <c r="G13" s="36"/>
    </row>
    <row r="14" spans="1:7" s="16" customFormat="1" x14ac:dyDescent="0.3">
      <c r="A14" s="42"/>
      <c r="B14" s="39"/>
      <c r="C14" s="39"/>
      <c r="D14" s="39"/>
      <c r="E14" s="39" t="s">
        <v>25</v>
      </c>
      <c r="F14" s="35"/>
      <c r="G14" s="36"/>
    </row>
    <row r="15" spans="1:7" s="27" customFormat="1" ht="19.95" x14ac:dyDescent="0.3">
      <c r="A15" s="21" t="s">
        <v>2</v>
      </c>
      <c r="B15" s="28"/>
      <c r="C15" s="28"/>
      <c r="D15" s="23">
        <f>B15-C15</f>
        <v>0</v>
      </c>
      <c r="E15" s="24" t="e">
        <f>D15/C15</f>
        <v>#DIV/0!</v>
      </c>
      <c r="F15" s="29" t="s">
        <v>48</v>
      </c>
      <c r="G15" s="26" t="s">
        <v>62</v>
      </c>
    </row>
    <row r="16" spans="1:7" s="27" customFormat="1" ht="19.95" x14ac:dyDescent="0.3">
      <c r="A16" s="21" t="s">
        <v>3</v>
      </c>
      <c r="B16" s="28"/>
      <c r="C16" s="28"/>
      <c r="D16" s="23">
        <f>B16-C16</f>
        <v>0</v>
      </c>
      <c r="E16" s="24" t="e">
        <f>D16/C16</f>
        <v>#DIV/0!</v>
      </c>
      <c r="F16" s="30" t="s">
        <v>53</v>
      </c>
      <c r="G16" s="26" t="s">
        <v>63</v>
      </c>
    </row>
    <row r="17" spans="1:8" s="27" customFormat="1" x14ac:dyDescent="0.3">
      <c r="A17" s="31" t="s">
        <v>4</v>
      </c>
      <c r="B17" s="28"/>
      <c r="C17" s="28"/>
      <c r="D17" s="23"/>
      <c r="E17" s="24"/>
      <c r="F17" s="32"/>
      <c r="G17" s="21"/>
    </row>
    <row r="18" spans="1:8" s="27" customFormat="1" ht="29.95" x14ac:dyDescent="0.3">
      <c r="A18" s="21" t="s">
        <v>5</v>
      </c>
      <c r="B18" s="28"/>
      <c r="C18" s="28"/>
      <c r="D18" s="23">
        <f t="shared" ref="D18:D21" si="0">B18-C18</f>
        <v>0</v>
      </c>
      <c r="E18" s="24" t="e">
        <f t="shared" ref="E18:E21" si="1">D18/C18</f>
        <v>#DIV/0!</v>
      </c>
      <c r="F18" s="29" t="s">
        <v>54</v>
      </c>
      <c r="G18" s="26" t="s">
        <v>64</v>
      </c>
      <c r="H18" s="33"/>
    </row>
    <row r="19" spans="1:8" s="27" customFormat="1" ht="99.7" x14ac:dyDescent="0.3">
      <c r="A19" s="21" t="s">
        <v>6</v>
      </c>
      <c r="B19" s="28"/>
      <c r="C19" s="28"/>
      <c r="D19" s="23">
        <f t="shared" si="0"/>
        <v>0</v>
      </c>
      <c r="E19" s="24" t="e">
        <f t="shared" si="1"/>
        <v>#DIV/0!</v>
      </c>
      <c r="F19" s="29" t="s">
        <v>55</v>
      </c>
      <c r="G19" s="26" t="s">
        <v>65</v>
      </c>
    </row>
    <row r="20" spans="1:8" s="27" customFormat="1" ht="29.95" x14ac:dyDescent="0.3">
      <c r="A20" s="21" t="s">
        <v>7</v>
      </c>
      <c r="B20" s="28"/>
      <c r="C20" s="28"/>
      <c r="D20" s="23">
        <f t="shared" si="0"/>
        <v>0</v>
      </c>
      <c r="E20" s="24" t="e">
        <f t="shared" si="1"/>
        <v>#DIV/0!</v>
      </c>
      <c r="F20" s="29" t="s">
        <v>56</v>
      </c>
      <c r="G20" s="26" t="s">
        <v>66</v>
      </c>
    </row>
    <row r="21" spans="1:8" s="27" customFormat="1" ht="19.95" x14ac:dyDescent="0.3">
      <c r="A21" s="21" t="s">
        <v>8</v>
      </c>
      <c r="B21" s="28"/>
      <c r="C21" s="28"/>
      <c r="D21" s="23">
        <f t="shared" si="0"/>
        <v>0</v>
      </c>
      <c r="E21" s="24" t="e">
        <f t="shared" si="1"/>
        <v>#DIV/0!</v>
      </c>
      <c r="F21" s="29" t="s">
        <v>49</v>
      </c>
      <c r="G21" s="26" t="s">
        <v>67</v>
      </c>
      <c r="H21" s="33"/>
    </row>
    <row r="22" spans="1:8" s="27" customFormat="1" ht="29.95" x14ac:dyDescent="0.3">
      <c r="A22" s="21" t="s">
        <v>9</v>
      </c>
      <c r="B22" s="28"/>
      <c r="C22" s="28"/>
      <c r="D22" s="23">
        <f t="shared" ref="D22:D36" si="2">B22-C22</f>
        <v>0</v>
      </c>
      <c r="E22" s="24" t="e">
        <f t="shared" ref="E22:E36" si="3">D22/C22</f>
        <v>#DIV/0!</v>
      </c>
      <c r="F22" s="29" t="s">
        <v>52</v>
      </c>
      <c r="G22" s="26" t="s">
        <v>68</v>
      </c>
    </row>
    <row r="23" spans="1:8" s="27" customFormat="1" ht="29.95" x14ac:dyDescent="0.3">
      <c r="A23" s="21" t="s">
        <v>10</v>
      </c>
      <c r="B23" s="28"/>
      <c r="C23" s="28"/>
      <c r="D23" s="23">
        <f t="shared" si="2"/>
        <v>0</v>
      </c>
      <c r="E23" s="24" t="e">
        <f t="shared" si="3"/>
        <v>#DIV/0!</v>
      </c>
      <c r="F23" s="29" t="s">
        <v>50</v>
      </c>
      <c r="G23" s="26" t="s">
        <v>69</v>
      </c>
    </row>
    <row r="24" spans="1:8" s="27" customFormat="1" ht="19.95" x14ac:dyDescent="0.3">
      <c r="A24" s="21" t="s">
        <v>11</v>
      </c>
      <c r="B24" s="28"/>
      <c r="C24" s="28"/>
      <c r="D24" s="23">
        <f t="shared" si="2"/>
        <v>0</v>
      </c>
      <c r="E24" s="24" t="e">
        <f t="shared" si="3"/>
        <v>#DIV/0!</v>
      </c>
      <c r="F24" s="29" t="s">
        <v>51</v>
      </c>
      <c r="G24" s="26" t="s">
        <v>70</v>
      </c>
      <c r="H24" s="33"/>
    </row>
    <row r="25" spans="1:8" s="27" customFormat="1" x14ac:dyDescent="0.3">
      <c r="A25" s="21" t="s">
        <v>12</v>
      </c>
      <c r="B25" s="28"/>
      <c r="C25" s="28"/>
      <c r="D25" s="23">
        <f t="shared" si="2"/>
        <v>0</v>
      </c>
      <c r="E25" s="24" t="e">
        <f t="shared" si="3"/>
        <v>#DIV/0!</v>
      </c>
      <c r="F25" s="32"/>
      <c r="G25" s="21" t="s">
        <v>71</v>
      </c>
    </row>
    <row r="26" spans="1:8" s="27" customFormat="1" ht="19.95" x14ac:dyDescent="0.3">
      <c r="A26" s="21" t="s">
        <v>13</v>
      </c>
      <c r="B26" s="22"/>
      <c r="C26" s="22"/>
      <c r="D26" s="23">
        <f t="shared" si="2"/>
        <v>0</v>
      </c>
      <c r="E26" s="24" t="e">
        <f t="shared" si="3"/>
        <v>#DIV/0!</v>
      </c>
      <c r="F26" s="25" t="s">
        <v>57</v>
      </c>
      <c r="G26" s="26" t="s">
        <v>72</v>
      </c>
    </row>
    <row r="27" spans="1:8" s="27" customFormat="1" ht="29.95" x14ac:dyDescent="0.3">
      <c r="A27" s="21" t="s">
        <v>14</v>
      </c>
      <c r="B27" s="22"/>
      <c r="C27" s="22"/>
      <c r="D27" s="23">
        <f t="shared" si="2"/>
        <v>0</v>
      </c>
      <c r="E27" s="24" t="e">
        <f t="shared" si="3"/>
        <v>#DIV/0!</v>
      </c>
      <c r="F27" s="25" t="s">
        <v>58</v>
      </c>
      <c r="G27" s="26" t="s">
        <v>66</v>
      </c>
    </row>
    <row r="28" spans="1:8" s="27" customFormat="1" x14ac:dyDescent="0.3">
      <c r="A28" s="21" t="s">
        <v>15</v>
      </c>
      <c r="B28" s="22"/>
      <c r="C28" s="22"/>
      <c r="D28" s="23">
        <f t="shared" si="2"/>
        <v>0</v>
      </c>
      <c r="E28" s="24" t="e">
        <f t="shared" si="3"/>
        <v>#DIV/0!</v>
      </c>
      <c r="F28" s="34"/>
      <c r="G28" s="21" t="s">
        <v>66</v>
      </c>
    </row>
    <row r="29" spans="1:8" s="27" customFormat="1" x14ac:dyDescent="0.3">
      <c r="A29" s="21" t="s">
        <v>16</v>
      </c>
      <c r="B29" s="22"/>
      <c r="C29" s="22"/>
      <c r="D29" s="23">
        <f t="shared" si="2"/>
        <v>0</v>
      </c>
      <c r="E29" s="24" t="e">
        <f t="shared" si="3"/>
        <v>#DIV/0!</v>
      </c>
      <c r="F29" s="34"/>
      <c r="G29" s="21" t="s">
        <v>66</v>
      </c>
    </row>
    <row r="30" spans="1:8" s="27" customFormat="1" ht="49.85" x14ac:dyDescent="0.3">
      <c r="A30" s="21" t="s">
        <v>17</v>
      </c>
      <c r="B30" s="22"/>
      <c r="C30" s="22"/>
      <c r="D30" s="23">
        <f t="shared" si="2"/>
        <v>0</v>
      </c>
      <c r="E30" s="24" t="e">
        <f t="shared" si="3"/>
        <v>#DIV/0!</v>
      </c>
      <c r="F30" s="34"/>
      <c r="G30" s="26" t="s">
        <v>73</v>
      </c>
    </row>
    <row r="31" spans="1:8" s="27" customFormat="1" ht="29.95" x14ac:dyDescent="0.3">
      <c r="A31" s="21" t="s">
        <v>18</v>
      </c>
      <c r="B31" s="22"/>
      <c r="C31" s="22"/>
      <c r="D31" s="23">
        <f t="shared" si="2"/>
        <v>0</v>
      </c>
      <c r="E31" s="24" t="e">
        <f t="shared" si="3"/>
        <v>#DIV/0!</v>
      </c>
      <c r="F31" s="25" t="s">
        <v>59</v>
      </c>
      <c r="G31" s="26" t="s">
        <v>74</v>
      </c>
      <c r="H31" s="33"/>
    </row>
    <row r="32" spans="1:8" s="27" customFormat="1" ht="19.95" x14ac:dyDescent="0.3">
      <c r="A32" s="21" t="s">
        <v>19</v>
      </c>
      <c r="B32" s="22"/>
      <c r="C32" s="22"/>
      <c r="D32" s="23">
        <f t="shared" si="2"/>
        <v>0</v>
      </c>
      <c r="E32" s="24" t="e">
        <f t="shared" si="3"/>
        <v>#DIV/0!</v>
      </c>
      <c r="F32" s="25" t="s">
        <v>61</v>
      </c>
      <c r="G32" s="26" t="s">
        <v>75</v>
      </c>
    </row>
    <row r="33" spans="1:7" s="27" customFormat="1" ht="29.95" x14ac:dyDescent="0.3">
      <c r="A33" s="21" t="s">
        <v>20</v>
      </c>
      <c r="B33" s="22"/>
      <c r="C33" s="22"/>
      <c r="D33" s="23">
        <f t="shared" si="2"/>
        <v>0</v>
      </c>
      <c r="E33" s="24" t="e">
        <f t="shared" si="3"/>
        <v>#DIV/0!</v>
      </c>
      <c r="F33" s="25" t="s">
        <v>60</v>
      </c>
      <c r="G33" s="26"/>
    </row>
    <row r="34" spans="1:7" s="27" customFormat="1" x14ac:dyDescent="0.3">
      <c r="A34" s="21" t="s">
        <v>21</v>
      </c>
      <c r="B34" s="22"/>
      <c r="C34" s="22"/>
      <c r="D34" s="23">
        <f t="shared" si="2"/>
        <v>0</v>
      </c>
      <c r="E34" s="24" t="e">
        <f t="shared" si="3"/>
        <v>#DIV/0!</v>
      </c>
      <c r="F34" s="34"/>
      <c r="G34" s="27" t="s">
        <v>66</v>
      </c>
    </row>
    <row r="35" spans="1:7" s="27" customFormat="1" ht="19.95" x14ac:dyDescent="0.3">
      <c r="A35" s="21" t="s">
        <v>22</v>
      </c>
      <c r="B35" s="22"/>
      <c r="C35" s="22"/>
      <c r="D35" s="23">
        <f t="shared" si="2"/>
        <v>0</v>
      </c>
      <c r="E35" s="24" t="e">
        <f t="shared" si="3"/>
        <v>#DIV/0!</v>
      </c>
      <c r="F35" s="25" t="s">
        <v>61</v>
      </c>
      <c r="G35" s="26"/>
    </row>
    <row r="36" spans="1:7" s="27" customFormat="1" x14ac:dyDescent="0.3">
      <c r="A36" s="21" t="s">
        <v>23</v>
      </c>
      <c r="B36" s="28"/>
      <c r="C36" s="28"/>
      <c r="D36" s="23">
        <f t="shared" si="2"/>
        <v>0</v>
      </c>
      <c r="E36" s="24" t="e">
        <f t="shared" si="3"/>
        <v>#DIV/0!</v>
      </c>
      <c r="F36" s="32"/>
      <c r="G36" s="21" t="s">
        <v>76</v>
      </c>
    </row>
    <row r="37" spans="1:7" s="16" customFormat="1" x14ac:dyDescent="0.3">
      <c r="A37" s="17"/>
      <c r="B37" s="18">
        <f>SUM(B15:B36)</f>
        <v>0</v>
      </c>
      <c r="C37" s="18">
        <f>SUM(C15:C36)</f>
        <v>0</v>
      </c>
      <c r="F37" s="20"/>
    </row>
  </sheetData>
  <mergeCells count="7">
    <mergeCell ref="G12:G14"/>
    <mergeCell ref="F12:F14"/>
    <mergeCell ref="B12:B14"/>
    <mergeCell ref="C12:C14"/>
    <mergeCell ref="A12:A14"/>
    <mergeCell ref="D12:D14"/>
    <mergeCell ref="E12:E14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18a2db-4a39-4476-8095-f445207d78b4">
      <Terms xmlns="http://schemas.microsoft.com/office/infopath/2007/PartnerControls"/>
    </lcf76f155ced4ddcb4097134ff3c332f>
    <TaxCatchAll xmlns="8b6d6404-85e8-4ec7-a646-962f9cee23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F36D4CAE154F4694A7B7C9454AD10A" ma:contentTypeVersion="10" ma:contentTypeDescription="Create a new document." ma:contentTypeScope="" ma:versionID="53a685ce880025e7a4ed868bf52983b7">
  <xsd:schema xmlns:xsd="http://www.w3.org/2001/XMLSchema" xmlns:xs="http://www.w3.org/2001/XMLSchema" xmlns:p="http://schemas.microsoft.com/office/2006/metadata/properties" xmlns:ns2="c118a2db-4a39-4476-8095-f445207d78b4" xmlns:ns3="8b6d6404-85e8-4ec7-a646-962f9cee2389" targetNamespace="http://schemas.microsoft.com/office/2006/metadata/properties" ma:root="true" ma:fieldsID="73d8590617e89a649e1a70a6a9bfe26d" ns2:_="" ns3:_="">
    <xsd:import namespace="c118a2db-4a39-4476-8095-f445207d78b4"/>
    <xsd:import namespace="8b6d6404-85e8-4ec7-a646-962f9cee2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8a2db-4a39-4476-8095-f445207d78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6d6404-85e8-4ec7-a646-962f9cee2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106833-61a2-4f86-83a5-ace9ad145853}" ma:internalName="TaxCatchAll" ma:showField="CatchAllData" ma:web="8b6d6404-85e8-4ec7-a646-962f9cee2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F13E3B-B833-44CC-855E-1A76A667364D}">
  <ds:schemaRefs>
    <ds:schemaRef ds:uri="8b6d6404-85e8-4ec7-a646-962f9cee2389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c118a2db-4a39-4476-8095-f445207d78b4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6EF4A8-41C0-40FC-9E10-6521B6DB61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1AE7F4-DF07-41DE-8313-EE8FE7ADDC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18a2db-4a39-4476-8095-f445207d78b4"/>
    <ds:schemaRef ds:uri="8b6d6404-85e8-4ec7-a646-962f9cee23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Memo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Bansal, Ayush</dc:creator>
  <cp:lastModifiedBy>Sharma, Akshit</cp:lastModifiedBy>
  <dcterms:created xsi:type="dcterms:W3CDTF">2024-08-28T02:24:23Z</dcterms:created>
  <dcterms:modified xsi:type="dcterms:W3CDTF">2026-07-01T02:17:05Z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2024-08-28T02:28:50Z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9b6fef52-e82c-45f1-9ff6-ef6d947a8ca7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0x0101002CF36D4CAE154F4694A7B7C9454AD10A</vt:lpwstr>
  </property>
  <property fmtid="{D5CDD505-2E9C-101B-9397-08002B2CF9AE}" pid="10" name="Order">
    <vt:r8>71000</vt:r8>
  </property>
</Properties>
</file>