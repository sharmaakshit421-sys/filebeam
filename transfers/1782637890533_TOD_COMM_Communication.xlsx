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<sst xmlns="http://schemas.openxmlformats.org/spreadsheetml/2006/main" count="89" uniqueCount="77">
  <si>
    <t xml:space="preserve">Sample Details
</t>
  </si>
  <si>
    <t xml:space="preserve">PO Details</t>
  </si>
  <si>
    <t xml:space="preserve">Invoice Details</t>
  </si>
  <si>
    <t xml:space="preserve">SL No.</t>
  </si>
  <si>
    <t xml:space="preserve">GL_POSTED_DATE</t>
  </si>
  <si>
    <t xml:space="preserve">Journal Description</t>
  </si>
  <si>
    <t xml:space="preserve">Vendor</t>
  </si>
  <si>
    <t xml:space="preserve">Invoice</t>
  </si>
  <si>
    <t xml:space="preserve">PO</t>
  </si>
  <si>
    <t xml:space="preserve">Accounted Amount</t>
  </si>
  <si>
    <t xml:space="preserve">PO Number</t>
  </si>
  <si>
    <t xml:space="preserve">PO Date</t>
  </si>
  <si>
    <t xml:space="preserve">Description</t>
  </si>
  <si>
    <t xml:space="preserve">Amount</t>
  </si>
  <si>
    <t xml:space="preserve">Invoice Number</t>
  </si>
  <si>
    <t xml:space="preserve">Invoice Date</t>
  </si>
  <si>
    <t xml:space="preserve">Invoice Amount (incl. GST)</t>
  </si>
  <si>
    <t xml:space="preserve">Invoice Amount (excl. GST)</t>
  </si>
  <si>
    <t xml:space="preserve">Difference (Accounted - Excl. GST)</t>
  </si>
  <si>
    <t xml:space="preserve">Payment Date</t>
  </si>
  <si>
    <t xml:space="preserve">UTR / Ref. No.</t>
  </si>
  <si>
    <t xml:space="preserve">Payment Amount</t>
  </si>
  <si>
    <t xml:space="preserve">Payment Mode</t>
  </si>
  <si>
    <t xml:space="preserve">Auditor Remarks</t>
  </si>
  <si>
    <t xml:space="preserve">GRC_1571</t>
  </si>
  <si>
    <t xml:space="preserve">Inv Num - 7000494201 , Supplier Name - INDIAN OIL CORPORATION LIMITED A37375 , PO Num - 100064587 , Inv Dist Desc - Open PO towards Supply of HSD from Jan 2025 to Dec 2025 for JFWTC campus, Bangalore. Billing to be done on actual Supplied Q</t>
  </si>
  <si>
    <t xml:space="preserve">INDIAN OIL CORPORATION LIMITED A37375</t>
  </si>
  <si>
    <t xml:space="preserve">Open PO towards Supply of HSD from Jan 2025 to Dec 2025 for JFWTC campus, Bangalore. Billing to be done on actual Supplied Quantity.</t>
  </si>
  <si>
    <t xml:space="preserve">Supply of HSD (BS-VI) - 14 KL @ Rs. 75,107.66/KL; incl. Local Sales Tax @ 21.17%</t>
  </si>
  <si>
    <t xml:space="preserve">HSBCN52025110400187143</t>
  </si>
  <si>
    <t xml:space="preserve">NEFT/RTGS</t>
  </si>
  <si>
    <t xml:space="preserve">Payment of Rs. 29.67L made on 04-Nov-25, prior to invoice date 04-Dec-25 - verify if this is a different invoice batch / advance payment. Payment is a pooled NEFT (Rs. 29.67L vs invoice Rs. 12.74L).</t>
  </si>
  <si>
    <t xml:space="preserve">GRC_1859</t>
  </si>
  <si>
    <t xml:space="preserve">Inv Num - 1021803865 , Supplier Name - BHARAT PETROLEUM CORPORATION LTD A37794 , PO Num - 100064582 , Inv Dist Desc - Open PO towards Supply of HSD from Jan 2025 to Dec 2025 for JFWTC campus, Bangalore. Billing to be done on actual Supplied</t>
  </si>
  <si>
    <t xml:space="preserve">BHARAT PETROLEUM CORPORATION LTD A37794</t>
  </si>
  <si>
    <t xml:space="preserve">Supply of HSD (BS-VI) - 14.14 KL; Base price + delivery charges; petroleum product (no GST applicable)</t>
  </si>
  <si>
    <t xml:space="preserve">HSBCN52025111403126015</t>
  </si>
  <si>
    <t xml:space="preserve">GL accounted amount Rs. 10.51L matches invoice excl. tax exactly (nil difference). Payment of Rs. 7.29Cr on 14-Nov-25 is a bulk/pooled payment - multiple invoices likely included. Invoice is for petroleum product; no GST applicable.</t>
  </si>
  <si>
    <t xml:space="preserve">GRC_184</t>
  </si>
  <si>
    <t xml:space="preserve">Inv Num - TX2925001805 , Supplier Name - STT GLOBAL DATA CENTERS INDIA PRIVATE LIMITED A39060 , PO Num - 100064933 , Inv Dist Desc - Charges towards BEC HPC Datacenter Annual Rental Charges for 146 DC Rackspace, 5 Workspaces and a Storage A</t>
  </si>
  <si>
    <t xml:space="preserve">STT GLOBAL DATA CENTERS INDIA PRIVATE LIMITED A39060</t>
  </si>
  <si>
    <t xml:space="preserve">TX2925001805</t>
  </si>
  <si>
    <t xml:space="preserve">Charges towards BEC HPC Datacenter Annual Rental Charges for 146 DC Rackspace, 5 Workspaces and a Storage Area from January to December 2025. Payment done at actuals.</t>
  </si>
  <si>
    <t xml:space="preserve">DC Rackspace (146 racks), 5 Workspaces, Storage Area - BEC HPC Datacenter, Bangalore DC3 (Oct-Dec 2025 quarter); CGST+SGST @ 9% each</t>
  </si>
  <si>
    <t xml:space="preserve">HSBCN52025103685l257</t>
  </si>
  <si>
    <t xml:space="preserve">GL accounted amount Rs. 1.12Cr vs invoice excl. GST Rs. 1.13Cr - difference of Rs. -34,969.54. STT invoice covers Oct-Dec 2025 quarter; GL date Oct-2025 suggests partial/first-month recognition. Payment Rs. 1.69Cr on 03-Nov-25 appears to be a pooled payment for multiple periods.</t>
  </si>
  <si>
    <t xml:space="preserve">GRC_205</t>
  </si>
  <si>
    <t xml:space="preserve">Inv Num - BS716292500065 , Supplier Name - AMPLUS KN SOLAR PRIVATE LIMITED A37782 , PO Num - , Inv Dist Desc - Open PO for Solar Power Procurement for the period March 2025 to Feb 2026 at JFWTC Campus, Bangalore. Billing to be done at actua</t>
  </si>
  <si>
    <t xml:space="preserve">AMPLUS KN SOLAR PRIVATE LIMITED A37782</t>
  </si>
  <si>
    <t xml:space="preserve">BS716292500065</t>
  </si>
  <si>
    <t xml:space="preserve">Open PO for Solar Power Procurement for the period March 2025 to Feb 2026 at JFWTC Campus, Bangalore. Billing to be done at actuals. [Tariff: INR 5.39/kWh]</t>
  </si>
  <si>
    <t xml:space="preserve">Solar Energy Supply (Bill of Supply) - 1,850,000 kWh @ Rs. 5.39/kWh; Billing period Apr 2025. Electricity exempt from GST.</t>
  </si>
  <si>
    <t xml:space="preserve">HSBCN16049766119</t>
  </si>
  <si>
    <t xml:space="preserve">Amplus is a Bill of Supply (electricity - GST exempt). Invoice and GL amounts match exactly (nil difference). Payment made on 08-Jun-25; covers Apr-25 billing period. Payment of Rs. 1.99Cr is higher than this invoice; likely pooled payment covering multiple invoices.</t>
  </si>
  <si>
    <t xml:space="preserve">GRC_411</t>
  </si>
  <si>
    <t xml:space="preserve">Inv Num - 325342294482 , Supplier Name - BESCOM LTD A37440 , PO Num - 100064557 , Inv Dist Desc - Open PO for Power Procurement through BESCOM for the year 2025 at JFWTC Campus, Bangalore. Billing to be done at actuals.</t>
  </si>
  <si>
    <t xml:space="preserve">BESCOM LTD A37440</t>
  </si>
  <si>
    <t xml:space="preserve">Open PO for Power Procurement through BESCOM for the year 2025 at JFWTC Campus, Bangalore. Billing to be done at actuals.</t>
  </si>
  <si>
    <t xml:space="preserve">Power Procurement - BESCOM; Billing period 01-May-2025 to 01-Jun-2025; 368,240 kWh net consumption @ Rs. 6.60/kWh + demand charges. Electricity - no GST.</t>
  </si>
  <si>
    <t xml:space="preserve">HSBCN16751161618</t>
  </si>
  <si>
    <t xml:space="preserve">BESCOM invoice (electricity - GST exempt). Invoice and GL amounts match exactly (nil difference). Payment matches invoice 1:1 - Rs. 59.73L on same day as GL posting date (16-Jun-25). Clean match.</t>
  </si>
  <si>
    <t xml:space="preserve">GRC_8321</t>
  </si>
  <si>
    <t xml:space="preserve">Inv Num - 292505G10012201 , Supplier Name - TATA COMMUNICATIONS LTD , PO Num - 100065077 , Inv Dist Desc - Charges towards TCL P2P circuit ID 091BENG1143037011330 b/w JFWTC to STT for 3Gbps, Period from Feb 2025 till 31st December 2025</t>
  </si>
  <si>
    <t xml:space="preserve">TATA COMMUNICATIONS LTD</t>
  </si>
  <si>
    <t xml:space="preserve">292505G10012201</t>
  </si>
  <si>
    <t xml:space="preserve">Charges towards TCL P2P circuit ID 091BENG1143037011330 b/w JFWTC to STT for 3Gbps, Period from Feb 2025 till 31st December 2025</t>
  </si>
  <si>
    <t xml:space="preserve">Bandwidth Charges - TCL P2P circuit 091BENG1143037011330, 3Gbps, JFWTC to STT; billing period Jun-2025; CGST+SGST @ 9% each</t>
  </si>
  <si>
    <t xml:space="preserve">HSBCN52025101584492650</t>
  </si>
  <si>
    <t xml:space="preserve">GL accounted amount Rs. 1.91L matches invoice excl. GST exactly (nil difference). Payment of Rs. 12.11L on 15-Oct-25 is a pooled NEFT covering multiple TCL invoices. Invoice billing period Jun-2025; GL posted Jul-2025.</t>
  </si>
  <si>
    <t xml:space="preserve">GRC_5219</t>
  </si>
  <si>
    <t xml:space="preserve">Inv Num - BBL292611B054871 , Supplier Name - BHARTI AIRTEL LIMITED A38979 , PO Num - 100064734 , Inv Dist Desc - Charges towards Airtel internet circuit with 2Gbps from Jan'25 to Dec'25 - Ckt Id - 9501865.</t>
  </si>
  <si>
    <t xml:space="preserve">BHARTI AIRTEL LIMITED A38979</t>
  </si>
  <si>
    <t xml:space="preserve">BBL292611B054871</t>
  </si>
  <si>
    <t xml:space="preserve">Charges towards Airtel internet circuit with 2Gbps from Jan'25 to Dec'25 - Ckt Id - 9501865. HSN Code: 9984</t>
  </si>
  <si>
    <t xml:space="preserve">Recurring charges for Airtel Internet circuit 2Gbps, Ckt Id 9501865; billing period 01-Oct-2025 to 31-Oct-2025; CGST+SGST @ 9% each (Rs. 28,500 each)</t>
  </si>
  <si>
    <t xml:space="preserve">HSBCN52026020215963348</t>
  </si>
  <si>
    <t xml:space="preserve">GL accounted amount Rs. 3.17L matches invoice excl. GST exactly (nil difference). Payment of Rs. 6.16L on 02-Feb-26 is a pooled NEFT (BHARTI AIRTEL); likely covers multiple invoices. Payment within PO pay-by date of 03-Mar-26.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</si>
</sst>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dd/mmm/yy;@"/>
    <numFmt numFmtId="166" formatCode="_ * #,##0_ ;_ * \-#,##0_ ;_ * \-??_ ;_ @_ "/>
    <numFmt numFmtId="167" formatCode="dd\-mmm\-yyyy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9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i val="true"/>
      <sz val="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Z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.9"/>
    <col collapsed="false" customWidth="true" hidden="false" outlineLevel="0" max="3" min="2" style="1" width="13.1"/>
    <col collapsed="false" customWidth="true" hidden="false" outlineLevel="0" max="4" min="4" style="1" width="47.5"/>
    <col collapsed="false" customWidth="true" hidden="false" outlineLevel="0" max="5" min="5" style="1" width="23.9"/>
    <col collapsed="false" customWidth="true" hidden="false" outlineLevel="0" max="6" min="6" style="1" width="11.9"/>
    <col collapsed="false" customWidth="true" hidden="false" outlineLevel="0" max="7" min="7" style="1" width="7.9"/>
    <col collapsed="false" customWidth="true" hidden="false" outlineLevel="0" max="8" min="8" style="1" width="14.2"/>
    <col collapsed="false" customWidth="true" hidden="false" outlineLevel="0" max="13" min="10" style="1" width="15"/>
    <col collapsed="false" customWidth="true" hidden="false" outlineLevel="0" max="17" min="15" style="1" width="18"/>
    <col collapsed="false" customWidth="true" hidden="false" outlineLevel="0" max="20" min="18" style="1" width="22"/>
    <col collapsed="false" customWidth="true" hidden="false" outlineLevel="0" max="21" min="21" style="1" width="10.4"/>
    <col collapsed="false" customWidth="true" hidden="false" outlineLevel="0" max="22" min="22" style="1" width="14"/>
    <col collapsed="false" customWidth="true" hidden="false" outlineLevel="0" max="23" min="23" style="1" width="32"/>
    <col collapsed="false" customWidth="true" hidden="false" outlineLevel="0" max="24" min="24" style="1" width="18"/>
    <col collapsed="false" customWidth="true" hidden="false" outlineLevel="0" max="25" min="25" style="1" width="15"/>
    <col collapsed="false" customWidth="true" hidden="false" outlineLevel="0" max="26" min="26" style="1" width="30"/>
  </cols>
  <sheetData>
    <row r="3" customFormat="false" ht="14.25" hidden="false" customHeight="true" outlineLevel="0" collapsed="false">
      <c r="B3" s="2" t="s">
        <v>0</v>
      </c>
      <c r="C3" s="2"/>
      <c r="D3" s="2"/>
      <c r="E3" s="2"/>
      <c r="F3" s="2"/>
      <c r="G3" s="2"/>
      <c r="H3" s="2"/>
      <c r="J3" s="2" t="s">
        <v>1</v>
      </c>
      <c r="K3" s="2"/>
      <c r="L3" s="2"/>
      <c r="M3" s="2"/>
      <c r="O3" s="2" t="s">
        <v>2</v>
      </c>
      <c r="P3" s="2"/>
      <c r="Q3" s="2"/>
      <c r="R3" s="2"/>
      <c r="T3" s="3"/>
      <c r="U3" s="4"/>
      <c r="V3" s="4"/>
      <c r="W3" s="4"/>
      <c r="X3" s="4"/>
    </row>
    <row r="4" customFormat="false" ht="14.25" hidden="false" customHeight="true" outlineLevel="0" collapsed="false">
      <c r="B4" s="5"/>
      <c r="C4" s="5"/>
      <c r="D4" s="5"/>
      <c r="E4" s="5"/>
      <c r="F4" s="5"/>
      <c r="G4" s="5"/>
      <c r="H4" s="5"/>
    </row>
    <row r="5" customFormat="false" ht="45" hidden="false" customHeight="true" outlineLevel="0" collapsed="false">
      <c r="B5" s="6" t="s">
        <v>3</v>
      </c>
      <c r="C5" s="7" t="s">
        <v>4</v>
      </c>
      <c r="D5" s="6" t="s">
        <v>5</v>
      </c>
      <c r="E5" s="7" t="s">
        <v>6</v>
      </c>
      <c r="F5" s="7" t="s">
        <v>7</v>
      </c>
      <c r="G5" s="7" t="s">
        <v>8</v>
      </c>
      <c r="H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O5" s="7" t="s">
        <v>14</v>
      </c>
      <c r="P5" s="7" t="s">
        <v>15</v>
      </c>
      <c r="Q5" s="7" t="s">
        <v>12</v>
      </c>
      <c r="R5" s="8" t="s">
        <v>16</v>
      </c>
      <c r="S5" s="8" t="s">
        <v>17</v>
      </c>
      <c r="T5" s="8" t="s">
        <v>18</v>
      </c>
      <c r="V5" s="7" t="s">
        <v>19</v>
      </c>
      <c r="W5" s="8" t="s">
        <v>20</v>
      </c>
      <c r="X5" s="8" t="s">
        <v>21</v>
      </c>
      <c r="Y5" s="8" t="s">
        <v>22</v>
      </c>
      <c r="Z5" s="9" t="s">
        <v>23</v>
      </c>
    </row>
    <row r="6" customFormat="false" ht="46.5" hidden="false" customHeight="true" outlineLevel="0" collapsed="false">
      <c r="B6" s="10" t="s">
        <v>24</v>
      </c>
      <c r="C6" s="10" t="n">
        <v>46014</v>
      </c>
      <c r="D6" s="11" t="s">
        <v>25</v>
      </c>
      <c r="E6" s="11" t="s">
        <v>26</v>
      </c>
      <c r="F6" s="12" t="n">
        <v>7000494201</v>
      </c>
      <c r="G6" s="12" t="n">
        <v>100064587</v>
      </c>
      <c r="H6" s="13" t="n">
        <v>1274111</v>
      </c>
      <c r="J6" s="14" t="n">
        <v>100064587</v>
      </c>
      <c r="K6" s="15" t="n">
        <v>45637</v>
      </c>
      <c r="L6" s="16" t="s">
        <v>27</v>
      </c>
      <c r="M6" s="17" t="n">
        <v>5000000</v>
      </c>
      <c r="O6" s="14" t="n">
        <v>7000494201</v>
      </c>
      <c r="P6" s="15" t="n">
        <v>45995</v>
      </c>
      <c r="Q6" s="16" t="s">
        <v>28</v>
      </c>
      <c r="R6" s="18" t="n">
        <v>1274111.32</v>
      </c>
      <c r="S6" s="17" t="n">
        <v>1051507.24</v>
      </c>
      <c r="T6" s="17" t="n">
        <f aca="false">H6-S6</f>
        <v>222603.76</v>
      </c>
      <c r="V6" s="15" t="n">
        <v>45965</v>
      </c>
      <c r="W6" s="16" t="s">
        <v>29</v>
      </c>
      <c r="X6" s="17" t="n">
        <v>2967000</v>
      </c>
      <c r="Y6" s="16" t="s">
        <v>30</v>
      </c>
      <c r="Z6" s="19" t="s">
        <v>31</v>
      </c>
    </row>
    <row r="7" customFormat="false" ht="46.5" hidden="false" customHeight="true" outlineLevel="0" collapsed="false">
      <c r="B7" s="10" t="s">
        <v>32</v>
      </c>
      <c r="C7" s="10" t="n">
        <v>46006</v>
      </c>
      <c r="D7" s="11" t="s">
        <v>33</v>
      </c>
      <c r="E7" s="11" t="s">
        <v>34</v>
      </c>
      <c r="F7" s="12" t="n">
        <v>1021803865</v>
      </c>
      <c r="G7" s="12" t="n">
        <v>100064582</v>
      </c>
      <c r="H7" s="13" t="n">
        <v>1051506</v>
      </c>
      <c r="J7" s="14" t="n">
        <v>100064582</v>
      </c>
      <c r="K7" s="15" t="n">
        <v>45637</v>
      </c>
      <c r="L7" s="16" t="s">
        <v>27</v>
      </c>
      <c r="M7" s="17" t="n">
        <v>10000000</v>
      </c>
      <c r="O7" s="14" t="n">
        <v>1021803865</v>
      </c>
      <c r="P7" s="15" t="n">
        <v>45979</v>
      </c>
      <c r="Q7" s="16" t="s">
        <v>35</v>
      </c>
      <c r="R7" s="18" t="n">
        <v>1051506</v>
      </c>
      <c r="S7" s="17" t="n">
        <v>1051506</v>
      </c>
      <c r="T7" s="17" t="n">
        <f aca="false">H7-S7</f>
        <v>0</v>
      </c>
      <c r="V7" s="15" t="n">
        <v>45975</v>
      </c>
      <c r="W7" s="16" t="s">
        <v>36</v>
      </c>
      <c r="X7" s="17" t="n">
        <v>72907000</v>
      </c>
      <c r="Y7" s="16" t="s">
        <v>30</v>
      </c>
      <c r="Z7" s="19" t="s">
        <v>37</v>
      </c>
    </row>
    <row r="8" customFormat="false" ht="46.5" hidden="false" customHeight="true" outlineLevel="0" collapsed="false">
      <c r="B8" s="10" t="s">
        <v>38</v>
      </c>
      <c r="C8" s="10" t="n">
        <v>45952</v>
      </c>
      <c r="D8" s="11" t="s">
        <v>39</v>
      </c>
      <c r="E8" s="11" t="s">
        <v>40</v>
      </c>
      <c r="F8" s="12" t="s">
        <v>41</v>
      </c>
      <c r="G8" s="12" t="n">
        <v>100064933</v>
      </c>
      <c r="H8" s="13" t="n">
        <v>11218727.06</v>
      </c>
      <c r="J8" s="14" t="n">
        <v>100064933</v>
      </c>
      <c r="K8" s="15" t="n">
        <v>45671</v>
      </c>
      <c r="L8" s="16" t="s">
        <v>42</v>
      </c>
      <c r="M8" s="17" t="n">
        <v>53821083</v>
      </c>
      <c r="O8" s="14" t="s">
        <v>41</v>
      </c>
      <c r="P8" s="15" t="n">
        <v>45903</v>
      </c>
      <c r="Q8" s="16" t="s">
        <v>43</v>
      </c>
      <c r="R8" s="18" t="n">
        <v>13279361.98</v>
      </c>
      <c r="S8" s="17" t="n">
        <v>11253696.6</v>
      </c>
      <c r="T8" s="17" t="n">
        <f aca="false">H8-S8</f>
        <v>-34969.5399999991</v>
      </c>
      <c r="V8" s="15" t="n">
        <v>45964</v>
      </c>
      <c r="W8" s="16" t="s">
        <v>44</v>
      </c>
      <c r="X8" s="17" t="n">
        <v>16850273.98</v>
      </c>
      <c r="Y8" s="16" t="s">
        <v>30</v>
      </c>
      <c r="Z8" s="19" t="s">
        <v>45</v>
      </c>
    </row>
    <row r="9" customFormat="false" ht="46.5" hidden="false" customHeight="true" outlineLevel="0" collapsed="false">
      <c r="B9" s="10" t="s">
        <v>46</v>
      </c>
      <c r="C9" s="10" t="n">
        <v>45810</v>
      </c>
      <c r="D9" s="11" t="s">
        <v>47</v>
      </c>
      <c r="E9" s="11" t="s">
        <v>48</v>
      </c>
      <c r="F9" s="12" t="s">
        <v>49</v>
      </c>
      <c r="G9" s="12" t="n">
        <v>100065551</v>
      </c>
      <c r="H9" s="13" t="n">
        <v>9971500</v>
      </c>
      <c r="J9" s="14" t="n">
        <v>100065551</v>
      </c>
      <c r="K9" s="15" t="n">
        <v>45715</v>
      </c>
      <c r="L9" s="16" t="s">
        <v>50</v>
      </c>
      <c r="M9" s="17" t="n">
        <v>140000000</v>
      </c>
      <c r="O9" s="14" t="s">
        <v>49</v>
      </c>
      <c r="P9" s="15" t="n">
        <v>45790</v>
      </c>
      <c r="Q9" s="16" t="s">
        <v>51</v>
      </c>
      <c r="R9" s="18" t="n">
        <v>9971500</v>
      </c>
      <c r="S9" s="17" t="n">
        <v>9971500</v>
      </c>
      <c r="T9" s="17" t="n">
        <f aca="false">H9-S9</f>
        <v>0</v>
      </c>
      <c r="V9" s="15" t="n">
        <v>45816</v>
      </c>
      <c r="W9" s="16" t="s">
        <v>52</v>
      </c>
      <c r="X9" s="17" t="n">
        <v>19961528.5</v>
      </c>
      <c r="Y9" s="16" t="s">
        <v>30</v>
      </c>
      <c r="Z9" s="19" t="s">
        <v>53</v>
      </c>
    </row>
    <row r="10" customFormat="false" ht="46.5" hidden="false" customHeight="true" outlineLevel="0" collapsed="false">
      <c r="B10" s="10" t="s">
        <v>54</v>
      </c>
      <c r="C10" s="10" t="n">
        <v>45824</v>
      </c>
      <c r="D10" s="11" t="s">
        <v>55</v>
      </c>
      <c r="E10" s="11" t="s">
        <v>56</v>
      </c>
      <c r="F10" s="12" t="n">
        <v>325342294482</v>
      </c>
      <c r="G10" s="12" t="n">
        <v>100064557</v>
      </c>
      <c r="H10" s="13" t="n">
        <v>5972550</v>
      </c>
      <c r="J10" s="14" t="n">
        <v>100064557</v>
      </c>
      <c r="K10" s="15" t="n">
        <v>45636</v>
      </c>
      <c r="L10" s="16" t="s">
        <v>57</v>
      </c>
      <c r="M10" s="17" t="n">
        <v>67000000</v>
      </c>
      <c r="O10" s="14" t="n">
        <v>325342294482</v>
      </c>
      <c r="P10" s="15" t="n">
        <v>45809</v>
      </c>
      <c r="Q10" s="16" t="s">
        <v>58</v>
      </c>
      <c r="R10" s="18" t="n">
        <v>5972550</v>
      </c>
      <c r="S10" s="17" t="n">
        <v>5972550</v>
      </c>
      <c r="T10" s="17" t="n">
        <f aca="false">H10-S10</f>
        <v>0</v>
      </c>
      <c r="V10" s="15" t="n">
        <v>45824</v>
      </c>
      <c r="W10" s="16" t="s">
        <v>59</v>
      </c>
      <c r="X10" s="17" t="n">
        <v>5972550</v>
      </c>
      <c r="Y10" s="16" t="s">
        <v>30</v>
      </c>
      <c r="Z10" s="19" t="s">
        <v>60</v>
      </c>
    </row>
    <row r="11" customFormat="false" ht="135.8" hidden="false" customHeight="false" outlineLevel="0" collapsed="false">
      <c r="B11" s="10" t="s">
        <v>61</v>
      </c>
      <c r="C11" s="20" t="n">
        <v>45846</v>
      </c>
      <c r="D11" s="11" t="s">
        <v>62</v>
      </c>
      <c r="E11" s="11" t="s">
        <v>63</v>
      </c>
      <c r="F11" s="12" t="s">
        <v>64</v>
      </c>
      <c r="G11" s="12" t="n">
        <v>100065077</v>
      </c>
      <c r="H11" s="21" t="n">
        <v>191000</v>
      </c>
      <c r="J11" s="14" t="n">
        <v>100065077</v>
      </c>
      <c r="K11" s="15" t="n">
        <v>45681</v>
      </c>
      <c r="L11" s="16" t="s">
        <v>65</v>
      </c>
      <c r="M11" s="17" t="n">
        <v>2110000</v>
      </c>
      <c r="O11" s="14" t="s">
        <v>64</v>
      </c>
      <c r="P11" s="15" t="n">
        <v>45779</v>
      </c>
      <c r="Q11" s="16" t="s">
        <v>66</v>
      </c>
      <c r="R11" s="18" t="n">
        <v>225380</v>
      </c>
      <c r="S11" s="17" t="n">
        <v>191000</v>
      </c>
      <c r="T11" s="17" t="n">
        <f aca="false">H11-S11</f>
        <v>0</v>
      </c>
      <c r="V11" s="15" t="n">
        <v>45945</v>
      </c>
      <c r="W11" s="16" t="s">
        <v>67</v>
      </c>
      <c r="X11" s="17" t="n">
        <v>1211416.12</v>
      </c>
      <c r="Y11" s="16" t="s">
        <v>30</v>
      </c>
      <c r="Z11" s="19" t="s">
        <v>68</v>
      </c>
    </row>
    <row r="12" customFormat="false" ht="122.35" hidden="false" customHeight="false" outlineLevel="0" collapsed="false">
      <c r="B12" s="10" t="s">
        <v>69</v>
      </c>
      <c r="C12" s="20" t="n">
        <v>45999</v>
      </c>
      <c r="D12" s="11" t="s">
        <v>70</v>
      </c>
      <c r="E12" s="11" t="s">
        <v>71</v>
      </c>
      <c r="F12" s="12" t="s">
        <v>72</v>
      </c>
      <c r="G12" s="12" t="n">
        <v>100064734</v>
      </c>
      <c r="H12" s="21" t="n">
        <v>316666.66</v>
      </c>
      <c r="J12" s="14" t="n">
        <v>100064734</v>
      </c>
      <c r="K12" s="15" t="n">
        <v>45644</v>
      </c>
      <c r="L12" s="16" t="s">
        <v>73</v>
      </c>
      <c r="M12" s="17" t="n">
        <v>3799999.92</v>
      </c>
      <c r="O12" s="14" t="s">
        <v>72</v>
      </c>
      <c r="P12" s="15" t="n">
        <v>45964</v>
      </c>
      <c r="Q12" s="16" t="s">
        <v>74</v>
      </c>
      <c r="R12" s="18" t="n">
        <v>373666.66</v>
      </c>
      <c r="S12" s="17" t="n">
        <v>316666.66</v>
      </c>
      <c r="T12" s="17" t="n">
        <f aca="false">H12-S12</f>
        <v>0</v>
      </c>
      <c r="V12" s="15" t="n">
        <v>46055</v>
      </c>
      <c r="W12" s="16" t="s">
        <v>75</v>
      </c>
      <c r="X12" s="17" t="n">
        <v>615504.99</v>
      </c>
      <c r="Y12" s="16" t="s">
        <v>30</v>
      </c>
      <c r="Z12" s="19" t="s">
        <v>76</v>
      </c>
    </row>
  </sheetData>
  <mergeCells count="4">
    <mergeCell ref="B3:H3"/>
    <mergeCell ref="J3:M3"/>
    <mergeCell ref="O3:R3"/>
    <mergeCell ref="U3:X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2026-06-27T15:33:55Z</dcterms:created>
  <dc:creator>Sharma, Akshit</dc:creator>
  <dc:description/>
  <dc:language>en-US</dc:language>
  <cp:lastModifiedBy>Sharma, Akshit</cp:lastModifiedBy>
  <dcterms:modified xsi:type="dcterms:W3CDTF">2026-06-27T17:23:49Z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