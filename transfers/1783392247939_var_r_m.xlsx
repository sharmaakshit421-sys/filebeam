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13_ncr:1_{88AE2B71-0E1E-4D4C-843F-266C051FD03B}" xr6:coauthVersionLast="47" xr6:coauthVersionMax="47" xr10:uidLastSave="{00000000-0000-0000-0000-000000000000}"/>
  <bookViews>
    <workbookView xWindow="-100" yWindow="-100" windowWidth="21467" windowHeight="11443" activeTab="1" xr2:uid="{37B2859D-DA2A-42BC-A6BB-934EB98FADAC}"/>
  </bookViews>
  <sheets>
    <sheet name="2025-26" sheetId="1" r:id="rId1"/>
    <sheet name="2024-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0" i="2" l="1"/>
  <c r="N60" i="2"/>
  <c r="M60" i="2"/>
  <c r="L60" i="2"/>
  <c r="K60" i="2"/>
  <c r="J60" i="2"/>
  <c r="I60" i="2"/>
  <c r="H60" i="2"/>
  <c r="G60" i="2"/>
  <c r="F60" i="2"/>
  <c r="E60" i="2"/>
  <c r="D60" i="2"/>
  <c r="C60" i="2"/>
  <c r="B60" i="2"/>
</calcChain>
</file>

<file path=xl/sharedStrings.xml><?xml version="1.0" encoding="utf-8"?>
<sst xmlns="http://schemas.openxmlformats.org/spreadsheetml/2006/main" count="158" uniqueCount="144">
  <si>
    <t>Adj-26-26</t>
  </si>
  <si>
    <t>Apr-25-26</t>
  </si>
  <si>
    <t>May-25-26</t>
  </si>
  <si>
    <t>Jun-25-26</t>
  </si>
  <si>
    <t>Jul-25-26</t>
  </si>
  <si>
    <t>Aug-25-26</t>
  </si>
  <si>
    <t>Sep-25-26</t>
  </si>
  <si>
    <t>Oct-25-26</t>
  </si>
  <si>
    <t>Nov-25-26</t>
  </si>
  <si>
    <t>Dec-25-26</t>
  </si>
  <si>
    <t>Jan-26-26</t>
  </si>
  <si>
    <t>Feb-26-26</t>
  </si>
  <si>
    <t>Mar-26-26</t>
  </si>
  <si>
    <t>Grand Total</t>
  </si>
  <si>
    <t>KONE ELEVATOR INDIA PVT LIMITED</t>
  </si>
  <si>
    <t>BION ANALYTX PRIVATE LIMITED A38681</t>
  </si>
  <si>
    <t>W W GRAINGER INC A14110</t>
  </si>
  <si>
    <t>SHASHI ASSOCIATES A36900</t>
  </si>
  <si>
    <t>SHOBHA ELECTRICALS A37602</t>
  </si>
  <si>
    <t>TECHSOL ENGINEERS A37549</t>
  </si>
  <si>
    <t>INFINITI POWER PRIVATE LIMITED A37094</t>
  </si>
  <si>
    <t>INTEGRATED ELECTRIC COMPANY PRIVATE LIMITED A38925</t>
  </si>
  <si>
    <t>WELL ERGON A37792</t>
  </si>
  <si>
    <t>BK INFRASYS PRIVATE LIMITED A39017</t>
  </si>
  <si>
    <t>ALPHA LAB SOLUTIONS A38403</t>
  </si>
  <si>
    <t>SLN ENTERPRISES A37598</t>
  </si>
  <si>
    <t>SUBHAASH ELECTRICAL ENTERPRISES A37682</t>
  </si>
  <si>
    <t>R. K. ENTERPRISES A37550</t>
  </si>
  <si>
    <t>CHUBB SYSTEMS PRIVATE LIMITED A38431</t>
  </si>
  <si>
    <t>COOL INDIA A39008</t>
  </si>
  <si>
    <t>V.S.P ENTERPRISES A39010</t>
  </si>
  <si>
    <t>NIPPON EXPRESS (INDIA) PRIVATE LIMITED A37078</t>
  </si>
  <si>
    <t>MV ENGINEERING A37610</t>
  </si>
  <si>
    <t>RAMESH SIGN GRAPHICS A37581</t>
  </si>
  <si>
    <t>NETSIGN INC A37871</t>
  </si>
  <si>
    <t>M.J.S ENTERPRISES A37859</t>
  </si>
  <si>
    <t>SHREE COMMERCIAL INTERIORS PVT LTD A39000</t>
  </si>
  <si>
    <t>EVENFLOW EXPERIENCES PRIVATE LIMITED</t>
  </si>
  <si>
    <t>YMG SERVICE CONSULTANTS A37618</t>
  </si>
  <si>
    <t>JOHNSON CONTROLS INDIA PRIVATE LIMITED A37622</t>
  </si>
  <si>
    <t>CHANDRODAYA ELECTRICALS A38327</t>
  </si>
  <si>
    <t>SWEN HVAC ENGINEERS PVT LTD A38059</t>
  </si>
  <si>
    <t>BALIGA LIGHTING EQUIPMENTS PRIVATE LIMITED A36180</t>
  </si>
  <si>
    <t>G4S SECURE SOLUTIONS (INDIA) PVT LTD A37065</t>
  </si>
  <si>
    <t>KASETTY TECH SOLUTIONS LLP A37575</t>
  </si>
  <si>
    <t>EURONICS INDUSTRIES PRIVATE LTD A37783</t>
  </si>
  <si>
    <t>EVEN FLOW A37504</t>
  </si>
  <si>
    <t>Vendor Names</t>
  </si>
  <si>
    <t>Adj-25-25</t>
  </si>
  <si>
    <t>Apr-24-25</t>
  </si>
  <si>
    <t>May-24-25</t>
  </si>
  <si>
    <t>Jun-24-25</t>
  </si>
  <si>
    <t>Jul-24-25</t>
  </si>
  <si>
    <t>Aug-24-25</t>
  </si>
  <si>
    <t>Sep-24-25</t>
  </si>
  <si>
    <t>Oct-24-25</t>
  </si>
  <si>
    <t>Nov-24-25</t>
  </si>
  <si>
    <t>Dec-24-25</t>
  </si>
  <si>
    <t>Jan-25-25</t>
  </si>
  <si>
    <t>Feb-25-25</t>
  </si>
  <si>
    <t>Mar-25-25</t>
  </si>
  <si>
    <t>Nature</t>
  </si>
  <si>
    <t>MANI SALES BANGALORE 358853</t>
  </si>
  <si>
    <t>AKSAR ELECTRO FACILITIES PVT, LTD A37584</t>
  </si>
  <si>
    <t>BK INFRASYS PRIVATE LIMITED</t>
  </si>
  <si>
    <t>LEISTUNG TECHNOLOGIES A38830</t>
  </si>
  <si>
    <t>BANGALORE DATACOM PRIVATE, LIMITED A37595</t>
  </si>
  <si>
    <t>VM CRANE SERVICE A37648</t>
  </si>
  <si>
    <t>VENDOR</t>
  </si>
  <si>
    <t>% of Grand Total</t>
  </si>
  <si>
    <t>Description</t>
  </si>
  <si>
    <t>Charges towards various External and Internal civil works at JFWTC</t>
  </si>
  <si>
    <t>G K ENTERPRISES A38969</t>
  </si>
  <si>
    <t>Painting Work across JFWTC campus</t>
  </si>
  <si>
    <t>HVAC and VAV related charges</t>
  </si>
  <si>
    <t xml:space="preserve"> Charges towards various External and Internal civil works at JFWTC</t>
  </si>
  <si>
    <t>Associated civil works towards stone masonry wall dressing, Pointing, Pathway cobalt stone washing / cleaning works near pond external area at JFWTC</t>
  </si>
  <si>
    <t>Purchase of MCB (Miniature Circuit Breakers) and Spares</t>
  </si>
  <si>
    <t>Charges towards various civil works at JFWTC</t>
  </si>
  <si>
    <t>Supply of Plumbing Materials</t>
  </si>
  <si>
    <t>FREEZING POINT A38168</t>
  </si>
  <si>
    <t xml:space="preserve">Associated HVAC works pertaining to the modification of the Air Handling Unit (AHU) in Phase 4 at JFWTC. </t>
  </si>
  <si>
    <t>ISIT OFFICE SPACE SOLUTION PRIVATE LIMITED A38762</t>
  </si>
  <si>
    <t>ETA ENGINEERS BANGALORE PRIVATE LIMITED A37548</t>
  </si>
  <si>
    <t>SHADEFLEX INDIA PRIVATE LIMITED</t>
  </si>
  <si>
    <t>SSP CRANE SERVICES A37564</t>
  </si>
  <si>
    <t>ANJANADRI INTERIORS A37725</t>
  </si>
  <si>
    <t>SVADHIN SOLUTIONS PRIVATE LIMITED A38528</t>
  </si>
  <si>
    <t>SHREE COMMERCIAL INTERIORS PVT LTD</t>
  </si>
  <si>
    <t>SAMEEKSHA LIFE SAFETY EQUIPMENTS INDIA PRIVATE LIMITED A38643</t>
  </si>
  <si>
    <t>RELIABLE AGENCIES A38709</t>
  </si>
  <si>
    <t>FLUTECH ENGINEERING PRIVATE LIMITED</t>
  </si>
  <si>
    <t>APEC CONSULTING ENGINEERS A37541</t>
  </si>
  <si>
    <t>LUCID TECHNOLOGIES A37959</t>
  </si>
  <si>
    <t>COLLIERS INTERNATIONAL (INDIA) PROPERTY SERVICES PVT LTD A37765</t>
  </si>
  <si>
    <t>LN MEP CONTRACTORS A37547</t>
  </si>
  <si>
    <t>INNOV CONTROLS TECHNOLOGY (I) PVT. LTD. A37769</t>
  </si>
  <si>
    <t>SUVAN ENTERPRISES</t>
  </si>
  <si>
    <t>LEHNN SPORTS INFRA PRIVATE LIMITED A38586</t>
  </si>
  <si>
    <t>GENESYS INTEGRATED SECURITY CONSULTANTS LLP A38638</t>
  </si>
  <si>
    <t>CIVIL TECHNOLOGIES A38196</t>
  </si>
  <si>
    <t>EVEN FLOW S27755</t>
  </si>
  <si>
    <t>HEMISPHERE LIVING</t>
  </si>
  <si>
    <t>Kasetty Tech Solutions</t>
  </si>
  <si>
    <t>Waterproofing works and various internal and external civil works.</t>
  </si>
  <si>
    <t>External texture painting work at JFWTC Campus</t>
  </si>
  <si>
    <t>R. K. Enterprises</t>
  </si>
  <si>
    <t>Fabrication work, Associated MS structural works for cable trench in transformer yard at JFWTC and work for modification of fire hydrant pine line</t>
  </si>
  <si>
    <t>M.J.S Enterprises</t>
  </si>
  <si>
    <t>various internal and external civil works.</t>
  </si>
  <si>
    <t>V.S.P ENTERPRISES</t>
  </si>
  <si>
    <t>Heating, Ventilation and Air Conditioning work</t>
  </si>
  <si>
    <t>SLN Enterprises</t>
  </si>
  <si>
    <t>GRM METALBUILDINGS PRIVATE LIMITED A37940</t>
  </si>
  <si>
    <t>Replacement of PEB Roofing Sheet in high bay area – Phase-1 at JFWTC.</t>
  </si>
  <si>
    <t>Modernization of existing 13 Elevator(s) at JFWTC and spares</t>
  </si>
  <si>
    <t>COOL INDIA</t>
  </si>
  <si>
    <t>Supply &amp; installation of AHU EC Fans works at Ph-4 JFWTC Campus.</t>
  </si>
  <si>
    <t>VISTA FURNISHING LIMITED A38685</t>
  </si>
  <si>
    <t>GREEN CONCEPTS A38149</t>
  </si>
  <si>
    <t>SUPREETHA N A38945</t>
  </si>
  <si>
    <t>CIVIL TECHNOLOGIES</t>
  </si>
  <si>
    <t>SHRAVAN REF AIR PVT LTD A37764</t>
  </si>
  <si>
    <t>STEDRANT TECHNOCLINIC PRIVATE LIMITED 359605</t>
  </si>
  <si>
    <t>ALCON CONSULTING ENGINEERS (INDIA) PVT, LTD A38273</t>
  </si>
  <si>
    <t>Swen Hvac Engineers Pvt Ltd</t>
  </si>
  <si>
    <t>SAVILLS PROPERTY SERVICES (INDIA) PRIVATE LIMITED A38578</t>
  </si>
  <si>
    <t>MMG ACOUSTICAL CONSULTANTS 357075</t>
  </si>
  <si>
    <t>MEASUREMENT AND INSTRUMENTS ENGINEERS A37738</t>
  </si>
  <si>
    <t>KROHNE MARSHALL PVT LTD A36060</t>
  </si>
  <si>
    <t>UDYOGI PLASTICS PRIVATE LIMITED A37391</t>
  </si>
  <si>
    <t>CHEMIX SPECIALTY GASES AND EQUIPMENT</t>
  </si>
  <si>
    <t>FUTURE TECH CONSTRUCTIONS A38613</t>
  </si>
  <si>
    <t>METAL STORAGE SYSTEMS PVT LTD A37394</t>
  </si>
  <si>
    <t>MV ENGINEERING S62168</t>
  </si>
  <si>
    <t>INFINITI POWER PRIVATE LIMITED S16233</t>
  </si>
  <si>
    <t>RELYS INFRA PROJECTS INDIA PRIVATE LIMITED</t>
  </si>
  <si>
    <t>AKSAR ELECTRO FACILITIES PVT, LTD</t>
  </si>
  <si>
    <t>ULTRALIFE BATTERIES INDIA PRIVATE LIMITED A38894</t>
  </si>
  <si>
    <t>VINOLYA SERVICES PVT LTD.</t>
  </si>
  <si>
    <t>Apollo Power systems PVT LTD</t>
  </si>
  <si>
    <t>Ramesh Sign Graphics S62096</t>
  </si>
  <si>
    <t>S2G Adjustment</t>
  </si>
  <si>
    <t>Eta Engineers Bangalore Private Limited S53554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</si>
</sst>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5" fontId="0" fillId="0" borderId="1" xfId="0" applyNumberFormat="1" applyBorder="1"/>
    <xf numFmtId="9" fontId="0" fillId="0" borderId="1" xfId="0" applyNumberFormat="1" applyBorder="1"/>
    <xf numFmtId="0" fontId="1" fillId="0" borderId="1" xfId="0" applyFont="1" applyBorder="1"/>
    <xf numFmtId="166" fontId="1" fillId="0" borderId="1" xfId="0" applyNumberFormat="1" applyFont="1" applyBorder="1"/>
    <xf numFmtId="166" fontId="0" fillId="0" borderId="1" xfId="0" applyNumberFormat="1" applyBorder="1"/>
    <xf numFmtId="43" fontId="0" fillId="0" borderId="1" xfId="0" applyNumberFormat="1" applyBorder="1"/>
    <xf numFmtId="43" fontId="1" fillId="0" borderId="1" xfId="0" applyNumberFormat="1" applyFont="1" applyBorder="1"/>
    <xf numFmtId="166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1BE6-A2A5-45F1-AAC9-F7A4AAA3B239}">
  <dimension ref="A1:Q49"/>
  <sheetViews>
    <sheetView workbookViewId="0">
      <selection sqref="A1:Q49"/>
    </sheetView>
  </sheetViews>
  <sheetFormatPr defaultRowHeight="14.4" x14ac:dyDescent="0.3"/>
  <cols>
    <col min="1" max="1" width="42.19921875" customWidth="1"/>
    <col min="2" max="2" width="14.19921875" bestFit="1" customWidth="1"/>
    <col min="3" max="14" width="11.59765625" bestFit="1" customWidth="1"/>
    <col min="15" max="15" width="12.59765625" bestFit="1" customWidth="1"/>
    <col min="16" max="16" width="9.296875" bestFit="1" customWidth="1"/>
    <col min="17" max="17" width="242" bestFit="1" customWidth="1"/>
  </cols>
  <sheetData>
    <row r="1" spans="1:17" x14ac:dyDescent="0.3">
      <c r="A1" s="4" t="s">
        <v>68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69</v>
      </c>
      <c r="Q1" s="4" t="s">
        <v>70</v>
      </c>
    </row>
    <row r="2" spans="1:17" x14ac:dyDescent="0.3">
      <c r="A2" s="1" t="s">
        <v>44</v>
      </c>
      <c r="B2" s="2">
        <v>0</v>
      </c>
      <c r="C2" s="2">
        <v>64800</v>
      </c>
      <c r="D2" s="2">
        <v>4808438.4200000009</v>
      </c>
      <c r="E2" s="2">
        <v>2578284.7999999998</v>
      </c>
      <c r="F2" s="2">
        <v>1068316.4200000002</v>
      </c>
      <c r="G2" s="2">
        <v>3148088.7199999993</v>
      </c>
      <c r="H2" s="2">
        <v>1159499.3700000001</v>
      </c>
      <c r="I2" s="2">
        <v>1686117.99</v>
      </c>
      <c r="J2" s="2">
        <v>1559192.0699999998</v>
      </c>
      <c r="K2" s="2">
        <v>3025845.83</v>
      </c>
      <c r="L2" s="2">
        <v>3725085.8399999994</v>
      </c>
      <c r="M2" s="2">
        <v>3366164.4</v>
      </c>
      <c r="N2" s="2">
        <v>1112574.8099999998</v>
      </c>
      <c r="O2" s="2">
        <v>27302408.669999998</v>
      </c>
      <c r="P2" s="3">
        <v>0.21147990517954016</v>
      </c>
      <c r="Q2" s="3" t="s">
        <v>71</v>
      </c>
    </row>
    <row r="3" spans="1:17" x14ac:dyDescent="0.3">
      <c r="A3" s="1" t="s">
        <v>72</v>
      </c>
      <c r="B3" s="2">
        <v>311320</v>
      </c>
      <c r="C3" s="2">
        <v>0</v>
      </c>
      <c r="D3" s="2">
        <v>3308651.34</v>
      </c>
      <c r="E3" s="2">
        <v>1714476.72</v>
      </c>
      <c r="F3" s="2">
        <v>1355552.3900000001</v>
      </c>
      <c r="G3" s="2">
        <v>701552.29</v>
      </c>
      <c r="H3" s="2">
        <v>2485768.46</v>
      </c>
      <c r="I3" s="2">
        <v>1308113.23</v>
      </c>
      <c r="J3" s="2">
        <v>1050928.52</v>
      </c>
      <c r="K3" s="2">
        <v>2108291.37</v>
      </c>
      <c r="L3" s="2">
        <v>1118007.02</v>
      </c>
      <c r="M3" s="2">
        <v>3154925.4600000004</v>
      </c>
      <c r="N3" s="2">
        <v>0</v>
      </c>
      <c r="O3" s="2">
        <v>18617586.800000001</v>
      </c>
      <c r="P3" s="3">
        <v>0.14420872307365762</v>
      </c>
      <c r="Q3" s="3" t="s">
        <v>73</v>
      </c>
    </row>
    <row r="4" spans="1:17" x14ac:dyDescent="0.3">
      <c r="A4" s="1" t="s">
        <v>30</v>
      </c>
      <c r="B4" s="2">
        <v>275303</v>
      </c>
      <c r="C4" s="2">
        <v>0</v>
      </c>
      <c r="D4" s="2">
        <v>1473456.3199999998</v>
      </c>
      <c r="E4" s="2">
        <v>901477.8400000002</v>
      </c>
      <c r="F4" s="2">
        <v>180000</v>
      </c>
      <c r="G4" s="2">
        <v>540992.47</v>
      </c>
      <c r="H4" s="2">
        <v>1202500</v>
      </c>
      <c r="I4" s="2">
        <v>443164.4</v>
      </c>
      <c r="J4" s="2">
        <v>830790.1</v>
      </c>
      <c r="K4" s="2">
        <v>6091591.4699999997</v>
      </c>
      <c r="L4" s="2">
        <v>635936.35</v>
      </c>
      <c r="M4" s="2">
        <v>1655180.51</v>
      </c>
      <c r="N4" s="2">
        <v>387917.5</v>
      </c>
      <c r="O4" s="2">
        <v>14618309.959999999</v>
      </c>
      <c r="P4" s="3">
        <v>0.11323099150672583</v>
      </c>
      <c r="Q4" s="3" t="s">
        <v>74</v>
      </c>
    </row>
    <row r="5" spans="1:17" x14ac:dyDescent="0.3">
      <c r="A5" s="1" t="s">
        <v>23</v>
      </c>
      <c r="B5" s="2">
        <v>98764</v>
      </c>
      <c r="C5" s="2">
        <v>0</v>
      </c>
      <c r="D5" s="2">
        <v>0</v>
      </c>
      <c r="E5" s="2">
        <v>2000259.03</v>
      </c>
      <c r="F5" s="2">
        <v>488697.17</v>
      </c>
      <c r="G5" s="2">
        <v>2484912.92</v>
      </c>
      <c r="H5" s="2">
        <v>630999.18999999994</v>
      </c>
      <c r="I5" s="2">
        <v>96032.5</v>
      </c>
      <c r="J5" s="2">
        <v>808092.25</v>
      </c>
      <c r="K5" s="2">
        <v>1943983.9499999997</v>
      </c>
      <c r="L5" s="2">
        <v>65396.719999999994</v>
      </c>
      <c r="M5" s="2">
        <v>2724270.6999999997</v>
      </c>
      <c r="N5" s="2">
        <v>1018596.22</v>
      </c>
      <c r="O5" s="2">
        <v>12360004.65</v>
      </c>
      <c r="P5" s="3">
        <v>9.5738535123197091E-2</v>
      </c>
      <c r="Q5" s="3" t="s">
        <v>75</v>
      </c>
    </row>
    <row r="6" spans="1:17" x14ac:dyDescent="0.3">
      <c r="A6" s="1" t="s">
        <v>35</v>
      </c>
      <c r="B6" s="2">
        <v>354000</v>
      </c>
      <c r="C6" s="2">
        <v>0</v>
      </c>
      <c r="D6" s="2">
        <v>2595496.7600000007</v>
      </c>
      <c r="E6" s="2">
        <v>0</v>
      </c>
      <c r="F6" s="2">
        <v>1091520.1099999999</v>
      </c>
      <c r="G6" s="2">
        <v>170352.24</v>
      </c>
      <c r="H6" s="2">
        <v>1329868.23</v>
      </c>
      <c r="I6" s="2">
        <v>239376.28</v>
      </c>
      <c r="J6" s="2">
        <v>0</v>
      </c>
      <c r="K6" s="2">
        <v>1053431.3500000001</v>
      </c>
      <c r="L6" s="2">
        <v>700657.64</v>
      </c>
      <c r="M6" s="2">
        <v>577882</v>
      </c>
      <c r="N6" s="2">
        <v>38052</v>
      </c>
      <c r="O6" s="2">
        <v>8150636.6100000003</v>
      </c>
      <c r="P6" s="3">
        <v>6.3133472151476994E-2</v>
      </c>
      <c r="Q6" s="3" t="s">
        <v>76</v>
      </c>
    </row>
    <row r="7" spans="1:17" x14ac:dyDescent="0.3">
      <c r="A7" s="1" t="s">
        <v>62</v>
      </c>
      <c r="B7" s="2">
        <v>0</v>
      </c>
      <c r="C7" s="2">
        <v>0</v>
      </c>
      <c r="D7" s="2">
        <v>275517</v>
      </c>
      <c r="E7" s="2">
        <v>0</v>
      </c>
      <c r="F7" s="2">
        <v>0</v>
      </c>
      <c r="G7" s="2">
        <v>356274.7</v>
      </c>
      <c r="H7" s="2">
        <v>1884811.47</v>
      </c>
      <c r="I7" s="2">
        <v>0</v>
      </c>
      <c r="J7" s="2">
        <v>0</v>
      </c>
      <c r="K7" s="2">
        <v>1105356.93</v>
      </c>
      <c r="L7" s="2">
        <v>344990.24</v>
      </c>
      <c r="M7" s="2">
        <v>1715781.66</v>
      </c>
      <c r="N7" s="2">
        <v>0</v>
      </c>
      <c r="O7" s="2">
        <v>5682732</v>
      </c>
      <c r="P7" s="3">
        <v>4.4017494538540973E-2</v>
      </c>
      <c r="Q7" s="3" t="s">
        <v>77</v>
      </c>
    </row>
    <row r="8" spans="1:17" x14ac:dyDescent="0.3">
      <c r="A8" s="1" t="s">
        <v>27</v>
      </c>
      <c r="B8" s="2">
        <v>0</v>
      </c>
      <c r="C8" s="2">
        <v>0</v>
      </c>
      <c r="D8" s="2">
        <v>915526.5</v>
      </c>
      <c r="E8" s="2">
        <v>1086249.1199999999</v>
      </c>
      <c r="F8" s="2">
        <v>0</v>
      </c>
      <c r="G8" s="2">
        <v>999936.3</v>
      </c>
      <c r="H8" s="2">
        <v>165609.37</v>
      </c>
      <c r="I8" s="2">
        <v>379372.47</v>
      </c>
      <c r="J8" s="2">
        <v>113742.16</v>
      </c>
      <c r="K8" s="2">
        <v>933650.15</v>
      </c>
      <c r="L8" s="2">
        <v>0</v>
      </c>
      <c r="M8" s="2">
        <v>443212.60000000003</v>
      </c>
      <c r="N8" s="2">
        <v>46105.95</v>
      </c>
      <c r="O8" s="2">
        <v>5083404.62</v>
      </c>
      <c r="P8" s="3">
        <v>3.9375204584352029E-2</v>
      </c>
      <c r="Q8" s="3" t="s">
        <v>78</v>
      </c>
    </row>
    <row r="9" spans="1:17" x14ac:dyDescent="0.3">
      <c r="A9" s="1" t="s">
        <v>36</v>
      </c>
      <c r="B9" s="2">
        <v>0</v>
      </c>
      <c r="C9" s="2">
        <v>0</v>
      </c>
      <c r="D9" s="2">
        <v>0</v>
      </c>
      <c r="E9" s="2">
        <v>0</v>
      </c>
      <c r="F9" s="2">
        <v>8400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169735.00999999998</v>
      </c>
      <c r="M9" s="2">
        <v>3824659.7</v>
      </c>
      <c r="N9" s="2">
        <v>680276.29999999993</v>
      </c>
      <c r="O9" s="2">
        <v>4683071.01</v>
      </c>
      <c r="P9" s="3">
        <v>3.6274287192546571E-2</v>
      </c>
      <c r="Q9" s="3" t="s">
        <v>78</v>
      </c>
    </row>
    <row r="10" spans="1:17" x14ac:dyDescent="0.3">
      <c r="A10" s="1" t="s">
        <v>63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1361788.96</v>
      </c>
      <c r="M10" s="2">
        <v>2109490</v>
      </c>
      <c r="N10" s="2">
        <v>786000</v>
      </c>
      <c r="O10" s="2">
        <v>4257278.96</v>
      </c>
      <c r="P10" s="3">
        <v>3.2976172969417773E-2</v>
      </c>
      <c r="Q10" s="3" t="s">
        <v>79</v>
      </c>
    </row>
    <row r="11" spans="1:17" x14ac:dyDescent="0.3">
      <c r="A11" s="1" t="s">
        <v>80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2767800</v>
      </c>
      <c r="M11" s="2">
        <v>0</v>
      </c>
      <c r="N11" s="2">
        <v>0</v>
      </c>
      <c r="O11" s="2">
        <v>2767800</v>
      </c>
      <c r="P11" s="3">
        <v>2.1438917299597043E-2</v>
      </c>
      <c r="Q11" s="3" t="s">
        <v>81</v>
      </c>
    </row>
    <row r="12" spans="1:17" x14ac:dyDescent="0.3">
      <c r="A12" s="1" t="s">
        <v>25</v>
      </c>
      <c r="B12" s="2">
        <v>80448.099999999991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266900</v>
      </c>
      <c r="M12" s="2">
        <v>1097529.9100000001</v>
      </c>
      <c r="N12" s="2">
        <v>1132196.49</v>
      </c>
      <c r="O12" s="2">
        <v>2577074.5</v>
      </c>
      <c r="P12" s="3">
        <v>1.9961589377989884E-2</v>
      </c>
      <c r="Q12" s="1"/>
    </row>
    <row r="13" spans="1:17" x14ac:dyDescent="0.3">
      <c r="A13" s="1" t="s">
        <v>82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510000</v>
      </c>
      <c r="H13" s="2">
        <v>91800</v>
      </c>
      <c r="I13" s="2">
        <v>0</v>
      </c>
      <c r="J13" s="2">
        <v>0</v>
      </c>
      <c r="K13" s="2">
        <v>0</v>
      </c>
      <c r="L13" s="2">
        <v>151609</v>
      </c>
      <c r="M13" s="2">
        <v>1622815</v>
      </c>
      <c r="N13" s="2">
        <v>57000</v>
      </c>
      <c r="O13" s="2">
        <v>2433224</v>
      </c>
      <c r="P13" s="3">
        <v>1.8847347390488736E-2</v>
      </c>
      <c r="Q13" s="1"/>
    </row>
    <row r="14" spans="1:17" x14ac:dyDescent="0.3">
      <c r="A14" s="1" t="s">
        <v>32</v>
      </c>
      <c r="B14" s="2">
        <v>0</v>
      </c>
      <c r="C14" s="2">
        <v>0</v>
      </c>
      <c r="D14" s="2">
        <v>530133.1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464101.05</v>
      </c>
      <c r="L14" s="2">
        <v>75807.42</v>
      </c>
      <c r="M14" s="2">
        <v>701635</v>
      </c>
      <c r="N14" s="2">
        <v>432455</v>
      </c>
      <c r="O14" s="2">
        <v>2204131.5699999998</v>
      </c>
      <c r="P14" s="3">
        <v>1.7072835626367869E-2</v>
      </c>
      <c r="Q14" s="1"/>
    </row>
    <row r="15" spans="1:17" x14ac:dyDescent="0.3">
      <c r="A15" s="1" t="s">
        <v>83</v>
      </c>
      <c r="B15" s="2">
        <v>1011308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338400</v>
      </c>
      <c r="N15" s="2">
        <v>847000</v>
      </c>
      <c r="O15" s="2">
        <v>2196708</v>
      </c>
      <c r="P15" s="3">
        <v>1.7015333890947042E-2</v>
      </c>
      <c r="Q15" s="1"/>
    </row>
    <row r="16" spans="1:17" x14ac:dyDescent="0.3">
      <c r="A16" s="1" t="s">
        <v>18</v>
      </c>
      <c r="B16" s="2">
        <v>1225180</v>
      </c>
      <c r="C16" s="2">
        <v>56400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544685</v>
      </c>
      <c r="M16" s="2">
        <v>68878.2</v>
      </c>
      <c r="N16" s="2">
        <v>237266</v>
      </c>
      <c r="O16" s="2">
        <v>2132409.2000000002</v>
      </c>
      <c r="P16" s="3">
        <v>1.6517286107269272E-2</v>
      </c>
      <c r="Q16" s="1"/>
    </row>
    <row r="17" spans="1:17" x14ac:dyDescent="0.3">
      <c r="A17" s="1" t="s">
        <v>84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952000</v>
      </c>
      <c r="M17" s="2">
        <v>1172000</v>
      </c>
      <c r="N17" s="2">
        <v>0</v>
      </c>
      <c r="O17" s="2">
        <v>2124000</v>
      </c>
      <c r="P17" s="3">
        <v>1.6452149846211475E-2</v>
      </c>
      <c r="Q17" s="1"/>
    </row>
    <row r="18" spans="1:17" x14ac:dyDescent="0.3">
      <c r="A18" s="1" t="s">
        <v>41</v>
      </c>
      <c r="B18" s="2">
        <v>0</v>
      </c>
      <c r="C18" s="2">
        <v>0</v>
      </c>
      <c r="D18" s="2">
        <v>789404.83</v>
      </c>
      <c r="E18" s="2">
        <v>0</v>
      </c>
      <c r="F18" s="2">
        <v>20000</v>
      </c>
      <c r="G18" s="2">
        <v>0</v>
      </c>
      <c r="H18" s="2">
        <v>0</v>
      </c>
      <c r="I18" s="2">
        <v>0</v>
      </c>
      <c r="J18" s="2">
        <v>0</v>
      </c>
      <c r="K18" s="2">
        <v>554166</v>
      </c>
      <c r="L18" s="2">
        <v>152704</v>
      </c>
      <c r="M18" s="2">
        <v>28164.85</v>
      </c>
      <c r="N18" s="2">
        <v>339103.46</v>
      </c>
      <c r="O18" s="2">
        <v>1883543.1400000001</v>
      </c>
      <c r="P18" s="3">
        <v>1.4589611102205123E-2</v>
      </c>
      <c r="Q18" s="1"/>
    </row>
    <row r="19" spans="1:17" x14ac:dyDescent="0.3">
      <c r="A19" s="1" t="s">
        <v>29</v>
      </c>
      <c r="B19" s="2">
        <v>0</v>
      </c>
      <c r="C19" s="2">
        <v>0</v>
      </c>
      <c r="D19" s="2">
        <v>0</v>
      </c>
      <c r="E19" s="2">
        <v>139468.09</v>
      </c>
      <c r="F19" s="2">
        <v>0</v>
      </c>
      <c r="G19" s="2">
        <v>0</v>
      </c>
      <c r="H19" s="2">
        <v>0</v>
      </c>
      <c r="I19" s="2">
        <v>0</v>
      </c>
      <c r="J19" s="2">
        <v>491009.13</v>
      </c>
      <c r="K19" s="2">
        <v>127767.17</v>
      </c>
      <c r="L19" s="2">
        <v>790645.16</v>
      </c>
      <c r="M19" s="2">
        <v>305121.17</v>
      </c>
      <c r="N19" s="2">
        <v>0</v>
      </c>
      <c r="O19" s="2">
        <v>1854010.72</v>
      </c>
      <c r="P19" s="3">
        <v>1.4360857901093422E-2</v>
      </c>
      <c r="Q19" s="1"/>
    </row>
    <row r="20" spans="1:17" x14ac:dyDescent="0.3">
      <c r="A20" s="1" t="s">
        <v>85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980000</v>
      </c>
      <c r="N20" s="2">
        <v>490000</v>
      </c>
      <c r="O20" s="2">
        <v>1470000</v>
      </c>
      <c r="P20" s="3">
        <v>1.1386374893564439E-2</v>
      </c>
      <c r="Q20" s="1"/>
    </row>
    <row r="21" spans="1:17" x14ac:dyDescent="0.3">
      <c r="A21" s="1" t="s">
        <v>86</v>
      </c>
      <c r="B21" s="2">
        <v>424300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401011.80000000005</v>
      </c>
      <c r="M21" s="2">
        <v>60669</v>
      </c>
      <c r="N21" s="2">
        <v>-55777.72</v>
      </c>
      <c r="O21" s="2">
        <v>830203.08000000007</v>
      </c>
      <c r="P21" s="3">
        <v>6.4306146303890277E-3</v>
      </c>
      <c r="Q21" s="1"/>
    </row>
    <row r="22" spans="1:17" x14ac:dyDescent="0.3">
      <c r="A22" s="1" t="s">
        <v>87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635220</v>
      </c>
      <c r="N22" s="2">
        <v>152500</v>
      </c>
      <c r="O22" s="2">
        <v>787720</v>
      </c>
      <c r="P22" s="3">
        <v>6.1015477762983534E-3</v>
      </c>
      <c r="Q22" s="1"/>
    </row>
    <row r="23" spans="1:17" x14ac:dyDescent="0.3">
      <c r="A23" s="1" t="s">
        <v>20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721986</v>
      </c>
      <c r="M23" s="2">
        <v>0</v>
      </c>
      <c r="N23" s="2">
        <v>0</v>
      </c>
      <c r="O23" s="2">
        <v>721986</v>
      </c>
      <c r="P23" s="3">
        <v>5.5923831727244999E-3</v>
      </c>
      <c r="Q23" s="1"/>
    </row>
    <row r="24" spans="1:17" x14ac:dyDescent="0.3">
      <c r="A24" s="1" t="s">
        <v>88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706432.19000000006</v>
      </c>
      <c r="N24" s="2">
        <v>0</v>
      </c>
      <c r="O24" s="2">
        <v>706432.19000000006</v>
      </c>
      <c r="P24" s="3">
        <v>5.4719059538923427E-3</v>
      </c>
      <c r="Q24" s="1"/>
    </row>
    <row r="25" spans="1:17" x14ac:dyDescent="0.3">
      <c r="A25" s="1" t="s">
        <v>89</v>
      </c>
      <c r="B25" s="2">
        <v>110200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262000</v>
      </c>
      <c r="N25" s="2">
        <v>128600</v>
      </c>
      <c r="O25" s="2">
        <v>500800</v>
      </c>
      <c r="P25" s="3">
        <v>3.8791132970728377E-3</v>
      </c>
      <c r="Q25" s="1"/>
    </row>
    <row r="26" spans="1:17" x14ac:dyDescent="0.3">
      <c r="A26" s="1" t="s">
        <v>90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499681.78</v>
      </c>
      <c r="M26" s="2">
        <v>0</v>
      </c>
      <c r="N26" s="2">
        <v>0</v>
      </c>
      <c r="O26" s="2">
        <v>499681.78</v>
      </c>
      <c r="P26" s="3">
        <v>3.8704517514038025E-3</v>
      </c>
      <c r="Q26" s="1"/>
    </row>
    <row r="27" spans="1:17" x14ac:dyDescent="0.3">
      <c r="A27" s="1" t="s">
        <v>91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407656.38</v>
      </c>
      <c r="M27" s="2">
        <v>0</v>
      </c>
      <c r="N27" s="2">
        <v>0</v>
      </c>
      <c r="O27" s="2">
        <v>407656.38</v>
      </c>
      <c r="P27" s="3">
        <v>3.1576383472335812E-3</v>
      </c>
      <c r="Q27" s="1"/>
    </row>
    <row r="28" spans="1:17" x14ac:dyDescent="0.3">
      <c r="A28" s="1" t="s">
        <v>34</v>
      </c>
      <c r="B28" s="2">
        <v>13100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253264</v>
      </c>
      <c r="M28" s="2">
        <v>65500.72</v>
      </c>
      <c r="N28" s="2">
        <v>15565</v>
      </c>
      <c r="O28" s="2">
        <v>347429.72</v>
      </c>
      <c r="P28" s="3">
        <v>2.6911326810109678E-3</v>
      </c>
      <c r="Q28" s="1"/>
    </row>
    <row r="29" spans="1:17" x14ac:dyDescent="0.3">
      <c r="A29" s="1" t="s">
        <v>22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258300</v>
      </c>
      <c r="O29" s="2">
        <v>258300</v>
      </c>
      <c r="P29" s="3">
        <v>2.0007487312977516E-3</v>
      </c>
      <c r="Q29" s="1"/>
    </row>
    <row r="30" spans="1:17" x14ac:dyDescent="0.3">
      <c r="A30" s="1" t="s">
        <v>92</v>
      </c>
      <c r="B30" s="2">
        <v>0</v>
      </c>
      <c r="C30" s="2">
        <v>0</v>
      </c>
      <c r="D30" s="2">
        <v>56400</v>
      </c>
      <c r="E30" s="2">
        <v>0</v>
      </c>
      <c r="F30" s="2">
        <v>56400</v>
      </c>
      <c r="G30" s="2">
        <v>0</v>
      </c>
      <c r="H30" s="2">
        <v>0</v>
      </c>
      <c r="I30" s="2">
        <v>56400</v>
      </c>
      <c r="J30" s="2">
        <v>0</v>
      </c>
      <c r="K30" s="2">
        <v>80800</v>
      </c>
      <c r="L30" s="2">
        <v>0</v>
      </c>
      <c r="M30" s="2">
        <v>0</v>
      </c>
      <c r="N30" s="2">
        <v>0</v>
      </c>
      <c r="O30" s="2">
        <v>250000</v>
      </c>
      <c r="P30" s="3">
        <v>1.9364583152320476E-3</v>
      </c>
      <c r="Q30" s="1"/>
    </row>
    <row r="31" spans="1:17" x14ac:dyDescent="0.3">
      <c r="A31" s="1" t="s">
        <v>93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211659.80000000002</v>
      </c>
      <c r="O31" s="2">
        <v>211659.80000000002</v>
      </c>
      <c r="P31" s="3">
        <v>1.6394815188414086E-3</v>
      </c>
      <c r="Q31" s="1"/>
    </row>
    <row r="32" spans="1:17" x14ac:dyDescent="0.3">
      <c r="A32" s="1" t="s">
        <v>94</v>
      </c>
      <c r="B32" s="2">
        <v>210000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210000</v>
      </c>
      <c r="P32" s="3">
        <v>1.6266249847949198E-3</v>
      </c>
      <c r="Q32" s="1"/>
    </row>
    <row r="33" spans="1:17" x14ac:dyDescent="0.3">
      <c r="A33" s="1" t="s">
        <v>95</v>
      </c>
      <c r="B33" s="2">
        <v>21000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132792.79999999999</v>
      </c>
      <c r="M33" s="2">
        <v>0</v>
      </c>
      <c r="N33" s="2">
        <v>46850</v>
      </c>
      <c r="O33" s="2">
        <v>200642.8</v>
      </c>
      <c r="P33" s="3">
        <v>1.5541456738057625E-3</v>
      </c>
      <c r="Q33" s="1"/>
    </row>
    <row r="34" spans="1:17" x14ac:dyDescent="0.3">
      <c r="A34" s="1" t="s">
        <v>37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175688.41</v>
      </c>
      <c r="N34" s="2">
        <v>0</v>
      </c>
      <c r="O34" s="2">
        <v>175688.41</v>
      </c>
      <c r="P34" s="3">
        <v>1.3608531297375889E-3</v>
      </c>
      <c r="Q34" s="1"/>
    </row>
    <row r="35" spans="1:17" x14ac:dyDescent="0.3">
      <c r="A35" s="1" t="s">
        <v>96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9500</v>
      </c>
      <c r="M35" s="2">
        <v>37989.4</v>
      </c>
      <c r="N35" s="2">
        <v>48000</v>
      </c>
      <c r="O35" s="2">
        <v>95489.4</v>
      </c>
      <c r="P35" s="3">
        <v>7.3964497058607627E-4</v>
      </c>
      <c r="Q35" s="1"/>
    </row>
    <row r="36" spans="1:17" x14ac:dyDescent="0.3">
      <c r="A36" s="1" t="s">
        <v>97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14400</v>
      </c>
      <c r="M36" s="2">
        <v>0</v>
      </c>
      <c r="N36" s="2">
        <v>79800</v>
      </c>
      <c r="O36" s="2">
        <v>94200</v>
      </c>
      <c r="P36" s="3">
        <v>7.2965749317943553E-4</v>
      </c>
      <c r="Q36" s="1"/>
    </row>
    <row r="37" spans="1:17" x14ac:dyDescent="0.3">
      <c r="A37" s="1" t="s">
        <v>98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54512.13</v>
      </c>
      <c r="M37" s="2">
        <v>9812.1799999999985</v>
      </c>
      <c r="N37" s="2">
        <v>0</v>
      </c>
      <c r="O37" s="2">
        <v>64324.31</v>
      </c>
      <c r="P37" s="3">
        <v>4.982453798842558E-4</v>
      </c>
      <c r="Q37" s="1"/>
    </row>
    <row r="38" spans="1:17" x14ac:dyDescent="0.3">
      <c r="A38" s="1" t="s">
        <v>65</v>
      </c>
      <c r="B38" s="2">
        <v>62582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62582</v>
      </c>
      <c r="P38" s="3">
        <v>4.8474973713540797E-4</v>
      </c>
      <c r="Q38" s="1"/>
    </row>
    <row r="39" spans="1:17" x14ac:dyDescent="0.3">
      <c r="A39" s="1" t="s">
        <v>99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53488</v>
      </c>
      <c r="N39" s="2">
        <v>0</v>
      </c>
      <c r="O39" s="2">
        <v>53488</v>
      </c>
      <c r="P39" s="3">
        <v>4.1430912946052701E-4</v>
      </c>
      <c r="Q39" s="1"/>
    </row>
    <row r="40" spans="1:17" x14ac:dyDescent="0.3">
      <c r="A40" s="1" t="s">
        <v>21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50530</v>
      </c>
      <c r="N40" s="2">
        <v>0</v>
      </c>
      <c r="O40" s="2">
        <v>50530</v>
      </c>
      <c r="P40" s="3">
        <v>3.9139695467470145E-4</v>
      </c>
      <c r="Q40" s="1"/>
    </row>
    <row r="41" spans="1:17" x14ac:dyDescent="0.3">
      <c r="A41" s="1" t="s">
        <v>33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47118</v>
      </c>
      <c r="O41" s="2">
        <v>47118</v>
      </c>
      <c r="P41" s="3">
        <v>3.6496817158841445E-4</v>
      </c>
      <c r="Q41" s="1"/>
    </row>
    <row r="42" spans="1:17" x14ac:dyDescent="0.3">
      <c r="A42" s="1" t="s">
        <v>24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40726</v>
      </c>
      <c r="M42" s="2">
        <v>0</v>
      </c>
      <c r="N42" s="2">
        <v>0</v>
      </c>
      <c r="O42" s="2">
        <v>40726</v>
      </c>
      <c r="P42" s="3">
        <v>3.1545680538456143E-4</v>
      </c>
      <c r="Q42" s="1"/>
    </row>
    <row r="43" spans="1:17" x14ac:dyDescent="0.3">
      <c r="A43" s="1" t="s">
        <v>100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27360</v>
      </c>
      <c r="M43" s="2">
        <v>0</v>
      </c>
      <c r="N43" s="2">
        <v>0</v>
      </c>
      <c r="O43" s="2">
        <v>27360</v>
      </c>
      <c r="P43" s="3">
        <v>2.1192599801899526E-4</v>
      </c>
      <c r="Q43" s="1"/>
    </row>
    <row r="44" spans="1:17" x14ac:dyDescent="0.3">
      <c r="A44" s="1" t="s">
        <v>101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18561</v>
      </c>
      <c r="N44" s="2">
        <v>0</v>
      </c>
      <c r="O44" s="2">
        <v>18561</v>
      </c>
      <c r="P44" s="3">
        <v>1.4377041115608814E-4</v>
      </c>
      <c r="Q44" s="1"/>
    </row>
    <row r="45" spans="1:17" x14ac:dyDescent="0.3">
      <c r="A45" s="1" t="s">
        <v>26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17700</v>
      </c>
      <c r="M45" s="2">
        <v>0</v>
      </c>
      <c r="N45" s="2">
        <v>0</v>
      </c>
      <c r="O45" s="2">
        <v>17700</v>
      </c>
      <c r="P45" s="3">
        <v>1.3710124871842895E-4</v>
      </c>
      <c r="Q45" s="1"/>
    </row>
    <row r="46" spans="1:17" x14ac:dyDescent="0.3">
      <c r="A46" s="1" t="s">
        <v>17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14000</v>
      </c>
      <c r="N46" s="2">
        <v>0</v>
      </c>
      <c r="O46" s="2">
        <v>14000</v>
      </c>
      <c r="P46" s="3">
        <v>1.0844166565299465E-4</v>
      </c>
      <c r="Q46" s="1"/>
    </row>
    <row r="47" spans="1:17" x14ac:dyDescent="0.3">
      <c r="A47" s="1" t="s">
        <v>102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9210.24</v>
      </c>
      <c r="N47" s="2">
        <v>0</v>
      </c>
      <c r="O47" s="2">
        <v>9210.24</v>
      </c>
      <c r="P47" s="3">
        <v>7.1340983333131248E-5</v>
      </c>
      <c r="Q47" s="1"/>
    </row>
    <row r="48" spans="1:17" x14ac:dyDescent="0.3">
      <c r="A48" s="1" t="s">
        <v>16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-154.75000000000091</v>
      </c>
      <c r="O48" s="2">
        <v>-154.75000000000091</v>
      </c>
      <c r="P48" s="3">
        <v>-1.1986676971286445E-6</v>
      </c>
      <c r="Q48" s="1"/>
    </row>
    <row r="49" spans="1:17" x14ac:dyDescent="0.3">
      <c r="A49" s="1" t="s">
        <v>13</v>
      </c>
      <c r="B49" s="2">
        <v>4197505.0999999996</v>
      </c>
      <c r="C49" s="2">
        <v>121200</v>
      </c>
      <c r="D49" s="2">
        <v>14753024.27</v>
      </c>
      <c r="E49" s="2">
        <v>8420215.5999999996</v>
      </c>
      <c r="F49" s="2">
        <v>4268886.09</v>
      </c>
      <c r="G49" s="2">
        <v>8912109.6400000006</v>
      </c>
      <c r="H49" s="2">
        <v>8950856.0899999999</v>
      </c>
      <c r="I49" s="2">
        <v>4208576.8699999992</v>
      </c>
      <c r="J49" s="2">
        <v>4853754.2299999995</v>
      </c>
      <c r="K49" s="2">
        <v>17488985.270000003</v>
      </c>
      <c r="L49" s="2">
        <v>16404339.25</v>
      </c>
      <c r="M49" s="2">
        <v>27985212.300000001</v>
      </c>
      <c r="N49" s="2">
        <v>8537004.0599999987</v>
      </c>
      <c r="O49" s="2">
        <v>129101668.76999998</v>
      </c>
      <c r="P49" s="3">
        <v>1.0000000000000002</v>
      </c>
      <c r="Q4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FF53-3B86-43AC-AAA1-3F61B658770C}">
  <dimension ref="A1:P61"/>
  <sheetViews>
    <sheetView tabSelected="1" workbookViewId="0"/>
  </sheetViews>
  <sheetFormatPr defaultRowHeight="14.4" x14ac:dyDescent="0.3"/>
  <cols>
    <col min="1" max="1" width="98.09765625" bestFit="1" customWidth="1"/>
    <col min="2" max="2" width="11.3984375" bestFit="1" customWidth="1"/>
    <col min="3" max="3" width="10.5" bestFit="1" customWidth="1"/>
    <col min="4" max="4" width="10.69921875" bestFit="1" customWidth="1"/>
    <col min="5" max="5" width="10.5" bestFit="1" customWidth="1"/>
    <col min="6" max="14" width="11.3984375" bestFit="1" customWidth="1"/>
    <col min="15" max="15" width="12.3984375" bestFit="1" customWidth="1"/>
    <col min="16" max="16" width="137.19921875" bestFit="1" customWidth="1"/>
  </cols>
  <sheetData>
    <row r="1" spans="1:16" x14ac:dyDescent="0.3">
      <c r="A1" s="8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O1" s="8" t="s">
        <v>13</v>
      </c>
      <c r="P1" s="4" t="s">
        <v>61</v>
      </c>
    </row>
    <row r="2" spans="1:16" x14ac:dyDescent="0.3">
      <c r="A2" s="7" t="s">
        <v>103</v>
      </c>
      <c r="B2" s="6">
        <v>443563.83000000007</v>
      </c>
      <c r="C2" s="6">
        <v>-1005726.94</v>
      </c>
      <c r="D2" s="6">
        <v>1665694.44</v>
      </c>
      <c r="E2" s="6">
        <v>-13700.7</v>
      </c>
      <c r="F2" s="6">
        <v>1443214.23</v>
      </c>
      <c r="G2" s="6">
        <v>2414716.8499999996</v>
      </c>
      <c r="H2" s="6">
        <v>0</v>
      </c>
      <c r="I2" s="6">
        <v>1776777.53</v>
      </c>
      <c r="J2" s="6">
        <v>3014385.61</v>
      </c>
      <c r="K2" s="6">
        <v>3349750.9299999997</v>
      </c>
      <c r="L2" s="6">
        <v>803042.91</v>
      </c>
      <c r="M2" s="6">
        <v>25683.8</v>
      </c>
      <c r="N2" s="6">
        <v>2279171.56</v>
      </c>
      <c r="O2" s="5">
        <v>16196574.050000001</v>
      </c>
      <c r="P2" s="1" t="s">
        <v>104</v>
      </c>
    </row>
    <row r="3" spans="1:16" x14ac:dyDescent="0.3">
      <c r="A3" s="7" t="s">
        <v>72</v>
      </c>
      <c r="B3" s="6">
        <v>1819061.04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1029000</v>
      </c>
      <c r="J3" s="6">
        <v>210840</v>
      </c>
      <c r="K3" s="6">
        <v>2683672.02</v>
      </c>
      <c r="L3" s="6">
        <v>1628309.08</v>
      </c>
      <c r="M3" s="6">
        <v>1067133.6499999999</v>
      </c>
      <c r="N3" s="6">
        <v>2071873.1800000002</v>
      </c>
      <c r="O3" s="5">
        <v>10509888.970000001</v>
      </c>
      <c r="P3" s="1" t="s">
        <v>105</v>
      </c>
    </row>
    <row r="4" spans="1:16" x14ac:dyDescent="0.3">
      <c r="A4" s="7" t="s">
        <v>106</v>
      </c>
      <c r="B4" s="6">
        <v>14900</v>
      </c>
      <c r="C4" s="6">
        <v>-74549.990000000005</v>
      </c>
      <c r="D4" s="6">
        <v>449886.96</v>
      </c>
      <c r="E4" s="6">
        <v>999406.12</v>
      </c>
      <c r="F4" s="6">
        <v>269855.40000000002</v>
      </c>
      <c r="G4" s="6">
        <v>0</v>
      </c>
      <c r="H4" s="6">
        <v>421464</v>
      </c>
      <c r="I4" s="6">
        <v>1101240.54</v>
      </c>
      <c r="J4" s="6">
        <v>282217.5</v>
      </c>
      <c r="K4" s="6">
        <v>2611147.87</v>
      </c>
      <c r="L4" s="6">
        <v>2483002.3599999994</v>
      </c>
      <c r="M4" s="6">
        <v>-499417.44</v>
      </c>
      <c r="N4" s="6">
        <v>1883454.9899999998</v>
      </c>
      <c r="O4" s="5">
        <v>9942608.3099999987</v>
      </c>
      <c r="P4" s="1" t="s">
        <v>107</v>
      </c>
    </row>
    <row r="5" spans="1:16" x14ac:dyDescent="0.3">
      <c r="A5" s="7" t="s">
        <v>108</v>
      </c>
      <c r="B5" s="6">
        <v>919518.01</v>
      </c>
      <c r="C5" s="6">
        <v>-1509837.91</v>
      </c>
      <c r="D5" s="6">
        <v>377805.1</v>
      </c>
      <c r="E5" s="6">
        <v>0</v>
      </c>
      <c r="F5" s="6">
        <v>1464737.53</v>
      </c>
      <c r="G5" s="6">
        <v>0</v>
      </c>
      <c r="H5" s="6">
        <v>1319033.9100000001</v>
      </c>
      <c r="I5" s="6">
        <v>237425</v>
      </c>
      <c r="J5" s="6">
        <v>1038908.92</v>
      </c>
      <c r="K5" s="6">
        <v>160000</v>
      </c>
      <c r="L5" s="6">
        <v>1388086.02</v>
      </c>
      <c r="M5" s="6">
        <v>366290.68</v>
      </c>
      <c r="N5" s="6">
        <v>501421.85</v>
      </c>
      <c r="O5" s="5">
        <v>6263389.1099999994</v>
      </c>
      <c r="P5" s="1" t="s">
        <v>109</v>
      </c>
    </row>
    <row r="6" spans="1:16" x14ac:dyDescent="0.3">
      <c r="A6" s="7" t="s">
        <v>110</v>
      </c>
      <c r="B6" s="6">
        <v>0</v>
      </c>
      <c r="C6" s="6">
        <v>171152.32</v>
      </c>
      <c r="D6" s="6">
        <v>408524.37</v>
      </c>
      <c r="E6" s="6">
        <v>37333.1</v>
      </c>
      <c r="F6" s="6">
        <v>772710.92</v>
      </c>
      <c r="G6" s="6">
        <v>0</v>
      </c>
      <c r="H6" s="6">
        <v>294621.40000000002</v>
      </c>
      <c r="I6" s="6">
        <v>236833.94</v>
      </c>
      <c r="J6" s="6">
        <v>0</v>
      </c>
      <c r="K6" s="6">
        <v>1027968.19</v>
      </c>
      <c r="L6" s="6">
        <v>1114652.58</v>
      </c>
      <c r="M6" s="6">
        <v>-171152.32</v>
      </c>
      <c r="N6" s="6">
        <v>1300462.6100000001</v>
      </c>
      <c r="O6" s="5">
        <v>5193107.1100000003</v>
      </c>
      <c r="P6" s="1" t="s">
        <v>111</v>
      </c>
    </row>
    <row r="7" spans="1:16" x14ac:dyDescent="0.3">
      <c r="A7" s="7" t="s">
        <v>112</v>
      </c>
      <c r="B7" s="6">
        <v>0</v>
      </c>
      <c r="C7" s="6">
        <v>0</v>
      </c>
      <c r="D7" s="6">
        <v>0</v>
      </c>
      <c r="E7" s="6">
        <v>0</v>
      </c>
      <c r="F7" s="6">
        <v>1360583.98</v>
      </c>
      <c r="G7" s="6">
        <v>0</v>
      </c>
      <c r="H7" s="6">
        <v>407071.79</v>
      </c>
      <c r="I7" s="6">
        <v>73273</v>
      </c>
      <c r="J7" s="6">
        <v>1228805.95</v>
      </c>
      <c r="K7" s="6">
        <v>822268.7</v>
      </c>
      <c r="L7" s="6">
        <v>148008</v>
      </c>
      <c r="M7" s="6">
        <v>4600</v>
      </c>
      <c r="N7" s="6">
        <v>941145.45</v>
      </c>
      <c r="O7" s="5">
        <v>4985756.87</v>
      </c>
      <c r="P7" s="1" t="s">
        <v>109</v>
      </c>
    </row>
    <row r="8" spans="1:16" x14ac:dyDescent="0.3">
      <c r="A8" s="7" t="s">
        <v>113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4586862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5">
        <v>4586862</v>
      </c>
      <c r="P8" s="1" t="s">
        <v>114</v>
      </c>
    </row>
    <row r="9" spans="1:16" x14ac:dyDescent="0.3">
      <c r="A9" s="7" t="s">
        <v>14</v>
      </c>
      <c r="B9" s="6">
        <v>0</v>
      </c>
      <c r="C9" s="6">
        <v>0</v>
      </c>
      <c r="D9" s="6">
        <v>736386.6100000001</v>
      </c>
      <c r="E9" s="6">
        <v>815990.34</v>
      </c>
      <c r="F9" s="6">
        <v>2439532.3600000003</v>
      </c>
      <c r="G9" s="6">
        <v>86339.75</v>
      </c>
      <c r="H9" s="6">
        <v>0</v>
      </c>
      <c r="I9" s="6">
        <v>0</v>
      </c>
      <c r="J9" s="6">
        <v>89981</v>
      </c>
      <c r="K9" s="6">
        <v>0</v>
      </c>
      <c r="L9" s="6">
        <v>221940.32</v>
      </c>
      <c r="M9" s="6">
        <v>0</v>
      </c>
      <c r="N9" s="6">
        <v>0</v>
      </c>
      <c r="O9" s="5">
        <v>4390170.3800000008</v>
      </c>
      <c r="P9" s="1" t="s">
        <v>115</v>
      </c>
    </row>
    <row r="10" spans="1:16" x14ac:dyDescent="0.3">
      <c r="A10" s="7" t="s">
        <v>116</v>
      </c>
      <c r="B10" s="6">
        <v>0</v>
      </c>
      <c r="C10" s="6">
        <v>0</v>
      </c>
      <c r="D10" s="6">
        <v>119665.62</v>
      </c>
      <c r="E10" s="6">
        <v>21540</v>
      </c>
      <c r="F10" s="6">
        <v>237450</v>
      </c>
      <c r="G10" s="6">
        <v>63798.25</v>
      </c>
      <c r="H10" s="6">
        <v>0</v>
      </c>
      <c r="I10" s="6">
        <v>0</v>
      </c>
      <c r="J10" s="6">
        <v>585833</v>
      </c>
      <c r="K10" s="6">
        <v>26800</v>
      </c>
      <c r="L10" s="6">
        <v>383874</v>
      </c>
      <c r="M10" s="6">
        <v>120190.39999999999</v>
      </c>
      <c r="N10" s="6">
        <v>113008.8</v>
      </c>
      <c r="O10" s="5">
        <v>1672160.07</v>
      </c>
      <c r="P10" s="1" t="s">
        <v>117</v>
      </c>
    </row>
    <row r="11" spans="1:16" x14ac:dyDescent="0.3">
      <c r="A11" s="7" t="s">
        <v>67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220000</v>
      </c>
      <c r="K11" s="6">
        <v>0</v>
      </c>
      <c r="L11" s="6">
        <v>390000</v>
      </c>
      <c r="M11" s="6">
        <v>0</v>
      </c>
      <c r="N11" s="6">
        <v>728500</v>
      </c>
      <c r="O11" s="5">
        <v>1338500</v>
      </c>
      <c r="P11" s="1"/>
    </row>
    <row r="12" spans="1:16" x14ac:dyDescent="0.3">
      <c r="A12" s="7" t="s">
        <v>118</v>
      </c>
      <c r="B12" s="6">
        <v>0</v>
      </c>
      <c r="C12" s="6">
        <v>0</v>
      </c>
      <c r="D12" s="6">
        <v>1237849.5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">
        <v>1237849.5</v>
      </c>
      <c r="P12" s="1"/>
    </row>
    <row r="13" spans="1:16" x14ac:dyDescent="0.3">
      <c r="A13" s="7" t="s">
        <v>64</v>
      </c>
      <c r="B13" s="6">
        <v>348702.51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33077.919999999998</v>
      </c>
      <c r="K13" s="6">
        <v>0</v>
      </c>
      <c r="L13" s="6">
        <v>323468</v>
      </c>
      <c r="M13" s="6">
        <v>451780.42000000004</v>
      </c>
      <c r="N13" s="6">
        <v>0</v>
      </c>
      <c r="O13" s="5">
        <v>1157028.8500000001</v>
      </c>
      <c r="P13" s="1"/>
    </row>
    <row r="14" spans="1:16" x14ac:dyDescent="0.3">
      <c r="A14" s="7" t="s">
        <v>90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462163.20000000001</v>
      </c>
      <c r="I14" s="6">
        <v>0</v>
      </c>
      <c r="J14" s="6">
        <v>0</v>
      </c>
      <c r="K14" s="6">
        <v>537623.80000000005</v>
      </c>
      <c r="L14" s="6">
        <v>0</v>
      </c>
      <c r="M14" s="6">
        <v>0</v>
      </c>
      <c r="N14" s="6">
        <v>0</v>
      </c>
      <c r="O14" s="5">
        <v>999787</v>
      </c>
      <c r="P14" s="1"/>
    </row>
    <row r="15" spans="1:16" x14ac:dyDescent="0.3">
      <c r="A15" s="7" t="s">
        <v>119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683217.5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">
        <v>683217.5</v>
      </c>
      <c r="P15" s="1"/>
    </row>
    <row r="16" spans="1:16" x14ac:dyDescent="0.3">
      <c r="A16" s="7" t="s">
        <v>87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270000</v>
      </c>
      <c r="I16" s="6">
        <v>0</v>
      </c>
      <c r="J16" s="6">
        <v>120000</v>
      </c>
      <c r="K16" s="6">
        <v>0</v>
      </c>
      <c r="L16" s="6">
        <v>132104.6</v>
      </c>
      <c r="M16" s="6">
        <v>0</v>
      </c>
      <c r="N16" s="6">
        <v>0</v>
      </c>
      <c r="O16" s="5">
        <v>522104.6</v>
      </c>
      <c r="P16" s="1"/>
    </row>
    <row r="17" spans="1:16" x14ac:dyDescent="0.3">
      <c r="A17" s="7" t="s">
        <v>120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485817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5">
        <v>485817</v>
      </c>
      <c r="P17" s="1"/>
    </row>
    <row r="18" spans="1:16" x14ac:dyDescent="0.3">
      <c r="A18" s="7" t="s">
        <v>95</v>
      </c>
      <c r="B18" s="6">
        <v>0</v>
      </c>
      <c r="C18" s="6">
        <v>0</v>
      </c>
      <c r="D18" s="6">
        <v>0</v>
      </c>
      <c r="E18" s="6">
        <v>165571</v>
      </c>
      <c r="F18" s="6">
        <v>0</v>
      </c>
      <c r="G18" s="6">
        <v>133642.35999999999</v>
      </c>
      <c r="H18" s="6">
        <v>-165571</v>
      </c>
      <c r="I18" s="6">
        <v>27645</v>
      </c>
      <c r="J18" s="6">
        <v>0</v>
      </c>
      <c r="K18" s="6">
        <v>98000</v>
      </c>
      <c r="L18" s="6">
        <v>30620</v>
      </c>
      <c r="M18" s="6">
        <v>102519</v>
      </c>
      <c r="N18" s="6">
        <v>0</v>
      </c>
      <c r="O18" s="5">
        <v>392426.36</v>
      </c>
      <c r="P18" s="1"/>
    </row>
    <row r="19" spans="1:16" x14ac:dyDescent="0.3">
      <c r="A19" s="7" t="s">
        <v>38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190000</v>
      </c>
      <c r="M19" s="6">
        <v>0</v>
      </c>
      <c r="N19" s="6">
        <v>180000</v>
      </c>
      <c r="O19" s="5">
        <v>370000</v>
      </c>
      <c r="P19" s="1"/>
    </row>
    <row r="20" spans="1:16" x14ac:dyDescent="0.3">
      <c r="A20" s="7" t="s">
        <v>97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353542</v>
      </c>
      <c r="K20" s="6">
        <v>0</v>
      </c>
      <c r="L20" s="6">
        <v>0</v>
      </c>
      <c r="M20" s="6">
        <v>0</v>
      </c>
      <c r="N20" s="6">
        <v>0</v>
      </c>
      <c r="O20" s="5">
        <v>353542</v>
      </c>
      <c r="P20" s="1"/>
    </row>
    <row r="21" spans="1:16" x14ac:dyDescent="0.3">
      <c r="A21" s="7" t="s">
        <v>121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280000</v>
      </c>
      <c r="I21" s="6">
        <v>0</v>
      </c>
      <c r="J21" s="6">
        <v>50400</v>
      </c>
      <c r="K21" s="6">
        <v>0</v>
      </c>
      <c r="L21" s="6">
        <v>0</v>
      </c>
      <c r="M21" s="6">
        <v>0</v>
      </c>
      <c r="N21" s="6">
        <v>0</v>
      </c>
      <c r="O21" s="5">
        <v>330400</v>
      </c>
      <c r="P21" s="1"/>
    </row>
    <row r="22" spans="1:16" x14ac:dyDescent="0.3">
      <c r="A22" s="7" t="s">
        <v>122</v>
      </c>
      <c r="B22" s="6">
        <v>0</v>
      </c>
      <c r="C22" s="6">
        <v>0</v>
      </c>
      <c r="D22" s="6">
        <v>0</v>
      </c>
      <c r="E22" s="6">
        <v>167730</v>
      </c>
      <c r="F22" s="6">
        <v>0</v>
      </c>
      <c r="G22" s="6">
        <v>0</v>
      </c>
      <c r="H22" s="6">
        <v>49644</v>
      </c>
      <c r="I22" s="6">
        <v>0</v>
      </c>
      <c r="J22" s="6">
        <v>0</v>
      </c>
      <c r="K22" s="6">
        <v>0</v>
      </c>
      <c r="L22" s="6">
        <v>105000.2</v>
      </c>
      <c r="M22" s="6">
        <v>0</v>
      </c>
      <c r="N22" s="6">
        <v>0</v>
      </c>
      <c r="O22" s="5">
        <v>322374.2</v>
      </c>
      <c r="P22" s="1"/>
    </row>
    <row r="23" spans="1:16" x14ac:dyDescent="0.3">
      <c r="A23" s="7" t="s">
        <v>45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299296</v>
      </c>
      <c r="M23" s="6">
        <v>0</v>
      </c>
      <c r="N23" s="6">
        <v>0</v>
      </c>
      <c r="O23" s="5">
        <v>299296</v>
      </c>
      <c r="P23" s="1"/>
    </row>
    <row r="24" spans="1:16" x14ac:dyDescent="0.3">
      <c r="A24" s="7" t="s">
        <v>123</v>
      </c>
      <c r="B24" s="6">
        <v>281250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5">
        <v>281250</v>
      </c>
      <c r="P24" s="1"/>
    </row>
    <row r="25" spans="1:16" x14ac:dyDescent="0.3">
      <c r="A25" s="7" t="s">
        <v>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275000</v>
      </c>
      <c r="K25" s="6">
        <v>0</v>
      </c>
      <c r="L25" s="6">
        <v>0</v>
      </c>
      <c r="M25" s="6">
        <v>0</v>
      </c>
      <c r="N25" s="6">
        <v>0</v>
      </c>
      <c r="O25" s="5">
        <v>275000</v>
      </c>
      <c r="P25" s="1"/>
    </row>
    <row r="26" spans="1:16" x14ac:dyDescent="0.3">
      <c r="A26" s="7" t="s">
        <v>66</v>
      </c>
      <c r="B26" s="6">
        <v>0</v>
      </c>
      <c r="C26" s="6">
        <v>0</v>
      </c>
      <c r="D26" s="6">
        <v>0</v>
      </c>
      <c r="E26" s="6">
        <v>3320</v>
      </c>
      <c r="F26" s="6">
        <v>30348.799999999999</v>
      </c>
      <c r="G26" s="6">
        <v>0</v>
      </c>
      <c r="H26" s="6">
        <v>9777</v>
      </c>
      <c r="I26" s="6">
        <v>2310</v>
      </c>
      <c r="J26" s="6">
        <v>0</v>
      </c>
      <c r="K26" s="6">
        <v>68875.7</v>
      </c>
      <c r="L26" s="6">
        <v>147206.43</v>
      </c>
      <c r="M26" s="6">
        <v>0</v>
      </c>
      <c r="N26" s="6">
        <v>0</v>
      </c>
      <c r="O26" s="5">
        <v>261837.93</v>
      </c>
      <c r="P26" s="1"/>
    </row>
    <row r="27" spans="1:16" x14ac:dyDescent="0.3">
      <c r="A27" s="7" t="s">
        <v>42</v>
      </c>
      <c r="B27" s="6">
        <v>0</v>
      </c>
      <c r="C27" s="6">
        <v>0</v>
      </c>
      <c r="D27" s="6">
        <v>0</v>
      </c>
      <c r="E27" s="6">
        <v>249044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5">
        <v>249044</v>
      </c>
      <c r="P27" s="1"/>
    </row>
    <row r="28" spans="1:16" x14ac:dyDescent="0.3">
      <c r="A28" s="7" t="s">
        <v>125</v>
      </c>
      <c r="B28" s="6">
        <v>0</v>
      </c>
      <c r="C28" s="6">
        <v>132500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104000</v>
      </c>
      <c r="N28" s="6">
        <v>0</v>
      </c>
      <c r="O28" s="5">
        <v>236500</v>
      </c>
      <c r="P28" s="1"/>
    </row>
    <row r="29" spans="1:16" x14ac:dyDescent="0.3">
      <c r="A29" s="7" t="s">
        <v>46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103114</v>
      </c>
      <c r="I29" s="6">
        <v>0</v>
      </c>
      <c r="J29" s="6">
        <v>0</v>
      </c>
      <c r="K29" s="6">
        <v>88599</v>
      </c>
      <c r="L29" s="6">
        <v>0</v>
      </c>
      <c r="M29" s="6">
        <v>24778</v>
      </c>
      <c r="N29" s="6">
        <v>4460</v>
      </c>
      <c r="O29" s="5">
        <v>220951</v>
      </c>
      <c r="P29" s="1"/>
    </row>
    <row r="30" spans="1:16" x14ac:dyDescent="0.3">
      <c r="A30" s="7" t="s">
        <v>126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220000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5">
        <v>220000</v>
      </c>
      <c r="P30" s="1"/>
    </row>
    <row r="31" spans="1:16" x14ac:dyDescent="0.3">
      <c r="A31" s="7" t="s">
        <v>127</v>
      </c>
      <c r="B31" s="6">
        <v>0</v>
      </c>
      <c r="C31" s="6">
        <v>0</v>
      </c>
      <c r="D31" s="6">
        <v>0</v>
      </c>
      <c r="E31" s="6">
        <v>100000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115000</v>
      </c>
      <c r="N31" s="6">
        <v>0</v>
      </c>
      <c r="O31" s="5">
        <v>215000</v>
      </c>
      <c r="P31" s="1"/>
    </row>
    <row r="32" spans="1:16" x14ac:dyDescent="0.3">
      <c r="A32" s="7" t="s">
        <v>92</v>
      </c>
      <c r="B32" s="6">
        <v>0</v>
      </c>
      <c r="C32" s="6">
        <v>0</v>
      </c>
      <c r="D32" s="6">
        <v>0</v>
      </c>
      <c r="E32" s="6">
        <v>0</v>
      </c>
      <c r="F32" s="6">
        <v>56400</v>
      </c>
      <c r="G32" s="6">
        <v>0</v>
      </c>
      <c r="H32" s="6">
        <v>0</v>
      </c>
      <c r="I32" s="6">
        <v>56400</v>
      </c>
      <c r="J32" s="6">
        <v>0</v>
      </c>
      <c r="K32" s="6">
        <v>80800</v>
      </c>
      <c r="L32" s="6">
        <v>0</v>
      </c>
      <c r="M32" s="6">
        <v>0</v>
      </c>
      <c r="N32" s="6">
        <v>0</v>
      </c>
      <c r="O32" s="5">
        <v>193600</v>
      </c>
      <c r="P32" s="1"/>
    </row>
    <row r="33" spans="1:16" x14ac:dyDescent="0.3">
      <c r="A33" s="7" t="s">
        <v>128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182679</v>
      </c>
      <c r="K33" s="6">
        <v>0</v>
      </c>
      <c r="L33" s="6">
        <v>0</v>
      </c>
      <c r="M33" s="6">
        <v>0</v>
      </c>
      <c r="N33" s="6">
        <v>0</v>
      </c>
      <c r="O33" s="5">
        <v>182679</v>
      </c>
      <c r="P33" s="1"/>
    </row>
    <row r="34" spans="1:16" x14ac:dyDescent="0.3">
      <c r="A34" s="7" t="s">
        <v>40</v>
      </c>
      <c r="B34" s="6">
        <v>0</v>
      </c>
      <c r="C34" s="6">
        <v>0</v>
      </c>
      <c r="D34" s="6">
        <v>147315</v>
      </c>
      <c r="E34" s="6">
        <v>0</v>
      </c>
      <c r="F34" s="6">
        <v>0</v>
      </c>
      <c r="G34" s="6">
        <v>0</v>
      </c>
      <c r="H34" s="6">
        <v>-147315</v>
      </c>
      <c r="I34" s="6">
        <v>0</v>
      </c>
      <c r="J34" s="6">
        <v>0</v>
      </c>
      <c r="K34" s="6">
        <v>51470.2</v>
      </c>
      <c r="L34" s="6">
        <v>0</v>
      </c>
      <c r="M34" s="6">
        <v>120910</v>
      </c>
      <c r="N34" s="6">
        <v>0</v>
      </c>
      <c r="O34" s="5">
        <v>172380.2</v>
      </c>
      <c r="P34" s="1"/>
    </row>
    <row r="35" spans="1:16" x14ac:dyDescent="0.3">
      <c r="A35" s="7" t="s">
        <v>28</v>
      </c>
      <c r="B35" s="6">
        <v>0</v>
      </c>
      <c r="C35" s="6">
        <v>0</v>
      </c>
      <c r="D35" s="6">
        <v>0</v>
      </c>
      <c r="E35" s="6">
        <v>164657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5">
        <v>164657</v>
      </c>
      <c r="P35" s="1"/>
    </row>
    <row r="36" spans="1:16" x14ac:dyDescent="0.3">
      <c r="A36" s="7" t="s">
        <v>129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46500</v>
      </c>
      <c r="M36" s="6">
        <v>116000</v>
      </c>
      <c r="N36" s="6">
        <v>0</v>
      </c>
      <c r="O36" s="5">
        <v>162500</v>
      </c>
      <c r="P36" s="1"/>
    </row>
    <row r="37" spans="1:16" x14ac:dyDescent="0.3">
      <c r="A37" s="7" t="s">
        <v>43</v>
      </c>
      <c r="B37" s="6">
        <v>31296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77751.679999999993</v>
      </c>
      <c r="M37" s="6">
        <v>0</v>
      </c>
      <c r="N37" s="6">
        <v>28801.759999999998</v>
      </c>
      <c r="O37" s="5">
        <v>137849.44</v>
      </c>
      <c r="P37" s="1"/>
    </row>
    <row r="38" spans="1:16" x14ac:dyDescent="0.3">
      <c r="A38" s="7" t="s">
        <v>96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120582.5</v>
      </c>
      <c r="M38" s="6">
        <v>0</v>
      </c>
      <c r="N38" s="6">
        <v>0</v>
      </c>
      <c r="O38" s="5">
        <v>120582.5</v>
      </c>
      <c r="P38" s="1"/>
    </row>
    <row r="39" spans="1:16" x14ac:dyDescent="0.3">
      <c r="A39" s="7" t="s">
        <v>130</v>
      </c>
      <c r="B39" s="6">
        <v>0</v>
      </c>
      <c r="C39" s="6">
        <v>0</v>
      </c>
      <c r="D39" s="6">
        <v>120000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5">
        <v>120000</v>
      </c>
      <c r="P39" s="1"/>
    </row>
    <row r="40" spans="1:16" x14ac:dyDescent="0.3">
      <c r="A40" s="7" t="s">
        <v>39</v>
      </c>
      <c r="B40" s="6">
        <v>0</v>
      </c>
      <c r="C40" s="6">
        <v>0</v>
      </c>
      <c r="D40" s="6">
        <v>0</v>
      </c>
      <c r="E40" s="6">
        <v>0</v>
      </c>
      <c r="F40" s="6">
        <v>107506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5">
        <v>107506</v>
      </c>
      <c r="P40" s="1"/>
    </row>
    <row r="41" spans="1:16" x14ac:dyDescent="0.3">
      <c r="A41" s="7" t="s">
        <v>98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88970.4</v>
      </c>
      <c r="O41" s="5">
        <v>88970.4</v>
      </c>
      <c r="P41" s="1"/>
    </row>
    <row r="42" spans="1:16" x14ac:dyDescent="0.3">
      <c r="A42" s="7" t="s">
        <v>131</v>
      </c>
      <c r="B42" s="6">
        <v>0</v>
      </c>
      <c r="C42" s="6">
        <v>0</v>
      </c>
      <c r="D42" s="6">
        <v>2480</v>
      </c>
      <c r="E42" s="6">
        <v>1850</v>
      </c>
      <c r="F42" s="6">
        <v>1705</v>
      </c>
      <c r="G42" s="6">
        <v>34680</v>
      </c>
      <c r="H42" s="6">
        <v>3105</v>
      </c>
      <c r="I42" s="6">
        <v>0</v>
      </c>
      <c r="J42" s="6">
        <v>750</v>
      </c>
      <c r="K42" s="6">
        <v>1860</v>
      </c>
      <c r="L42" s="6">
        <v>1820</v>
      </c>
      <c r="M42" s="6">
        <v>-615</v>
      </c>
      <c r="N42" s="6">
        <v>0</v>
      </c>
      <c r="O42" s="5">
        <v>47635</v>
      </c>
      <c r="P42" s="1"/>
    </row>
    <row r="43" spans="1:16" x14ac:dyDescent="0.3">
      <c r="A43" s="7" t="s">
        <v>132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39224.89</v>
      </c>
      <c r="O43" s="5">
        <v>39224.89</v>
      </c>
      <c r="P43" s="1"/>
    </row>
    <row r="44" spans="1:16" x14ac:dyDescent="0.3">
      <c r="A44" s="7" t="s">
        <v>133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38900</v>
      </c>
      <c r="M44" s="6">
        <v>0</v>
      </c>
      <c r="N44" s="6">
        <v>0</v>
      </c>
      <c r="O44" s="5">
        <v>38900</v>
      </c>
      <c r="P44" s="1"/>
    </row>
    <row r="45" spans="1:16" x14ac:dyDescent="0.3">
      <c r="A45" s="7" t="s">
        <v>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36000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5">
        <v>36000</v>
      </c>
      <c r="P45" s="1"/>
    </row>
    <row r="46" spans="1:16" x14ac:dyDescent="0.3">
      <c r="A46" s="7" t="s">
        <v>89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16000</v>
      </c>
      <c r="I46" s="6">
        <v>0</v>
      </c>
      <c r="J46" s="6">
        <v>11000</v>
      </c>
      <c r="K46" s="6">
        <v>0</v>
      </c>
      <c r="L46" s="6">
        <v>0</v>
      </c>
      <c r="M46" s="6">
        <v>0</v>
      </c>
      <c r="N46" s="6">
        <v>3500</v>
      </c>
      <c r="O46" s="5">
        <v>30500</v>
      </c>
      <c r="P46" s="1"/>
    </row>
    <row r="47" spans="1:16" x14ac:dyDescent="0.3">
      <c r="A47" s="7" t="s">
        <v>36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13337.14</v>
      </c>
      <c r="N47" s="6">
        <v>0</v>
      </c>
      <c r="O47" s="5">
        <v>13337.14</v>
      </c>
      <c r="P47" s="1"/>
    </row>
    <row r="48" spans="1:16" x14ac:dyDescent="0.3">
      <c r="A48" s="7" t="s">
        <v>19</v>
      </c>
      <c r="B48" s="6">
        <v>0</v>
      </c>
      <c r="C48" s="6">
        <v>0</v>
      </c>
      <c r="D48" s="6">
        <v>0</v>
      </c>
      <c r="E48" s="6">
        <v>0</v>
      </c>
      <c r="F48" s="6">
        <v>10500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5">
        <v>10500</v>
      </c>
      <c r="P48" s="1"/>
    </row>
    <row r="49" spans="1:16" x14ac:dyDescent="0.3">
      <c r="A49" s="7" t="s">
        <v>134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8100</v>
      </c>
      <c r="K49" s="6">
        <v>0</v>
      </c>
      <c r="L49" s="6">
        <v>0</v>
      </c>
      <c r="M49" s="6">
        <v>0</v>
      </c>
      <c r="N49" s="6">
        <v>0</v>
      </c>
      <c r="O49" s="5">
        <v>8100</v>
      </c>
      <c r="P49" s="1"/>
    </row>
    <row r="50" spans="1:16" x14ac:dyDescent="0.3">
      <c r="A50" s="7" t="s">
        <v>135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126</v>
      </c>
      <c r="I50" s="6">
        <v>0</v>
      </c>
      <c r="J50" s="6">
        <v>6116.76</v>
      </c>
      <c r="K50" s="6">
        <v>0</v>
      </c>
      <c r="L50" s="6">
        <v>0</v>
      </c>
      <c r="M50" s="6">
        <v>0</v>
      </c>
      <c r="N50" s="6">
        <v>0</v>
      </c>
      <c r="O50" s="5">
        <v>6242.76</v>
      </c>
      <c r="P50" s="1"/>
    </row>
    <row r="51" spans="1:16" x14ac:dyDescent="0.3">
      <c r="A51" s="7" t="s">
        <v>136</v>
      </c>
      <c r="B51" s="6">
        <v>0</v>
      </c>
      <c r="C51" s="6">
        <v>0</v>
      </c>
      <c r="D51" s="6">
        <v>0</v>
      </c>
      <c r="E51" s="6">
        <v>0</v>
      </c>
      <c r="F51" s="6">
        <v>2628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5">
        <v>2628</v>
      </c>
      <c r="P51" s="1"/>
    </row>
    <row r="52" spans="1:16" x14ac:dyDescent="0.3">
      <c r="A52" s="7" t="s">
        <v>137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1250</v>
      </c>
      <c r="N52" s="6">
        <v>0</v>
      </c>
      <c r="O52" s="5">
        <v>1250</v>
      </c>
      <c r="P52" s="1"/>
    </row>
    <row r="53" spans="1:16" x14ac:dyDescent="0.3">
      <c r="A53" s="7" t="s">
        <v>138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1000</v>
      </c>
      <c r="L53" s="6">
        <v>0</v>
      </c>
      <c r="M53" s="6">
        <v>0</v>
      </c>
      <c r="N53" s="6">
        <v>0</v>
      </c>
      <c r="O53" s="5">
        <v>1000</v>
      </c>
      <c r="P53" s="1"/>
    </row>
    <row r="54" spans="1:16" x14ac:dyDescent="0.3">
      <c r="A54" s="7" t="s">
        <v>139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180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5">
        <v>180</v>
      </c>
      <c r="P54" s="1"/>
    </row>
    <row r="55" spans="1:16" x14ac:dyDescent="0.3">
      <c r="A55" s="7" t="s">
        <v>140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5">
        <v>0</v>
      </c>
      <c r="P55" s="1"/>
    </row>
    <row r="56" spans="1:16" x14ac:dyDescent="0.3">
      <c r="A56" s="7" t="s">
        <v>141</v>
      </c>
      <c r="B56" s="6">
        <v>0</v>
      </c>
      <c r="C56" s="6">
        <v>-15206.4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5">
        <v>-15206.4</v>
      </c>
      <c r="P56" s="1"/>
    </row>
    <row r="57" spans="1:16" x14ac:dyDescent="0.3">
      <c r="A57" s="7" t="s">
        <v>15</v>
      </c>
      <c r="B57" s="6">
        <v>0</v>
      </c>
      <c r="C57" s="6">
        <v>92121</v>
      </c>
      <c r="D57" s="6">
        <v>0</v>
      </c>
      <c r="E57" s="6">
        <v>0</v>
      </c>
      <c r="F57" s="6">
        <v>0</v>
      </c>
      <c r="G57" s="6">
        <v>0</v>
      </c>
      <c r="H57" s="6">
        <v>-249766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5">
        <v>-157645</v>
      </c>
      <c r="P57" s="1"/>
    </row>
    <row r="58" spans="1:16" x14ac:dyDescent="0.3">
      <c r="A58" s="7" t="s">
        <v>142</v>
      </c>
      <c r="B58" s="6">
        <v>-358855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5">
        <v>-358855</v>
      </c>
      <c r="P58" s="1"/>
    </row>
    <row r="59" spans="1:16" x14ac:dyDescent="0.3">
      <c r="A59" s="7" t="s">
        <v>143</v>
      </c>
      <c r="B59" s="6">
        <v>0</v>
      </c>
      <c r="C59" s="6">
        <v>-732286.2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135350</v>
      </c>
      <c r="N59" s="6">
        <v>0</v>
      </c>
      <c r="O59" s="5">
        <v>-596936.19999999995</v>
      </c>
      <c r="P59" s="1"/>
    </row>
    <row r="60" spans="1:16" ht="14.95" thickBot="1" x14ac:dyDescent="0.35">
      <c r="B60" s="9">
        <f>SUM(B2:B59)</f>
        <v>3499436.3899999997</v>
      </c>
      <c r="C60" s="9">
        <f t="shared" ref="C60:O60" si="0">SUM(C2:C59)</f>
        <v>-2941834.12</v>
      </c>
      <c r="D60" s="9">
        <f t="shared" si="0"/>
        <v>5265607.6000000006</v>
      </c>
      <c r="E60" s="9">
        <f t="shared" si="0"/>
        <v>2712740.86</v>
      </c>
      <c r="F60" s="9">
        <f t="shared" si="0"/>
        <v>8197172.2200000007</v>
      </c>
      <c r="G60" s="9">
        <f t="shared" si="0"/>
        <v>3452394.7099999995</v>
      </c>
      <c r="H60" s="9">
        <f t="shared" si="0"/>
        <v>3779285.3000000003</v>
      </c>
      <c r="I60" s="9">
        <f t="shared" si="0"/>
        <v>9127947.0100000016</v>
      </c>
      <c r="J60" s="9">
        <f t="shared" si="0"/>
        <v>7711637.6600000001</v>
      </c>
      <c r="K60" s="9">
        <f t="shared" si="0"/>
        <v>11609836.409999998</v>
      </c>
      <c r="L60" s="9">
        <f t="shared" si="0"/>
        <v>10074164.679999998</v>
      </c>
      <c r="M60" s="9">
        <f t="shared" si="0"/>
        <v>2097638.33</v>
      </c>
      <c r="N60" s="9">
        <f t="shared" si="0"/>
        <v>10163995.490000002</v>
      </c>
      <c r="O60" s="9">
        <f t="shared" si="0"/>
        <v>74750022.540000007</v>
      </c>
    </row>
    <row r="61" spans="1:16" ht="14.95" thickTop="1" x14ac:dyDescent="0.3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2025-26</vt:lpstr>
      <vt:lpstr>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2026-07-07T02:17:56Z</dcterms:created>
  <dcterms:modified xsi:type="dcterms:W3CDTF">2026-07-07T02:43:49Z</dcterms:modified>
</cp:coreProperties>
</file>