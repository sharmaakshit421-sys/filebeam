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0" yWindow="-100" windowWidth="21467" windowHeight="11443" tabRatio="600" firstSheet="0" activeTab="0" autoFilterDateGrouping="1"/>
  </bookViews>
  <sheets>
    <sheet name="Opex Tod" sheetId="1" state="visible" r:id="rId1"/>
  </sheets>
  <definedNames>
    <definedName name="_xlnm._FilterDatabase" localSheetId="0" hidden="1">'Opex Tod'!$C$24:$AV$84</definedName>
  </definedNames>
  <calcPr calcId="191029" fullCalcOnLoad="1"/>
</workbook>
</file>

<file path=xl/styles.xml><?xml version="1.0" encoding="utf-8"?>
<styleSheet xmlns="http://schemas.openxmlformats.org/spreadsheetml/2006/main">
  <numFmts count="4">
    <numFmt numFmtId="164" formatCode="_(* #,##0_);_(* \(#,##0\);_(* &quot;-&quot;??_);_(@_)"/>
    <numFmt numFmtId="165" formatCode="_ * #,##0.00_ ;_ * \-#,##0.00_ ;_ * &quot;-&quot;??_ ;_ @_ "/>
    <numFmt numFmtId="166" formatCode="_-* #,##0_-;\-* #,##0_-;_-* &quot;-&quot;??_-;_-@_-"/>
    <numFmt numFmtId="167" formatCode="_ * #,##0_ ;_ * \-#,##0_ ;_ * &quot;-&quot;??_ ;_ @_ "/>
  </numFmts>
  <fonts count="2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alibri"/>
      <family val="2"/>
      <sz val="8"/>
      <scheme val="minor"/>
    </font>
    <font>
      <name val="Calibri"/>
      <family val="2"/>
      <b val="1"/>
      <color theme="1"/>
      <sz val="8"/>
      <scheme val="minor"/>
    </font>
    <font>
      <name val="Calibri"/>
      <family val="2"/>
      <color theme="10"/>
      <sz val="11"/>
      <u val="single"/>
      <scheme val="minor"/>
    </font>
    <font>
      <name val="Calibri"/>
      <family val="2"/>
      <color theme="10"/>
      <sz val="8"/>
      <u val="single"/>
      <scheme val="minor"/>
    </font>
    <font>
      <name val="Calibri"/>
      <family val="2"/>
      <color theme="0"/>
      <sz val="8"/>
      <scheme val="minor"/>
    </font>
    <font>
      <name val="Calibri"/>
      <family val="2"/>
      <b val="1"/>
      <color rgb="FFFF0000"/>
      <sz val="8"/>
      <scheme val="minor"/>
    </font>
    <font>
      <name val="Calibri"/>
      <family val="2"/>
      <b val="1"/>
      <sz val="8"/>
      <scheme val="minor"/>
    </font>
    <font>
      <name val="Calibri"/>
      <family val="2"/>
      <b val="1"/>
      <color theme="0"/>
      <sz val="8"/>
      <scheme val="minor"/>
    </font>
    <font>
      <name val="Calibri"/>
      <family val="2"/>
      <b val="1"/>
      <i val="1"/>
      <color theme="1"/>
      <sz val="8"/>
      <scheme val="minor"/>
    </font>
    <font>
      <name val="Calibri"/>
      <family val="2"/>
      <b val="1"/>
      <i val="1"/>
      <color theme="0"/>
      <sz val="8"/>
      <scheme val="minor"/>
    </font>
    <font>
      <name val="Calibri"/>
      <family val="2"/>
      <i val="1"/>
      <sz val="8"/>
      <scheme val="minor"/>
    </font>
    <font>
      <name val="Calibri"/>
      <family val="2"/>
      <b val="1"/>
      <color rgb="FF0000FF"/>
      <sz val="8"/>
      <scheme val="minor"/>
    </font>
    <font>
      <name val="Calibri"/>
      <family val="2"/>
      <color rgb="FF92D050"/>
      <sz val="8"/>
      <scheme val="minor"/>
    </font>
    <font>
      <name val="Arial"/>
      <family val="2"/>
      <b val="1"/>
      <sz val="10"/>
    </font>
    <font>
      <name val="Calibri"/>
      <family val="2"/>
      <color theme="5"/>
      <sz val="8"/>
      <scheme val="minor"/>
    </font>
    <font>
      <name val="Calibri"/>
      <family val="2"/>
      <color rgb="FF0070C0"/>
      <sz val="8"/>
      <scheme val="minor"/>
    </font>
    <font>
      <name val="calibri"/>
      <family val="2"/>
      <color theme="1"/>
      <sz val="9"/>
    </font>
    <font>
      <name val="Calibri"/>
      <family val="2"/>
      <color rgb="FFFF0000"/>
      <sz val="8"/>
      <scheme val="minor"/>
    </font>
  </fonts>
  <fills count="10">
    <fill>
      <patternFill/>
    </fill>
    <fill>
      <patternFill patternType="gray125"/>
    </fill>
    <fill>
      <patternFill patternType="solid">
        <fgColor theme="0" tint="-0.1499984740745262"/>
        <bgColor indexed="64"/>
      </patternFill>
    </fill>
    <fill>
      <patternFill patternType="solid">
        <fgColor theme="0"/>
        <bgColor indexed="64"/>
      </patternFill>
    </fill>
    <fill>
      <patternFill patternType="solid">
        <fgColor theme="1"/>
        <bgColor indexed="64"/>
      </patternFill>
    </fill>
    <fill>
      <patternFill patternType="solid">
        <fgColor theme="0" tint="-0.499984740745262"/>
        <bgColor indexed="64"/>
      </patternFill>
    </fill>
    <fill>
      <patternFill patternType="solid">
        <fgColor theme="0" tint="-0.0499893185216834"/>
        <bgColor indexed="64"/>
      </patternFill>
    </fill>
    <fill>
      <patternFill patternType="solid">
        <fgColor rgb="FFDBDBDB"/>
        <bgColor indexed="64"/>
      </patternFill>
    </fill>
    <fill>
      <patternFill patternType="solid">
        <fgColor indexed="27"/>
        <bgColor indexed="64"/>
      </patternFill>
    </fill>
    <fill>
      <patternFill patternType="solid">
        <fgColor theme="2"/>
        <bgColor indexed="64"/>
      </patternFill>
    </fill>
  </fills>
  <borders count="1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12">
    <xf numFmtId="0" fontId="1" fillId="0" borderId="0"/>
    <xf numFmtId="43" fontId="1" fillId="0" borderId="0"/>
    <xf numFmtId="0" fontId="6" fillId="0" borderId="0"/>
    <xf numFmtId="0" fontId="3" fillId="0" borderId="0"/>
    <xf numFmtId="37" fontId="3" fillId="0" borderId="0"/>
    <xf numFmtId="0" fontId="3" fillId="0" borderId="0"/>
    <xf numFmtId="0" fontId="3" fillId="0" borderId="0"/>
    <xf numFmtId="0" fontId="3" fillId="0" borderId="0"/>
    <xf numFmtId="0" fontId="3" fillId="0" borderId="0"/>
    <xf numFmtId="14" fontId="17" fillId="8" borderId="9" applyAlignment="1">
      <alignment horizontal="center" vertical="center" wrapText="1"/>
    </xf>
    <xf numFmtId="43" fontId="3" fillId="0" borderId="0"/>
    <xf numFmtId="43" fontId="1" fillId="0" borderId="0"/>
  </cellStyleXfs>
  <cellXfs count="171">
    <xf numFmtId="0" fontId="0" fillId="0" borderId="0" pivotButton="0" quotePrefix="0" xfId="0"/>
    <xf numFmtId="0" fontId="2" fillId="2" borderId="0" applyAlignment="1" pivotButton="0" quotePrefix="0" xfId="0">
      <alignment horizontal="left" vertical="top"/>
    </xf>
    <xf numFmtId="0" fontId="2" fillId="0" borderId="0" pivotButton="0" quotePrefix="0" xfId="0"/>
    <xf numFmtId="0" fontId="2" fillId="0" borderId="0" applyAlignment="1" pivotButton="0" quotePrefix="0" xfId="0">
      <alignment horizontal="left" vertical="top"/>
    </xf>
    <xf numFmtId="0" fontId="4" fillId="2" borderId="0" applyAlignment="1" pivotButton="0" quotePrefix="0" xfId="3">
      <alignment horizontal="left" vertical="top"/>
    </xf>
    <xf numFmtId="0" fontId="5" fillId="0" borderId="1" applyAlignment="1" pivotButton="0" quotePrefix="0" xfId="0">
      <alignment horizontal="left" vertical="top" wrapText="1"/>
    </xf>
    <xf numFmtId="0" fontId="7" fillId="0" borderId="2" applyAlignment="1" pivotButton="0" quotePrefix="0" xfId="2">
      <alignment horizontal="left" vertical="top"/>
    </xf>
    <xf numFmtId="0" fontId="2" fillId="0" borderId="2" applyAlignment="1" pivotButton="0" quotePrefix="0" xfId="0">
      <alignment horizontal="left" vertical="top"/>
    </xf>
    <xf numFmtId="0" fontId="2" fillId="0" borderId="3" applyAlignment="1" pivotButton="0" quotePrefix="0" xfId="0">
      <alignment horizontal="left" vertical="top"/>
    </xf>
    <xf numFmtId="0" fontId="2" fillId="3" borderId="0" applyAlignment="1" pivotButton="0" quotePrefix="0" xfId="0">
      <alignment horizontal="left" vertical="top"/>
    </xf>
    <xf numFmtId="0" fontId="5" fillId="0" borderId="0" applyAlignment="1" pivotButton="0" quotePrefix="0" xfId="0">
      <alignment horizontal="left" vertical="top"/>
    </xf>
    <xf numFmtId="49" fontId="4" fillId="0" borderId="2" applyAlignment="1" pivotButton="0" quotePrefix="0" xfId="0">
      <alignment horizontal="left" vertical="top"/>
    </xf>
    <xf numFmtId="0" fontId="8" fillId="4" borderId="2" applyAlignment="1" pivotButton="0" quotePrefix="0" xfId="0">
      <alignment horizontal="left" vertical="top"/>
    </xf>
    <xf numFmtId="0" fontId="4" fillId="0" borderId="2" applyAlignment="1" applyProtection="1" pivotButton="0" quotePrefix="0" xfId="0">
      <alignment horizontal="left" vertical="top" wrapText="1"/>
      <protection locked="0" hidden="0"/>
    </xf>
    <xf numFmtId="0" fontId="9" fillId="3" borderId="2" applyAlignment="1" pivotButton="0" quotePrefix="1" xfId="0">
      <alignment horizontal="left" vertical="top"/>
    </xf>
    <xf numFmtId="0" fontId="8" fillId="4" borderId="3" applyAlignment="1" pivotButton="0" quotePrefix="0" xfId="0">
      <alignment horizontal="left" vertical="top"/>
    </xf>
    <xf numFmtId="0" fontId="8" fillId="0" borderId="0" applyAlignment="1" pivotButton="0" quotePrefix="0" xfId="0">
      <alignment horizontal="left" vertical="top"/>
    </xf>
    <xf numFmtId="14" fontId="4" fillId="0" borderId="4" applyAlignment="1" pivotButton="0" quotePrefix="0" xfId="0">
      <alignment horizontal="left" vertical="top"/>
    </xf>
    <xf numFmtId="0" fontId="8" fillId="4" borderId="5" applyAlignment="1" pivotButton="0" quotePrefix="0" xfId="0">
      <alignment horizontal="left" vertical="top"/>
    </xf>
    <xf numFmtId="164" fontId="2" fillId="2" borderId="2" applyAlignment="1" pivotButton="0" quotePrefix="0" xfId="1">
      <alignment horizontal="left" vertical="top"/>
    </xf>
    <xf numFmtId="164" fontId="2" fillId="2" borderId="3" applyAlignment="1" pivotButton="0" quotePrefix="0" xfId="1">
      <alignment horizontal="left" vertical="top"/>
    </xf>
    <xf numFmtId="164" fontId="2" fillId="0" borderId="0" applyAlignment="1" pivotButton="0" quotePrefix="0" xfId="1">
      <alignment horizontal="left" vertical="top"/>
    </xf>
    <xf numFmtId="43" fontId="2" fillId="0" borderId="0" applyAlignment="1" pivotButton="0" quotePrefix="0" xfId="0">
      <alignment horizontal="left" vertical="top"/>
    </xf>
    <xf numFmtId="0" fontId="10" fillId="2" borderId="0" applyAlignment="1" pivotButton="0" quotePrefix="0" xfId="3">
      <alignment horizontal="left" vertical="top"/>
    </xf>
    <xf numFmtId="0" fontId="10" fillId="0" borderId="0" applyAlignment="1" pivotButton="0" quotePrefix="0" xfId="3">
      <alignment horizontal="left" vertical="top"/>
    </xf>
    <xf numFmtId="0" fontId="4" fillId="0" borderId="0" applyAlignment="1" pivotButton="0" quotePrefix="0" xfId="3">
      <alignment horizontal="left" vertical="top"/>
    </xf>
    <xf numFmtId="15" fontId="2" fillId="0" borderId="0" applyAlignment="1" pivotButton="0" quotePrefix="0" xfId="0">
      <alignment horizontal="left" vertical="top"/>
    </xf>
    <xf numFmtId="0" fontId="11" fillId="4" borderId="3" applyAlignment="1" pivotButton="0" quotePrefix="0" xfId="0">
      <alignment horizontal="left" vertical="top"/>
    </xf>
    <xf numFmtId="0" fontId="4" fillId="0" borderId="2" applyAlignment="1" pivotButton="0" quotePrefix="0" xfId="3">
      <alignment horizontal="left" vertical="top"/>
    </xf>
    <xf numFmtId="0" fontId="4" fillId="3" borderId="0" applyAlignment="1" pivotButton="0" quotePrefix="0" xfId="0">
      <alignment horizontal="left" vertical="top"/>
    </xf>
    <xf numFmtId="0" fontId="4" fillId="0" borderId="0" applyAlignment="1" pivotButton="0" quotePrefix="0" xfId="0">
      <alignment horizontal="left" vertical="top"/>
    </xf>
    <xf numFmtId="0" fontId="9" fillId="0" borderId="0" applyAlignment="1" pivotButton="0" quotePrefix="0" xfId="0">
      <alignment horizontal="left" vertical="top"/>
    </xf>
    <xf numFmtId="164" fontId="10" fillId="0" borderId="0" applyAlignment="1" pivotButton="0" quotePrefix="0" xfId="4">
      <alignment horizontal="left" vertical="top"/>
    </xf>
    <xf numFmtId="49" fontId="10" fillId="0" borderId="0" applyAlignment="1" pivotButton="0" quotePrefix="0" xfId="5">
      <alignment horizontal="left" vertical="top" wrapText="1"/>
    </xf>
    <xf numFmtId="0" fontId="2" fillId="0" borderId="0" applyAlignment="1" pivotButton="0" quotePrefix="0" xfId="5">
      <alignment horizontal="left" vertical="top"/>
    </xf>
    <xf numFmtId="0" fontId="12" fillId="0" borderId="0" applyAlignment="1" pivotButton="0" quotePrefix="0" xfId="0">
      <alignment horizontal="left" vertical="top"/>
    </xf>
    <xf numFmtId="0" fontId="11" fillId="4" borderId="3" applyAlignment="1" pivotButton="0" quotePrefix="0" xfId="6">
      <alignment horizontal="left" vertical="top" wrapText="1"/>
    </xf>
    <xf numFmtId="0" fontId="11" fillId="4" borderId="6" applyAlignment="1" pivotButton="0" quotePrefix="0" xfId="6">
      <alignment horizontal="left" vertical="top" wrapText="1"/>
    </xf>
    <xf numFmtId="0" fontId="11" fillId="4" borderId="2" applyAlignment="1" pivotButton="0" quotePrefix="0" xfId="7">
      <alignment horizontal="left" vertical="top"/>
    </xf>
    <xf numFmtId="0" fontId="11" fillId="4" borderId="2" applyAlignment="1" pivotButton="0" quotePrefix="0" xfId="7">
      <alignment horizontal="left" vertical="top" wrapText="1"/>
    </xf>
    <xf numFmtId="0" fontId="11" fillId="4" borderId="2" applyAlignment="1" pivotButton="0" quotePrefix="0" xfId="6">
      <alignment horizontal="left" vertical="top" wrapText="1"/>
    </xf>
    <xf numFmtId="0" fontId="14" fillId="3" borderId="6" applyAlignment="1" pivotButton="0" quotePrefix="0" xfId="6">
      <alignment horizontal="left" vertical="top" wrapText="1"/>
    </xf>
    <xf numFmtId="0" fontId="15" fillId="3" borderId="2" applyAlignment="1" pivotButton="0" quotePrefix="0" xfId="0">
      <alignment horizontal="left" vertical="top"/>
    </xf>
    <xf numFmtId="0" fontId="15" fillId="3" borderId="0" applyAlignment="1" pivotButton="0" quotePrefix="0" xfId="0">
      <alignment horizontal="left" vertical="top"/>
    </xf>
    <xf numFmtId="0" fontId="11" fillId="4" borderId="7" applyAlignment="1" pivotButton="0" quotePrefix="0" xfId="6">
      <alignment horizontal="left" vertical="top" wrapText="1"/>
    </xf>
    <xf numFmtId="0" fontId="11" fillId="4" borderId="8" applyAlignment="1" pivotButton="0" quotePrefix="0" xfId="6">
      <alignment horizontal="left" vertical="top" wrapText="1"/>
    </xf>
    <xf numFmtId="165" fontId="2" fillId="0" borderId="0" applyAlignment="1" pivotButton="0" quotePrefix="0" xfId="0">
      <alignment horizontal="left" vertical="top"/>
    </xf>
    <xf numFmtId="165" fontId="2" fillId="0" borderId="0" applyAlignment="1" pivotButton="0" quotePrefix="0" xfId="5">
      <alignment horizontal="left" vertical="top"/>
    </xf>
    <xf numFmtId="0" fontId="10" fillId="3" borderId="0" applyAlignment="1" pivotButton="0" quotePrefix="0" xfId="0">
      <alignment horizontal="left" vertical="top"/>
    </xf>
    <xf numFmtId="0" fontId="5" fillId="5" borderId="1" applyAlignment="1" pivotButton="0" quotePrefix="0" xfId="5">
      <alignment horizontal="left" vertical="top"/>
    </xf>
    <xf numFmtId="0" fontId="10" fillId="6" borderId="2" applyAlignment="1" pivotButton="0" quotePrefix="0" xfId="0">
      <alignment horizontal="center" vertical="top"/>
    </xf>
    <xf numFmtId="0" fontId="10" fillId="6" borderId="0" applyAlignment="1" pivotButton="0" quotePrefix="0" xfId="0">
      <alignment horizontal="center" vertical="top"/>
    </xf>
    <xf numFmtId="0" fontId="10" fillId="2" borderId="2" applyAlignment="1" pivotButton="0" quotePrefix="0" xfId="0">
      <alignment horizontal="center" vertical="top"/>
    </xf>
    <xf numFmtId="0" fontId="10" fillId="7" borderId="0" applyAlignment="1" pivotButton="0" quotePrefix="0" xfId="0">
      <alignment horizontal="left" vertical="top"/>
    </xf>
    <xf numFmtId="0" fontId="10" fillId="2" borderId="1" applyAlignment="1" pivotButton="0" quotePrefix="0" xfId="0">
      <alignment horizontal="center" vertical="top"/>
    </xf>
    <xf numFmtId="0" fontId="10" fillId="0" borderId="0" applyAlignment="1" pivotButton="0" quotePrefix="0" xfId="0">
      <alignment horizontal="center" vertical="top"/>
    </xf>
    <xf numFmtId="0" fontId="10" fillId="2" borderId="2" applyAlignment="1" pivotButton="0" quotePrefix="0" xfId="0">
      <alignment horizontal="center" vertical="center"/>
    </xf>
    <xf numFmtId="0" fontId="10" fillId="7" borderId="1" applyAlignment="1" pivotButton="0" quotePrefix="0" xfId="0">
      <alignment horizontal="center" vertical="top"/>
    </xf>
    <xf numFmtId="0" fontId="2" fillId="2" borderId="0" applyAlignment="1" pivotButton="0" quotePrefix="0" xfId="0">
      <alignment horizontal="left" vertical="center"/>
    </xf>
    <xf numFmtId="0" fontId="2" fillId="0" borderId="0" applyAlignment="1" pivotButton="0" quotePrefix="0" xfId="0">
      <alignment horizontal="left" vertical="center"/>
    </xf>
    <xf numFmtId="0" fontId="11" fillId="4" borderId="2" applyAlignment="1" pivotButton="0" quotePrefix="0" xfId="3">
      <alignment horizontal="left" vertical="center" wrapText="1"/>
    </xf>
    <xf numFmtId="0" fontId="11" fillId="4" borderId="3" applyAlignment="1" pivotButton="0" quotePrefix="0" xfId="3">
      <alignment horizontal="left" vertical="center" wrapText="1"/>
    </xf>
    <xf numFmtId="0" fontId="11" fillId="4" borderId="2" applyAlignment="1" pivotButton="0" quotePrefix="0" xfId="3">
      <alignment horizontal="center" vertical="center" wrapText="1"/>
    </xf>
    <xf numFmtId="0" fontId="11" fillId="4" borderId="0" applyAlignment="1" pivotButton="0" quotePrefix="0" xfId="3">
      <alignment horizontal="center" vertical="center" wrapText="1"/>
    </xf>
    <xf numFmtId="0" fontId="11" fillId="4" borderId="5" applyAlignment="1" pivotButton="0" quotePrefix="0" xfId="8">
      <alignment horizontal="left" vertical="center" wrapText="1"/>
    </xf>
    <xf numFmtId="0" fontId="11" fillId="4" borderId="2" applyAlignment="1" pivotButton="0" quotePrefix="0" xfId="0">
      <alignment horizontal="left" vertical="center"/>
    </xf>
    <xf numFmtId="0" fontId="11" fillId="4" borderId="2" applyAlignment="1" pivotButton="0" quotePrefix="0" xfId="0">
      <alignment horizontal="left" vertical="center" wrapText="1"/>
    </xf>
    <xf numFmtId="0" fontId="2" fillId="3" borderId="0" applyAlignment="1" pivotButton="0" quotePrefix="0" xfId="0">
      <alignment horizontal="left" vertical="center"/>
    </xf>
    <xf numFmtId="0" fontId="16" fillId="0" borderId="0" applyAlignment="1" pivotButton="0" quotePrefix="0" xfId="0">
      <alignment horizontal="left" vertical="center"/>
    </xf>
    <xf numFmtId="0" fontId="11" fillId="4" borderId="2" applyAlignment="1" pivotButton="0" quotePrefix="0" xfId="3">
      <alignment horizontal="center" vertical="center"/>
    </xf>
    <xf numFmtId="0" fontId="4" fillId="2" borderId="0" applyAlignment="1" pivotButton="0" quotePrefix="0" xfId="3">
      <alignment horizontal="left" vertical="center"/>
    </xf>
    <xf numFmtId="0" fontId="15" fillId="0" borderId="0" applyAlignment="1" pivotButton="0" quotePrefix="0" xfId="9">
      <alignment horizontal="left" vertical="top" wrapText="1"/>
    </xf>
    <xf numFmtId="0" fontId="15" fillId="0" borderId="2" applyAlignment="1" pivotButton="0" quotePrefix="0" xfId="9">
      <alignment horizontal="left" vertical="top" wrapText="1"/>
    </xf>
    <xf numFmtId="0" fontId="2" fillId="3" borderId="2" applyAlignment="1" pivotButton="0" quotePrefix="0" xfId="0">
      <alignment horizontal="left" vertical="top"/>
    </xf>
    <xf numFmtId="2" fontId="2" fillId="3" borderId="0" applyAlignment="1" pivotButton="0" quotePrefix="0" xfId="0">
      <alignment horizontal="left" vertical="top"/>
    </xf>
    <xf numFmtId="166" fontId="2" fillId="3" borderId="0" applyAlignment="1" pivotButton="0" quotePrefix="0" xfId="0">
      <alignment horizontal="left" vertical="top"/>
    </xf>
    <xf numFmtId="0" fontId="15" fillId="0" borderId="2" applyAlignment="1" pivotButton="0" quotePrefix="0" xfId="9">
      <alignment horizontal="center" vertical="top" wrapText="1"/>
    </xf>
    <xf numFmtId="15" fontId="10" fillId="0" borderId="7" applyAlignment="1" pivotButton="0" quotePrefix="0" xfId="0">
      <alignment horizontal="left" vertical="top"/>
    </xf>
    <xf numFmtId="0" fontId="10" fillId="0" borderId="7" applyAlignment="1" pivotButton="0" quotePrefix="0" xfId="0">
      <alignment horizontal="left" vertical="top"/>
    </xf>
    <xf numFmtId="0" fontId="4" fillId="3" borderId="2" applyAlignment="1" pivotButton="0" quotePrefix="0" xfId="0">
      <alignment horizontal="left" vertical="center"/>
    </xf>
    <xf numFmtId="0" fontId="4" fillId="0" borderId="2" applyAlignment="1" pivotButton="0" quotePrefix="0" xfId="0">
      <alignment horizontal="left" vertical="center"/>
    </xf>
    <xf numFmtId="0" fontId="9" fillId="3" borderId="3" applyAlignment="1" pivotButton="0" quotePrefix="0" xfId="10">
      <alignment horizontal="left" vertical="center"/>
    </xf>
    <xf numFmtId="0" fontId="5" fillId="0" borderId="2" applyAlignment="1" pivotButton="0" quotePrefix="0" xfId="0">
      <alignment horizontal="center" vertical="center"/>
    </xf>
    <xf numFmtId="1" fontId="2" fillId="0" borderId="2" applyAlignment="1" pivotButton="0" quotePrefix="0" xfId="0">
      <alignment horizontal="center" vertical="center"/>
    </xf>
    <xf numFmtId="0" fontId="2" fillId="0" borderId="2" applyAlignment="1" pivotButton="0" quotePrefix="0" xfId="0">
      <alignment horizontal="left" vertical="center"/>
    </xf>
    <xf numFmtId="0" fontId="2" fillId="0" borderId="2" applyAlignment="1" pivotButton="0" quotePrefix="0" xfId="0">
      <alignment horizontal="center" vertical="center"/>
    </xf>
    <xf numFmtId="15" fontId="2" fillId="0" borderId="2" applyAlignment="1" pivotButton="0" quotePrefix="0" xfId="0">
      <alignment horizontal="center" vertical="center"/>
    </xf>
    <xf numFmtId="14" fontId="2" fillId="0" borderId="2" applyAlignment="1" pivotButton="0" quotePrefix="0" xfId="0">
      <alignment horizontal="left" vertical="center" wrapText="1"/>
    </xf>
    <xf numFmtId="167" fontId="2" fillId="0" borderId="2" applyAlignment="1" pivotButton="0" quotePrefix="0" xfId="1">
      <alignment horizontal="center" vertical="center"/>
    </xf>
    <xf numFmtId="164" fontId="2" fillId="0" borderId="2" applyAlignment="1" pivotButton="0" quotePrefix="0" xfId="1">
      <alignment horizontal="left" vertical="center"/>
    </xf>
    <xf numFmtId="0" fontId="2" fillId="0" borderId="0" applyAlignment="1" pivotButton="0" quotePrefix="0" xfId="0">
      <alignment vertical="center"/>
    </xf>
    <xf numFmtId="0" fontId="2" fillId="0" borderId="2" applyAlignment="1" pivotButton="0" quotePrefix="0" xfId="0">
      <alignment horizontal="center" vertical="center" wrapText="1"/>
    </xf>
    <xf numFmtId="167" fontId="18" fillId="9" borderId="2" applyAlignment="1" pivotButton="0" quotePrefix="0" xfId="1">
      <alignment horizontal="center" vertical="center"/>
    </xf>
    <xf numFmtId="0" fontId="9" fillId="3" borderId="2" applyAlignment="1" pivotButton="0" quotePrefix="0" xfId="10">
      <alignment horizontal="left" vertical="center"/>
    </xf>
    <xf numFmtId="4" fontId="2" fillId="0" borderId="5" applyAlignment="1" pivotButton="0" quotePrefix="0" xfId="0">
      <alignment horizontal="left" vertical="center"/>
    </xf>
    <xf numFmtId="4" fontId="2" fillId="0" borderId="2" applyAlignment="1" pivotButton="0" quotePrefix="0" xfId="0">
      <alignment horizontal="left" vertical="center"/>
    </xf>
    <xf numFmtId="43" fontId="2" fillId="0" borderId="2" applyAlignment="1" pivotButton="0" quotePrefix="0" xfId="0">
      <alignment horizontal="left" vertical="center"/>
    </xf>
    <xf numFmtId="0" fontId="2" fillId="0" borderId="2" applyAlignment="1" pivotButton="0" quotePrefix="0" xfId="0">
      <alignment horizontal="left" vertical="center" wrapText="1"/>
    </xf>
    <xf numFmtId="0" fontId="19" fillId="0" borderId="2" applyAlignment="1" pivotButton="0" quotePrefix="0" xfId="0">
      <alignment horizontal="left" vertical="center" wrapText="1"/>
    </xf>
    <xf numFmtId="0" fontId="19" fillId="0" borderId="0" applyAlignment="1" pivotButton="0" quotePrefix="0" xfId="0">
      <alignment horizontal="left" vertical="center" wrapText="1"/>
    </xf>
    <xf numFmtId="0" fontId="19" fillId="0" borderId="2" applyAlignment="1" pivotButton="0" quotePrefix="0" xfId="0">
      <alignment horizontal="center" vertical="center" wrapText="1"/>
    </xf>
    <xf numFmtId="167" fontId="2" fillId="0" borderId="2" applyAlignment="1" pivotButton="0" quotePrefix="0" xfId="1">
      <alignment horizontal="center" vertical="center"/>
    </xf>
    <xf numFmtId="164" fontId="2" fillId="0" borderId="2" applyAlignment="1" pivotButton="0" quotePrefix="0" xfId="1">
      <alignment horizontal="left" vertical="center"/>
    </xf>
    <xf numFmtId="165" fontId="2" fillId="0" borderId="2" applyAlignment="1" pivotButton="0" quotePrefix="0" xfId="1">
      <alignment horizontal="left" vertical="center"/>
    </xf>
    <xf numFmtId="0" fontId="2" fillId="0" borderId="0" applyAlignment="1" pivotButton="0" quotePrefix="0" xfId="0">
      <alignment horizontal="center" vertical="center"/>
    </xf>
    <xf numFmtId="15" fontId="2" fillId="0" borderId="2" applyAlignment="1" pivotButton="0" quotePrefix="0" xfId="0">
      <alignment horizontal="left" vertical="center" wrapText="1"/>
    </xf>
    <xf numFmtId="15" fontId="2" fillId="0" borderId="2" applyAlignment="1" pivotButton="0" quotePrefix="0" xfId="0">
      <alignment horizontal="left" vertical="center"/>
    </xf>
    <xf numFmtId="0" fontId="5" fillId="0" borderId="2" applyAlignment="1" pivotButton="0" quotePrefix="0" xfId="0">
      <alignment horizontal="center" vertical="center" wrapText="1"/>
    </xf>
    <xf numFmtId="0" fontId="20" fillId="0" borderId="2" applyAlignment="1" pivotButton="0" quotePrefix="0" xfId="0">
      <alignment horizontal="center" vertical="center"/>
    </xf>
    <xf numFmtId="0" fontId="9" fillId="0" borderId="3" applyAlignment="1" pivotButton="0" quotePrefix="0" xfId="10">
      <alignment horizontal="left" vertical="center"/>
    </xf>
    <xf numFmtId="1" fontId="2" fillId="0" borderId="2" applyAlignment="1" pivotButton="0" quotePrefix="0" xfId="0">
      <alignment horizontal="center" vertical="center" wrapText="1"/>
    </xf>
    <xf numFmtId="0" fontId="4" fillId="0" borderId="0" applyAlignment="1" pivotButton="0" quotePrefix="0" xfId="3">
      <alignment horizontal="left" vertical="center"/>
    </xf>
    <xf numFmtId="164" fontId="2" fillId="0" borderId="2" applyAlignment="1" pivotButton="0" quotePrefix="0" xfId="1">
      <alignment horizontal="left" vertical="center" wrapText="1"/>
    </xf>
    <xf numFmtId="0" fontId="2" fillId="0" borderId="2" applyAlignment="1" pivotButton="0" quotePrefix="0" xfId="0">
      <alignment vertical="center"/>
    </xf>
    <xf numFmtId="0" fontId="2" fillId="0" borderId="2" applyAlignment="1" pivotButton="0" quotePrefix="0" xfId="0">
      <alignment vertical="center" wrapText="1"/>
    </xf>
    <xf numFmtId="38" fontId="2" fillId="0" borderId="2" applyAlignment="1" pivotButton="0" quotePrefix="0" xfId="11">
      <alignment vertical="center"/>
    </xf>
    <xf numFmtId="4" fontId="21" fillId="0" borderId="2" applyAlignment="1" pivotButton="0" quotePrefix="0" xfId="0">
      <alignment horizontal="left" vertical="center"/>
    </xf>
    <xf numFmtId="14" fontId="2" fillId="0" borderId="2" applyAlignment="1" pivotButton="0" quotePrefix="1" xfId="0">
      <alignment horizontal="center" vertical="center"/>
    </xf>
    <xf numFmtId="1" fontId="2" fillId="0" borderId="2" applyAlignment="1" pivotButton="0" quotePrefix="1" xfId="0">
      <alignment horizontal="center" vertical="center"/>
    </xf>
    <xf numFmtId="165" fontId="2" fillId="0" borderId="2" applyAlignment="1" pivotButton="0" quotePrefix="0" xfId="1">
      <alignment horizontal="center" vertical="center"/>
    </xf>
    <xf numFmtId="14" fontId="2" fillId="0" borderId="2" applyAlignment="1" pivotButton="0" quotePrefix="0" xfId="0">
      <alignment horizontal="center" vertical="center"/>
    </xf>
    <xf numFmtId="0" fontId="20" fillId="0" borderId="2" applyAlignment="1" pivotButton="0" quotePrefix="1" xfId="0">
      <alignment horizontal="center" vertical="center"/>
    </xf>
    <xf numFmtId="43" fontId="9" fillId="3" borderId="2" applyAlignment="1" pivotButton="0" quotePrefix="0" xfId="10">
      <alignment horizontal="left" vertical="center"/>
    </xf>
    <xf numFmtId="167" fontId="2" fillId="0" borderId="2" applyAlignment="1" pivotButton="0" quotePrefix="0" xfId="1">
      <alignment horizontal="left" vertical="center"/>
    </xf>
    <xf numFmtId="0" fontId="21" fillId="0" borderId="2" applyAlignment="1" pivotButton="0" quotePrefix="0" xfId="0">
      <alignment horizontal="left" vertical="center" wrapText="1"/>
    </xf>
    <xf numFmtId="165" fontId="2" fillId="0" borderId="2" applyAlignment="1" pivotButton="0" quotePrefix="0" xfId="1">
      <alignment horizontal="center" vertical="center"/>
    </xf>
    <xf numFmtId="167" fontId="18" fillId="0" borderId="2" applyAlignment="1" pivotButton="0" quotePrefix="0" xfId="1">
      <alignment horizontal="center" vertical="center"/>
    </xf>
    <xf numFmtId="15" fontId="2" fillId="0" borderId="3" applyAlignment="1" pivotButton="0" quotePrefix="0" xfId="0">
      <alignment horizontal="center" vertical="center"/>
    </xf>
    <xf numFmtId="15" fontId="2" fillId="0" borderId="6" applyAlignment="1" pivotButton="0" quotePrefix="0" xfId="0">
      <alignment horizontal="center" vertical="center"/>
    </xf>
    <xf numFmtId="15" fontId="2" fillId="0" borderId="5" applyAlignment="1" pivotButton="0" quotePrefix="0" xfId="0">
      <alignment horizontal="center" vertical="center"/>
    </xf>
    <xf numFmtId="15" fontId="2" fillId="0" borderId="10" applyAlignment="1" pivotButton="0" quotePrefix="0" xfId="0">
      <alignment horizontal="center" vertical="center" wrapText="1"/>
    </xf>
    <xf numFmtId="15" fontId="2" fillId="0" borderId="11" applyAlignment="1" pivotButton="0" quotePrefix="0" xfId="0">
      <alignment horizontal="center" vertical="center" wrapText="1"/>
    </xf>
    <xf numFmtId="15" fontId="2" fillId="0" borderId="12" applyAlignment="1" pivotButton="0" quotePrefix="0" xfId="0">
      <alignment horizontal="center" vertical="center" wrapText="1"/>
    </xf>
    <xf numFmtId="15" fontId="2" fillId="0" borderId="10" applyAlignment="1" pivotButton="0" quotePrefix="0" xfId="0">
      <alignment horizontal="center" vertical="center"/>
    </xf>
    <xf numFmtId="15" fontId="2" fillId="0" borderId="11" applyAlignment="1" pivotButton="0" quotePrefix="0" xfId="0">
      <alignment horizontal="center" vertical="center"/>
    </xf>
    <xf numFmtId="15" fontId="2" fillId="0" borderId="12" applyAlignment="1" pivotButton="0" quotePrefix="0" xfId="0">
      <alignment horizontal="center" vertical="center"/>
    </xf>
    <xf numFmtId="15" fontId="2" fillId="0" borderId="13" applyAlignment="1" pivotButton="0" quotePrefix="0" xfId="0">
      <alignment horizontal="center" vertical="center" wrapText="1"/>
    </xf>
    <xf numFmtId="15" fontId="2" fillId="0" borderId="0" applyAlignment="1" pivotButton="0" quotePrefix="0" xfId="0">
      <alignment horizontal="center" vertical="center" wrapText="1"/>
    </xf>
    <xf numFmtId="15" fontId="2" fillId="0" borderId="14" applyAlignment="1" pivotButton="0" quotePrefix="0" xfId="0">
      <alignment horizontal="center" vertical="center" wrapText="1"/>
    </xf>
    <xf numFmtId="15" fontId="2" fillId="0" borderId="13" applyAlignment="1" pivotButton="0" quotePrefix="0" xfId="0">
      <alignment horizontal="center" vertical="center"/>
    </xf>
    <xf numFmtId="15" fontId="2" fillId="0" borderId="0" applyAlignment="1" pivotButton="0" quotePrefix="0" xfId="0">
      <alignment horizontal="center" vertical="center"/>
    </xf>
    <xf numFmtId="15" fontId="2" fillId="0" borderId="14" applyAlignment="1" pivotButton="0" quotePrefix="0" xfId="0">
      <alignment horizontal="center" vertical="center"/>
    </xf>
    <xf numFmtId="15" fontId="2" fillId="0" borderId="15" applyAlignment="1" pivotButton="0" quotePrefix="0" xfId="0">
      <alignment horizontal="center" vertical="center" wrapText="1"/>
    </xf>
    <xf numFmtId="15" fontId="2" fillId="0" borderId="1" applyAlignment="1" pivotButton="0" quotePrefix="0" xfId="0">
      <alignment horizontal="center" vertical="center" wrapText="1"/>
    </xf>
    <xf numFmtId="15" fontId="2" fillId="0" borderId="16" applyAlignment="1" pivotButton="0" quotePrefix="0" xfId="0">
      <alignment horizontal="center" vertical="center" wrapText="1"/>
    </xf>
    <xf numFmtId="15" fontId="2" fillId="0" borderId="15" applyAlignment="1" pivotButton="0" quotePrefix="0" xfId="0">
      <alignment horizontal="center" vertical="center"/>
    </xf>
    <xf numFmtId="15" fontId="2" fillId="0" borderId="1" applyAlignment="1" pivotButton="0" quotePrefix="0" xfId="0">
      <alignment horizontal="center" vertical="center"/>
    </xf>
    <xf numFmtId="15" fontId="2" fillId="0" borderId="16" applyAlignment="1" pivotButton="0" quotePrefix="0" xfId="0">
      <alignment horizontal="center" vertical="center"/>
    </xf>
    <xf numFmtId="165" fontId="2" fillId="0" borderId="0" applyAlignment="1" pivotButton="0" quotePrefix="0" xfId="1">
      <alignment vertical="center"/>
    </xf>
    <xf numFmtId="0" fontId="4" fillId="2" borderId="0" applyAlignment="1" pivotButton="0" quotePrefix="0" xfId="3">
      <alignment horizontal="center" vertical="center"/>
    </xf>
    <xf numFmtId="0" fontId="4" fillId="2" borderId="0" applyAlignment="1" pivotButton="0" quotePrefix="0" xfId="3">
      <alignment vertical="center"/>
    </xf>
    <xf numFmtId="0" fontId="19" fillId="0" borderId="2" applyAlignment="1" pivotButton="0" quotePrefix="0" xfId="0">
      <alignment horizontal="left" vertical="top" wrapText="1"/>
    </xf>
    <xf numFmtId="43" fontId="2" fillId="0" borderId="0" applyAlignment="1" pivotButton="0" quotePrefix="0" xfId="0">
      <alignment horizontal="left" vertical="top"/>
    </xf>
    <xf numFmtId="0" fontId="0" fillId="0" borderId="6" pivotButton="0" quotePrefix="0" xfId="0"/>
    <xf numFmtId="0" fontId="0" fillId="0" borderId="8" pivotButton="0" quotePrefix="0" xfId="0"/>
    <xf numFmtId="165" fontId="2" fillId="0" borderId="0" applyAlignment="1" pivotButton="0" quotePrefix="0" xfId="0">
      <alignment horizontal="left" vertical="top"/>
    </xf>
    <xf numFmtId="165" fontId="2" fillId="0" borderId="0" applyAlignment="1" pivotButton="0" quotePrefix="0" xfId="5">
      <alignment horizontal="left" vertical="top"/>
    </xf>
    <xf numFmtId="0" fontId="0" fillId="0" borderId="1" pivotButton="0" quotePrefix="0" xfId="0"/>
    <xf numFmtId="0" fontId="0" fillId="0" borderId="5" pivotButton="0" quotePrefix="0" xfId="0"/>
    <xf numFmtId="43" fontId="2" fillId="0" borderId="2" applyAlignment="1" pivotButton="0" quotePrefix="0" xfId="0">
      <alignment horizontal="left" vertical="center"/>
    </xf>
    <xf numFmtId="165" fontId="2" fillId="0" borderId="2" applyAlignment="1" pivotButton="0" quotePrefix="0" xfId="1">
      <alignment horizontal="left" vertical="center"/>
    </xf>
    <xf numFmtId="165" fontId="2" fillId="0" borderId="2" applyAlignment="1" pivotButton="0" quotePrefix="0" xfId="1">
      <alignment horizontal="center" vertical="center"/>
    </xf>
    <xf numFmtId="43" fontId="9" fillId="3" borderId="2" applyAlignment="1" pivotButton="0" quotePrefix="0" xfId="10">
      <alignment horizontal="left" vertical="center"/>
    </xf>
    <xf numFmtId="15" fontId="2" fillId="0" borderId="2" applyAlignment="1" pivotButton="0" quotePrefix="0" xfId="0">
      <alignment horizontal="center" vertical="center" wrapText="1"/>
    </xf>
    <xf numFmtId="0" fontId="0" fillId="0" borderId="17"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6" pivotButton="0" quotePrefix="0" xfId="0"/>
    <xf numFmtId="165" fontId="2" fillId="0" borderId="0" applyAlignment="1" pivotButton="0" quotePrefix="0" xfId="1">
      <alignment vertical="center"/>
    </xf>
  </cellXfs>
  <cellStyles count="12">
    <cellStyle name="Normal" xfId="0" builtinId="0"/>
    <cellStyle name="Comma" xfId="1" builtinId="3"/>
    <cellStyle name="Hyperlink" xfId="2" builtinId="8"/>
    <cellStyle name="Normal 2" xfId="3"/>
    <cellStyle name="Comma 2 3" xfId="4"/>
    <cellStyle name="Normal_SHEET" xfId="5"/>
    <cellStyle name="Normal_SHEET 2 2" xfId="6"/>
    <cellStyle name="Normal 2 3 2" xfId="7"/>
    <cellStyle name="Normal 2 2" xfId="8"/>
    <cellStyle name="Heading" xfId="9"/>
    <cellStyle name="Comma 2" xfId="10"/>
    <cellStyle name="Comma 3 2" xfId="11"/>
  </cellStyles>
  <dxfs count="41">
    <dxf>
      <font>
        <color theme="1" tint="0.3499862666707358"/>
      </font>
      <fill>
        <patternFill>
          <bgColor theme="3"/>
        </patternFill>
      </fill>
    </dxf>
    <dxf>
      <font>
        <color theme="1" tint="0.499984740745262"/>
      </font>
      <fill>
        <patternFill>
          <bgColor theme="1" tint="0.499984740745262"/>
        </patternFill>
      </fill>
    </dxf>
    <dxf>
      <font>
        <color theme="1" tint="0.3499862666707358"/>
      </font>
      <fill>
        <patternFill>
          <bgColor theme="3"/>
        </patternFill>
      </fill>
    </dxf>
    <dxf>
      <font>
        <color theme="1" tint="0.3499862666707358"/>
      </font>
      <fill>
        <patternFill>
          <bgColor theme="3"/>
        </patternFill>
      </fill>
    </dxf>
    <dxf>
      <font>
        <color theme="1" tint="0.499984740745262"/>
      </font>
      <fill>
        <patternFill>
          <bgColor theme="1" tint="0.499984740745262"/>
        </patternFill>
      </fill>
    </dxf>
    <dxf>
      <font>
        <color theme="1" tint="0.3499862666707358"/>
      </font>
      <fill>
        <patternFill>
          <bgColor theme="3"/>
        </patternFill>
      </fill>
    </dxf>
    <dxf>
      <font>
        <color theme="1" tint="0.499984740745262"/>
      </font>
      <fill>
        <patternFill>
          <bgColor theme="1" tint="0.499984740745262"/>
        </patternFill>
      </fill>
    </dxf>
    <dxf>
      <font>
        <color theme="1" tint="0.3499862666707358"/>
      </font>
      <fill>
        <patternFill>
          <bgColor theme="3"/>
        </patternFill>
      </fill>
    </dxf>
    <dxf>
      <font>
        <color theme="1" tint="0.499984740745262"/>
      </font>
      <fill>
        <patternFill>
          <bgColor theme="1" tint="0.499984740745262"/>
        </patternFill>
      </fill>
    </dxf>
    <dxf>
      <font>
        <color theme="1" tint="0.3499862666707358"/>
      </font>
      <fill>
        <patternFill>
          <bgColor theme="3"/>
        </patternFill>
      </fill>
    </dxf>
    <dxf>
      <font>
        <color theme="1" tint="0.3499862666707358"/>
      </font>
      <fill>
        <patternFill>
          <bgColor theme="3"/>
        </patternFill>
      </fill>
    </dxf>
    <dxf>
      <font>
        <color theme="1" tint="0.3499862666707358"/>
      </font>
      <fill>
        <patternFill>
          <bgColor theme="3"/>
        </patternFill>
      </fill>
    </dxf>
    <dxf>
      <font>
        <color theme="1" tint="0.3499862666707358"/>
      </font>
      <fill>
        <patternFill>
          <bgColor theme="3"/>
        </patternFill>
      </fill>
    </dxf>
    <dxf>
      <font>
        <color theme="1" tint="0.3499862666707358"/>
      </font>
      <fill>
        <patternFill>
          <bgColor theme="3"/>
        </patternFill>
      </fill>
    </dxf>
    <dxf>
      <font>
        <color theme="1" tint="0.3499862666707358"/>
      </font>
      <fill>
        <patternFill>
          <bgColor theme="3"/>
        </patternFill>
      </fill>
    </dxf>
    <dxf>
      <font>
        <color theme="1" tint="0.3499862666707358"/>
      </font>
      <fill>
        <patternFill>
          <bgColor theme="3"/>
        </patternFill>
      </fill>
    </dxf>
    <dxf>
      <font>
        <color theme="1" tint="0.3499862666707358"/>
      </font>
      <fill>
        <patternFill>
          <bgColor theme="3"/>
        </patternFill>
      </fill>
    </dxf>
    <dxf>
      <font>
        <color theme="1" tint="0.3499862666707358"/>
      </font>
      <fill>
        <patternFill>
          <bgColor theme="3"/>
        </patternFill>
      </fill>
    </dxf>
    <dxf>
      <font>
        <color theme="1" tint="0.3499862666707358"/>
      </font>
      <fill>
        <patternFill>
          <bgColor theme="3"/>
        </patternFill>
      </fill>
    </dxf>
    <dxf>
      <font>
        <color theme="1" tint="0.3499862666707358"/>
      </font>
      <fill>
        <patternFill>
          <bgColor theme="3"/>
        </patternFill>
      </fill>
    </dxf>
    <dxf>
      <font>
        <color theme="1" tint="0.499984740745262"/>
      </font>
      <fill>
        <patternFill>
          <bgColor theme="1" tint="0.499984740745262"/>
        </patternFill>
      </fill>
    </dxf>
    <dxf>
      <font>
        <color theme="1" tint="0.3499862666707358"/>
      </font>
      <fill>
        <patternFill>
          <bgColor theme="3"/>
        </patternFill>
      </fill>
    </dxf>
    <dxf>
      <font>
        <color theme="1" tint="0.499984740745262"/>
      </font>
      <fill>
        <patternFill>
          <bgColor theme="1" tint="0.499984740745262"/>
        </patternFill>
      </fill>
    </dxf>
    <dxf>
      <font>
        <color theme="1" tint="0.499984740745262"/>
      </font>
      <fill>
        <patternFill>
          <bgColor theme="1" tint="0.499984740745262"/>
        </patternFill>
      </fill>
    </dxf>
    <dxf>
      <font>
        <color theme="1" tint="0.499984740745262"/>
      </font>
      <fill>
        <patternFill>
          <bgColor theme="1" tint="0.499984740745262"/>
        </patternFill>
      </fill>
    </dxf>
    <dxf>
      <font>
        <color theme="1" tint="0.3499862666707358"/>
      </font>
      <fill>
        <patternFill>
          <bgColor theme="3"/>
        </patternFill>
      </fill>
    </dxf>
    <dxf>
      <font>
        <color theme="1" tint="0.3499862666707358"/>
      </font>
      <fill>
        <patternFill>
          <bgColor theme="3"/>
        </patternFill>
      </fill>
    </dxf>
    <dxf>
      <font>
        <color theme="1" tint="0.3499862666707358"/>
      </font>
      <fill>
        <patternFill>
          <bgColor theme="3"/>
        </patternFill>
      </fill>
    </dxf>
    <dxf>
      <font>
        <color theme="1" tint="0.499984740745262"/>
      </font>
      <fill>
        <patternFill>
          <bgColor theme="1" tint="0.499984740745262"/>
        </patternFill>
      </fill>
    </dxf>
    <dxf>
      <font>
        <color theme="1" tint="0.3499862666707358"/>
      </font>
      <fill>
        <patternFill>
          <bgColor theme="3"/>
        </patternFill>
      </fill>
    </dxf>
    <dxf>
      <font>
        <color theme="1" tint="0.499984740745262"/>
      </font>
      <fill>
        <patternFill>
          <bgColor theme="1" tint="0.499984740745262"/>
        </patternFill>
      </fill>
    </dxf>
    <dxf>
      <font>
        <color theme="1" tint="0.3499862666707358"/>
      </font>
      <fill>
        <patternFill>
          <bgColor theme="3"/>
        </patternFill>
      </fill>
    </dxf>
    <dxf>
      <font>
        <color theme="1" tint="0.3499862666707358"/>
      </font>
      <fill>
        <patternFill>
          <bgColor theme="3"/>
        </patternFill>
      </fill>
    </dxf>
    <dxf>
      <font>
        <color theme="1" tint="0.3499862666707358"/>
      </font>
      <fill>
        <patternFill>
          <bgColor theme="3"/>
        </patternFill>
      </fill>
    </dxf>
    <dxf>
      <font>
        <color rgb="FF006100"/>
      </font>
      <fill>
        <patternFill>
          <bgColor rgb="FFC6EFCE"/>
        </patternFill>
      </fill>
    </dxf>
    <dxf>
      <font>
        <color rgb="FFC00000"/>
      </font>
      <fill>
        <patternFill>
          <bgColor rgb="FFFFCCCC"/>
        </patternFill>
      </fill>
    </dxf>
    <dxf>
      <font>
        <color theme="0"/>
      </font>
      <fill>
        <patternFill>
          <fgColor theme="0"/>
          <bgColor theme="0"/>
        </patternFill>
      </fill>
      <border>
        <left/>
        <right/>
        <top style="thin">
          <color auto="1"/>
        </top>
        <bottom/>
        <vertical/>
        <horizontal/>
      </border>
    </dxf>
    <dxf>
      <font>
        <color rgb="FF006100"/>
      </font>
      <fill>
        <patternFill>
          <bgColor rgb="FFC6EFCE"/>
        </patternFill>
      </fill>
    </dxf>
    <dxf>
      <font>
        <color rgb="FF9C0006"/>
      </font>
      <fill>
        <patternFill>
          <bgColor rgb="FFFFC7CE"/>
        </patternFill>
      </fill>
    </dxf>
    <dxf>
      <font>
        <color theme="1" tint="0.3499862666707358"/>
      </font>
      <fill>
        <patternFill>
          <bgColor theme="3"/>
        </patternFill>
      </fill>
    </dxf>
    <dxf>
      <font>
        <color theme="1" tint="0.499984740745262"/>
      </font>
      <fill>
        <patternFill>
          <bgColor theme="1" tint="0.49998474074526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G1048572"/>
  <sheetViews>
    <sheetView showGridLines="0" tabSelected="1" topLeftCell="G20" zoomScale="83" zoomScaleNormal="100" workbookViewId="0">
      <pane xSplit="2" ySplit="6" topLeftCell="M33" activePane="bottomRight" state="frozen"/>
      <selection activeCell="G20" sqref="G20"/>
      <selection pane="topRight" activeCell="I20" sqref="I20"/>
      <selection pane="bottomLeft" activeCell="G26" sqref="G26"/>
      <selection pane="bottomRight" activeCell="A38" sqref="A38:XFD38"/>
    </sheetView>
  </sheetViews>
  <sheetFormatPr baseColWidth="8" defaultColWidth="11.19921875" defaultRowHeight="10.55"/>
  <cols>
    <col width="3.3984375" customWidth="1" style="3" min="1" max="1"/>
    <col width="12" customWidth="1" style="3" min="2" max="2"/>
    <col width="26.3984375" bestFit="1" customWidth="1" style="3" min="3" max="3"/>
    <col width="30.19921875" customWidth="1" style="3" min="4" max="4"/>
    <col width="25.59765625" customWidth="1" style="3" min="5" max="5"/>
    <col width="18.09765625" customWidth="1" style="3" min="6" max="6"/>
    <col width="27.19921875" customWidth="1" style="3" min="7" max="7"/>
    <col width="9.796875" customWidth="1" style="3" min="8" max="8"/>
    <col width="28.5" bestFit="1" customWidth="1" style="3" min="9" max="9"/>
    <col width="20.69921875" bestFit="1" customWidth="1" style="3" min="10" max="10"/>
    <col width="45.296875" bestFit="1" customWidth="1" style="3" min="11" max="11"/>
    <col width="16.69921875" bestFit="1" customWidth="1" style="3" min="12" max="12"/>
    <col width="18" bestFit="1" customWidth="1" style="3" min="13" max="13"/>
    <col width="18.5" bestFit="1" customWidth="1" style="3" min="14" max="14"/>
    <col width="86.69921875" customWidth="1" style="3" min="15" max="15"/>
    <col width="18.796875" bestFit="1" customWidth="1" style="3" min="16" max="16"/>
    <col width="29.59765625" customWidth="1" style="3" min="17" max="17"/>
    <col width="9.3984375" bestFit="1" customWidth="1" style="2" min="18" max="18"/>
    <col width="31.796875" bestFit="1" customWidth="1" style="3" min="19" max="19"/>
    <col width="10.8984375" bestFit="1" customWidth="1" style="3" min="20" max="20"/>
    <col width="51" bestFit="1" customWidth="1" style="3" min="21" max="21"/>
    <col width="62.09765625" bestFit="1" customWidth="1" style="3" min="22" max="22"/>
    <col width="24.19921875" bestFit="1" customWidth="1" style="3" min="23" max="23"/>
    <col width="13.19921875" bestFit="1" customWidth="1" style="3" min="24" max="24"/>
    <col width="14.19921875" bestFit="1" customWidth="1" style="3" min="25" max="25"/>
    <col width="11.8984375" bestFit="1" customWidth="1" style="3" min="26" max="26"/>
    <col hidden="1" width="3.19921875" customWidth="1" style="3" min="27" max="27"/>
    <col hidden="1" width="18.8984375" customWidth="1" style="3" min="28" max="28"/>
    <col hidden="1" width="7.09765625" customWidth="1" style="3" min="29" max="29"/>
    <col hidden="1" width="18.3984375" customWidth="1" style="3" min="30" max="30"/>
    <col hidden="1" width="16.09765625" customWidth="1" style="3" min="31" max="31"/>
    <col width="4.09765625" customWidth="1" style="3" min="32" max="32"/>
    <col width="9.59765625" bestFit="1" customWidth="1" style="3" min="33" max="33"/>
    <col width="9.09765625" bestFit="1" customWidth="1" style="3" min="34" max="34"/>
    <col width="67" bestFit="1" customWidth="1" style="3" min="35" max="35"/>
    <col width="13.19921875" bestFit="1" customWidth="1" style="104" min="36" max="36"/>
    <col width="12.19921875" bestFit="1" customWidth="1" style="90" min="37" max="37"/>
    <col width="63.19921875" bestFit="1" customWidth="1" style="3" min="38" max="38"/>
    <col hidden="1" width="8" customWidth="1" style="3" min="39" max="39"/>
    <col hidden="1" width="10.19921875" customWidth="1" style="3" min="40" max="40"/>
    <col hidden="1" width="7.796875" customWidth="1" style="3" min="41" max="41"/>
    <col hidden="1" width="36.296875" customWidth="1" style="3" min="42" max="42"/>
    <col width="3.19921875" customWidth="1" style="3" min="43" max="43"/>
    <col width="16.59765625" customWidth="1" style="26" min="44" max="44"/>
    <col width="38.09765625" customWidth="1" style="3" min="45" max="45"/>
    <col width="24.796875" customWidth="1" style="3" min="46" max="47"/>
    <col width="14.19921875" bestFit="1" customWidth="1" style="3" min="48" max="48"/>
    <col width="11.19921875" customWidth="1" style="4" min="49" max="59"/>
    <col width="11.19921875" customWidth="1" style="3" min="60" max="16384"/>
  </cols>
  <sheetData>
    <row r="1">
      <c r="A1" s="1" t="n"/>
      <c r="B1" s="1" t="n"/>
      <c r="C1" s="1" t="n"/>
      <c r="D1" s="1" t="n"/>
      <c r="E1" s="1" t="n"/>
      <c r="F1" s="1" t="n"/>
      <c r="G1" s="1" t="n"/>
      <c r="H1" s="1" t="n"/>
      <c r="I1" s="1" t="n"/>
      <c r="J1" s="1" t="n"/>
      <c r="K1" s="1" t="n"/>
      <c r="L1" s="1" t="n"/>
      <c r="M1" s="1" t="n"/>
      <c r="N1" s="1" t="n"/>
      <c r="O1" s="1" t="n"/>
      <c r="P1" s="1" t="n"/>
      <c r="Q1" s="1" t="n"/>
      <c r="S1" s="1" t="n"/>
      <c r="T1" s="1" t="n"/>
      <c r="U1" s="1" t="n"/>
      <c r="V1" s="1" t="n"/>
      <c r="W1" s="1" t="n"/>
      <c r="X1" s="1" t="n"/>
      <c r="Y1" s="1" t="n"/>
      <c r="Z1" s="1" t="n"/>
      <c r="AA1" s="1" t="n"/>
      <c r="AB1" s="1" t="n"/>
      <c r="AC1" s="1" t="n"/>
      <c r="AD1" s="1" t="n"/>
      <c r="AE1" s="1" t="n"/>
      <c r="AF1" s="1" t="n"/>
      <c r="AG1" s="1" t="n"/>
      <c r="AH1" s="1" t="n"/>
      <c r="AI1" s="1" t="n"/>
      <c r="AJ1" s="1" t="n"/>
      <c r="AK1" s="1" t="n"/>
      <c r="AL1" s="1" t="n"/>
      <c r="AN1" s="1" t="n"/>
      <c r="AO1" s="1" t="n"/>
      <c r="AP1" s="1" t="n"/>
      <c r="AQ1" s="1" t="n"/>
      <c r="AR1" s="1" t="n"/>
      <c r="AS1" s="1" t="n"/>
      <c r="AT1" s="1" t="n"/>
      <c r="AU1" s="1" t="n"/>
      <c r="AV1" s="1" t="n"/>
    </row>
    <row r="2" ht="21.05" customHeight="1">
      <c r="A2" s="1" t="n"/>
      <c r="G2" s="5" t="inlineStr">
        <is>
          <t>Reference to 
Evaluation</t>
        </is>
      </c>
      <c r="I2" s="6" t="inlineStr">
        <is>
          <t>Click here to return to Summary tab</t>
        </is>
      </c>
      <c r="J2" s="7" t="n"/>
      <c r="K2" s="8" t="n"/>
      <c r="O2" s="9" t="n"/>
      <c r="P2" s="9" t="n"/>
      <c r="Q2" s="9" t="n"/>
      <c r="S2" s="9" t="n"/>
      <c r="T2" s="9" t="n"/>
      <c r="AJ2" s="3" t="n"/>
      <c r="AK2" s="3" t="n"/>
      <c r="AR2" s="3" t="n"/>
    </row>
    <row r="3">
      <c r="A3" s="1" t="n"/>
      <c r="B3" s="10" t="inlineStr">
        <is>
          <t>Company</t>
        </is>
      </c>
      <c r="C3" s="11" t="inlineStr">
        <is>
          <t>GEIIPL</t>
        </is>
      </c>
      <c r="D3" s="9" t="n"/>
      <c r="E3" s="12" t="inlineStr">
        <is>
          <t>Misstatements Identified</t>
        </is>
      </c>
      <c r="F3" s="13" t="inlineStr">
        <is>
          <t>No</t>
        </is>
      </c>
      <c r="G3" s="14" t="n"/>
      <c r="I3" s="12" t="inlineStr">
        <is>
          <t>Materiality</t>
        </is>
      </c>
      <c r="J3" s="12" t="inlineStr">
        <is>
          <t>Performance Materiality</t>
        </is>
      </c>
      <c r="K3" s="15" t="inlineStr">
        <is>
          <t>CTT</t>
        </is>
      </c>
      <c r="L3" s="16" t="inlineStr">
        <is>
          <t>CTT</t>
        </is>
      </c>
      <c r="M3" s="16" t="n"/>
      <c r="O3" s="9" t="n"/>
      <c r="P3" s="9" t="n"/>
      <c r="Q3" s="9" t="n"/>
      <c r="S3" s="9" t="n"/>
      <c r="V3" s="9" t="n"/>
      <c r="W3" s="9" t="n"/>
      <c r="AJ3" s="3" t="n"/>
      <c r="AK3" s="3" t="n"/>
      <c r="AR3" s="3" t="n"/>
    </row>
    <row r="4">
      <c r="A4" s="1" t="n"/>
      <c r="B4" s="10" t="inlineStr">
        <is>
          <t>Period-End</t>
        </is>
      </c>
      <c r="C4" s="17" t="n">
        <v>46112</v>
      </c>
      <c r="D4" s="9" t="n"/>
      <c r="E4" s="15" t="inlineStr">
        <is>
          <t>Reference to evaluation of whether misstatement has resulted in a control deficiency</t>
        </is>
      </c>
      <c r="F4" s="18" t="n"/>
      <c r="G4" s="14" t="n"/>
      <c r="I4" s="19" t="n"/>
      <c r="J4" s="19" t="n">
        <v>376000000</v>
      </c>
      <c r="K4" s="20" t="n"/>
      <c r="L4" s="21" t="n"/>
      <c r="M4" s="21" t="n"/>
      <c r="N4" s="9" t="n"/>
      <c r="O4" s="9" t="n"/>
      <c r="P4" s="9" t="n"/>
      <c r="Q4" s="9" t="n"/>
      <c r="S4" s="9" t="n"/>
      <c r="T4" s="9" t="n"/>
      <c r="U4" s="9" t="n"/>
      <c r="V4" s="9" t="n"/>
      <c r="W4" s="9" t="n"/>
      <c r="AJ4" s="3" t="n"/>
      <c r="AK4" s="3" t="n"/>
      <c r="AR4" s="3" t="n"/>
    </row>
    <row r="5">
      <c r="A5" s="1" t="n"/>
      <c r="B5" s="10" t="n"/>
      <c r="C5" s="152" t="n"/>
      <c r="D5" s="9" t="n"/>
      <c r="E5" s="9" t="n"/>
      <c r="F5" s="9" t="n"/>
      <c r="H5" s="9" t="n"/>
      <c r="I5" s="9" t="n"/>
      <c r="J5" s="9" t="n"/>
      <c r="K5" s="9" t="n"/>
      <c r="L5" s="9" t="n"/>
      <c r="M5" s="9" t="n"/>
      <c r="N5" s="9" t="n"/>
      <c r="O5" s="9" t="n"/>
      <c r="P5" s="9" t="n"/>
      <c r="Q5" s="9" t="n"/>
      <c r="S5" s="9" t="n"/>
      <c r="T5" s="9" t="n"/>
      <c r="U5" s="9" t="n"/>
      <c r="V5" s="9" t="n"/>
      <c r="W5" s="9" t="n"/>
      <c r="X5" s="9" t="n"/>
      <c r="Y5" s="9" t="n"/>
      <c r="AJ5" s="3" t="n"/>
      <c r="AK5" s="3" t="n"/>
      <c r="AR5" s="3" t="n"/>
    </row>
    <row r="6" customFormat="1" s="25">
      <c r="A6" s="23" t="n"/>
      <c r="B6" s="24" t="n"/>
      <c r="C6" s="3" t="n"/>
      <c r="D6" s="9" t="n"/>
      <c r="E6" s="9" t="n"/>
      <c r="F6" s="9" t="n"/>
      <c r="G6" s="9" t="n"/>
      <c r="H6" s="9" t="n"/>
      <c r="I6" s="9" t="n"/>
      <c r="J6" s="9" t="n"/>
      <c r="K6" s="9" t="n"/>
      <c r="L6" s="9" t="n"/>
      <c r="M6" s="9" t="n"/>
      <c r="N6" s="9" t="n"/>
      <c r="O6" s="9" t="n"/>
      <c r="P6" s="9" t="n"/>
      <c r="Q6" s="9" t="n"/>
      <c r="R6" s="2" t="n"/>
      <c r="S6" s="9" t="n"/>
      <c r="T6" s="9" t="n"/>
      <c r="U6" s="9" t="n"/>
      <c r="V6" s="9" t="n"/>
      <c r="W6" s="9" t="n"/>
      <c r="X6" s="9" t="n"/>
      <c r="Y6" s="9" t="n"/>
      <c r="Z6" s="3" t="n"/>
      <c r="AA6" s="3" t="n"/>
      <c r="AB6" s="3" t="n"/>
      <c r="AC6" s="3" t="n"/>
      <c r="AD6" s="3" t="n"/>
      <c r="AE6" s="3" t="n"/>
      <c r="AF6" s="3" t="n"/>
      <c r="AG6" s="3" t="n"/>
      <c r="AH6" s="3" t="n"/>
      <c r="AI6" s="3" t="n"/>
      <c r="AJ6" s="3" t="n"/>
      <c r="AK6" s="3" t="n"/>
      <c r="AL6" s="3" t="n"/>
      <c r="AM6" s="3" t="n"/>
      <c r="AN6" s="3" t="n"/>
      <c r="AO6" s="3" t="n"/>
      <c r="AP6" s="3" t="n"/>
      <c r="AQ6" s="3" t="n"/>
      <c r="AR6" s="3" t="n"/>
      <c r="AS6" s="3" t="n"/>
      <c r="AT6" s="3" t="n"/>
      <c r="AU6" s="3" t="n"/>
      <c r="AV6" s="3" t="n"/>
      <c r="AW6" s="4" t="n"/>
      <c r="AX6" s="4" t="n"/>
      <c r="AY6" s="4" t="n"/>
      <c r="AZ6" s="4" t="n"/>
      <c r="BA6" s="4" t="n"/>
      <c r="BB6" s="4" t="n"/>
      <c r="BC6" s="4" t="n"/>
      <c r="BD6" s="4" t="n"/>
      <c r="BE6" s="4" t="n"/>
      <c r="BF6" s="4" t="n"/>
      <c r="BG6" s="4" t="n"/>
    </row>
    <row r="7">
      <c r="A7" s="4" t="n"/>
      <c r="B7" s="4" t="n"/>
      <c r="C7" s="4" t="n"/>
      <c r="D7" s="4" t="n"/>
      <c r="E7" s="4" t="n"/>
      <c r="F7" s="4" t="n"/>
      <c r="G7" s="4" t="n"/>
      <c r="H7" s="4" t="n"/>
      <c r="I7" s="4" t="n"/>
      <c r="J7" s="4" t="n"/>
      <c r="K7" s="4" t="n"/>
      <c r="L7" s="4" t="n"/>
      <c r="M7" s="4" t="n"/>
      <c r="N7" s="4" t="n"/>
      <c r="O7" s="4" t="n"/>
      <c r="P7" s="4" t="n"/>
      <c r="Q7" s="4" t="n"/>
      <c r="S7" s="4" t="n"/>
      <c r="T7" s="4" t="n"/>
      <c r="U7" s="4" t="n"/>
      <c r="V7" s="4" t="n"/>
      <c r="W7" s="4" t="n"/>
      <c r="X7" s="4" t="n"/>
      <c r="Y7" s="4" t="n"/>
      <c r="Z7" s="4" t="n"/>
      <c r="AA7" s="4" t="n"/>
      <c r="AB7" s="4" t="n"/>
      <c r="AC7" s="4" t="n"/>
      <c r="AD7" s="4" t="n"/>
      <c r="AE7" s="4" t="n"/>
      <c r="AF7" s="4" t="n"/>
      <c r="AG7" s="4" t="n"/>
      <c r="AH7" s="4" t="n"/>
      <c r="AI7" s="4" t="n"/>
      <c r="AJ7" s="4" t="n"/>
      <c r="AK7" s="4" t="n"/>
      <c r="AL7" s="4" t="n"/>
      <c r="AM7" s="25" t="n"/>
      <c r="AN7" s="4" t="n"/>
      <c r="AO7" s="4" t="n"/>
      <c r="AP7" s="4" t="n"/>
      <c r="AQ7" s="4" t="n"/>
      <c r="AR7" s="4" t="n"/>
      <c r="AS7" s="4" t="n"/>
      <c r="AT7" s="4" t="n"/>
      <c r="AU7" s="4" t="n"/>
      <c r="AV7" s="4" t="n"/>
    </row>
    <row r="8">
      <c r="A8" s="23" t="n"/>
      <c r="B8" s="24" t="n"/>
      <c r="D8" s="9" t="n"/>
      <c r="E8" s="9" t="n"/>
      <c r="F8" s="9" t="n"/>
      <c r="G8" s="9" t="n"/>
      <c r="H8" s="9" t="n"/>
      <c r="I8" s="9" t="n"/>
      <c r="J8" s="9" t="n"/>
      <c r="K8" s="9" t="n"/>
      <c r="L8" s="9" t="n"/>
      <c r="M8" s="9" t="n"/>
      <c r="N8" s="9" t="n"/>
      <c r="O8" s="9" t="n"/>
      <c r="P8" s="9" t="n"/>
      <c r="Q8" s="9" t="n"/>
      <c r="S8" s="9" t="n"/>
      <c r="T8" s="9" t="n"/>
      <c r="U8" s="9" t="n"/>
      <c r="V8" s="9" t="n"/>
      <c r="W8" s="9" t="n"/>
      <c r="X8" s="9" t="n"/>
      <c r="Y8" s="9" t="n"/>
      <c r="Z8" s="9" t="n"/>
      <c r="AA8" s="9" t="n"/>
      <c r="AB8" s="9" t="n"/>
      <c r="AC8" s="9" t="n"/>
      <c r="AD8" s="9" t="n"/>
      <c r="AE8" s="9" t="n"/>
      <c r="AF8" s="9" t="n"/>
      <c r="AG8" s="9" t="n"/>
      <c r="AH8" s="9" t="n"/>
      <c r="AI8" s="9" t="n"/>
      <c r="AJ8" s="9" t="n"/>
      <c r="AK8" s="9" t="n"/>
    </row>
    <row r="9" ht="10.55" customHeight="1">
      <c r="A9" s="23" t="n"/>
      <c r="B9" s="24" t="n"/>
      <c r="C9" s="27" t="inlineStr">
        <is>
          <t>Purpose</t>
        </is>
      </c>
      <c r="D9" s="28" t="inlineStr">
        <is>
          <t>To test the Occurrence, Accuracy, and Classification of Operating Expenses by performing substantive testing procedures.</t>
        </is>
      </c>
      <c r="E9" s="28" t="n"/>
      <c r="F9" s="28" t="n"/>
      <c r="G9" s="28" t="n"/>
      <c r="H9" s="9" t="n"/>
      <c r="I9" s="9" t="n"/>
      <c r="J9" s="9" t="n"/>
      <c r="K9" s="9" t="n"/>
      <c r="L9" s="9" t="n"/>
      <c r="M9" s="9" t="n"/>
      <c r="N9" s="9" t="n"/>
      <c r="O9" s="9" t="n"/>
      <c r="P9" s="9" t="n"/>
      <c r="Q9" s="9" t="n"/>
      <c r="S9" s="9" t="n"/>
      <c r="T9" s="9" t="n"/>
      <c r="U9" s="9" t="n"/>
      <c r="V9" s="9" t="n"/>
      <c r="W9" s="9" t="n"/>
      <c r="X9" s="9" t="n"/>
      <c r="Y9" s="9" t="n"/>
      <c r="Z9" s="9" t="n"/>
      <c r="AA9" s="9" t="n"/>
      <c r="AB9" s="9" t="n"/>
      <c r="AC9" s="9" t="n"/>
      <c r="AD9" s="9" t="n"/>
      <c r="AE9" s="9" t="n"/>
      <c r="AF9" s="9" t="n"/>
      <c r="AG9" s="9" t="n"/>
      <c r="AH9" s="9" t="n"/>
      <c r="AI9" s="9" t="n"/>
      <c r="AJ9" s="9" t="n"/>
      <c r="AK9" s="9" t="n"/>
    </row>
    <row r="10">
      <c r="A10" s="23" t="n"/>
      <c r="B10" s="24" t="n"/>
      <c r="D10" s="29" t="n"/>
      <c r="E10" s="29" t="n"/>
      <c r="F10" s="29" t="n"/>
      <c r="G10" s="29" t="n"/>
      <c r="H10" s="9" t="n"/>
      <c r="I10" s="9" t="n"/>
      <c r="J10" s="9" t="n"/>
      <c r="K10" s="9" t="n"/>
      <c r="L10" s="9" t="n"/>
      <c r="M10" s="9" t="n"/>
      <c r="N10" s="9" t="n"/>
      <c r="O10" s="9" t="n"/>
      <c r="P10" s="9" t="n"/>
      <c r="Q10" s="9" t="n"/>
      <c r="S10" s="9" t="n"/>
      <c r="T10" s="9" t="n"/>
      <c r="U10" s="9" t="n"/>
      <c r="V10" s="9" t="n"/>
      <c r="W10" s="9" t="n"/>
      <c r="X10" s="9" t="n"/>
      <c r="Y10" s="9" t="n"/>
      <c r="Z10" s="9" t="n"/>
      <c r="AA10" s="9" t="n"/>
      <c r="AB10" s="9" t="n"/>
      <c r="AC10" s="9" t="n"/>
      <c r="AD10" s="9" t="n"/>
      <c r="AE10" s="9" t="n"/>
      <c r="AF10" s="9" t="n"/>
      <c r="AG10" s="9" t="n"/>
      <c r="AH10" s="9" t="n"/>
      <c r="AI10" s="9" t="n"/>
      <c r="AJ10" s="9" t="n"/>
      <c r="AK10" s="9" t="n"/>
    </row>
    <row r="11">
      <c r="A11" s="23" t="n"/>
      <c r="B11" s="23" t="n"/>
      <c r="C11" s="1" t="n"/>
      <c r="D11" s="1" t="n"/>
      <c r="E11" s="1" t="n"/>
      <c r="F11" s="1" t="n"/>
      <c r="G11" s="1" t="n"/>
      <c r="H11" s="1" t="n"/>
      <c r="I11" s="1" t="n"/>
      <c r="J11" s="1" t="n"/>
      <c r="K11" s="1" t="n"/>
      <c r="L11" s="1" t="n"/>
      <c r="M11" s="1" t="n"/>
      <c r="N11" s="1" t="n"/>
      <c r="O11" s="1" t="n"/>
      <c r="P11" s="1" t="n"/>
      <c r="Q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N11" s="1" t="n"/>
      <c r="AO11" s="1" t="n"/>
      <c r="AP11" s="1" t="n"/>
      <c r="AQ11" s="1" t="n"/>
      <c r="AR11" s="1" t="n"/>
      <c r="AS11" s="1" t="n"/>
      <c r="AT11" s="1" t="n"/>
      <c r="AU11" s="1" t="n"/>
      <c r="AV11" s="1" t="n"/>
    </row>
    <row r="12" ht="15.65" customHeight="1">
      <c r="A12" s="23" t="n"/>
      <c r="C12" s="30" t="n"/>
      <c r="D12" s="31" t="n"/>
      <c r="E12" s="32" t="n"/>
      <c r="F12" s="33" t="n"/>
      <c r="G12" s="34" t="n"/>
      <c r="H12" s="34" t="n"/>
      <c r="I12" s="34" t="n"/>
      <c r="J12" s="34" t="n"/>
      <c r="K12" s="34" t="n"/>
      <c r="L12" s="34" t="n"/>
      <c r="M12" s="34" t="n"/>
      <c r="N12" s="34" t="n"/>
      <c r="O12" s="34" t="n"/>
      <c r="P12" s="34" t="n"/>
      <c r="Q12" s="34" t="n"/>
      <c r="S12" s="34" t="n"/>
      <c r="T12" s="34" t="n"/>
      <c r="U12" s="34" t="n"/>
      <c r="V12" s="34" t="n"/>
      <c r="W12" s="34" t="n"/>
      <c r="X12" s="34" t="n"/>
      <c r="Y12" s="34" t="n"/>
      <c r="Z12" s="34" t="n"/>
      <c r="AA12" s="34" t="n"/>
      <c r="AB12" s="34" t="n"/>
      <c r="AC12" s="34" t="n"/>
      <c r="AD12" s="34" t="n"/>
      <c r="AE12" s="34" t="n"/>
      <c r="AF12" s="34" t="n"/>
      <c r="AG12" s="34" t="n"/>
      <c r="AH12" s="34" t="n"/>
      <c r="AI12" s="34" t="n"/>
      <c r="AJ12" s="34" t="n"/>
      <c r="AK12" s="34" t="n"/>
      <c r="AL12" s="34" t="n"/>
      <c r="AM12" s="34" t="n"/>
      <c r="AN12" s="34" t="n"/>
      <c r="AO12" s="34" t="n"/>
      <c r="AP12" s="34" t="n"/>
      <c r="AQ12" s="34" t="n"/>
      <c r="AR12" s="34" t="n"/>
      <c r="AS12" s="34" t="n"/>
      <c r="AT12" s="34" t="n"/>
      <c r="AU12" s="34" t="n"/>
      <c r="AV12" s="34" t="n"/>
    </row>
    <row r="13">
      <c r="A13" s="23" t="n"/>
      <c r="B13" s="35" t="inlineStr">
        <is>
          <t>Test of Details — Debits</t>
        </is>
      </c>
      <c r="C13" s="10" t="n"/>
      <c r="D13" s="31" t="n"/>
      <c r="E13" s="32" t="n"/>
      <c r="F13" s="33" t="n"/>
      <c r="G13" s="34" t="n"/>
      <c r="H13" s="34" t="n"/>
      <c r="I13" s="34" t="n"/>
      <c r="J13" s="34" t="n"/>
      <c r="K13" s="34" t="n"/>
      <c r="L13" s="34" t="n"/>
      <c r="M13" s="34" t="n"/>
      <c r="N13" s="34" t="n"/>
      <c r="O13" s="34" t="n"/>
      <c r="P13" s="34" t="n"/>
      <c r="Q13" s="34" t="n"/>
      <c r="S13" s="34" t="n"/>
      <c r="T13" s="34" t="n"/>
      <c r="U13" s="34" t="n"/>
      <c r="V13" s="34" t="n"/>
      <c r="W13" s="34" t="n"/>
      <c r="X13" s="34" t="n"/>
      <c r="Y13" s="34" t="n"/>
      <c r="Z13" s="34" t="n"/>
      <c r="AA13" s="34" t="n"/>
      <c r="AB13" s="34" t="n"/>
      <c r="AC13" s="34" t="n"/>
      <c r="AD13" s="34" t="n"/>
      <c r="AE13" s="34" t="n"/>
      <c r="AF13" s="34" t="n"/>
      <c r="AG13" s="34" t="n"/>
      <c r="AH13" s="34" t="n"/>
      <c r="AI13" s="34" t="n"/>
      <c r="AJ13" s="34" t="n"/>
      <c r="AK13" s="34" t="n"/>
      <c r="AL13" s="34" t="n"/>
      <c r="AM13" s="34" t="n"/>
      <c r="AN13" s="34" t="n"/>
      <c r="AO13" s="34" t="n"/>
      <c r="AP13" s="34" t="n"/>
      <c r="AQ13" s="34" t="n"/>
      <c r="AR13" s="34" t="n"/>
      <c r="AS13" s="34" t="n"/>
      <c r="AT13" s="34" t="n"/>
      <c r="AU13" s="34" t="n"/>
      <c r="AV13" s="34" t="n"/>
    </row>
    <row r="14">
      <c r="A14" s="23" t="n"/>
      <c r="C14" s="30" t="n"/>
      <c r="D14" s="31" t="n"/>
      <c r="E14" s="32" t="n"/>
      <c r="F14" s="33" t="n"/>
      <c r="G14" s="34" t="n"/>
      <c r="H14" s="34" t="n"/>
      <c r="I14" s="34" t="n"/>
      <c r="J14" s="34" t="n"/>
      <c r="K14" s="34" t="n"/>
      <c r="L14" s="34" t="n"/>
      <c r="M14" s="34" t="n"/>
      <c r="N14" s="34" t="n"/>
      <c r="O14" s="34" t="n"/>
      <c r="P14" s="34" t="n"/>
      <c r="Q14" s="34" t="n"/>
      <c r="S14" s="34" t="n"/>
      <c r="T14" s="34" t="n"/>
      <c r="U14" s="34" t="n"/>
      <c r="V14" s="34" t="n"/>
      <c r="W14" s="34" t="n"/>
      <c r="X14" s="34" t="n"/>
      <c r="Y14" s="34" t="n"/>
      <c r="Z14" s="34" t="n"/>
      <c r="AA14" s="34" t="n"/>
      <c r="AB14" s="34" t="n"/>
      <c r="AC14" s="34" t="n"/>
      <c r="AD14" s="34" t="n"/>
      <c r="AE14" s="34" t="n"/>
      <c r="AF14" s="34" t="n"/>
      <c r="AG14" s="34" t="n"/>
      <c r="AH14" s="34" t="n"/>
      <c r="AI14" s="34" t="n"/>
      <c r="AJ14" s="34" t="n"/>
      <c r="AK14" s="34" t="n"/>
      <c r="AL14" s="34" t="n"/>
      <c r="AM14" s="34" t="n"/>
      <c r="AN14" s="34" t="n"/>
      <c r="AO14" s="34" t="n"/>
      <c r="AP14" s="34" t="n"/>
      <c r="AQ14" s="34" t="n"/>
      <c r="AR14" s="34" t="n"/>
      <c r="AS14" s="34" t="n"/>
      <c r="AT14" s="34" t="n"/>
      <c r="AU14" s="34" t="n"/>
      <c r="AV14" s="34" t="n"/>
    </row>
    <row r="15" ht="25.5" customHeight="1">
      <c r="A15" s="23" t="n"/>
      <c r="C15" s="36" t="inlineStr">
        <is>
          <t>For each selection below, in order to evaluate when the transaction should have been recorded, the following supporting documentation was obtained:</t>
        </is>
      </c>
      <c r="D15" s="153" t="n"/>
      <c r="E15" s="153" t="n"/>
      <c r="F15" s="38" t="inlineStr">
        <is>
          <t>Ref. Code</t>
        </is>
      </c>
      <c r="G15" s="39" t="inlineStr">
        <is>
          <t>Internal Information Identified</t>
        </is>
      </c>
      <c r="AG15" s="34" t="n"/>
      <c r="AH15" s="34" t="n"/>
      <c r="AI15" s="34" t="n"/>
      <c r="AJ15" s="34" t="n"/>
      <c r="AK15" s="34" t="n"/>
      <c r="AL15" s="34" t="n"/>
      <c r="AM15" s="34" t="n"/>
      <c r="AN15" s="34" t="n"/>
      <c r="AO15" s="34" t="n"/>
      <c r="AP15" s="34" t="n"/>
      <c r="AQ15" s="34" t="n"/>
      <c r="AR15" s="34" t="n"/>
      <c r="AS15" s="34" t="n"/>
      <c r="AT15" s="34" t="n"/>
      <c r="AU15" s="34" t="n"/>
      <c r="AV15" s="34" t="n"/>
    </row>
    <row r="16" ht="21.75" customHeight="1">
      <c r="A16" s="23" t="n"/>
      <c r="C16" s="40" t="inlineStr">
        <is>
          <t>Detail of OPEX/SG&amp;A</t>
        </is>
      </c>
      <c r="D16" s="41" t="inlineStr">
        <is>
          <t>Populated the related operating expenses information per the operating expenses list; provided by [Contact name/title].</t>
        </is>
      </c>
      <c r="E16" s="153" t="n"/>
      <c r="F16" s="42" t="inlineStr">
        <is>
          <t>&lt;1&gt;</t>
        </is>
      </c>
      <c r="G16" s="7" t="n"/>
      <c r="H16" s="43" t="n"/>
      <c r="I16" s="43" t="n"/>
      <c r="J16" s="43" t="n"/>
      <c r="K16" s="43" t="n"/>
      <c r="L16" s="43" t="n"/>
      <c r="M16" s="43" t="n"/>
      <c r="N16" s="43" t="n"/>
      <c r="O16" s="43" t="n"/>
      <c r="P16" s="43" t="n"/>
      <c r="Q16" s="43" t="n"/>
      <c r="S16" s="43" t="n"/>
      <c r="T16" s="43" t="n"/>
      <c r="U16" s="43" t="n"/>
      <c r="V16" s="43" t="n"/>
      <c r="W16" s="43" t="n"/>
      <c r="X16" s="43" t="n"/>
      <c r="Y16" s="43" t="n"/>
      <c r="Z16" s="43" t="n"/>
      <c r="AA16" s="43" t="n"/>
      <c r="AB16" s="43" t="n"/>
      <c r="AC16" s="43" t="n"/>
      <c r="AD16" s="43" t="n"/>
      <c r="AE16" s="43" t="n"/>
      <c r="AF16" s="43" t="n"/>
      <c r="AG16" s="34" t="n"/>
      <c r="AH16" s="34" t="n"/>
      <c r="AI16" s="34" t="n"/>
      <c r="AJ16" s="34" t="n"/>
      <c r="AK16" s="34" t="n"/>
      <c r="AL16" s="34" t="n"/>
      <c r="AM16" s="34" t="n"/>
      <c r="AN16" s="34" t="n"/>
      <c r="AO16" s="34" t="n"/>
      <c r="AP16" s="34" t="n"/>
      <c r="AQ16" s="34" t="n"/>
      <c r="AR16" s="34" t="n"/>
      <c r="AS16" s="34" t="n"/>
      <c r="AT16" s="34" t="n"/>
      <c r="AU16" s="34" t="n"/>
      <c r="AV16" s="34" t="n"/>
    </row>
    <row r="17" ht="35.35" customHeight="1">
      <c r="A17" s="23" t="n"/>
      <c r="C17" s="44" t="inlineStr">
        <is>
          <t>Support/Audit Evidence</t>
        </is>
      </c>
      <c r="D17" s="41" t="inlineStr">
        <is>
          <t xml:space="preserve">Traced and agreed selected amounts into invoices and other supporting documentation provided by [Contact name/title] to verify that the expense occurred and was recorded at the correct amount.
</t>
        </is>
      </c>
      <c r="E17" s="153" t="n"/>
      <c r="F17" s="42" t="inlineStr">
        <is>
          <t>&lt;2&gt;</t>
        </is>
      </c>
      <c r="G17" s="42" t="n"/>
      <c r="AG17" s="34" t="n"/>
      <c r="AH17" s="34" t="n"/>
      <c r="AI17" s="34" t="n"/>
      <c r="AJ17" s="34" t="n"/>
      <c r="AK17" s="34" t="n"/>
      <c r="AL17" s="34" t="n"/>
      <c r="AM17" s="34" t="n"/>
      <c r="AN17" s="34" t="n"/>
      <c r="AO17" s="34" t="n"/>
      <c r="AP17" s="34" t="n"/>
      <c r="AQ17" s="34" t="n"/>
      <c r="AR17" s="34" t="n"/>
      <c r="AS17" s="34" t="n"/>
      <c r="AT17" s="34" t="n"/>
      <c r="AU17" s="34" t="n"/>
      <c r="AV17" s="34" t="n"/>
    </row>
    <row r="18">
      <c r="A18" s="23" t="n"/>
      <c r="C18" s="154" t="n"/>
      <c r="D18" s="41" t="inlineStr">
        <is>
          <t>Verified that the expense was recorded in the correct period.</t>
        </is>
      </c>
      <c r="E18" s="153" t="n"/>
      <c r="F18" s="42" t="inlineStr">
        <is>
          <t>&lt;3&gt;</t>
        </is>
      </c>
      <c r="G18" s="42" t="n"/>
      <c r="AG18" s="34" t="n"/>
      <c r="AH18" s="34" t="n"/>
      <c r="AI18" s="34" t="n"/>
      <c r="AJ18" s="34" t="n"/>
      <c r="AK18" s="34" t="n"/>
      <c r="AL18" s="34" t="n"/>
      <c r="AM18" s="34" t="n"/>
      <c r="AN18" s="34" t="n"/>
      <c r="AO18" s="34" t="n"/>
      <c r="AP18" s="34" t="n"/>
      <c r="AQ18" s="34" t="n"/>
      <c r="AR18" s="34" t="n"/>
      <c r="AS18" s="34" t="n"/>
      <c r="AT18" s="34" t="n"/>
      <c r="AU18" s="34" t="n"/>
      <c r="AV18" s="34" t="n"/>
    </row>
    <row r="19" ht="26.2" customHeight="1">
      <c r="A19" s="23" t="n"/>
      <c r="C19" s="154" t="n"/>
      <c r="D19" s="41" t="inlineStr">
        <is>
          <t>Verified that the expense is appropriately classified as an operating expense.</t>
        </is>
      </c>
      <c r="E19" s="153" t="n"/>
      <c r="F19" s="42" t="inlineStr">
        <is>
          <t>&lt;4&gt;</t>
        </is>
      </c>
      <c r="G19" s="42" t="n"/>
      <c r="AG19" s="34" t="n"/>
      <c r="AH19" s="34" t="n"/>
      <c r="AI19" s="34" t="n"/>
      <c r="AJ19" s="34" t="n"/>
      <c r="AK19" s="34" t="n"/>
      <c r="AL19" s="34" t="n"/>
      <c r="AM19" s="34" t="n"/>
      <c r="AN19" s="34" t="n"/>
      <c r="AO19" s="34" t="n"/>
      <c r="AP19" s="34" t="n"/>
      <c r="AQ19" s="34" t="n"/>
      <c r="AR19" s="34" t="n"/>
      <c r="AS19" s="34" t="n"/>
      <c r="AT19" s="34" t="n"/>
      <c r="AU19" s="34" t="n"/>
      <c r="AV19" s="34" t="n"/>
    </row>
    <row r="20">
      <c r="A20" s="23" t="n"/>
      <c r="X20" s="155" t="n"/>
      <c r="Y20" s="155" t="n"/>
      <c r="AG20" s="34" t="n"/>
      <c r="AH20" s="34" t="n"/>
      <c r="AI20" s="34" t="n"/>
      <c r="AJ20" s="34" t="n"/>
      <c r="AK20" s="34" t="n"/>
      <c r="AL20" s="34" t="n"/>
      <c r="AM20" s="34" t="n"/>
      <c r="AN20" s="34" t="n"/>
      <c r="AO20" s="34" t="n"/>
      <c r="AP20" s="34" t="n"/>
      <c r="AQ20" s="34" t="n"/>
      <c r="AR20" s="34" t="n"/>
      <c r="AS20" s="34" t="n"/>
      <c r="AT20" s="34" t="n"/>
      <c r="AU20" s="34" t="n"/>
      <c r="AV20" s="34" t="n"/>
    </row>
    <row r="21">
      <c r="A21" s="23" t="n"/>
      <c r="C21" s="30" t="n"/>
      <c r="D21" s="31" t="n"/>
      <c r="E21" s="32" t="n"/>
      <c r="F21" s="33" t="n"/>
      <c r="G21" s="34" t="n"/>
      <c r="H21" s="34" t="n"/>
      <c r="I21" s="34" t="n"/>
      <c r="J21" s="34" t="n"/>
      <c r="K21" s="34" t="n"/>
      <c r="L21" s="34" t="n"/>
      <c r="M21" s="34" t="n"/>
      <c r="N21" s="34" t="n"/>
      <c r="O21" s="34" t="n"/>
      <c r="P21" s="34" t="n"/>
      <c r="Q21" s="34" t="n"/>
      <c r="S21" s="34" t="n"/>
      <c r="T21" s="34" t="n"/>
      <c r="U21" s="34" t="n"/>
      <c r="V21" s="34" t="n"/>
      <c r="W21" s="34" t="n"/>
      <c r="X21" s="34" t="n"/>
      <c r="Y21" s="34" t="n"/>
      <c r="Z21" s="34" t="n"/>
      <c r="AA21" s="34" t="n"/>
      <c r="AB21" s="34" t="n"/>
      <c r="AC21" s="34" t="n"/>
      <c r="AD21" s="34" t="n"/>
      <c r="AE21" s="34" t="n"/>
      <c r="AF21" s="34" t="n"/>
      <c r="AG21" s="34" t="n"/>
      <c r="AH21" s="34" t="n"/>
      <c r="AI21" s="34" t="n"/>
      <c r="AJ21" s="34" t="n"/>
      <c r="AK21" s="34" t="n"/>
      <c r="AL21" s="34" t="n"/>
      <c r="AM21" s="34" t="n"/>
      <c r="AN21" s="34" t="n"/>
      <c r="AO21" s="34" t="n"/>
      <c r="AP21" s="34" t="n"/>
      <c r="AQ21" s="34" t="n"/>
      <c r="AR21" s="34" t="n"/>
      <c r="AS21" s="34" t="n"/>
      <c r="AT21" s="34" t="n"/>
      <c r="AU21" s="34" t="n"/>
      <c r="AV21" s="34" t="n"/>
    </row>
    <row r="22">
      <c r="A22" s="23" t="n"/>
      <c r="C22" s="10" t="n"/>
      <c r="D22" s="31" t="n"/>
      <c r="E22" s="32" t="n"/>
      <c r="F22" s="33" t="n"/>
      <c r="G22" s="34" t="n"/>
      <c r="H22" s="34" t="n"/>
      <c r="I22" s="34" t="n"/>
      <c r="J22" s="34" t="n"/>
      <c r="K22" s="34" t="n"/>
      <c r="L22" s="34" t="n"/>
      <c r="M22" s="34" t="n"/>
      <c r="N22" s="34" t="n"/>
      <c r="O22" s="34" t="n"/>
      <c r="P22" s="34" t="n"/>
      <c r="Q22" s="34" t="n"/>
      <c r="S22" s="34" t="n"/>
      <c r="T22" s="34" t="n"/>
      <c r="U22" s="34" t="n"/>
      <c r="V22" s="34" t="n"/>
      <c r="W22" s="156" t="n"/>
      <c r="X22" s="156" t="n"/>
      <c r="Y22" s="156" t="n"/>
      <c r="Z22" s="34" t="n"/>
      <c r="AA22" s="34" t="n"/>
      <c r="AB22" s="34" t="n"/>
      <c r="AC22" s="34" t="n"/>
      <c r="AD22" s="34" t="n"/>
      <c r="AE22" s="34" t="n"/>
      <c r="AF22" s="34" t="n"/>
      <c r="AG22" s="34" t="n"/>
      <c r="AH22" s="34" t="n"/>
      <c r="AI22" s="34" t="n"/>
      <c r="AJ22" s="34" t="n"/>
      <c r="AK22" s="34" t="n"/>
      <c r="AL22" s="34" t="n"/>
      <c r="AM22" s="34" t="n"/>
      <c r="AN22" s="34" t="n"/>
      <c r="AO22" s="34" t="n"/>
      <c r="AP22" s="34" t="n"/>
      <c r="AQ22" s="34" t="n"/>
      <c r="AR22" s="34" t="n"/>
      <c r="AS22" s="34" t="n"/>
      <c r="AT22" s="34" t="n"/>
      <c r="AU22" s="34" t="n"/>
      <c r="AV22" s="34" t="n"/>
    </row>
    <row r="23" ht="10.15" customHeight="1">
      <c r="A23" s="1" t="n"/>
      <c r="C23" s="48" t="n"/>
      <c r="D23" s="49" t="inlineStr">
        <is>
          <t>Conclusion</t>
        </is>
      </c>
      <c r="E23" s="157" t="n"/>
      <c r="F23" s="157" t="n"/>
      <c r="G23" s="157" t="n"/>
      <c r="H23" s="157" t="n"/>
      <c r="I23" s="50" t="inlineStr">
        <is>
          <t>Selections/Operating Expenses listing Information</t>
        </is>
      </c>
      <c r="J23" s="153" t="n"/>
      <c r="K23" s="153" t="n"/>
      <c r="L23" s="153" t="n"/>
      <c r="M23" s="153" t="n"/>
      <c r="N23" s="153" t="n"/>
      <c r="O23" s="153" t="n"/>
      <c r="P23" s="158" t="n"/>
      <c r="Q23" s="51" t="n"/>
      <c r="S23" s="52" t="inlineStr">
        <is>
          <t>Invoice Information</t>
        </is>
      </c>
      <c r="T23" s="153" t="n"/>
      <c r="U23" s="153" t="n"/>
      <c r="V23" s="153" t="n"/>
      <c r="W23" s="153" t="n"/>
      <c r="X23" s="153" t="n"/>
      <c r="Y23" s="153" t="n"/>
      <c r="Z23" s="153" t="n"/>
      <c r="AA23" s="158" t="n"/>
      <c r="AB23" s="53" t="inlineStr">
        <is>
          <t>FX translation</t>
        </is>
      </c>
      <c r="AF23" s="9" t="n"/>
      <c r="AG23" s="54" t="inlineStr">
        <is>
          <t>PO Information</t>
        </is>
      </c>
      <c r="AH23" s="157" t="n"/>
      <c r="AI23" s="157" t="n"/>
      <c r="AJ23" s="157" t="n"/>
      <c r="AK23" s="157" t="n"/>
      <c r="AL23" s="157" t="n"/>
      <c r="AM23" s="55" t="n"/>
      <c r="AN23" s="56" t="inlineStr">
        <is>
          <t>Costs center information</t>
        </is>
      </c>
      <c r="AO23" s="153" t="n"/>
      <c r="AP23" s="158" t="n"/>
      <c r="AR23" s="57" t="inlineStr">
        <is>
          <t>Bank Tracing</t>
        </is>
      </c>
      <c r="AS23" s="157" t="n"/>
      <c r="AT23" s="157" t="n"/>
      <c r="AU23" s="157" t="n"/>
      <c r="AV23" s="157" t="n"/>
    </row>
    <row r="24" ht="30.05" customFormat="1" customHeight="1" s="59">
      <c r="A24" s="58" t="n"/>
      <c r="C24" s="60" t="inlineStr">
        <is>
          <t>Selection Number</t>
        </is>
      </c>
      <c r="D24" s="60" t="inlineStr">
        <is>
          <t>Operating Expense is Recorded in the Correct Period?</t>
        </is>
      </c>
      <c r="E24" s="60" t="inlineStr">
        <is>
          <t>Operating Expense is Appropriately Classified?</t>
        </is>
      </c>
      <c r="F24" s="60" t="inlineStr">
        <is>
          <t>Operating Expense Occurred?</t>
        </is>
      </c>
      <c r="G24" s="60" t="inlineStr">
        <is>
          <t>Operating Expense is Recorded at the Correct Amount?</t>
        </is>
      </c>
      <c r="H24" s="61" t="inlineStr">
        <is>
          <t>TM</t>
        </is>
      </c>
      <c r="I24" s="62" t="inlineStr">
        <is>
          <t>General Ledger Account</t>
        </is>
      </c>
      <c r="J24" s="62" t="inlineStr">
        <is>
          <t>Invoice Number</t>
        </is>
      </c>
      <c r="K24" s="62" t="inlineStr">
        <is>
          <t>Vendor</t>
        </is>
      </c>
      <c r="L24" s="62" t="inlineStr">
        <is>
          <t>Po number</t>
        </is>
      </c>
      <c r="M24" s="62" t="inlineStr">
        <is>
          <t>Invoice date</t>
        </is>
      </c>
      <c r="N24" s="62" t="inlineStr">
        <is>
          <t>Posting Date</t>
        </is>
      </c>
      <c r="O24" s="62" t="inlineStr">
        <is>
          <t>Journal Entry Description</t>
        </is>
      </c>
      <c r="P24" s="62" t="inlineStr">
        <is>
          <t>Amount</t>
        </is>
      </c>
      <c r="Q24" s="63" t="inlineStr">
        <is>
          <t>Remarks</t>
        </is>
      </c>
      <c r="R24" s="2" t="n"/>
      <c r="S24" s="62" t="inlineStr">
        <is>
          <t>Invoice Number</t>
        </is>
      </c>
      <c r="T24" s="62" t="inlineStr">
        <is>
          <t>Invoice Date</t>
        </is>
      </c>
      <c r="U24" s="62" t="inlineStr">
        <is>
          <t>Supplier/Third Party</t>
        </is>
      </c>
      <c r="V24" s="62" t="inlineStr">
        <is>
          <t>Invoice Description</t>
        </is>
      </c>
      <c r="W24" s="60" t="inlineStr">
        <is>
          <t>Invoice Amount (Excl. Value-Added Taxes (GST))</t>
        </is>
      </c>
      <c r="X24" s="60" t="inlineStr">
        <is>
          <t>Amt inc tax</t>
        </is>
      </c>
      <c r="Y24" s="60" t="inlineStr">
        <is>
          <t>Amount applied on exp</t>
        </is>
      </c>
      <c r="Z24" s="60" t="inlineStr">
        <is>
          <t>Difference</t>
        </is>
      </c>
      <c r="AA24" s="60" t="inlineStr">
        <is>
          <t>TM</t>
        </is>
      </c>
      <c r="AB24" s="64" t="inlineStr">
        <is>
          <t>Foreign Currency (FC)</t>
        </is>
      </c>
      <c r="AC24" s="65" t="inlineStr">
        <is>
          <t>FX Rate</t>
        </is>
      </c>
      <c r="AD24" s="66" t="inlineStr">
        <is>
          <t>Amount
in Reporting Currency</t>
        </is>
      </c>
      <c r="AE24" s="66" t="inlineStr">
        <is>
          <t>Difference
(After Translation)</t>
        </is>
      </c>
      <c r="AF24" s="67" t="n"/>
      <c r="AG24" s="62" t="inlineStr">
        <is>
          <t>Date</t>
        </is>
      </c>
      <c r="AH24" s="62" t="inlineStr">
        <is>
          <t>PO No.</t>
        </is>
      </c>
      <c r="AI24" s="62" t="inlineStr">
        <is>
          <t>Description</t>
        </is>
      </c>
      <c r="AJ24" s="62" t="inlineStr">
        <is>
          <t>Amount</t>
        </is>
      </c>
      <c r="AK24" s="62" t="inlineStr">
        <is>
          <t xml:space="preserve">Inv. within PO </t>
        </is>
      </c>
      <c r="AL24" s="62" t="inlineStr">
        <is>
          <t>Remarks</t>
        </is>
      </c>
      <c r="AM24" s="68" t="n"/>
      <c r="AN24" s="62" t="inlineStr">
        <is>
          <t>Cost Center</t>
        </is>
      </c>
      <c r="AO24" s="62" t="inlineStr">
        <is>
          <t>Business</t>
        </is>
      </c>
      <c r="AP24" s="62" t="inlineStr">
        <is>
          <t>Whether the classification is correct or not ?</t>
        </is>
      </c>
      <c r="AR24" s="69" t="inlineStr">
        <is>
          <t>Date</t>
        </is>
      </c>
      <c r="AS24" s="69" t="inlineStr">
        <is>
          <t>Transaction No</t>
        </is>
      </c>
      <c r="AT24" s="69" t="inlineStr">
        <is>
          <t>Bank account Number</t>
        </is>
      </c>
      <c r="AU24" s="69" t="inlineStr">
        <is>
          <t>Bank Name</t>
        </is>
      </c>
      <c r="AV24" s="69" t="inlineStr">
        <is>
          <t>Amount</t>
        </is>
      </c>
      <c r="AW24" s="70" t="n"/>
      <c r="AX24" s="70" t="n"/>
      <c r="AY24" s="70" t="n"/>
      <c r="AZ24" s="70" t="n"/>
      <c r="BA24" s="70" t="n"/>
      <c r="BB24" s="70" t="n"/>
      <c r="BC24" s="70" t="n"/>
      <c r="BD24" s="70" t="n"/>
      <c r="BE24" s="70" t="n"/>
      <c r="BF24" s="70" t="n"/>
      <c r="BG24" s="70" t="n"/>
    </row>
    <row r="25" ht="16.9" customHeight="1">
      <c r="A25" s="1" t="n"/>
      <c r="D25" s="71">
        <f>$F$18</f>
        <v/>
      </c>
      <c r="E25" s="71">
        <f>$F$19</f>
        <v/>
      </c>
      <c r="F25" s="71">
        <f>$F$17</f>
        <v/>
      </c>
      <c r="G25" s="71">
        <f>$F$17</f>
        <v/>
      </c>
      <c r="I25" s="72">
        <f>$F$16</f>
        <v/>
      </c>
      <c r="J25" s="72" t="n"/>
      <c r="K25" s="72" t="n"/>
      <c r="L25" s="72" t="n"/>
      <c r="M25" s="72" t="n"/>
      <c r="N25" s="72" t="n"/>
      <c r="O25" s="72" t="n"/>
      <c r="P25" s="72" t="n"/>
      <c r="Q25" s="71" t="n"/>
      <c r="S25" s="72">
        <f>$F$17</f>
        <v/>
      </c>
      <c r="T25" s="73" t="n"/>
      <c r="U25" s="72" t="n"/>
      <c r="V25" s="72" t="n"/>
      <c r="W25" s="72" t="n"/>
      <c r="X25" s="72" t="n"/>
      <c r="Y25" s="72" t="n"/>
      <c r="Z25" s="72" t="n"/>
      <c r="AA25" s="72" t="n"/>
      <c r="AB25" s="71" t="n"/>
      <c r="AC25" s="74" t="n"/>
      <c r="AD25" s="75" t="n"/>
      <c r="AE25" s="75" t="n"/>
      <c r="AF25" s="9" t="n"/>
      <c r="AG25" s="72">
        <f>$F$17</f>
        <v/>
      </c>
      <c r="AH25" s="73" t="n"/>
      <c r="AI25" s="72" t="n"/>
      <c r="AJ25" s="72" t="n"/>
      <c r="AK25" s="72" t="n"/>
      <c r="AL25" s="72" t="n"/>
      <c r="AM25" s="71" t="n"/>
      <c r="AN25" s="76" t="n"/>
      <c r="AO25" s="153" t="n"/>
      <c r="AP25" s="158" t="n"/>
      <c r="AR25" s="77" t="n"/>
      <c r="AS25" s="78" t="n"/>
      <c r="AT25" s="78" t="n"/>
      <c r="AU25" s="78" t="n"/>
      <c r="AV25" s="78" t="n"/>
    </row>
    <row r="26" ht="30.05" customFormat="1" customHeight="1" s="59">
      <c r="A26" s="58" t="n"/>
      <c r="C26" s="79" t="n"/>
      <c r="D26" s="80" t="n"/>
      <c r="E26" s="80" t="n"/>
      <c r="F26" s="80" t="n"/>
      <c r="G26" s="80" t="n"/>
      <c r="H26" s="81" t="n"/>
      <c r="I26" s="82" t="inlineStr">
        <is>
          <t>Power &amp; Fuel</t>
        </is>
      </c>
      <c r="J26" s="83" t="n">
        <v>7000494201</v>
      </c>
      <c r="K26" s="84" t="inlineStr">
        <is>
          <t>INDIAN OIL CORPORATION LIMITED A37375</t>
        </is>
      </c>
      <c r="L26" s="85" t="n">
        <v>100064587</v>
      </c>
      <c r="M26" s="86" t="n">
        <v>45995</v>
      </c>
      <c r="N26" s="86" t="n">
        <v>46014</v>
      </c>
      <c r="O26" s="87" t="inlineStr">
        <is>
          <t>Inv Num - 7000494201 , Supplier Name - INDIAN OIL CORPORATION LIMITED A37375 , PO Num - 100064587 , Inv Dist Desc - Open PO towards Supply of HSD from Jan 2025 to Dec 2025 for JFWTC campus, Bangalore. Billing to be done on actual Supplied Q</t>
        </is>
      </c>
      <c r="P26" s="101" t="n">
        <v>1274111</v>
      </c>
      <c r="Q26" s="102" t="n"/>
      <c r="R26" s="90" t="n"/>
      <c r="S26" s="83" t="n">
        <v>7000494201</v>
      </c>
      <c r="T26" s="86" t="n">
        <v>45995</v>
      </c>
      <c r="U26" s="91" t="inlineStr">
        <is>
          <t>INDIAN OIL CORPORATION LIMITED</t>
        </is>
      </c>
      <c r="V26" s="85" t="inlineStr">
        <is>
          <t>Supply of HSD (BS-VI)</t>
        </is>
      </c>
      <c r="W26" s="101" t="n">
        <v>1051507.24</v>
      </c>
      <c r="X26" s="101" t="n">
        <v>1274111.32</v>
      </c>
      <c r="Y26" s="101">
        <f>X26</f>
        <v/>
      </c>
      <c r="Z26" s="92">
        <f>P26-Y26</f>
        <v/>
      </c>
      <c r="AA26" s="93" t="n"/>
      <c r="AB26" s="94" t="n"/>
      <c r="AC26" s="95" t="n"/>
      <c r="AD26" s="95" t="n"/>
      <c r="AE26" s="159" t="n"/>
      <c r="AF26" s="67" t="n"/>
      <c r="AG26" s="86" t="n">
        <v>45637</v>
      </c>
      <c r="AH26" s="85" t="n">
        <v>100064587</v>
      </c>
      <c r="AI26" s="97" t="inlineStr">
        <is>
          <t>Open PO towards Supply of HSD from Jan 2025 to Dec 2025 for JFWTC campus, Bangalore. Billing to be done on actual Supplied Quantity.</t>
        </is>
      </c>
      <c r="AJ26" s="101" t="n">
        <v>5000000</v>
      </c>
      <c r="AK26" s="85" t="b">
        <v>1</v>
      </c>
      <c r="AL26" s="98">
        <f>"ET has verified from invoices &amp; open PO that this expense is related to "&amp;I26&amp;" expense"&amp;" from "&amp;K26</f>
        <v/>
      </c>
      <c r="AM26" s="99" t="n"/>
      <c r="AN26" s="85" t="inlineStr">
        <is>
          <t>GC7689</t>
        </is>
      </c>
      <c r="AO26" s="100" t="inlineStr">
        <is>
          <t>Infra</t>
        </is>
      </c>
      <c r="AP26" s="98" t="inlineStr">
        <is>
          <t>Yes, the classificaiton is appropriate</t>
        </is>
      </c>
      <c r="AR26" s="86" t="n">
        <v>45965</v>
      </c>
      <c r="AS26" s="85" t="inlineStr">
        <is>
          <t>HSBCN52025110490187143</t>
        </is>
      </c>
      <c r="AT26" s="85" t="inlineStr">
        <is>
          <t>071096713001</t>
        </is>
      </c>
      <c r="AU26" s="85" t="inlineStr">
        <is>
          <t>HSBC BANK (MUMBAI)</t>
        </is>
      </c>
      <c r="AV26" s="101" t="n">
        <v>2997000</v>
      </c>
      <c r="AW26" s="70" t="n"/>
      <c r="AX26" s="70" t="n"/>
      <c r="AY26" s="70" t="n"/>
      <c r="AZ26" s="70" t="n"/>
      <c r="BA26" s="70" t="n"/>
      <c r="BB26" s="70" t="n"/>
      <c r="BC26" s="70" t="n"/>
      <c r="BD26" s="70" t="n"/>
      <c r="BE26" s="70" t="n"/>
      <c r="BF26" s="70" t="n"/>
      <c r="BG26" s="70" t="n"/>
    </row>
    <row r="27" ht="30.05" customFormat="1" customHeight="1" s="59">
      <c r="A27" s="58" t="n"/>
      <c r="C27" s="79" t="n"/>
      <c r="D27" s="80" t="n"/>
      <c r="E27" s="80" t="n"/>
      <c r="F27" s="80" t="n"/>
      <c r="G27" s="80" t="n"/>
      <c r="H27" s="81" t="n"/>
      <c r="I27" s="82" t="inlineStr">
        <is>
          <t>Power &amp; Fuel</t>
        </is>
      </c>
      <c r="J27" s="85" t="n">
        <v>1021803865</v>
      </c>
      <c r="K27" s="84" t="inlineStr">
        <is>
          <t>BHARAT PETROLEUM CORPORATION LTD A37794</t>
        </is>
      </c>
      <c r="L27" s="85" t="n">
        <v>100064582</v>
      </c>
      <c r="M27" s="86" t="n">
        <v>45979</v>
      </c>
      <c r="N27" s="86" t="n">
        <v>46006</v>
      </c>
      <c r="O27" s="97" t="inlineStr">
        <is>
          <t>Inv Num - 1021803865 , Supplier Name - BHARAT PETROLEUM CORPORATION LTD A37794 , PO Num - 100064582 , Inv Dist Desc - Open PO towards Supply of HSD from Jan 2025 to Dec 2025 for JFWTC campus, Bangalore. Billing to be done on actual Supplied</t>
        </is>
      </c>
      <c r="P27" s="101" t="n">
        <v>1051506</v>
      </c>
      <c r="Q27" s="102" t="n"/>
      <c r="R27" s="90" t="n"/>
      <c r="S27" s="83" t="n">
        <v>1021803865</v>
      </c>
      <c r="T27" s="86" t="n">
        <v>45979</v>
      </c>
      <c r="U27" s="91" t="inlineStr">
        <is>
          <t>BHARAT PETROLEUM CORPORATION LTD</t>
        </is>
      </c>
      <c r="V27" s="91" t="inlineStr">
        <is>
          <t xml:space="preserve">Supply of HSD (BS-VI) </t>
        </is>
      </c>
      <c r="W27" s="101" t="n">
        <v>1051506</v>
      </c>
      <c r="X27" s="101" t="n">
        <v>1051506</v>
      </c>
      <c r="Y27" s="101">
        <f>X27</f>
        <v/>
      </c>
      <c r="Z27" s="92">
        <f>P27-Y27</f>
        <v/>
      </c>
      <c r="AA27" s="93" t="n"/>
      <c r="AB27" s="94" t="n"/>
      <c r="AC27" s="95" t="n"/>
      <c r="AD27" s="95" t="n"/>
      <c r="AE27" s="159" t="n"/>
      <c r="AF27" s="67" t="n"/>
      <c r="AG27" s="86" t="n">
        <v>45637</v>
      </c>
      <c r="AH27" s="85" t="n">
        <v>100064582</v>
      </c>
      <c r="AI27" s="97" t="inlineStr">
        <is>
          <t>Open PO towards Supply of HSD from Jan 2025 to Dec 2025 for JFWTC campus, Bangalore. Billing to be done on actual Supplied Quantity.</t>
        </is>
      </c>
      <c r="AJ27" s="101" t="n">
        <v>10000000</v>
      </c>
      <c r="AK27" s="85" t="b">
        <v>1</v>
      </c>
      <c r="AL27" s="98">
        <f>"ET has verified from invoices &amp; open PO that this expense is related to "&amp;I27&amp;" expense"&amp;" from "&amp;K27</f>
        <v/>
      </c>
      <c r="AM27" s="99" t="n"/>
      <c r="AN27" s="85" t="inlineStr">
        <is>
          <t>GC7679</t>
        </is>
      </c>
      <c r="AO27" s="100" t="inlineStr">
        <is>
          <t>Infra</t>
        </is>
      </c>
      <c r="AP27" s="98" t="inlineStr">
        <is>
          <t>Yes, the classificaiton is appropriate</t>
        </is>
      </c>
      <c r="AR27" s="86" t="n">
        <v>45975</v>
      </c>
      <c r="AS27" s="91" t="inlineStr">
        <is>
          <t>HSBCN52025111493126915</t>
        </is>
      </c>
      <c r="AT27" s="85" t="inlineStr">
        <is>
          <t>071096713001</t>
        </is>
      </c>
      <c r="AU27" s="85" t="inlineStr">
        <is>
          <t>HSBC BANK (MUMBAI)</t>
        </is>
      </c>
      <c r="AV27" s="101" t="n">
        <v>2997000</v>
      </c>
      <c r="AW27" s="70" t="n"/>
      <c r="AX27" s="70" t="n"/>
      <c r="AY27" s="70" t="n"/>
      <c r="AZ27" s="70" t="n"/>
      <c r="BA27" s="70" t="n"/>
      <c r="BB27" s="70" t="n"/>
      <c r="BC27" s="70" t="n"/>
      <c r="BD27" s="70" t="n"/>
      <c r="BE27" s="70" t="n"/>
      <c r="BF27" s="70" t="n"/>
      <c r="BG27" s="70" t="n"/>
    </row>
    <row r="28" ht="30.05" customFormat="1" customHeight="1" s="59">
      <c r="A28" s="58" t="n"/>
      <c r="C28" s="79" t="n"/>
      <c r="D28" s="80" t="n"/>
      <c r="E28" s="80" t="n"/>
      <c r="F28" s="80" t="n"/>
      <c r="G28" s="80" t="n"/>
      <c r="H28" s="81" t="n"/>
      <c r="I28" s="82" t="inlineStr">
        <is>
          <t>Power &amp; Fuel</t>
        </is>
      </c>
      <c r="J28" s="85" t="inlineStr">
        <is>
          <t>TX2925001805</t>
        </is>
      </c>
      <c r="K28" s="84" t="inlineStr">
        <is>
          <t>STT GLOBAL DATA CENTERS INDIA PRIVATE LIMITED A39060</t>
        </is>
      </c>
      <c r="L28" s="85" t="n">
        <v>100064933</v>
      </c>
      <c r="M28" s="86" t="n">
        <v>45903</v>
      </c>
      <c r="N28" s="86" t="n">
        <v>45952</v>
      </c>
      <c r="O28" s="97" t="inlineStr">
        <is>
          <t>Inv Num - TX2925001805 , Supplier Name - STT GLOBAL DATA CENTERS INDIA PRIVATE LIMITED A39060 , PO Num - 100064933 , Inv Dist Desc - Charges towards BEC HPC Datacenter Annual Rental Charges for 146 DC Rackspace, 5 Workspaces and a Storage A</t>
        </is>
      </c>
      <c r="P28" s="101" t="n">
        <v>11218727.06</v>
      </c>
      <c r="Q28" s="102" t="n"/>
      <c r="R28" s="90" t="n"/>
      <c r="S28" s="83" t="inlineStr">
        <is>
          <t>TX2925001805</t>
        </is>
      </c>
      <c r="T28" s="86" t="n">
        <v>45903</v>
      </c>
      <c r="U28" s="91" t="inlineStr">
        <is>
          <t>STT GLOBAL DATA CENTERS INDIA PRIVATE LIMITED</t>
        </is>
      </c>
      <c r="V28" s="91" t="inlineStr">
        <is>
          <t>DC Rackspace (146 racks), 5 Workspaces, Storage Area - BEC HPC Datacenter, Bangalore DC3 (Oct-Dec 2025 quarter)</t>
        </is>
      </c>
      <c r="W28" s="101" t="n">
        <v>11253696.6</v>
      </c>
      <c r="X28" s="101" t="n">
        <v>13279361.98</v>
      </c>
      <c r="Y28" s="101">
        <f>W28</f>
        <v/>
      </c>
      <c r="Z28" s="92">
        <f>P28-Y28</f>
        <v/>
      </c>
      <c r="AA28" s="95" t="n"/>
      <c r="AB28" s="94" t="n"/>
      <c r="AC28" s="95" t="n"/>
      <c r="AD28" s="160" t="n"/>
      <c r="AE28" s="159" t="n"/>
      <c r="AF28" s="67" t="n"/>
      <c r="AG28" s="86" t="n">
        <v>45671</v>
      </c>
      <c r="AH28" s="85" t="n">
        <v>100064933</v>
      </c>
      <c r="AI28" s="97" t="inlineStr">
        <is>
          <t>Charges towards BEC HPC Datacenter Annual Rental Charges for 146 DC Rackspace, 5 Workspaces and a Storage Area from January to December 2025. Payment done at actuals.</t>
        </is>
      </c>
      <c r="AJ28" s="101" t="n">
        <v>53821083</v>
      </c>
      <c r="AK28" s="85" t="b">
        <v>1</v>
      </c>
      <c r="AL28" s="98">
        <f>"ET has verified from invoices &amp; open PO that this expense is related to "&amp;I28&amp;" expense"&amp;" from "&amp;K28</f>
        <v/>
      </c>
      <c r="AM28" s="99" t="n"/>
      <c r="AN28" s="85" t="inlineStr">
        <is>
          <t>GCC02J</t>
        </is>
      </c>
      <c r="AO28" s="100" t="inlineStr">
        <is>
          <t>GRC</t>
        </is>
      </c>
      <c r="AP28" s="98" t="inlineStr">
        <is>
          <t>Yes, the classificaiton is appropriate</t>
        </is>
      </c>
      <c r="AR28" s="86" t="n">
        <v>45964</v>
      </c>
      <c r="AS28" s="104" t="inlineStr">
        <is>
          <t>HSBCN52025110389881257</t>
        </is>
      </c>
      <c r="AT28" s="85" t="inlineStr">
        <is>
          <t>071096713001</t>
        </is>
      </c>
      <c r="AU28" s="85" t="inlineStr">
        <is>
          <t>HSBC BANK (MUMBAI)</t>
        </is>
      </c>
      <c r="AV28" s="101" t="n">
        <v>16850273.98</v>
      </c>
      <c r="AW28" s="70" t="n"/>
      <c r="AX28" s="70" t="n"/>
      <c r="AY28" s="70" t="n"/>
      <c r="AZ28" s="70" t="n"/>
      <c r="BA28" s="70" t="n"/>
      <c r="BB28" s="70" t="n"/>
      <c r="BC28" s="70" t="n"/>
      <c r="BD28" s="70" t="n"/>
      <c r="BE28" s="70" t="n"/>
      <c r="BF28" s="70" t="n"/>
      <c r="BG28" s="70" t="n"/>
    </row>
    <row r="29" ht="30.05" customFormat="1" customHeight="1" s="59">
      <c r="A29" s="58" t="n"/>
      <c r="C29" s="79" t="n"/>
      <c r="D29" s="80" t="n"/>
      <c r="E29" s="80" t="n"/>
      <c r="F29" s="80" t="n"/>
      <c r="G29" s="80" t="n"/>
      <c r="H29" s="81" t="n"/>
      <c r="I29" s="82" t="inlineStr">
        <is>
          <t>Power &amp; Fuel</t>
        </is>
      </c>
      <c r="J29" s="85" t="inlineStr">
        <is>
          <t>BS716292500065</t>
        </is>
      </c>
      <c r="K29" s="84" t="inlineStr">
        <is>
          <t>AMPLUS KN SOLAR PRIVATE LIMITED A37782</t>
        </is>
      </c>
      <c r="L29" s="85" t="n">
        <v>100065551</v>
      </c>
      <c r="M29" s="86" t="n">
        <v>45790</v>
      </c>
      <c r="N29" s="86" t="n">
        <v>45810</v>
      </c>
      <c r="O29" s="97" t="inlineStr">
        <is>
          <t>Inv Num - BS716292500065 , Supplier Name - AMPLUS KN SOLAR PRIVATE LIMITED A37782 , PO Num - , Inv Dist Desc - Open PO for Solar Power Procurement for the period March 2025 to Feb 2026 at JFWTC Campus, Bangalore. Billing to be done at actua</t>
        </is>
      </c>
      <c r="P29" s="101" t="n">
        <v>9971500</v>
      </c>
      <c r="Q29" s="102" t="n"/>
      <c r="R29" s="90" t="n"/>
      <c r="S29" s="85" t="inlineStr">
        <is>
          <t>BS716292500065</t>
        </is>
      </c>
      <c r="T29" s="86" t="n">
        <v>45790</v>
      </c>
      <c r="U29" s="91" t="inlineStr">
        <is>
          <t xml:space="preserve">AMPLUS KN SOLAR PRIVATE LIMITED </t>
        </is>
      </c>
      <c r="V29" s="91" t="inlineStr">
        <is>
          <t>Solar Energy Supply (Bill of Supply) - 1,850,000 kWh @ Rs. 5.39/kWh; Billing period Apr 2025</t>
        </is>
      </c>
      <c r="W29" s="101" t="n">
        <v>9971500</v>
      </c>
      <c r="X29" s="101" t="n">
        <v>9971500</v>
      </c>
      <c r="Y29" s="101">
        <f>W29</f>
        <v/>
      </c>
      <c r="Z29" s="92">
        <f>P29-Y29</f>
        <v/>
      </c>
      <c r="AA29" s="95" t="n"/>
      <c r="AB29" s="94" t="n"/>
      <c r="AC29" s="95" t="n"/>
      <c r="AD29" s="160" t="n"/>
      <c r="AE29" s="159" t="n"/>
      <c r="AF29" s="67" t="n"/>
      <c r="AG29" s="86" t="n">
        <v>45715</v>
      </c>
      <c r="AH29" s="85" t="n">
        <v>100065551</v>
      </c>
      <c r="AI29" s="105" t="inlineStr">
        <is>
          <t>Open PO for Solar Power Procurement for the period March 2025 to Feb 2026 at JFWTC Campus, Bangalore. Billing to be done at actuals. [Tariff: INR 5.39/kWh]</t>
        </is>
      </c>
      <c r="AJ29" s="101" t="n">
        <v>140000000</v>
      </c>
      <c r="AK29" s="85" t="b">
        <v>1</v>
      </c>
      <c r="AL29" s="98">
        <f>"ET has verified from invoices &amp; open PO that this expense is related to "&amp;I29&amp;" expense"&amp;" from "&amp;K29</f>
        <v/>
      </c>
      <c r="AM29" s="99" t="n"/>
      <c r="AN29" s="85" t="inlineStr">
        <is>
          <t>GC7689</t>
        </is>
      </c>
      <c r="AO29" s="100" t="inlineStr">
        <is>
          <t>Infra</t>
        </is>
      </c>
      <c r="AP29" s="98" t="inlineStr">
        <is>
          <t>Yes, the classificaiton is appropriate</t>
        </is>
      </c>
      <c r="AR29" s="86" t="n">
        <v>45816</v>
      </c>
      <c r="AS29" s="85" t="inlineStr">
        <is>
          <t>LP BOM50GZEP</t>
        </is>
      </c>
      <c r="AT29" s="85" t="inlineStr">
        <is>
          <t>071096713001</t>
        </is>
      </c>
      <c r="AU29" s="85" t="inlineStr">
        <is>
          <t>HSBC BANK (MUMBAI)</t>
        </is>
      </c>
      <c r="AV29" s="101" t="n">
        <v>9961528.5</v>
      </c>
      <c r="AW29" s="70" t="n"/>
      <c r="AX29" s="70" t="n"/>
      <c r="AY29" s="70" t="n"/>
      <c r="AZ29" s="70" t="n"/>
      <c r="BA29" s="70" t="n"/>
      <c r="BB29" s="70" t="n"/>
      <c r="BC29" s="70" t="n"/>
      <c r="BD29" s="70" t="n"/>
      <c r="BE29" s="70" t="n"/>
      <c r="BF29" s="70" t="n"/>
      <c r="BG29" s="70" t="n"/>
    </row>
    <row r="30" ht="30.05" customFormat="1" customHeight="1" s="59">
      <c r="A30" s="58" t="n"/>
      <c r="C30" s="79" t="n"/>
      <c r="D30" s="80" t="n"/>
      <c r="E30" s="80" t="n"/>
      <c r="F30" s="80" t="n"/>
      <c r="G30" s="80" t="n"/>
      <c r="H30" s="81" t="n"/>
      <c r="I30" s="82" t="inlineStr">
        <is>
          <t>Power &amp; Fuel</t>
        </is>
      </c>
      <c r="J30" s="83" t="n">
        <v>325342294482</v>
      </c>
      <c r="K30" s="84" t="inlineStr">
        <is>
          <t>BESCOM LTD A37440</t>
        </is>
      </c>
      <c r="L30" s="85" t="n">
        <v>100064557</v>
      </c>
      <c r="M30" s="86" t="n">
        <v>45809</v>
      </c>
      <c r="N30" s="86" t="n">
        <v>45824</v>
      </c>
      <c r="O30" s="97" t="inlineStr">
        <is>
          <t>Inv Num - 325342294482 , Supplier Name - BESCOM LTD A37440 , PO Num - 100064557 , Inv Dist Desc - Open PO for Power Procurement through BESCOM for the year 2025 at JFWTC Campus, Bangalore. Billing to be done at actuals.</t>
        </is>
      </c>
      <c r="P30" s="101" t="n">
        <v>5972550</v>
      </c>
      <c r="Q30" s="102" t="n"/>
      <c r="R30" s="90" t="n"/>
      <c r="S30" s="85" t="n">
        <v>325342294482</v>
      </c>
      <c r="T30" s="86" t="n">
        <v>45809</v>
      </c>
      <c r="U30" s="91" t="inlineStr">
        <is>
          <t>BESCOM LTD</t>
        </is>
      </c>
      <c r="V30" s="91" t="inlineStr">
        <is>
          <t>Power Procurement - BESCOM; Billing period 01-May-2025 to 01-Jun-2025; 368,240 kWh net consumption @ Rs. 6.60/kWh + demand charges.</t>
        </is>
      </c>
      <c r="W30" s="101" t="n">
        <v>5972550</v>
      </c>
      <c r="X30" s="101" t="n">
        <v>5972550</v>
      </c>
      <c r="Y30" s="101">
        <f>W30</f>
        <v/>
      </c>
      <c r="Z30" s="92">
        <f>P30-Y30</f>
        <v/>
      </c>
      <c r="AA30" s="95" t="n"/>
      <c r="AB30" s="94" t="n"/>
      <c r="AC30" s="95" t="n"/>
      <c r="AD30" s="160" t="n"/>
      <c r="AE30" s="159" t="n"/>
      <c r="AF30" s="67" t="n"/>
      <c r="AG30" s="86" t="n">
        <v>45636</v>
      </c>
      <c r="AH30" s="85" t="n">
        <v>100064557</v>
      </c>
      <c r="AI30" s="105" t="inlineStr">
        <is>
          <t>Open PO for Power Procurement through BESCOM for the year 2025 at JFWTC Campus, Bangalore. Billing to be done at actuals.</t>
        </is>
      </c>
      <c r="AJ30" s="101" t="n">
        <v>67000000</v>
      </c>
      <c r="AK30" s="86" t="b">
        <v>1</v>
      </c>
      <c r="AL30" s="98">
        <f>"ET has verified from invoices &amp; open PO that this expense is related to "&amp;I30&amp;" expense"&amp;" from "&amp;K30</f>
        <v/>
      </c>
      <c r="AM30" s="99" t="n"/>
      <c r="AN30" s="85" t="inlineStr">
        <is>
          <t>GC7689</t>
        </is>
      </c>
      <c r="AO30" s="100" t="inlineStr">
        <is>
          <t>Infra</t>
        </is>
      </c>
      <c r="AP30" s="98" t="inlineStr">
        <is>
          <t>Yes, the classificaiton is appropriate</t>
        </is>
      </c>
      <c r="AR30" s="86" t="n">
        <v>45824</v>
      </c>
      <c r="AS30" s="85" t="inlineStr">
        <is>
          <t>LP BOM50HV7E</t>
        </is>
      </c>
      <c r="AT30" s="85" t="inlineStr">
        <is>
          <t>071096713001</t>
        </is>
      </c>
      <c r="AU30" s="85" t="inlineStr">
        <is>
          <t>HSBC BANK (MUMBAI)</t>
        </is>
      </c>
      <c r="AV30" s="101" t="n">
        <v>5972550</v>
      </c>
      <c r="AW30" s="70" t="n"/>
      <c r="AX30" s="70" t="n"/>
      <c r="AY30" s="70" t="n"/>
      <c r="AZ30" s="70" t="n"/>
      <c r="BA30" s="70" t="n"/>
      <c r="BB30" s="70" t="n"/>
      <c r="BC30" s="70" t="n"/>
      <c r="BD30" s="70" t="n"/>
      <c r="BE30" s="70" t="n"/>
      <c r="BF30" s="70" t="n"/>
      <c r="BG30" s="70" t="n"/>
    </row>
    <row r="31" ht="30.05" customFormat="1" customHeight="1" s="59">
      <c r="A31" s="58" t="n"/>
      <c r="C31" s="79" t="n"/>
      <c r="D31" s="80" t="n"/>
      <c r="E31" s="80" t="n"/>
      <c r="F31" s="80" t="n"/>
      <c r="G31" s="80" t="n"/>
      <c r="H31" s="81" t="n"/>
      <c r="I31" s="82" t="inlineStr">
        <is>
          <t>Communication</t>
        </is>
      </c>
      <c r="J31" s="83" t="inlineStr">
        <is>
          <t>292505G10012201</t>
        </is>
      </c>
      <c r="K31" s="84" t="inlineStr">
        <is>
          <t>TATA COMMUNICATIONS LTD</t>
        </is>
      </c>
      <c r="L31" s="85" t="n">
        <v>100065077</v>
      </c>
      <c r="M31" s="86" t="n">
        <v>45779</v>
      </c>
      <c r="N31" s="86" t="n">
        <v>45846</v>
      </c>
      <c r="O31" s="84" t="inlineStr">
        <is>
          <t>Inv Num - 292505G10012201 , Supplier Name - TATA COMMUNICATIONS LTD , PO Num - 100065077 , Inv Dist Desc - Charges towards TCL P2P circuit ID 091BENG1143037011330 b/w JFWTC to STT for 3Gbps, Period from Feb 2025 till 31st December 2025</t>
        </is>
      </c>
      <c r="P31" s="101" t="n">
        <v>191000</v>
      </c>
      <c r="Q31" s="102" t="n"/>
      <c r="R31" s="90" t="n"/>
      <c r="S31" s="85" t="inlineStr">
        <is>
          <t>292505G10012201</t>
        </is>
      </c>
      <c r="T31" s="86" t="n">
        <v>45779</v>
      </c>
      <c r="U31" s="91" t="inlineStr">
        <is>
          <t>TATA COMMUNICATIONS LTD</t>
        </is>
      </c>
      <c r="V31" s="85" t="inlineStr">
        <is>
          <t>Bandwidth Charges - TCL P2P circuit 091BENG1143037011330, 3Gbps, JFWTC to STT; billing period Jun-2025;</t>
        </is>
      </c>
      <c r="W31" s="101" t="n">
        <v>191000</v>
      </c>
      <c r="X31" s="101" t="n">
        <v>225380</v>
      </c>
      <c r="Y31" s="101">
        <f>W31</f>
        <v/>
      </c>
      <c r="Z31" s="92">
        <f>P31-Y31</f>
        <v/>
      </c>
      <c r="AA31" s="95" t="n"/>
      <c r="AB31" s="94" t="n"/>
      <c r="AC31" s="95" t="n"/>
      <c r="AD31" s="160" t="n"/>
      <c r="AE31" s="159" t="n"/>
      <c r="AF31" s="67" t="n"/>
      <c r="AG31" s="86" t="n">
        <v>45681</v>
      </c>
      <c r="AH31" s="85" t="n">
        <v>100065077</v>
      </c>
      <c r="AI31" s="106" t="inlineStr">
        <is>
          <t>Charges towards TCL P2P circuit ID 091BENG1143037011330 b/w JFWTC to STT for 3Gbps, Period from Feb 2025 till 31st December 2025</t>
        </is>
      </c>
      <c r="AJ31" s="101" t="n">
        <v>2110000</v>
      </c>
      <c r="AK31" s="86" t="b">
        <v>1</v>
      </c>
      <c r="AL31" s="98">
        <f>"ET has verified from invoices &amp; open PO that this expense is related to "&amp;I31&amp;" expense"&amp;" from "&amp;K31</f>
        <v/>
      </c>
      <c r="AM31" s="99" t="n"/>
      <c r="AN31" s="85" t="inlineStr">
        <is>
          <t>GC7399</t>
        </is>
      </c>
      <c r="AO31" s="100" t="inlineStr">
        <is>
          <t>Infra</t>
        </is>
      </c>
      <c r="AP31" s="98" t="inlineStr">
        <is>
          <t>Yes, the classificaiton is appropriate</t>
        </is>
      </c>
      <c r="AR31" s="86" t="n">
        <v>45945</v>
      </c>
      <c r="AS31" s="85" t="inlineStr">
        <is>
          <t>HSBCN52025101584492650</t>
        </is>
      </c>
      <c r="AT31" s="85" t="inlineStr">
        <is>
          <t>071096713001</t>
        </is>
      </c>
      <c r="AU31" s="85" t="inlineStr">
        <is>
          <t>HSBC BANK (MUMBAI)</t>
        </is>
      </c>
      <c r="AV31" s="101" t="n">
        <v>1211416.12</v>
      </c>
      <c r="AW31" s="70" t="n"/>
      <c r="AX31" s="70" t="n"/>
      <c r="AY31" s="70" t="n"/>
      <c r="AZ31" s="70" t="n"/>
      <c r="BA31" s="70" t="n"/>
      <c r="BB31" s="70" t="n"/>
      <c r="BC31" s="70" t="n"/>
      <c r="BD31" s="70" t="n"/>
      <c r="BE31" s="70" t="n"/>
      <c r="BF31" s="70" t="n"/>
      <c r="BG31" s="70" t="n"/>
    </row>
    <row r="32" ht="30.05" customFormat="1" customHeight="1" s="59">
      <c r="A32" s="58" t="n"/>
      <c r="C32" s="79" t="n"/>
      <c r="D32" s="80" t="n"/>
      <c r="E32" s="80" t="n"/>
      <c r="F32" s="80" t="n"/>
      <c r="G32" s="80" t="n"/>
      <c r="H32" s="81" t="n"/>
      <c r="I32" s="82" t="inlineStr">
        <is>
          <t>Communication</t>
        </is>
      </c>
      <c r="J32" s="83" t="inlineStr">
        <is>
          <t>BBL292611B054871</t>
        </is>
      </c>
      <c r="K32" s="84" t="inlineStr">
        <is>
          <t>BHARTI AIRTEL LIMITED A38979</t>
        </is>
      </c>
      <c r="L32" s="85" t="n">
        <v>100064734</v>
      </c>
      <c r="M32" s="86" t="n">
        <v>45964</v>
      </c>
      <c r="N32" s="86" t="n">
        <v>45999</v>
      </c>
      <c r="O32" s="97" t="inlineStr">
        <is>
          <t>Inv Num - BBL292611B054871 , Supplier Name - BHARTI AIRTEL LIMITED A38979 , PO Num - 100064734 , Inv Dist Desc - Charges towards Airtel internet circuit with 2Gbps from Jan'25 to Dec'25 - Ckt Id - 9501865.</t>
        </is>
      </c>
      <c r="P32" s="101" t="n">
        <v>316666.66</v>
      </c>
      <c r="Q32" s="102" t="n"/>
      <c r="R32" s="90" t="n"/>
      <c r="S32" s="85" t="inlineStr">
        <is>
          <t>BBL292611B054871</t>
        </is>
      </c>
      <c r="T32" s="86" t="n">
        <v>45964</v>
      </c>
      <c r="U32" s="91" t="inlineStr">
        <is>
          <t>BHARTI AIRTEL LIMITED</t>
        </is>
      </c>
      <c r="V32" s="91" t="inlineStr">
        <is>
          <t>Recurring charges for Airtel Internet circuit 2Gbps, Ckt Id 9501865; billing period 01-Oct-2025 to 31-Oct-2025</t>
        </is>
      </c>
      <c r="W32" s="101" t="n">
        <v>316666.66</v>
      </c>
      <c r="X32" s="101" t="n">
        <v>373666.66</v>
      </c>
      <c r="Y32" s="101">
        <f>W32</f>
        <v/>
      </c>
      <c r="Z32" s="92">
        <f>P32-Y32</f>
        <v/>
      </c>
      <c r="AA32" s="95" t="n"/>
      <c r="AB32" s="94" t="n"/>
      <c r="AC32" s="95" t="n"/>
      <c r="AD32" s="160" t="n"/>
      <c r="AE32" s="159" t="n"/>
      <c r="AF32" s="67" t="n"/>
      <c r="AG32" s="86" t="n">
        <v>45644</v>
      </c>
      <c r="AH32" s="85" t="n">
        <v>100064734</v>
      </c>
      <c r="AI32" s="105" t="inlineStr">
        <is>
          <t>Charges towards Airtel internet circuit with 2Gbps from Jan'25 to Dec'25 - Ckt Id - 9501865. HSN Code: 9984</t>
        </is>
      </c>
      <c r="AJ32" s="101" t="n">
        <v>3799999.92</v>
      </c>
      <c r="AK32" s="86" t="b">
        <v>1</v>
      </c>
      <c r="AL32" s="98">
        <f>"ET has verified from invoices &amp; open PO that this expense is related to "&amp;I32&amp;" expense"&amp;" from "&amp;K32</f>
        <v/>
      </c>
      <c r="AM32" s="99" t="n"/>
      <c r="AN32" s="85" t="inlineStr">
        <is>
          <t>GC7689</t>
        </is>
      </c>
      <c r="AO32" s="100" t="inlineStr">
        <is>
          <t>Infra</t>
        </is>
      </c>
      <c r="AP32" s="98" t="inlineStr">
        <is>
          <t>Yes, the classificaiton is appropriate</t>
        </is>
      </c>
      <c r="AR32" s="86" t="n">
        <v>46055</v>
      </c>
      <c r="AS32" s="85" t="inlineStr">
        <is>
          <t>HSBCN52026020215963348</t>
        </is>
      </c>
      <c r="AT32" s="85" t="inlineStr">
        <is>
          <t>071096713001</t>
        </is>
      </c>
      <c r="AU32" s="85" t="inlineStr">
        <is>
          <t>HSBC BANK (MUMBAI)</t>
        </is>
      </c>
      <c r="AV32" s="101" t="n">
        <v>615504.99</v>
      </c>
      <c r="AW32" s="70" t="n"/>
      <c r="AX32" s="70" t="n"/>
      <c r="AY32" s="70" t="n"/>
      <c r="AZ32" s="70" t="n"/>
      <c r="BA32" s="70" t="n"/>
      <c r="BB32" s="70" t="n"/>
      <c r="BC32" s="70" t="n"/>
      <c r="BD32" s="70" t="n"/>
      <c r="BE32" s="70" t="n"/>
      <c r="BF32" s="70" t="n"/>
      <c r="BG32" s="70" t="n"/>
    </row>
    <row r="33" ht="30.05" customFormat="1" customHeight="1" s="59">
      <c r="A33" s="58" t="n"/>
      <c r="C33" s="79" t="n"/>
      <c r="D33" s="80" t="n"/>
      <c r="E33" s="80" t="n"/>
      <c r="F33" s="80" t="n"/>
      <c r="G33" s="80" t="n"/>
      <c r="H33" s="81" t="n"/>
      <c r="I33" s="107" t="inlineStr">
        <is>
          <t>Repair and Maintenance - Buildings</t>
        </is>
      </c>
      <c r="J33" s="108" t="inlineStr">
        <is>
          <t>FP/25-26/627</t>
        </is>
      </c>
      <c r="K33" s="84" t="inlineStr">
        <is>
          <t>FREEZING POINT A38168</t>
        </is>
      </c>
      <c r="L33" s="85" t="n">
        <v>100069629</v>
      </c>
      <c r="M33" s="86" t="n">
        <v>46018</v>
      </c>
      <c r="N33" s="86" t="n">
        <v>46030</v>
      </c>
      <c r="O33" s="97" t="inlineStr">
        <is>
          <t>Inv Num - FP/25-26/627 , Supplier Name - FREEZING POINT A38168 , PO Num - , Inv Dist Desc - Associated HVAC works pertaining to the modification of the Air Handling Unit (AHU) in Phase 4 at JFWTC. Details as per annexure.</t>
        </is>
      </c>
      <c r="P33" s="101" t="n">
        <v>2742216</v>
      </c>
      <c r="Q33" s="102" t="n"/>
      <c r="R33" s="90" t="n"/>
      <c r="S33" s="108" t="inlineStr">
        <is>
          <t>FP/25-26/627</t>
        </is>
      </c>
      <c r="T33" s="86" t="n">
        <v>46018</v>
      </c>
      <c r="U33" s="91" t="inlineStr">
        <is>
          <t>FREEZING POINT</t>
        </is>
      </c>
      <c r="V33" s="85" t="inlineStr">
        <is>
          <t>HVAC system modification works</t>
        </is>
      </c>
      <c r="W33" s="101" t="n">
        <v>2742216</v>
      </c>
      <c r="X33" s="101" t="n">
        <v>3235814.88</v>
      </c>
      <c r="Y33" s="101">
        <f>W33</f>
        <v/>
      </c>
      <c r="Z33" s="92">
        <f>P33-Y33</f>
        <v/>
      </c>
      <c r="AA33" s="95" t="n"/>
      <c r="AB33" s="94" t="n"/>
      <c r="AC33" s="95" t="n"/>
      <c r="AD33" s="160" t="n"/>
      <c r="AE33" s="159" t="n"/>
      <c r="AF33" s="67" t="n"/>
      <c r="AG33" s="86" t="n">
        <v>45982</v>
      </c>
      <c r="AH33" s="85" t="n">
        <v>100069629</v>
      </c>
      <c r="AI33" s="97" t="inlineStr">
        <is>
          <t>HVAC modification works (AHU system)</t>
        </is>
      </c>
      <c r="AJ33" s="101" t="n">
        <v>3726900</v>
      </c>
      <c r="AK33" s="86" t="b">
        <v>1</v>
      </c>
      <c r="AL33" s="98">
        <f>"ET has verified from invoices &amp; open PO that this expense is related to "&amp;I33&amp;" expense"&amp;" from "&amp;K33</f>
        <v/>
      </c>
      <c r="AM33" s="99" t="n"/>
      <c r="AN33" s="85" t="inlineStr">
        <is>
          <t>GC7399</t>
        </is>
      </c>
      <c r="AO33" s="100" t="inlineStr">
        <is>
          <t>Infra</t>
        </is>
      </c>
      <c r="AP33" s="98" t="inlineStr">
        <is>
          <t>Yes, the classificaiton is appropriate</t>
        </is>
      </c>
      <c r="AR33" s="86" t="n">
        <v>46062</v>
      </c>
      <c r="AS33" s="85" t="inlineStr">
        <is>
          <t>HSBCN52026020918227968</t>
        </is>
      </c>
      <c r="AT33" s="85" t="inlineStr">
        <is>
          <t>071096713001</t>
        </is>
      </c>
      <c r="AU33" s="85" t="inlineStr">
        <is>
          <t>HSBC BANK (MUMBAI)</t>
        </is>
      </c>
      <c r="AV33" s="101" t="n">
        <v>3263236.2</v>
      </c>
      <c r="AW33" s="70" t="n"/>
      <c r="AX33" s="70" t="n"/>
      <c r="AY33" s="70" t="n"/>
      <c r="AZ33" s="70" t="n"/>
      <c r="BA33" s="70" t="n"/>
      <c r="BB33" s="70" t="n"/>
      <c r="BC33" s="70" t="n"/>
      <c r="BD33" s="70" t="n"/>
      <c r="BE33" s="70" t="n"/>
      <c r="BF33" s="70" t="n"/>
      <c r="BG33" s="70" t="n"/>
    </row>
    <row r="34" ht="30.05" customFormat="1" customHeight="1" s="59">
      <c r="C34" s="80" t="n"/>
      <c r="D34" s="80" t="n"/>
      <c r="E34" s="80" t="n"/>
      <c r="F34" s="80" t="n"/>
      <c r="G34" s="80" t="n"/>
      <c r="H34" s="109" t="n"/>
      <c r="I34" s="107" t="inlineStr">
        <is>
          <t>Repair and Maintenance - Buildings</t>
        </is>
      </c>
      <c r="J34" s="108" t="inlineStr">
        <is>
          <t>1130/2526GE</t>
        </is>
      </c>
      <c r="K34" s="84" t="inlineStr">
        <is>
          <t>KASETTY TECH SOLUTIONS LLP A37575</t>
        </is>
      </c>
      <c r="L34" s="85" t="n">
        <v>100063562</v>
      </c>
      <c r="M34" s="86" t="n">
        <v>45866</v>
      </c>
      <c r="N34" s="86" t="n">
        <v>45887</v>
      </c>
      <c r="O34" s="97" t="inlineStr">
        <is>
          <t>Inv Num - 1130/2526GE , Supplier Name - KASETTY TECH SOLUTIONS LLP A37575 , PO Num - 100063562 , Inv Dist Desc - Amendment: Open PO Charges towards various External and Internal civil works for the Y2024-25 at JFWTC. Details as per annexure</t>
        </is>
      </c>
      <c r="P34" s="101" t="n">
        <v>1723030.56</v>
      </c>
      <c r="Q34" s="102" t="n"/>
      <c r="R34" s="90" t="n"/>
      <c r="S34" s="110" t="inlineStr">
        <is>
          <t>1130/2526GE</t>
        </is>
      </c>
      <c r="T34" s="86" t="n">
        <v>45866</v>
      </c>
      <c r="U34" s="85" t="inlineStr">
        <is>
          <t>KASETTY TECH SOLUTIONS LLP</t>
        </is>
      </c>
      <c r="V34" s="85" t="inlineStr">
        <is>
          <t>Civil maintenance works</t>
        </is>
      </c>
      <c r="W34" s="101" t="n">
        <v>1723030.56</v>
      </c>
      <c r="X34" s="101" t="n">
        <v>2033176.06</v>
      </c>
      <c r="Y34" s="101">
        <f>W34</f>
        <v/>
      </c>
      <c r="Z34" s="92">
        <f>P34-Y34</f>
        <v/>
      </c>
      <c r="AA34" s="95" t="n"/>
      <c r="AB34" s="94" t="n"/>
      <c r="AC34" s="95" t="n"/>
      <c r="AD34" s="160" t="n"/>
      <c r="AE34" s="159" t="n"/>
      <c r="AG34" s="86" t="n">
        <v>45565</v>
      </c>
      <c r="AH34" s="85" t="n">
        <v>100063562</v>
      </c>
      <c r="AI34" s="105" t="inlineStr">
        <is>
          <t>Civil maintenance works</t>
        </is>
      </c>
      <c r="AJ34" s="101" t="n">
        <v>9000000</v>
      </c>
      <c r="AK34" s="86" t="b">
        <v>1</v>
      </c>
      <c r="AL34" s="98">
        <f>"ET has verified from invoices &amp; open PO that this expense is related to "&amp;I34&amp;" expense"&amp;" from "&amp;K34</f>
        <v/>
      </c>
      <c r="AM34" s="99" t="n"/>
      <c r="AN34" s="85" t="inlineStr">
        <is>
          <t>GC7399</t>
        </is>
      </c>
      <c r="AO34" s="100" t="inlineStr">
        <is>
          <t>Infra</t>
        </is>
      </c>
      <c r="AP34" s="98" t="inlineStr">
        <is>
          <t>Yes, the classificaiton is appropriate</t>
        </is>
      </c>
      <c r="AR34" s="86" t="n">
        <v>45908</v>
      </c>
      <c r="AS34" s="85" t="inlineStr">
        <is>
          <t>HSBCN52025090873966680</t>
        </is>
      </c>
      <c r="AT34" s="85" t="inlineStr">
        <is>
          <t>071096713001</t>
        </is>
      </c>
      <c r="AU34" s="85" t="inlineStr">
        <is>
          <t>HSBC BANK (MUMBAI)</t>
        </is>
      </c>
      <c r="AV34" s="101" t="n">
        <v>2365717.47</v>
      </c>
      <c r="AW34" s="111" t="n"/>
      <c r="AX34" s="111" t="n"/>
      <c r="AY34" s="111" t="n"/>
      <c r="AZ34" s="111" t="n"/>
      <c r="BA34" s="111" t="n"/>
      <c r="BB34" s="111" t="n"/>
      <c r="BC34" s="111" t="n"/>
      <c r="BD34" s="111" t="n"/>
      <c r="BE34" s="111" t="n"/>
      <c r="BF34" s="111" t="n"/>
      <c r="BG34" s="111" t="n"/>
    </row>
    <row r="35" ht="42.1" customFormat="1" customHeight="1" s="59">
      <c r="A35" s="58" t="n"/>
      <c r="C35" s="79" t="n"/>
      <c r="D35" s="80" t="n"/>
      <c r="E35" s="80" t="n"/>
      <c r="F35" s="80" t="n"/>
      <c r="G35" s="80" t="n"/>
      <c r="H35" s="81" t="n"/>
      <c r="I35" s="107" t="inlineStr">
        <is>
          <t>Repair and Maintenance - Buildings</t>
        </is>
      </c>
      <c r="J35" s="108" t="inlineStr">
        <is>
          <t>SG-31/2025-26</t>
        </is>
      </c>
      <c r="K35" s="84" t="inlineStr">
        <is>
          <t>V.S.P ENTERPRISES A39010</t>
        </is>
      </c>
      <c r="L35" s="85" t="n">
        <v>100065930</v>
      </c>
      <c r="M35" s="86" t="n">
        <v>45894</v>
      </c>
      <c r="N35" s="86" t="n">
        <v>45910</v>
      </c>
      <c r="O35" s="97" t="inlineStr">
        <is>
          <t>Inv Num - SG-31/2025-26 , Supplier Name - V.S.P ENTERPRISES A39010 , PO Num - 100065930 , Inv Dist Desc - Amendment: Associated works towards supply &amp; installation of VAV at JFWTC. Details as per annexure.</t>
        </is>
      </c>
      <c r="P35" s="101" t="n">
        <v>2700000</v>
      </c>
      <c r="Q35" s="112" t="inlineStr">
        <is>
          <t xml:space="preserve">Initially, the invoice was wrongly booked with 27 Lakh, however later an adjustment entry of Rs. 16,20,000 was passed to correct the amount to Rs. 10,80,000 for this invoice </t>
        </is>
      </c>
      <c r="R35" s="90" t="n"/>
      <c r="S35" s="108" t="inlineStr">
        <is>
          <t>SG-31/2025-26</t>
        </is>
      </c>
      <c r="T35" s="86" t="n">
        <v>45894</v>
      </c>
      <c r="U35" s="85" t="inlineStr">
        <is>
          <t>V.S.P ENTERPRISES A39010</t>
        </is>
      </c>
      <c r="V35" s="85" t="inlineStr">
        <is>
          <t>Supply and installation of VAV system</t>
        </is>
      </c>
      <c r="W35" s="101" t="n">
        <v>1080000</v>
      </c>
      <c r="X35" s="101" t="n">
        <v>1274400</v>
      </c>
      <c r="Y35" s="101">
        <f>W35</f>
        <v/>
      </c>
      <c r="Z35" s="92">
        <f>P35-Y35</f>
        <v/>
      </c>
      <c r="AA35" s="95" t="n"/>
      <c r="AB35" s="94" t="n"/>
      <c r="AC35" s="95" t="n"/>
      <c r="AD35" s="160" t="n"/>
      <c r="AE35" s="159" t="n"/>
      <c r="AF35" s="67" t="n"/>
      <c r="AG35" s="86" t="n">
        <v>45741</v>
      </c>
      <c r="AH35" s="85" t="n">
        <v>100065930</v>
      </c>
      <c r="AI35" s="105" t="inlineStr">
        <is>
          <t>Supply and installation of VAV system</t>
        </is>
      </c>
      <c r="AJ35" s="101" t="n">
        <v>4500000</v>
      </c>
      <c r="AK35" s="86" t="b">
        <v>1</v>
      </c>
      <c r="AL35" s="98">
        <f>"ET has verified from invoices &amp; open PO that this expense is related to "&amp;I35&amp;" expense"&amp;" from "&amp;K35</f>
        <v/>
      </c>
      <c r="AM35" s="99" t="n"/>
      <c r="AN35" s="85" t="inlineStr">
        <is>
          <t>GC9410</t>
        </is>
      </c>
      <c r="AO35" s="100" t="inlineStr">
        <is>
          <t>Aviation</t>
        </is>
      </c>
      <c r="AP35" s="98" t="inlineStr">
        <is>
          <t>Yes, the classificaiton is appropriate</t>
        </is>
      </c>
      <c r="AR35" s="86" t="n">
        <v>45936</v>
      </c>
      <c r="AS35" s="85" t="inlineStr">
        <is>
          <t>HSBCN52025100681787757</t>
        </is>
      </c>
      <c r="AT35" s="85" t="inlineStr">
        <is>
          <t>071096713001</t>
        </is>
      </c>
      <c r="AU35" s="85" t="inlineStr">
        <is>
          <t>HSBC BANK (MUMBAI)</t>
        </is>
      </c>
      <c r="AV35" s="101" t="n">
        <v>1273320</v>
      </c>
      <c r="AW35" s="70" t="n"/>
      <c r="AX35" s="70" t="n"/>
      <c r="AY35" s="70" t="n"/>
      <c r="AZ35" s="70" t="n"/>
      <c r="BA35" s="70" t="n"/>
      <c r="BB35" s="70" t="n"/>
      <c r="BC35" s="70" t="n"/>
      <c r="BD35" s="70" t="n"/>
      <c r="BE35" s="70" t="n"/>
      <c r="BF35" s="70" t="n"/>
      <c r="BG35" s="70" t="n"/>
    </row>
    <row r="36" ht="30.05" customFormat="1" customHeight="1" s="59">
      <c r="A36" s="58" t="n"/>
      <c r="C36" s="79" t="n"/>
      <c r="D36" s="80" t="n"/>
      <c r="E36" s="80" t="n"/>
      <c r="F36" s="80" t="n"/>
      <c r="G36" s="80" t="n"/>
      <c r="H36" s="81" t="n"/>
      <c r="I36" s="107" t="inlineStr">
        <is>
          <t>Repair and Maintenance - Buildings</t>
        </is>
      </c>
      <c r="J36" s="108" t="inlineStr">
        <is>
          <t>TXGK-011</t>
        </is>
      </c>
      <c r="K36" s="113" t="inlineStr">
        <is>
          <t>G K ENTERPRISES A38969</t>
        </is>
      </c>
      <c r="L36" s="85" t="n">
        <v>100063183</v>
      </c>
      <c r="M36" s="86" t="n">
        <v>45913</v>
      </c>
      <c r="N36" s="86" t="n">
        <v>45922</v>
      </c>
      <c r="O36" s="114" t="inlineStr">
        <is>
          <t xml:space="preserve">Inv Num - TXGK-011 , Supplier Name - G K ENTERPRISES A38969 , PO Num - 100063183 , Inv Dist Desc - Amendment: PO towards External texture painting works at JFWTC Campus. Details as per annexure. T&amp;Cs shall be governed by the MSA b/w GEIIPL </t>
        </is>
      </c>
      <c r="P36" s="101" t="n">
        <v>1339355.45</v>
      </c>
      <c r="Q36" s="115" t="n"/>
      <c r="R36" s="90" t="n"/>
      <c r="S36" s="110" t="inlineStr">
        <is>
          <t>TXGK-011</t>
        </is>
      </c>
      <c r="T36" s="86" t="n">
        <v>45913</v>
      </c>
      <c r="U36" s="85" t="inlineStr">
        <is>
          <t>GK Enterprises</t>
        </is>
      </c>
      <c r="V36" s="85" t="inlineStr">
        <is>
          <t>External painting works</t>
        </is>
      </c>
      <c r="W36" s="101" t="n">
        <v>1339355</v>
      </c>
      <c r="X36" s="101" t="n">
        <v>1580439</v>
      </c>
      <c r="Y36" s="101">
        <f>W36</f>
        <v/>
      </c>
      <c r="Z36" s="92">
        <f>P36-Y36</f>
        <v/>
      </c>
      <c r="AA36" s="116" t="n"/>
      <c r="AB36" s="94" t="n"/>
      <c r="AC36" s="95" t="n"/>
      <c r="AD36" s="160" t="n"/>
      <c r="AE36" s="159" t="n"/>
      <c r="AF36" s="67" t="n"/>
      <c r="AG36" s="86" t="n">
        <v>45538</v>
      </c>
      <c r="AH36" s="117" t="inlineStr">
        <is>
          <t>100063183</t>
        </is>
      </c>
      <c r="AI36" s="106" t="inlineStr">
        <is>
          <t>External texture painting works</t>
        </is>
      </c>
      <c r="AJ36" s="101" t="n">
        <v>37595958.9</v>
      </c>
      <c r="AK36" s="86" t="b">
        <v>1</v>
      </c>
      <c r="AL36" s="98">
        <f>"ET has verified from invoices &amp; open PO that this expense is related to "&amp;I36&amp;" expense"&amp;" from "&amp;K36</f>
        <v/>
      </c>
      <c r="AM36" s="99" t="n"/>
      <c r="AN36" s="85" t="inlineStr">
        <is>
          <t>GC6529</t>
        </is>
      </c>
      <c r="AO36" s="100" t="inlineStr">
        <is>
          <t>Infra</t>
        </is>
      </c>
      <c r="AP36" s="98" t="inlineStr">
        <is>
          <t>Yes, the classificaiton is appropriate</t>
        </is>
      </c>
      <c r="AR36" s="86" t="n">
        <v>45925</v>
      </c>
      <c r="AS36" s="91" t="inlineStr">
        <is>
          <t>HSBCN52025092577743968</t>
        </is>
      </c>
      <c r="AT36" s="85" t="inlineStr">
        <is>
          <t>071096713001</t>
        </is>
      </c>
      <c r="AU36" s="85" t="inlineStr">
        <is>
          <t>HSBC BANK (MUMBAI)</t>
        </is>
      </c>
      <c r="AV36" s="101" t="n">
        <v>1553652.32</v>
      </c>
      <c r="AW36" s="70" t="n"/>
      <c r="AX36" s="70" t="n"/>
      <c r="AY36" s="70" t="n"/>
      <c r="AZ36" s="70" t="n"/>
      <c r="BA36" s="70" t="n"/>
      <c r="BB36" s="70" t="n"/>
      <c r="BC36" s="70" t="n"/>
      <c r="BD36" s="70" t="n"/>
      <c r="BE36" s="70" t="n"/>
      <c r="BF36" s="70" t="n"/>
      <c r="BG36" s="70" t="n"/>
    </row>
    <row r="37" ht="30.05" customFormat="1" customHeight="1" s="59">
      <c r="A37" s="58" t="n"/>
      <c r="C37" s="79" t="n"/>
      <c r="D37" s="80" t="n"/>
      <c r="E37" s="80" t="n"/>
      <c r="F37" s="80" t="n"/>
      <c r="G37" s="80" t="n"/>
      <c r="H37" s="81" t="n"/>
      <c r="I37" s="107" t="inlineStr">
        <is>
          <t>Repair and Maintenance - Buildings</t>
        </is>
      </c>
      <c r="J37" s="108" t="inlineStr">
        <is>
          <t>006/2025-26</t>
        </is>
      </c>
      <c r="K37" s="113" t="inlineStr">
        <is>
          <t>BK INFRASYS PRIVATE LIMITED A39017</t>
        </is>
      </c>
      <c r="L37" s="85" t="n">
        <v>100063835</v>
      </c>
      <c r="M37" s="86" t="n">
        <v>45776</v>
      </c>
      <c r="N37" s="86" t="n">
        <v>45817</v>
      </c>
      <c r="O37" s="114" t="inlineStr">
        <is>
          <t>Inv Num - 006/2025-26 , Supplier Name - BK INFRASYS PRIVATE LIMITED A39017 , PO Num - 100063835 , Inv Dist Desc - Amendment: Open PO Charges towards various External and Internal civil works for the Y2024-25 at JFWTC. Details as per annexur</t>
        </is>
      </c>
      <c r="P37" s="101" t="n">
        <v>1438650.84</v>
      </c>
      <c r="Q37" s="115" t="n"/>
      <c r="R37" s="90" t="n"/>
      <c r="S37" s="110" t="inlineStr">
        <is>
          <t>006/2025-26</t>
        </is>
      </c>
      <c r="T37" s="86" t="n">
        <v>45776</v>
      </c>
      <c r="U37" s="85" t="inlineStr">
        <is>
          <t>BK Infrasys Pvt Ltd</t>
        </is>
      </c>
      <c r="V37" s="85" t="inlineStr">
        <is>
          <t>Civil maintenance works</t>
        </is>
      </c>
      <c r="W37" s="101" t="n">
        <v>1439499</v>
      </c>
      <c r="X37" s="101" t="n">
        <v>1698609</v>
      </c>
      <c r="Y37" s="101">
        <f>W37</f>
        <v/>
      </c>
      <c r="Z37" s="92">
        <f>P37-Y37</f>
        <v/>
      </c>
      <c r="AA37" s="95" t="n"/>
      <c r="AB37" s="94" t="n"/>
      <c r="AC37" s="95" t="n"/>
      <c r="AD37" s="160" t="n"/>
      <c r="AE37" s="159" t="n"/>
      <c r="AF37" s="67" t="n"/>
      <c r="AG37" s="86" t="n">
        <v>45586</v>
      </c>
      <c r="AH37" s="117" t="inlineStr">
        <is>
          <t>100063835</t>
        </is>
      </c>
      <c r="AI37" s="106" t="inlineStr">
        <is>
          <t>Annual civil maintenance works</t>
        </is>
      </c>
      <c r="AJ37" s="101" t="n">
        <v>8500000</v>
      </c>
      <c r="AK37" s="86" t="b">
        <v>1</v>
      </c>
      <c r="AL37" s="98">
        <f>"ET has verified from invoices &amp; open PO that this expense is related to "&amp;I37&amp;" expense"&amp;" from "&amp;K37</f>
        <v/>
      </c>
      <c r="AM37" s="99" t="n"/>
      <c r="AN37" s="85" t="inlineStr">
        <is>
          <t>GC9407</t>
        </is>
      </c>
      <c r="AO37" s="100" t="inlineStr">
        <is>
          <t>Aviation</t>
        </is>
      </c>
      <c r="AP37" s="98" t="inlineStr">
        <is>
          <t>Yes, the classificaiton is appropriate</t>
        </is>
      </c>
      <c r="AR37" s="86" t="n">
        <v>45818</v>
      </c>
      <c r="AS37" s="85" t="inlineStr">
        <is>
          <t>LP BOM50H8DM</t>
        </is>
      </c>
      <c r="AT37" s="85" t="inlineStr">
        <is>
          <t>071096713001</t>
        </is>
      </c>
      <c r="AU37" s="85" t="inlineStr">
        <is>
          <t>HSBC BANK (MUMBAI)</t>
        </is>
      </c>
      <c r="AV37" s="101" t="n">
        <v>1669818.65</v>
      </c>
      <c r="AW37" s="70" t="n"/>
      <c r="AX37" s="70" t="n"/>
      <c r="AY37" s="70" t="n"/>
      <c r="AZ37" s="70" t="n"/>
      <c r="BA37" s="70" t="n"/>
      <c r="BB37" s="70" t="n"/>
      <c r="BC37" s="70" t="n"/>
      <c r="BD37" s="70" t="n"/>
      <c r="BE37" s="70" t="n"/>
      <c r="BF37" s="70" t="n"/>
      <c r="BG37" s="70" t="n"/>
    </row>
    <row r="38" ht="30.05" customFormat="1" customHeight="1" s="59">
      <c r="A38" s="58" t="n"/>
      <c r="C38" s="79" t="n"/>
      <c r="D38" s="80" t="n"/>
      <c r="E38" s="80" t="n"/>
      <c r="F38" s="80" t="n"/>
      <c r="G38" s="80" t="n"/>
      <c r="H38" s="81" t="n"/>
      <c r="I38" s="107" t="inlineStr">
        <is>
          <t>Repair and Maintenance - Buildings</t>
        </is>
      </c>
      <c r="J38" s="118" t="inlineStr">
        <is>
          <t>02-2025</t>
        </is>
      </c>
      <c r="K38" s="113" t="inlineStr">
        <is>
          <t>M.J.S ENTERPRISES A37859</t>
        </is>
      </c>
      <c r="L38" s="85" t="n">
        <v>100065851</v>
      </c>
      <c r="M38" s="86" t="n">
        <v>45764</v>
      </c>
      <c r="N38" s="86" t="n">
        <v>45789</v>
      </c>
      <c r="O38" s="114" t="inlineStr">
        <is>
          <t>Inv Num - 02-2025 , Supplier Name - M.J.S ENTERPRISES A37859 , PO Num - 100065851 , Inv Dist Desc - Associated civil works towards stone masonry wall dressing, pointing, and pathway cobalt stone washing / cleaning works near Pond external a</t>
        </is>
      </c>
      <c r="P38" s="101" t="n">
        <v>920100</v>
      </c>
      <c r="Q38" s="115" t="n"/>
      <c r="R38" s="90" t="n"/>
      <c r="S38" s="118" t="inlineStr">
        <is>
          <t>02-2025</t>
        </is>
      </c>
      <c r="T38" s="86" t="n">
        <v>45764</v>
      </c>
      <c r="U38" s="85" t="inlineStr">
        <is>
          <t>MJS Enterprises</t>
        </is>
      </c>
      <c r="V38" s="85" t="inlineStr">
        <is>
          <t>Civil works – stone masonry &amp; pathway works</t>
        </is>
      </c>
      <c r="W38" s="101" t="n">
        <v>920100</v>
      </c>
      <c r="X38" s="101" t="n">
        <v>1085718</v>
      </c>
      <c r="Y38" s="101">
        <f>W38</f>
        <v/>
      </c>
      <c r="Z38" s="92">
        <f>P38-Y38</f>
        <v/>
      </c>
      <c r="AA38" s="93" t="n"/>
      <c r="AB38" s="94" t="n"/>
      <c r="AC38" s="95" t="n"/>
      <c r="AD38" s="95" t="n"/>
      <c r="AE38" s="84" t="n"/>
      <c r="AF38" s="67" t="n"/>
      <c r="AG38" s="86" t="n">
        <v>45735</v>
      </c>
      <c r="AH38" s="117" t="inlineStr">
        <is>
          <t>100065851</t>
        </is>
      </c>
      <c r="AI38" s="106" t="inlineStr">
        <is>
          <t>External civil works (stone masonry &amp; pathway works)</t>
        </is>
      </c>
      <c r="AJ38" s="101" t="n">
        <v>1532974.64</v>
      </c>
      <c r="AK38" s="86" t="b">
        <v>1</v>
      </c>
      <c r="AL38" s="98">
        <f>"ET has verified from invoices &amp; open PO that this expense is related to "&amp;I38&amp;" expense"&amp;" from "&amp;K38</f>
        <v/>
      </c>
      <c r="AM38" s="99" t="n"/>
      <c r="AN38" s="85" t="inlineStr">
        <is>
          <t>GC7699</t>
        </is>
      </c>
      <c r="AO38" s="100" t="inlineStr">
        <is>
          <t>Infra</t>
        </is>
      </c>
      <c r="AP38" s="98" t="inlineStr">
        <is>
          <t>Yes, the classificaiton is appropriate</t>
        </is>
      </c>
      <c r="AR38" s="86" t="n">
        <v>45803</v>
      </c>
      <c r="AS38" s="85" t="inlineStr">
        <is>
          <t>LP BOM50FF8G</t>
        </is>
      </c>
      <c r="AT38" s="85" t="inlineStr">
        <is>
          <t>071096713001</t>
        </is>
      </c>
      <c r="AU38" s="85" t="inlineStr">
        <is>
          <t>HSBC BANK (MUMBAI)</t>
        </is>
      </c>
      <c r="AV38" s="101" t="n">
        <v>1123381.11</v>
      </c>
      <c r="AW38" s="70" t="n"/>
      <c r="AX38" s="70" t="n"/>
      <c r="AY38" s="70" t="n"/>
      <c r="AZ38" s="70" t="n"/>
      <c r="BA38" s="70" t="n"/>
      <c r="BB38" s="70" t="n"/>
      <c r="BC38" s="70" t="n"/>
      <c r="BD38" s="70" t="n"/>
      <c r="BE38" s="70" t="n"/>
      <c r="BF38" s="70" t="n"/>
      <c r="BG38" s="70" t="n"/>
    </row>
    <row r="39" ht="30.05" customFormat="1" customHeight="1" s="59">
      <c r="A39" s="58" t="n"/>
      <c r="C39" s="79" t="n"/>
      <c r="D39" s="80" t="n"/>
      <c r="E39" s="80" t="n"/>
      <c r="F39" s="80" t="n"/>
      <c r="G39" s="80" t="n"/>
      <c r="H39" s="81" t="n"/>
      <c r="I39" s="107" t="inlineStr">
        <is>
          <t>Repair and Maintenance - Others</t>
        </is>
      </c>
      <c r="J39" s="108" t="inlineStr">
        <is>
          <t>13531/25</t>
        </is>
      </c>
      <c r="K39" s="113" t="inlineStr">
        <is>
          <t>VINOLYA SERVICES PVT LTD. A38997</t>
        </is>
      </c>
      <c r="L39" s="85" t="n">
        <v>100064779</v>
      </c>
      <c r="M39" s="86" t="n">
        <v>45931</v>
      </c>
      <c r="N39" s="86" t="n">
        <v>45944</v>
      </c>
      <c r="O39" s="114" t="inlineStr">
        <is>
          <t>Inv Num - 13531/25 , Supplier Name - VINOLYA SERVICES PVT LTD. A38997 , PO Num - 100064779 , Inv Dist Desc - Charges for providing Facility management services (PSA) like housekeeping, admin support, Cafeteria incharge, transport co-ordinat</t>
        </is>
      </c>
      <c r="P39" s="101" t="n">
        <v>4000506</v>
      </c>
      <c r="Q39" s="115" t="n"/>
      <c r="R39" s="90" t="n"/>
      <c r="S39" s="83" t="n"/>
      <c r="T39" s="86" t="n"/>
      <c r="U39" s="85" t="n"/>
      <c r="V39" s="85" t="n"/>
      <c r="W39" s="101" t="n"/>
      <c r="X39" s="101" t="n"/>
      <c r="Y39" s="101">
        <f>W39</f>
        <v/>
      </c>
      <c r="Z39" s="92">
        <f>P39-Y39</f>
        <v/>
      </c>
      <c r="AA39" s="95" t="n"/>
      <c r="AB39" s="94" t="n"/>
      <c r="AC39" s="95" t="n"/>
      <c r="AD39" s="160" t="n"/>
      <c r="AE39" s="159" t="n"/>
      <c r="AF39" s="67" t="n"/>
      <c r="AG39" s="86" t="n"/>
      <c r="AH39" s="85" t="n"/>
      <c r="AI39" s="84" t="n"/>
      <c r="AJ39" s="161" t="n"/>
      <c r="AK39" s="85" t="b">
        <v>1</v>
      </c>
      <c r="AL39" s="98">
        <f>"ET has verified from invoices &amp; open PO that this expense is related to "&amp;I39&amp;" expense"&amp;" from "&amp;K39</f>
        <v/>
      </c>
      <c r="AM39" s="99" t="n"/>
      <c r="AN39" s="85" t="inlineStr">
        <is>
          <t>GC7699</t>
        </is>
      </c>
      <c r="AO39" s="100" t="inlineStr">
        <is>
          <t>Infra</t>
        </is>
      </c>
      <c r="AP39" s="98" t="inlineStr">
        <is>
          <t>Yes, the classificaiton is appropriate</t>
        </is>
      </c>
      <c r="AR39" s="86" t="n"/>
      <c r="AS39" s="85" t="n"/>
      <c r="AT39" s="85" t="inlineStr">
        <is>
          <t>071096713001</t>
        </is>
      </c>
      <c r="AU39" s="85" t="inlineStr">
        <is>
          <t>HSBC BANK (MUMBAI)</t>
        </is>
      </c>
      <c r="AV39" s="101" t="n"/>
      <c r="AW39" s="70" t="n"/>
      <c r="AX39" s="70" t="n"/>
      <c r="AY39" s="70" t="n"/>
      <c r="AZ39" s="70" t="n"/>
      <c r="BA39" s="70" t="n"/>
      <c r="BB39" s="70" t="n"/>
      <c r="BC39" s="70" t="n"/>
      <c r="BD39" s="70" t="n"/>
      <c r="BE39" s="70" t="n"/>
      <c r="BF39" s="70" t="n"/>
      <c r="BG39" s="70" t="n"/>
    </row>
    <row r="40" ht="30.05" customFormat="1" customHeight="1" s="59">
      <c r="A40" s="58" t="n"/>
      <c r="C40" s="79" t="n"/>
      <c r="D40" s="80" t="n"/>
      <c r="E40" s="80" t="n"/>
      <c r="F40" s="80" t="n"/>
      <c r="G40" s="80" t="n"/>
      <c r="H40" s="81" t="n"/>
      <c r="I40" s="107" t="inlineStr">
        <is>
          <t>Repair and Maintenance - Others</t>
        </is>
      </c>
      <c r="J40" s="108" t="inlineStr">
        <is>
          <t>DI09/000975BLR25</t>
        </is>
      </c>
      <c r="K40" s="113" t="inlineStr">
        <is>
          <t>G4S SECURE SOLUTIONS (INDIA) PVT LTD A37065</t>
        </is>
      </c>
      <c r="L40" s="85" t="n">
        <v>100066438</v>
      </c>
      <c r="M40" s="86" t="n">
        <v>45930</v>
      </c>
      <c r="N40" s="86" t="n">
        <v>45954</v>
      </c>
      <c r="O40" s="114" t="inlineStr">
        <is>
          <t xml:space="preserve">Inv Num - DI09/000975BLR25 , Supplier Name - G4S SECURE SOLUTIONS (INDIA) PVT LTD A37065 , PO Num - 100066438 , Inv Dist Desc - Open PO for Security charges as per new min wages for the period of April 2025 to Mar 2026 at JFWTC. Details as </t>
        </is>
      </c>
      <c r="P40" s="101" t="n">
        <v>2956914.4</v>
      </c>
      <c r="Q40" s="115" t="n"/>
      <c r="R40" s="90" t="n"/>
      <c r="S40" s="83" t="n"/>
      <c r="T40" s="86" t="n"/>
      <c r="U40" s="85" t="n"/>
      <c r="V40" s="85" t="n"/>
      <c r="W40" s="101" t="n"/>
      <c r="X40" s="101" t="n"/>
      <c r="Y40" s="101">
        <f>W40</f>
        <v/>
      </c>
      <c r="Z40" s="92">
        <f>P40-Y40</f>
        <v/>
      </c>
      <c r="AA40" s="95" t="n"/>
      <c r="AB40" s="94" t="n"/>
      <c r="AC40" s="95" t="n"/>
      <c r="AD40" s="160" t="n"/>
      <c r="AE40" s="159" t="n"/>
      <c r="AF40" s="67" t="n"/>
      <c r="AG40" s="86" t="n"/>
      <c r="AH40" s="85" t="n"/>
      <c r="AI40" s="84" t="n"/>
      <c r="AJ40" s="161" t="n"/>
      <c r="AK40" s="85" t="b">
        <v>1</v>
      </c>
      <c r="AL40" s="98">
        <f>"ET has verified from invoices &amp; open PO that this expense is related to "&amp;I40&amp;" expense"&amp;" from "&amp;K40</f>
        <v/>
      </c>
      <c r="AM40" s="99" t="n"/>
      <c r="AN40" s="85" t="inlineStr">
        <is>
          <t>GC7699</t>
        </is>
      </c>
      <c r="AO40" s="100" t="inlineStr">
        <is>
          <t>Infra</t>
        </is>
      </c>
      <c r="AP40" s="98" t="inlineStr">
        <is>
          <t>Yes, the classificaiton is appropriate</t>
        </is>
      </c>
      <c r="AR40" s="86" t="n"/>
      <c r="AS40" s="85" t="n"/>
      <c r="AT40" s="85" t="inlineStr">
        <is>
          <t>071096713001</t>
        </is>
      </c>
      <c r="AU40" s="85" t="inlineStr">
        <is>
          <t>HSBC BANK (MUMBAI)</t>
        </is>
      </c>
      <c r="AV40" s="101" t="n"/>
      <c r="AW40" s="70" t="n"/>
      <c r="AX40" s="70" t="n"/>
      <c r="AY40" s="70" t="n"/>
      <c r="AZ40" s="70" t="n"/>
      <c r="BA40" s="70" t="n"/>
      <c r="BB40" s="70" t="n"/>
      <c r="BC40" s="70" t="n"/>
      <c r="BD40" s="70" t="n"/>
      <c r="BE40" s="70" t="n"/>
      <c r="BF40" s="70" t="n"/>
      <c r="BG40" s="70" t="n"/>
    </row>
    <row r="41" ht="30.05" customFormat="1" customHeight="1" s="59">
      <c r="A41" s="58" t="n"/>
      <c r="C41" s="79" t="n"/>
      <c r="D41" s="80" t="n"/>
      <c r="E41" s="80" t="n"/>
      <c r="F41" s="80" t="n"/>
      <c r="G41" s="80" t="n"/>
      <c r="H41" s="81" t="n"/>
      <c r="I41" s="107" t="inlineStr">
        <is>
          <t>Repair and Maintenance - Others</t>
        </is>
      </c>
      <c r="J41" s="108" t="n">
        <v>2529001315</v>
      </c>
      <c r="K41" s="84" t="inlineStr">
        <is>
          <t>UPDATER SERVICES LIMITED A38982</t>
        </is>
      </c>
      <c r="L41" s="85" t="n">
        <v>100064959</v>
      </c>
      <c r="M41" s="86" t="n">
        <v>45812</v>
      </c>
      <c r="N41" s="86" t="n">
        <v>45828</v>
      </c>
      <c r="O41" s="97" t="inlineStr">
        <is>
          <t>Inv Num - 2529001315 , Supplier Name - UPDATER SERVICES LIMITED A38982 , PO Num - 100064959 , Inv Dist Desc - Charges towards the house-keeping services &amp; Pantry services for Odyssey, Galileo buildings &amp; SHS Area at JFWTC. (No. of Resources</t>
        </is>
      </c>
      <c r="P41" s="101" t="n">
        <v>1444194</v>
      </c>
      <c r="Q41" s="102" t="n"/>
      <c r="R41" s="90" t="n"/>
      <c r="S41" s="85" t="n"/>
      <c r="T41" s="86" t="n"/>
      <c r="U41" s="85" t="n"/>
      <c r="V41" s="91" t="n"/>
      <c r="W41" s="101" t="n"/>
      <c r="X41" s="101" t="n"/>
      <c r="Y41" s="101">
        <f>W41</f>
        <v/>
      </c>
      <c r="Z41" s="92">
        <f>P41-Y41</f>
        <v/>
      </c>
      <c r="AA41" s="95" t="n"/>
      <c r="AB41" s="94" t="n"/>
      <c r="AC41" s="95" t="n"/>
      <c r="AD41" s="160" t="n"/>
      <c r="AE41" s="159" t="n"/>
      <c r="AF41" s="67" t="n"/>
      <c r="AG41" s="120" t="n"/>
      <c r="AH41" s="85" t="n"/>
      <c r="AI41" s="97" t="n"/>
      <c r="AJ41" s="101" t="n"/>
      <c r="AK41" s="85" t="b">
        <v>1</v>
      </c>
      <c r="AL41" s="98">
        <f>"ET has verified from invoices &amp; open PO that this expense is related to "&amp;I41&amp;" expense"&amp;" from "&amp;K41</f>
        <v/>
      </c>
      <c r="AM41" s="99" t="n"/>
      <c r="AN41" s="85" t="inlineStr">
        <is>
          <t>GC7399</t>
        </is>
      </c>
      <c r="AO41" s="100" t="inlineStr">
        <is>
          <t>Infra</t>
        </is>
      </c>
      <c r="AP41" s="98" t="inlineStr">
        <is>
          <t>Yes, the classificaiton is appropriate</t>
        </is>
      </c>
      <c r="AR41" s="86" t="n"/>
      <c r="AS41" s="85" t="n"/>
      <c r="AT41" s="85" t="inlineStr">
        <is>
          <t>071096713001</t>
        </is>
      </c>
      <c r="AU41" s="85" t="inlineStr">
        <is>
          <t>HSBC BANK (MUMBAI)</t>
        </is>
      </c>
      <c r="AV41" s="101" t="n"/>
      <c r="AW41" s="70" t="n"/>
      <c r="AX41" s="70" t="n"/>
      <c r="AY41" s="70" t="n"/>
      <c r="AZ41" s="70" t="n"/>
      <c r="BA41" s="70" t="n"/>
      <c r="BB41" s="70" t="n"/>
      <c r="BC41" s="70" t="n"/>
      <c r="BD41" s="70" t="n"/>
      <c r="BE41" s="70" t="n"/>
      <c r="BF41" s="70" t="n"/>
      <c r="BG41" s="70" t="n"/>
    </row>
    <row r="42" ht="30.05" customFormat="1" customHeight="1" s="59">
      <c r="A42" s="58" t="n"/>
      <c r="C42" s="79" t="n"/>
      <c r="D42" s="80" t="n"/>
      <c r="E42" s="80" t="n"/>
      <c r="F42" s="80" t="n"/>
      <c r="G42" s="80" t="n"/>
      <c r="H42" s="81" t="n"/>
      <c r="I42" s="107" t="inlineStr">
        <is>
          <t>Repair and Maintenance - Others</t>
        </is>
      </c>
      <c r="J42" s="108" t="inlineStr">
        <is>
          <t>2526BNGFM0114</t>
        </is>
      </c>
      <c r="K42" s="84" t="inlineStr">
        <is>
          <t>APOLLO POWER SYSTEMS PVT LTD A37544</t>
        </is>
      </c>
      <c r="L42" s="85" t="n">
        <v>100066487</v>
      </c>
      <c r="M42" s="86" t="n">
        <v>45875</v>
      </c>
      <c r="N42" s="86" t="n">
        <v>45888</v>
      </c>
      <c r="O42" s="97" t="inlineStr">
        <is>
          <t>Inv Num - 2526BNGFM0114 , Supplier Name - APOLLO POWER SYSTEMS PVT LTD A37544 , PO Num - 100066487 , Inv Dist Desc - Charges towards providing O&amp;M of Electrical &amp; Mechanical Engineering services for the period of May-2025 to April-2026. Det</t>
        </is>
      </c>
      <c r="P42" s="101" t="n">
        <v>1203435</v>
      </c>
      <c r="Q42" s="102" t="n"/>
      <c r="R42" s="90" t="n"/>
      <c r="S42" s="83" t="n"/>
      <c r="T42" s="86" t="n"/>
      <c r="U42" s="85" t="n"/>
      <c r="V42" s="85" t="n"/>
      <c r="W42" s="101" t="n"/>
      <c r="X42" s="101" t="n"/>
      <c r="Y42" s="101">
        <f>W42</f>
        <v/>
      </c>
      <c r="Z42" s="92">
        <f>P42-Y42</f>
        <v/>
      </c>
      <c r="AA42" s="95" t="n"/>
      <c r="AB42" s="94" t="n"/>
      <c r="AC42" s="95" t="n"/>
      <c r="AD42" s="160" t="n"/>
      <c r="AE42" s="159" t="n"/>
      <c r="AF42" s="67" t="n"/>
      <c r="AG42" s="86" t="n"/>
      <c r="AH42" s="85" t="n"/>
      <c r="AI42" s="97" t="n"/>
      <c r="AJ42" s="101" t="n"/>
      <c r="AK42" s="85" t="b">
        <v>1</v>
      </c>
      <c r="AL42" s="98">
        <f>"ET has verified from invoices &amp; open PO that this expense is related to "&amp;I42&amp;" expense"&amp;" from "&amp;K42</f>
        <v/>
      </c>
      <c r="AM42" s="99" t="n"/>
      <c r="AN42" s="85" t="inlineStr">
        <is>
          <t>GC9405</t>
        </is>
      </c>
      <c r="AO42" s="100" t="inlineStr">
        <is>
          <t>Aviation</t>
        </is>
      </c>
      <c r="AP42" s="98" t="inlineStr">
        <is>
          <t>Yes, the classificaiton is appropriate</t>
        </is>
      </c>
      <c r="AR42" s="86" t="n"/>
      <c r="AS42" s="85" t="n"/>
      <c r="AT42" s="85" t="inlineStr">
        <is>
          <t>071096713001</t>
        </is>
      </c>
      <c r="AU42" s="85" t="inlineStr">
        <is>
          <t>HSBC BANK (MUMBAI)</t>
        </is>
      </c>
      <c r="AV42" s="101" t="n"/>
      <c r="AW42" s="70" t="n"/>
      <c r="AX42" s="70" t="n"/>
      <c r="AY42" s="70" t="n"/>
      <c r="AZ42" s="70" t="n"/>
      <c r="BA42" s="70" t="n"/>
      <c r="BB42" s="70" t="n"/>
      <c r="BC42" s="70" t="n"/>
      <c r="BD42" s="70" t="n"/>
      <c r="BE42" s="70" t="n"/>
      <c r="BF42" s="70" t="n"/>
      <c r="BG42" s="70" t="n"/>
    </row>
    <row r="43" ht="30.05" customFormat="1" customHeight="1" s="59">
      <c r="A43" s="70" t="n"/>
      <c r="C43" s="79" t="n"/>
      <c r="D43" s="80" t="n"/>
      <c r="E43" s="80" t="n"/>
      <c r="F43" s="80" t="n"/>
      <c r="G43" s="80" t="n"/>
      <c r="H43" s="84" t="n"/>
      <c r="I43" s="107" t="inlineStr">
        <is>
          <t>Repair and Maintenance - Others</t>
        </is>
      </c>
      <c r="J43" s="108" t="inlineStr">
        <is>
          <t>223/HO/2025-26</t>
        </is>
      </c>
      <c r="K43" s="84" t="inlineStr">
        <is>
          <t>ETA ENGINEERS BANGALORE PRIVATE LIMITED A37548</t>
        </is>
      </c>
      <c r="L43" s="85" t="n">
        <v>100068919</v>
      </c>
      <c r="M43" s="86" t="n">
        <v>45995</v>
      </c>
      <c r="N43" s="86" t="n">
        <v>46010</v>
      </c>
      <c r="O43" s="97" t="inlineStr">
        <is>
          <t>Inv Num - 223/HO/2025-26 , Supplier Name - ETA ENGINEERS BANGALORE PRIVATE LIMITED A37548 , PO Num - 100068919 , Inv Dist Desc - Associated electrical Works towards MCCB upgradation of the MLP-4 and MLP-5 electrical panels in Phase 3 at JFW</t>
        </is>
      </c>
      <c r="P43" s="101" t="n">
        <v>755910</v>
      </c>
      <c r="Q43" s="102" t="n"/>
      <c r="R43" s="90" t="n"/>
      <c r="S43" s="85" t="n"/>
      <c r="T43" s="86" t="n"/>
      <c r="U43" s="85" t="n"/>
      <c r="V43" s="85" t="n"/>
      <c r="W43" s="101" t="n"/>
      <c r="X43" s="101" t="n"/>
      <c r="Y43" s="101">
        <f>W43</f>
        <v/>
      </c>
      <c r="Z43" s="92">
        <f>P43-Y43</f>
        <v/>
      </c>
      <c r="AA43" s="84" t="n"/>
      <c r="AB43" s="94" t="n"/>
      <c r="AC43" s="95" t="n"/>
      <c r="AD43" s="95" t="n"/>
      <c r="AE43" s="159" t="n"/>
      <c r="AG43" s="86" t="n"/>
      <c r="AH43" s="85" t="n"/>
      <c r="AI43" s="97" t="n"/>
      <c r="AJ43" s="161" t="n"/>
      <c r="AK43" s="85" t="b">
        <v>1</v>
      </c>
      <c r="AL43" s="98">
        <f>"ET has verified from invoices &amp; open PO that this expense is related to "&amp;I43&amp;" expense"&amp;" from "&amp;K43</f>
        <v/>
      </c>
      <c r="AM43" s="99" t="n"/>
      <c r="AN43" s="85" t="inlineStr">
        <is>
          <t>GC7399</t>
        </is>
      </c>
      <c r="AO43" s="100" t="inlineStr">
        <is>
          <t>Infra</t>
        </is>
      </c>
      <c r="AP43" s="98" t="inlineStr">
        <is>
          <t>Yes, the classificaiton is appropriate</t>
        </is>
      </c>
      <c r="AR43" s="86" t="n"/>
      <c r="AS43" s="85" t="n"/>
      <c r="AT43" s="85" t="inlineStr">
        <is>
          <t>071096713001</t>
        </is>
      </c>
      <c r="AU43" s="85" t="inlineStr">
        <is>
          <t>HSBC BANK (MUMBAI)</t>
        </is>
      </c>
      <c r="AV43" s="101" t="n"/>
      <c r="AW43" s="70" t="n"/>
      <c r="AX43" s="70" t="n"/>
      <c r="AY43" s="70" t="n"/>
      <c r="AZ43" s="70" t="n"/>
      <c r="BA43" s="70" t="n"/>
      <c r="BB43" s="70" t="n"/>
      <c r="BC43" s="70" t="n"/>
      <c r="BD43" s="70" t="n"/>
      <c r="BE43" s="70" t="n"/>
      <c r="BF43" s="70" t="n"/>
      <c r="BG43" s="70" t="n"/>
    </row>
    <row r="44" ht="30.05" customFormat="1" customHeight="1" s="59">
      <c r="A44" s="70" t="n"/>
      <c r="D44" s="80" t="n"/>
      <c r="E44" s="80" t="n"/>
      <c r="F44" s="80" t="n"/>
      <c r="G44" s="80" t="n"/>
      <c r="H44" s="84" t="n"/>
      <c r="I44" s="107" t="inlineStr">
        <is>
          <t>Repair and Maintenance - Others</t>
        </is>
      </c>
      <c r="J44" s="121" t="inlineStr">
        <is>
          <t>252701005637</t>
        </is>
      </c>
      <c r="K44" s="84" t="inlineStr">
        <is>
          <t>ABB INDIA LIMITED A37150</t>
        </is>
      </c>
      <c r="L44" s="85" t="n">
        <v>100065261</v>
      </c>
      <c r="M44" s="86" t="n">
        <v>45833</v>
      </c>
      <c r="N44" s="86" t="n">
        <v>45856</v>
      </c>
      <c r="O44" s="97" t="inlineStr">
        <is>
          <t>Inv Num - 252701005637 , Supplier Name - ABB INDIA LIMITED A37150 , PO Num - 100065261 , Inv Dist Desc - PO towards supply of spares for VCB’s across campus at JFWTC. Details as per annexure.</t>
        </is>
      </c>
      <c r="P44" s="101" t="n">
        <v>2445784</v>
      </c>
      <c r="Q44" s="102" t="n"/>
      <c r="R44" s="90" t="n"/>
      <c r="S44" s="85" t="n"/>
      <c r="T44" s="86" t="n"/>
      <c r="U44" s="91" t="n"/>
      <c r="V44" s="85" t="n"/>
      <c r="W44" s="101" t="n"/>
      <c r="X44" s="101" t="n"/>
      <c r="Y44" s="101">
        <f>W44</f>
        <v/>
      </c>
      <c r="Z44" s="92">
        <f>P44-Y44</f>
        <v/>
      </c>
      <c r="AA44" s="84" t="n"/>
      <c r="AB44" s="94" t="n"/>
      <c r="AC44" s="95" t="n"/>
      <c r="AD44" s="95" t="n"/>
      <c r="AE44" s="159" t="n"/>
      <c r="AG44" s="86" t="n"/>
      <c r="AH44" s="85" t="n"/>
      <c r="AI44" s="97" t="n"/>
      <c r="AJ44" s="161" t="n"/>
      <c r="AK44" s="85" t="b">
        <v>1</v>
      </c>
      <c r="AL44" s="98">
        <f>"ET has verified from invoices &amp; open PO that this expense is related to "&amp;I44&amp;" expense"&amp;" from "&amp;K44</f>
        <v/>
      </c>
      <c r="AM44" s="99" t="n"/>
      <c r="AN44" s="85" t="inlineStr">
        <is>
          <t>GC7399</t>
        </is>
      </c>
      <c r="AO44" s="100" t="inlineStr">
        <is>
          <t>Infra</t>
        </is>
      </c>
      <c r="AP44" s="98" t="inlineStr">
        <is>
          <t>Yes, the classificaiton is appropriate</t>
        </is>
      </c>
      <c r="AR44" s="86" t="n"/>
      <c r="AS44" s="85" t="n"/>
      <c r="AT44" s="85" t="inlineStr">
        <is>
          <t>071096713001</t>
        </is>
      </c>
      <c r="AU44" s="85" t="inlineStr">
        <is>
          <t>HSBC BANK (MUMBAI)</t>
        </is>
      </c>
      <c r="AV44" s="101" t="n"/>
      <c r="AW44" s="70" t="n"/>
      <c r="AX44" s="70" t="n"/>
      <c r="AY44" s="70" t="n"/>
      <c r="AZ44" s="70" t="n"/>
      <c r="BA44" s="70" t="n"/>
      <c r="BB44" s="70" t="n"/>
      <c r="BC44" s="70" t="n"/>
      <c r="BD44" s="70" t="n"/>
      <c r="BE44" s="70" t="n"/>
      <c r="BF44" s="70" t="n"/>
      <c r="BG44" s="70" t="n"/>
    </row>
    <row r="45" ht="30.05" customFormat="1" customHeight="1" s="59">
      <c r="A45" s="58" t="n"/>
      <c r="D45" s="80" t="n"/>
      <c r="E45" s="80" t="n"/>
      <c r="F45" s="80" t="n"/>
      <c r="G45" s="80" t="n"/>
      <c r="H45" s="81" t="inlineStr">
        <is>
          <t>;</t>
        </is>
      </c>
      <c r="I45" s="107" t="inlineStr">
        <is>
          <t>Repair and Maintenance - Plant &amp; Machinery</t>
        </is>
      </c>
      <c r="J45" s="85" t="n">
        <v>600091662</v>
      </c>
      <c r="K45" s="84" t="inlineStr">
        <is>
          <t>VACUUMSCHMELZE GMBH AND CO KG</t>
        </is>
      </c>
      <c r="L45" s="85" t="n">
        <v>100065312</v>
      </c>
      <c r="M45" s="86" t="n">
        <v>45839</v>
      </c>
      <c r="N45" s="86" t="n">
        <v>45884</v>
      </c>
      <c r="O45" s="97" t="inlineStr">
        <is>
          <t>Inv Num - 600091662 , Supplier Name - VACUUMSCHMELZE GMBH AND CO KG , PO Num - 100065312 , Inv Dist Desc - Supply of STACK, CORE-MAIN STATOR Similar to drawing:  XXXXX Material: VACODUR49 / 0.2mm Parts in glued and eroded quality (VACSTACK-</t>
        </is>
      </c>
      <c r="P45" s="101" t="n">
        <v>5202970.46</v>
      </c>
      <c r="Q45" s="102" t="n"/>
      <c r="R45" s="90" t="n"/>
      <c r="S45" s="85" t="inlineStr">
        <is>
          <t>600091662</t>
        </is>
      </c>
      <c r="T45" s="86" t="n">
        <v>45839</v>
      </c>
      <c r="U45" s="85" t="inlineStr">
        <is>
          <t>VACUUMSCHMELZE GMBH AND CO KG</t>
        </is>
      </c>
      <c r="V45" s="91" t="inlineStr">
        <is>
          <t>STACK, CORE-MAIN STATOR</t>
        </is>
      </c>
      <c r="W45" s="101" t="n">
        <v>52000</v>
      </c>
      <c r="X45" s="101" t="n">
        <v>52000</v>
      </c>
      <c r="Y45" s="101">
        <f>W45</f>
        <v/>
      </c>
      <c r="Z45" s="92">
        <f>P45-Y45</f>
        <v/>
      </c>
      <c r="AA45" s="93" t="n"/>
      <c r="AB45" s="94" t="n"/>
      <c r="AC45" s="95" t="n"/>
      <c r="AD45" s="95" t="n"/>
      <c r="AE45" s="159" t="n"/>
      <c r="AF45" s="67" t="n"/>
      <c r="AG45" s="86" t="n">
        <v>45699</v>
      </c>
      <c r="AH45" s="85" t="inlineStr">
        <is>
          <t>100065312</t>
        </is>
      </c>
      <c r="AI45" s="84" t="inlineStr">
        <is>
          <t>Supply of STACK, CORE-MAIN STATOR Similar to drawing: XXXXX Material: VACODUR49 / 0.2mm Parts in glued and eroded quality (VACSTACK-TECHNOLOGY). Annealed for optimum magnetic</t>
        </is>
      </c>
      <c r="AJ45" s="101" t="n">
        <v>78000</v>
      </c>
      <c r="AK45" s="85" t="b">
        <v>1</v>
      </c>
      <c r="AL45" s="98">
        <f>"ET has verified from invoices &amp; open PO that this expense is related to "&amp;I45&amp;" expense"&amp;" from "&amp;K45</f>
        <v/>
      </c>
      <c r="AM45" s="99" t="n"/>
      <c r="AN45" s="85" t="inlineStr">
        <is>
          <t>GC6929</t>
        </is>
      </c>
      <c r="AO45" s="100" t="inlineStr">
        <is>
          <t>Infra</t>
        </is>
      </c>
      <c r="AP45" s="98" t="inlineStr">
        <is>
          <t>Yes, the classificaiton is appropriate</t>
        </is>
      </c>
      <c r="AR45" s="86" t="n"/>
      <c r="AS45" s="85" t="n"/>
      <c r="AT45" s="85" t="n"/>
      <c r="AU45" s="85" t="n"/>
      <c r="AV45" s="101" t="n"/>
      <c r="AW45" s="70" t="n"/>
      <c r="AX45" s="70" t="n"/>
      <c r="AY45" s="70" t="n"/>
      <c r="AZ45" s="70" t="n"/>
      <c r="BA45" s="70" t="n"/>
      <c r="BB45" s="70" t="n"/>
      <c r="BC45" s="70" t="n"/>
      <c r="BD45" s="70" t="n"/>
      <c r="BE45" s="70" t="n"/>
      <c r="BF45" s="70" t="n"/>
      <c r="BG45" s="70" t="n"/>
    </row>
    <row r="46" ht="30.05" customFormat="1" customHeight="1" s="59">
      <c r="A46" s="58" t="n"/>
      <c r="D46" s="80" t="n"/>
      <c r="E46" s="80" t="n"/>
      <c r="F46" s="80" t="n"/>
      <c r="G46" s="80" t="n"/>
      <c r="H46" s="81" t="n"/>
      <c r="I46" s="107" t="inlineStr">
        <is>
          <t>Repair and Maintenance - Plant &amp; Machinery</t>
        </is>
      </c>
      <c r="J46" s="85" t="inlineStr">
        <is>
          <t>A/25-26/69</t>
        </is>
      </c>
      <c r="K46" s="84" t="inlineStr">
        <is>
          <t>AALIAADO A37863</t>
        </is>
      </c>
      <c r="L46" s="85" t="n">
        <v>100068714</v>
      </c>
      <c r="M46" s="86" t="n">
        <v>46036</v>
      </c>
      <c r="N46" s="86" t="n">
        <v>46045</v>
      </c>
      <c r="O46" s="97" t="inlineStr">
        <is>
          <t>Inv Num - A/25-26/69 , Supplier Name - AALIAADO A37863 , PO Num - 100068714 , Inv Dist Desc - Supply of Nexus Electric Generator Prototype parts, Details as per Annexure. (Quote Ref#550 R3 )</t>
        </is>
      </c>
      <c r="P46" s="101" t="n">
        <v>1098600</v>
      </c>
      <c r="Q46" s="102" t="n"/>
      <c r="R46" s="90" t="n"/>
      <c r="S46" s="85" t="inlineStr">
        <is>
          <t>A/25-26/69</t>
        </is>
      </c>
      <c r="T46" s="86" t="n">
        <v>46036</v>
      </c>
      <c r="U46" s="85" t="inlineStr">
        <is>
          <t>Aaliaado</t>
        </is>
      </c>
      <c r="V46" s="91" t="inlineStr">
        <is>
          <t>SHAFT, Housing.</t>
        </is>
      </c>
      <c r="W46" s="101" t="n">
        <v>1098600</v>
      </c>
      <c r="X46" s="101" t="n">
        <v>1296348</v>
      </c>
      <c r="Y46" s="101">
        <f>W46</f>
        <v/>
      </c>
      <c r="Z46" s="92">
        <f>P46-Y46</f>
        <v/>
      </c>
      <c r="AA46" s="93" t="n"/>
      <c r="AB46" s="94" t="n"/>
      <c r="AC46" s="95" t="n"/>
      <c r="AD46" s="95" t="n"/>
      <c r="AE46" s="159" t="n"/>
      <c r="AF46" s="67" t="n"/>
      <c r="AG46" s="86" t="n">
        <v>45931</v>
      </c>
      <c r="AH46" s="85" t="inlineStr">
        <is>
          <t>100068714</t>
        </is>
      </c>
      <c r="AI46" s="97" t="inlineStr">
        <is>
          <t>Supply of Nexus Electric Generator Prototype parts, Details as per Annexure. (Quote Ref#550 R3 )</t>
        </is>
      </c>
      <c r="AJ46" s="101" t="n">
        <v>4209600</v>
      </c>
      <c r="AK46" s="85" t="b">
        <v>1</v>
      </c>
      <c r="AL46" s="98">
        <f>"ET has verified from invoices &amp; open PO that this expense is related to "&amp;I46&amp;" expense"&amp;" from "&amp;K46</f>
        <v/>
      </c>
      <c r="AM46" s="99" t="n"/>
      <c r="AN46" s="85" t="inlineStr">
        <is>
          <t>GC9404</t>
        </is>
      </c>
      <c r="AO46" s="100" t="inlineStr">
        <is>
          <t>Aviation</t>
        </is>
      </c>
      <c r="AP46" s="98" t="inlineStr">
        <is>
          <t>Yes, the classificaiton is appropriate</t>
        </is>
      </c>
      <c r="AR46" s="86" t="n">
        <v>46076</v>
      </c>
      <c r="AS46" s="85" t="n"/>
      <c r="AT46" s="85" t="n"/>
      <c r="AU46" s="85" t="n"/>
      <c r="AV46" s="101" t="n">
        <v>1460781</v>
      </c>
      <c r="AW46" s="70" t="n"/>
      <c r="AX46" s="70" t="n"/>
      <c r="AY46" s="70" t="n"/>
      <c r="AZ46" s="70" t="n"/>
      <c r="BA46" s="70" t="n"/>
      <c r="BB46" s="70" t="n"/>
      <c r="BC46" s="70" t="n"/>
      <c r="BD46" s="70" t="n"/>
      <c r="BE46" s="70" t="n"/>
      <c r="BF46" s="70" t="n"/>
      <c r="BG46" s="70" t="n"/>
    </row>
    <row r="47" ht="30.05" customFormat="1" customHeight="1" s="59">
      <c r="A47" s="58" t="n"/>
      <c r="D47" s="80" t="n"/>
      <c r="E47" s="80" t="n"/>
      <c r="F47" s="80" t="n"/>
      <c r="G47" s="80" t="n"/>
      <c r="H47" s="81" t="n"/>
      <c r="I47" s="107" t="inlineStr">
        <is>
          <t>Repair and Maintenance - Plant &amp; Machinery</t>
        </is>
      </c>
      <c r="J47" s="85" t="inlineStr">
        <is>
          <t>B1Z3TS17244</t>
        </is>
      </c>
      <c r="K47" s="84" t="inlineStr">
        <is>
          <t>GENPACT INDIA PRIVATE LIMITED A37168</t>
        </is>
      </c>
      <c r="L47" s="85" t="n">
        <v>100070261</v>
      </c>
      <c r="M47" s="86" t="n">
        <v>46081</v>
      </c>
      <c r="N47" s="86" t="n">
        <v>46093</v>
      </c>
      <c r="O47" s="97" t="inlineStr">
        <is>
          <t>Inv Num - B1Z3TS17244 , Supplier Name - GENPACT INDIA PRIVATE LIMITED A37168 , PO Num - 100070261 , Inv Dist Desc - Charges towards L2/L3 (Infrastructure operations support ) for Servers, Storage &amp; Backup, Network from Jan'26 to Dec'26.</t>
        </is>
      </c>
      <c r="P47" s="101" t="n">
        <v>1338239</v>
      </c>
      <c r="Q47" s="102" t="n"/>
      <c r="R47" s="90" t="n"/>
      <c r="S47" s="83" t="inlineStr">
        <is>
          <t>B1Z3TS17244</t>
        </is>
      </c>
      <c r="T47" s="86" t="n">
        <v>46081</v>
      </c>
      <c r="U47" s="85" t="inlineStr">
        <is>
          <t>Genpact India Pvt. Ltd.</t>
        </is>
      </c>
      <c r="V47" s="91" t="inlineStr">
        <is>
          <t>Tech Services / Feb'26</t>
        </is>
      </c>
      <c r="W47" s="101" t="n">
        <v>1338239</v>
      </c>
      <c r="X47" s="101" t="n">
        <v>1579122.02</v>
      </c>
      <c r="Y47" s="101">
        <f>W47</f>
        <v/>
      </c>
      <c r="Z47" s="92">
        <f>P47-Y47</f>
        <v/>
      </c>
      <c r="AA47" s="93" t="n"/>
      <c r="AB47" s="94" t="n"/>
      <c r="AC47" s="95" t="n"/>
      <c r="AD47" s="95" t="n"/>
      <c r="AE47" s="159" t="n"/>
      <c r="AF47" s="67" t="n"/>
      <c r="AG47" s="86" t="n">
        <v>46019</v>
      </c>
      <c r="AH47" s="85" t="inlineStr">
        <is>
          <t>100070261</t>
        </is>
      </c>
      <c r="AI47" s="97" t="inlineStr">
        <is>
          <t>Charges towards L2/L3 (Infrastructure operations support ) for Servers, Storage &amp; Backup, Network from Jan'26 to Dec'26.</t>
        </is>
      </c>
      <c r="AJ47" s="101" t="n">
        <v>16058868</v>
      </c>
      <c r="AK47" s="85" t="b">
        <v>1</v>
      </c>
      <c r="AL47" s="98">
        <f>"ET has verified from invoices &amp; open PO that this expense is related to "&amp;I47&amp;" expense"&amp;" from "&amp;K47</f>
        <v/>
      </c>
      <c r="AM47" s="99" t="n"/>
      <c r="AN47" s="85" t="inlineStr">
        <is>
          <t>GC9425</t>
        </is>
      </c>
      <c r="AO47" s="100" t="inlineStr">
        <is>
          <t>Aviation</t>
        </is>
      </c>
      <c r="AP47" s="98" t="inlineStr">
        <is>
          <t>Yes, the classificaiton is appropriate</t>
        </is>
      </c>
      <c r="AR47" s="86" t="n"/>
      <c r="AS47" s="85" t="n"/>
      <c r="AT47" s="85" t="n"/>
      <c r="AU47" s="85" t="n"/>
      <c r="AV47" s="101" t="n"/>
      <c r="AW47" s="70" t="n"/>
      <c r="AX47" s="70" t="n"/>
      <c r="AY47" s="70" t="n"/>
      <c r="AZ47" s="70" t="n"/>
      <c r="BA47" s="70" t="n"/>
      <c r="BB47" s="70" t="n"/>
      <c r="BC47" s="70" t="n"/>
      <c r="BD47" s="70" t="n"/>
      <c r="BE47" s="70" t="n"/>
      <c r="BF47" s="70" t="n"/>
      <c r="BG47" s="70" t="n"/>
    </row>
    <row r="48" ht="30.05" customFormat="1" customHeight="1" s="59">
      <c r="A48" s="70" t="n"/>
      <c r="D48" s="80" t="n"/>
      <c r="E48" s="80" t="n"/>
      <c r="F48" s="80" t="n"/>
      <c r="G48" s="80" t="n"/>
      <c r="H48" s="81" t="n"/>
      <c r="I48" s="107" t="inlineStr">
        <is>
          <t>Repair and Maintenance - Plant &amp; Machinery</t>
        </is>
      </c>
      <c r="J48" s="85" t="n"/>
      <c r="K48" s="84" t="inlineStr">
        <is>
          <t>Thermo Fisher Scientific India Pvt Ltd A39070</t>
        </is>
      </c>
      <c r="L48" s="85" t="n">
        <v>100066314</v>
      </c>
      <c r="M48" s="86" t="n"/>
      <c r="N48" s="86" t="n">
        <v>46118</v>
      </c>
      <c r="O48" s="97" t="inlineStr">
        <is>
          <t>Comprehensive Maintenance charges for D6175 Nova Nano SEM 450 Duration from 1-Apr-2025 to 31-Mar-2026  (Quote Ref# 22290887).</t>
        </is>
      </c>
      <c r="P48" s="101" t="n">
        <v>1409470.89</v>
      </c>
      <c r="Q48" s="102" t="n"/>
      <c r="R48" s="90" t="n"/>
      <c r="S48" s="83" t="inlineStr">
        <is>
          <t>9240731889</t>
        </is>
      </c>
      <c r="T48" s="86" t="n">
        <v>46112</v>
      </c>
      <c r="U48" s="85" t="inlineStr">
        <is>
          <t>Thermo Fisher Scientific India Pvt. Ltd.</t>
        </is>
      </c>
      <c r="V48" s="91" t="inlineStr">
        <is>
          <t>CMC For NNS450 (Sr. No. D6175)</t>
        </is>
      </c>
      <c r="W48" s="101" t="n">
        <v>1409471.11</v>
      </c>
      <c r="X48" s="101" t="n">
        <v>1663175.91</v>
      </c>
      <c r="Y48" s="101">
        <f>W48</f>
        <v/>
      </c>
      <c r="Z48" s="92">
        <f>P48-Y48</f>
        <v/>
      </c>
      <c r="AA48" s="162" t="n"/>
      <c r="AB48" s="94" t="n"/>
      <c r="AC48" s="95" t="n"/>
      <c r="AD48" s="95" t="n"/>
      <c r="AE48" s="159" t="n"/>
      <c r="AF48" s="67" t="n"/>
      <c r="AG48" s="86" t="n">
        <v>45769</v>
      </c>
      <c r="AH48" s="85" t="inlineStr">
        <is>
          <t>100066314</t>
        </is>
      </c>
      <c r="AI48" s="97" t="inlineStr">
        <is>
          <t>Comprehensive Maintenance charges for D6175 Nova Nano SEM 450, Duration from 1-Apr-2025 to 31-Mar-2026 (Quote Ref# 22290887).</t>
        </is>
      </c>
      <c r="AJ48" s="101" t="n">
        <v>2818942</v>
      </c>
      <c r="AK48" s="85" t="b">
        <v>1</v>
      </c>
      <c r="AL48" s="98">
        <f>"ET has verified from invoices &amp; open PO that this expense is related to "&amp;I48&amp;" expense"&amp;" from "&amp;K48</f>
        <v/>
      </c>
      <c r="AM48" s="99" t="n"/>
      <c r="AN48" s="85" t="inlineStr">
        <is>
          <t>GC9426</t>
        </is>
      </c>
      <c r="AO48" s="100" t="inlineStr">
        <is>
          <t>Aviation</t>
        </is>
      </c>
      <c r="AP48" s="98" t="inlineStr">
        <is>
          <t>Yes, the classificaiton is appropriate</t>
        </is>
      </c>
      <c r="AR48" s="86" t="n">
        <v>46136</v>
      </c>
      <c r="AS48" s="85" t="n"/>
      <c r="AT48" s="85" t="n"/>
      <c r="AU48" s="85" t="n"/>
      <c r="AV48" s="101" t="n">
        <v>1634986.49</v>
      </c>
      <c r="AW48" s="70" t="n"/>
      <c r="AX48" s="70" t="n"/>
      <c r="AY48" s="70" t="n"/>
      <c r="AZ48" s="70" t="n"/>
      <c r="BA48" s="70" t="n"/>
      <c r="BB48" s="70" t="n"/>
      <c r="BC48" s="70" t="n"/>
      <c r="BD48" s="70" t="n"/>
      <c r="BE48" s="70" t="n"/>
      <c r="BF48" s="70" t="n"/>
      <c r="BG48" s="70" t="n"/>
    </row>
    <row r="49" ht="30.05" customFormat="1" customHeight="1" s="59">
      <c r="A49" s="70" t="n"/>
      <c r="D49" s="80" t="n"/>
      <c r="E49" s="80" t="n"/>
      <c r="F49" s="80" t="n"/>
      <c r="G49" s="80" t="n"/>
      <c r="H49" s="84" t="n"/>
      <c r="I49" s="107" t="inlineStr">
        <is>
          <t>Repair and Maintenance - Plant &amp; Machinery</t>
        </is>
      </c>
      <c r="J49" s="85" t="inlineStr">
        <is>
          <t>2025-26/1354</t>
        </is>
      </c>
      <c r="K49" s="84" t="inlineStr">
        <is>
          <t>ESVEE STATIONERS A38311</t>
        </is>
      </c>
      <c r="L49" s="85" t="n">
        <v>100066669</v>
      </c>
      <c r="M49" s="86" t="n">
        <v>45997</v>
      </c>
      <c r="N49" s="86" t="n">
        <v>46023</v>
      </c>
      <c r="O49" s="97" t="inlineStr">
        <is>
          <t>Inv Num - 2025-26/1354 , Supplier Name - ESVEE STATIONERS A38311 , PO Num - 100066669 , Inv Dist Desc - Amendment: Open PO for Supply of HRT / T-Roll / M-fold at JFWTC Campus, Details as per Annexure.</t>
        </is>
      </c>
      <c r="P49" s="101" t="n">
        <v>998250</v>
      </c>
      <c r="Q49" s="102" t="n"/>
      <c r="R49" s="90" t="n"/>
      <c r="S49" s="83" t="inlineStr">
        <is>
          <t>2025-26/1354</t>
        </is>
      </c>
      <c r="T49" s="86" t="n">
        <v>45997</v>
      </c>
      <c r="U49" s="85" t="inlineStr">
        <is>
          <t>Esvee Stationers</t>
        </is>
      </c>
      <c r="V49" s="91" t="inlineStr">
        <is>
          <t>Scott HRT, Scott M Fold, Scott Bath Tissues</t>
        </is>
      </c>
      <c r="W49" s="101" t="n">
        <v>998250</v>
      </c>
      <c r="X49" s="101" t="n">
        <v>1177935</v>
      </c>
      <c r="Y49" s="101">
        <f>W49</f>
        <v/>
      </c>
      <c r="Z49" s="92">
        <f>P49-Y49</f>
        <v/>
      </c>
      <c r="AA49" s="84" t="n"/>
      <c r="AB49" s="94" t="n"/>
      <c r="AC49" s="95" t="n"/>
      <c r="AD49" s="95" t="n"/>
      <c r="AE49" s="159" t="n"/>
      <c r="AG49" s="86" t="n">
        <v>45795</v>
      </c>
      <c r="AH49" s="85" t="inlineStr">
        <is>
          <t>100066669</t>
        </is>
      </c>
      <c r="AI49" s="97" t="inlineStr">
        <is>
          <t>Open PO for Supply of HRT / T-Roll / M-fold at JFWTC Campus, Details as per Annexure.</t>
        </is>
      </c>
      <c r="AJ49" s="101" t="n">
        <v>7200000</v>
      </c>
      <c r="AK49" s="85" t="b">
        <v>1</v>
      </c>
      <c r="AL49" s="98">
        <f>"ET has verified from invoices &amp; open PO that this expense is related to "&amp;I49&amp;" expense"&amp;" from "&amp;K49</f>
        <v/>
      </c>
      <c r="AM49" s="99" t="n"/>
      <c r="AN49" s="85" t="inlineStr">
        <is>
          <t>GC9425</t>
        </is>
      </c>
      <c r="AO49" s="100" t="inlineStr">
        <is>
          <t>Aviation</t>
        </is>
      </c>
      <c r="AP49" s="98" t="inlineStr">
        <is>
          <t>Yes, the classificaiton is appropriate</t>
        </is>
      </c>
      <c r="AR49" s="86" t="n">
        <v>46024</v>
      </c>
      <c r="AS49" s="85" t="n"/>
      <c r="AT49" s="85" t="n"/>
      <c r="AU49" s="85" t="n"/>
      <c r="AV49" s="101" t="n">
        <v>1178936.75</v>
      </c>
      <c r="AW49" s="70" t="n"/>
      <c r="AX49" s="70" t="n"/>
      <c r="AY49" s="70" t="n"/>
      <c r="AZ49" s="70" t="n"/>
      <c r="BA49" s="70" t="n"/>
      <c r="BB49" s="70" t="n"/>
      <c r="BC49" s="70" t="n"/>
      <c r="BD49" s="70" t="n"/>
      <c r="BE49" s="70" t="n"/>
      <c r="BF49" s="70" t="n"/>
      <c r="BG49" s="70" t="n"/>
    </row>
    <row r="50" ht="30.05" customFormat="1" customHeight="1" s="59">
      <c r="A50" s="70" t="n"/>
      <c r="D50" s="80" t="n"/>
      <c r="E50" s="80" t="n"/>
      <c r="F50" s="80" t="n"/>
      <c r="G50" s="80" t="n"/>
      <c r="H50" s="84" t="n"/>
      <c r="I50" s="82" t="n"/>
      <c r="J50" s="85" t="n"/>
      <c r="K50" s="84" t="n"/>
      <c r="L50" s="85" t="n"/>
      <c r="M50" s="120" t="n"/>
      <c r="N50" s="120" t="n"/>
      <c r="O50" s="97" t="n"/>
      <c r="P50" s="101" t="n"/>
      <c r="Q50" s="102" t="n"/>
      <c r="R50" s="90" t="n"/>
      <c r="S50" s="83" t="n"/>
      <c r="T50" s="86" t="n"/>
      <c r="U50" s="85" t="n"/>
      <c r="V50" s="91" t="n"/>
      <c r="W50" s="101" t="n"/>
      <c r="X50" s="101" t="n"/>
      <c r="Y50" s="101">
        <f>W50</f>
        <v/>
      </c>
      <c r="Z50" s="92">
        <f>P50-Y50</f>
        <v/>
      </c>
      <c r="AA50" s="84" t="n"/>
      <c r="AB50" s="94" t="n"/>
      <c r="AC50" s="95" t="n"/>
      <c r="AD50" s="95" t="n"/>
      <c r="AE50" s="159" t="n"/>
      <c r="AG50" s="86" t="n"/>
      <c r="AH50" s="85" t="n"/>
      <c r="AI50" s="97" t="n"/>
      <c r="AJ50" s="101" t="n"/>
      <c r="AK50" s="85" t="b">
        <v>1</v>
      </c>
      <c r="AL50" s="98">
        <f>"ET has verified from invoices &amp; open PO that this expense is related to "&amp;I50&amp;" expense"&amp;" from "&amp;K50</f>
        <v/>
      </c>
      <c r="AM50" s="99" t="n"/>
      <c r="AN50" s="85" t="inlineStr">
        <is>
          <t>GC9407</t>
        </is>
      </c>
      <c r="AO50" s="100" t="inlineStr">
        <is>
          <t>Aviation</t>
        </is>
      </c>
      <c r="AP50" s="98" t="inlineStr">
        <is>
          <t>Yes, the classificaiton is appropriate</t>
        </is>
      </c>
      <c r="AR50" s="86" t="n"/>
      <c r="AS50" s="85" t="n"/>
      <c r="AT50" s="85" t="n"/>
      <c r="AU50" s="85" t="n"/>
      <c r="AV50" s="101" t="n"/>
      <c r="AW50" s="70" t="n"/>
      <c r="AX50" s="70" t="n"/>
      <c r="AY50" s="70" t="n"/>
      <c r="AZ50" s="70" t="n"/>
      <c r="BA50" s="70" t="n"/>
      <c r="BB50" s="70" t="n"/>
      <c r="BC50" s="70" t="n"/>
      <c r="BD50" s="70" t="n"/>
      <c r="BE50" s="70" t="n"/>
      <c r="BF50" s="70" t="n"/>
      <c r="BG50" s="70" t="n"/>
    </row>
    <row r="51" ht="30.05" customFormat="1" customHeight="1" s="59">
      <c r="A51" s="111" t="n"/>
      <c r="D51" s="80" t="n"/>
      <c r="E51" s="80" t="n"/>
      <c r="F51" s="80" t="n"/>
      <c r="G51" s="80" t="n"/>
      <c r="H51" s="84" t="n"/>
      <c r="I51" s="82" t="n"/>
      <c r="J51" s="85" t="n"/>
      <c r="K51" s="84" t="n"/>
      <c r="L51" s="85" t="n"/>
      <c r="M51" s="120" t="n"/>
      <c r="N51" s="120" t="n"/>
      <c r="O51" s="97" t="n"/>
      <c r="P51" s="101" t="n"/>
      <c r="Q51" s="102" t="n"/>
      <c r="R51" s="90" t="n"/>
      <c r="S51" s="83" t="n"/>
      <c r="T51" s="86" t="n"/>
      <c r="U51" s="85" t="n"/>
      <c r="V51" s="91" t="n"/>
      <c r="W51" s="101" t="n"/>
      <c r="X51" s="101" t="n"/>
      <c r="Y51" s="101">
        <f>W51</f>
        <v/>
      </c>
      <c r="Z51" s="92">
        <f>P51-Y51</f>
        <v/>
      </c>
      <c r="AA51" s="84" t="n"/>
      <c r="AB51" s="94" t="n"/>
      <c r="AC51" s="95" t="n"/>
      <c r="AD51" s="95" t="n"/>
      <c r="AE51" s="159" t="n"/>
      <c r="AG51" s="86" t="n"/>
      <c r="AH51" s="85" t="n"/>
      <c r="AI51" s="97" t="n"/>
      <c r="AJ51" s="101" t="n"/>
      <c r="AK51" s="85" t="b">
        <v>1</v>
      </c>
      <c r="AL51" s="98">
        <f>"ET has verified from invoices &amp; open PO that this expense is related to "&amp;I51&amp;" expense"&amp;" from "&amp;K51</f>
        <v/>
      </c>
      <c r="AM51" s="99" t="n"/>
      <c r="AN51" s="85" t="inlineStr">
        <is>
          <t>GC9406</t>
        </is>
      </c>
      <c r="AO51" s="100" t="inlineStr">
        <is>
          <t>Aviation</t>
        </is>
      </c>
      <c r="AP51" s="98" t="inlineStr">
        <is>
          <t>Yes, the classificaiton is appropriate</t>
        </is>
      </c>
      <c r="AR51" s="86" t="n"/>
      <c r="AS51" s="85" t="n"/>
      <c r="AT51" s="85" t="n"/>
      <c r="AU51" s="85" t="n"/>
      <c r="AV51" s="101" t="n"/>
      <c r="AW51" s="111" t="n"/>
      <c r="AX51" s="111" t="n"/>
      <c r="AY51" s="111" t="n"/>
      <c r="AZ51" s="111" t="n"/>
      <c r="BA51" s="111" t="n"/>
      <c r="BB51" s="111" t="n"/>
      <c r="BC51" s="111" t="n"/>
      <c r="BD51" s="111" t="n"/>
      <c r="BE51" s="111" t="n"/>
      <c r="BF51" s="111" t="n"/>
      <c r="BG51" s="111" t="n"/>
    </row>
    <row r="52" ht="30.05" customFormat="1" customHeight="1" s="59">
      <c r="A52" s="70" t="n"/>
      <c r="D52" s="80" t="n"/>
      <c r="E52" s="80" t="n"/>
      <c r="F52" s="80" t="n"/>
      <c r="G52" s="80" t="n"/>
      <c r="H52" s="84" t="n"/>
      <c r="I52" s="82" t="n"/>
      <c r="J52" s="85" t="n"/>
      <c r="K52" s="84" t="n"/>
      <c r="L52" s="85" t="n"/>
      <c r="M52" s="120" t="n"/>
      <c r="N52" s="120" t="n"/>
      <c r="O52" s="97" t="n"/>
      <c r="P52" s="101" t="n"/>
      <c r="Q52" s="102" t="n"/>
      <c r="R52" s="90" t="n"/>
      <c r="S52" s="85" t="n"/>
      <c r="T52" s="86" t="n"/>
      <c r="U52" s="85" t="n"/>
      <c r="V52" s="91" t="n"/>
      <c r="W52" s="101" t="n"/>
      <c r="X52" s="101" t="n"/>
      <c r="Y52" s="101">
        <f>W52</f>
        <v/>
      </c>
      <c r="Z52" s="92">
        <f>P52-Y52</f>
        <v/>
      </c>
      <c r="AA52" s="97" t="n"/>
      <c r="AB52" s="94" t="n"/>
      <c r="AC52" s="84" t="n"/>
      <c r="AD52" s="95" t="n"/>
      <c r="AE52" s="159" t="n"/>
      <c r="AG52" s="86" t="n"/>
      <c r="AH52" s="85" t="n"/>
      <c r="AI52" s="97" t="n"/>
      <c r="AJ52" s="101" t="n"/>
      <c r="AK52" s="85" t="b">
        <v>1</v>
      </c>
      <c r="AL52" s="98">
        <f>"ET has verified from invoices &amp; open PO that this expense is related to "&amp;I52&amp;" expense"&amp;" from "&amp;K52</f>
        <v/>
      </c>
      <c r="AM52" s="99" t="n"/>
      <c r="AN52" s="85" t="inlineStr">
        <is>
          <t>GC9412</t>
        </is>
      </c>
      <c r="AO52" s="100" t="inlineStr">
        <is>
          <t>Aviation</t>
        </is>
      </c>
      <c r="AP52" s="98" t="inlineStr">
        <is>
          <t>Yes, the classificaiton is appropriate</t>
        </is>
      </c>
      <c r="AR52" s="86" t="n"/>
      <c r="AS52" s="85" t="n"/>
      <c r="AT52" s="85" t="n"/>
      <c r="AU52" s="85" t="n"/>
      <c r="AV52" s="101" t="n"/>
      <c r="AW52" s="70" t="n"/>
      <c r="AX52" s="70" t="n"/>
      <c r="AY52" s="70" t="n"/>
      <c r="AZ52" s="70" t="n"/>
      <c r="BA52" s="70" t="n"/>
      <c r="BB52" s="70" t="n"/>
      <c r="BC52" s="70" t="n"/>
      <c r="BD52" s="70" t="n"/>
      <c r="BE52" s="70" t="n"/>
      <c r="BF52" s="70" t="n"/>
      <c r="BG52" s="70" t="n"/>
    </row>
    <row r="53" ht="30.05" customFormat="1" customHeight="1" s="59">
      <c r="A53" s="58" t="n"/>
      <c r="D53" s="80" t="n"/>
      <c r="E53" s="80" t="n"/>
      <c r="F53" s="80" t="n"/>
      <c r="G53" s="80" t="n"/>
      <c r="H53" s="81" t="n"/>
      <c r="I53" s="82" t="n"/>
      <c r="J53" s="85" t="n"/>
      <c r="K53" s="84" t="n"/>
      <c r="L53" s="85" t="n"/>
      <c r="M53" s="120" t="n"/>
      <c r="N53" s="120" t="n"/>
      <c r="O53" s="97" t="n"/>
      <c r="P53" s="101" t="n"/>
      <c r="Q53" s="123" t="n"/>
      <c r="R53" s="90" t="n"/>
      <c r="S53" s="83" t="n"/>
      <c r="T53" s="86" t="n"/>
      <c r="U53" s="85" t="n"/>
      <c r="V53" s="91" t="n"/>
      <c r="W53" s="101" t="n"/>
      <c r="X53" s="101" t="n"/>
      <c r="Y53" s="101">
        <f>W53</f>
        <v/>
      </c>
      <c r="Z53" s="92">
        <f>P53-Y53</f>
        <v/>
      </c>
      <c r="AA53" s="124" t="n"/>
      <c r="AB53" s="94" t="n"/>
      <c r="AC53" s="95" t="n"/>
      <c r="AD53" s="95" t="n"/>
      <c r="AE53" s="159" t="n"/>
      <c r="AF53" s="67" t="n"/>
      <c r="AG53" s="86" t="n"/>
      <c r="AH53" s="85" t="n"/>
      <c r="AI53" s="97" t="n"/>
      <c r="AJ53" s="101" t="n"/>
      <c r="AK53" s="85" t="b">
        <v>1</v>
      </c>
      <c r="AL53" s="98">
        <f>"ET has verified from invoices &amp; open PO that this expense is related to "&amp;I53&amp;" expense"&amp;" from "&amp;K53</f>
        <v/>
      </c>
      <c r="AM53" s="99" t="n"/>
      <c r="AN53" s="85" t="inlineStr">
        <is>
          <t>GC9410</t>
        </is>
      </c>
      <c r="AO53" s="100" t="inlineStr">
        <is>
          <t>Aviation</t>
        </is>
      </c>
      <c r="AP53" s="98" t="inlineStr">
        <is>
          <t>Yes, the classificaiton is appropriate</t>
        </is>
      </c>
      <c r="AR53" s="86" t="n"/>
      <c r="AS53" s="85" t="n"/>
      <c r="AT53" s="85" t="n"/>
      <c r="AU53" s="85" t="n"/>
      <c r="AV53" s="101" t="n"/>
      <c r="AW53" s="70" t="n"/>
      <c r="AX53" s="70" t="n"/>
      <c r="AY53" s="70" t="n"/>
      <c r="AZ53" s="70" t="n"/>
      <c r="BA53" s="70" t="n"/>
      <c r="BB53" s="70" t="n"/>
      <c r="BC53" s="70" t="n"/>
      <c r="BD53" s="70" t="n"/>
      <c r="BE53" s="70" t="n"/>
      <c r="BF53" s="70" t="n"/>
      <c r="BG53" s="70" t="n"/>
    </row>
    <row r="54" ht="30.05" customFormat="1" customHeight="1" s="59">
      <c r="A54" s="58" t="n"/>
      <c r="D54" s="80" t="n"/>
      <c r="E54" s="80" t="n"/>
      <c r="F54" s="80" t="n"/>
      <c r="G54" s="80" t="n"/>
      <c r="H54" s="81" t="n"/>
      <c r="I54" s="82" t="n"/>
      <c r="J54" s="85" t="n"/>
      <c r="K54" s="84" t="n"/>
      <c r="L54" s="85" t="n"/>
      <c r="M54" s="85" t="n"/>
      <c r="N54" s="120" t="n"/>
      <c r="O54" s="97" t="n"/>
      <c r="P54" s="101" t="n"/>
      <c r="Q54" s="123" t="n"/>
      <c r="R54" s="90" t="n"/>
      <c r="S54" s="85" t="n"/>
      <c r="T54" s="86" t="n"/>
      <c r="U54" s="85" t="n"/>
      <c r="V54" s="85" t="n"/>
      <c r="W54" s="101" t="n"/>
      <c r="X54" s="101" t="n"/>
      <c r="Y54" s="101">
        <f>W54</f>
        <v/>
      </c>
      <c r="Z54" s="92">
        <f>P54-Y54</f>
        <v/>
      </c>
      <c r="AA54" s="93" t="n"/>
      <c r="AB54" s="94" t="n"/>
      <c r="AC54" s="95" t="n"/>
      <c r="AD54" s="95" t="n"/>
      <c r="AE54" s="159" t="n"/>
      <c r="AF54" s="67" t="n"/>
      <c r="AG54" s="86" t="n"/>
      <c r="AH54" s="85" t="n"/>
      <c r="AI54" s="97" t="n"/>
      <c r="AJ54" s="101" t="n"/>
      <c r="AK54" s="85" t="b">
        <v>1</v>
      </c>
      <c r="AL54" s="98">
        <f>"ET has verified from invoices &amp; open PO that this expense is related to "&amp;I54&amp;" expense"&amp;" from "&amp;K54</f>
        <v/>
      </c>
      <c r="AM54" s="99" t="n"/>
      <c r="AN54" s="85" t="inlineStr">
        <is>
          <t>GC7689</t>
        </is>
      </c>
      <c r="AO54" s="100" t="inlineStr">
        <is>
          <t>Infra</t>
        </is>
      </c>
      <c r="AP54" s="98" t="inlineStr">
        <is>
          <t>Yes, the classificaiton is appropriate</t>
        </is>
      </c>
      <c r="AR54" s="86" t="n"/>
      <c r="AS54" s="86" t="n"/>
      <c r="AT54" s="85" t="n"/>
      <c r="AU54" s="85" t="n"/>
      <c r="AV54" s="101" t="n"/>
      <c r="AW54" s="70" t="n"/>
      <c r="AX54" s="70" t="n"/>
      <c r="AY54" s="70" t="n"/>
      <c r="AZ54" s="70" t="n"/>
      <c r="BA54" s="70" t="n"/>
      <c r="BB54" s="70" t="n"/>
      <c r="BC54" s="70" t="n"/>
      <c r="BD54" s="70" t="n"/>
      <c r="BE54" s="70" t="n"/>
      <c r="BF54" s="70" t="n"/>
      <c r="BG54" s="70" t="n"/>
    </row>
    <row r="55" ht="30.05" customFormat="1" customHeight="1" s="59">
      <c r="A55" s="70" t="n"/>
      <c r="D55" s="80" t="n"/>
      <c r="E55" s="80" t="n"/>
      <c r="F55" s="80" t="n"/>
      <c r="G55" s="80" t="n"/>
      <c r="H55" s="84" t="n"/>
      <c r="I55" s="82" t="n"/>
      <c r="J55" s="85" t="n"/>
      <c r="K55" s="84" t="n"/>
      <c r="L55" s="85" t="n"/>
      <c r="M55" s="120" t="n"/>
      <c r="N55" s="120" t="n"/>
      <c r="O55" s="97" t="n"/>
      <c r="P55" s="101" t="n"/>
      <c r="Q55" s="102" t="n"/>
      <c r="R55" s="90" t="n"/>
      <c r="S55" s="85" t="n"/>
      <c r="T55" s="86" t="n"/>
      <c r="U55" s="85" t="n"/>
      <c r="V55" s="91" t="n"/>
      <c r="W55" s="101" t="n"/>
      <c r="X55" s="101" t="n"/>
      <c r="Y55" s="101">
        <f>W55</f>
        <v/>
      </c>
      <c r="Z55" s="92">
        <f>P55-Y55</f>
        <v/>
      </c>
      <c r="AA55" s="84" t="n"/>
      <c r="AB55" s="94" t="n"/>
      <c r="AC55" s="95" t="n"/>
      <c r="AD55" s="95" t="n"/>
      <c r="AE55" s="159" t="n"/>
      <c r="AG55" s="120" t="n"/>
      <c r="AH55" s="85" t="n"/>
      <c r="AI55" s="97" t="n"/>
      <c r="AJ55" s="161" t="n"/>
      <c r="AK55" s="85" t="b">
        <v>1</v>
      </c>
      <c r="AL55" s="98">
        <f>"ET has verified from invoices &amp; open PO that this expense is related to "&amp;I55&amp;" expense"&amp;" from "&amp;K55</f>
        <v/>
      </c>
      <c r="AM55" s="99" t="n"/>
      <c r="AN55" s="85" t="inlineStr">
        <is>
          <t>GC9406</t>
        </is>
      </c>
      <c r="AO55" s="100" t="inlineStr">
        <is>
          <t>Aviation</t>
        </is>
      </c>
      <c r="AP55" s="98" t="inlineStr">
        <is>
          <t>Yes, the classificaiton is appropriate</t>
        </is>
      </c>
      <c r="AR55" s="86" t="n"/>
      <c r="AS55" s="85" t="n"/>
      <c r="AT55" s="85" t="n"/>
      <c r="AU55" s="85" t="n"/>
      <c r="AV55" s="101" t="n"/>
      <c r="AW55" s="70" t="n"/>
      <c r="AX55" s="70" t="n"/>
      <c r="AY55" s="70" t="n"/>
      <c r="AZ55" s="70" t="n"/>
      <c r="BA55" s="70" t="n"/>
      <c r="BB55" s="70" t="n"/>
      <c r="BC55" s="70" t="n"/>
      <c r="BD55" s="70" t="n"/>
      <c r="BE55" s="70" t="n"/>
      <c r="BF55" s="70" t="n"/>
      <c r="BG55" s="70" t="n"/>
    </row>
    <row r="56" ht="30.05" customFormat="1" customHeight="1" s="59">
      <c r="A56" s="70" t="n"/>
      <c r="D56" s="80" t="n"/>
      <c r="E56" s="80" t="n"/>
      <c r="F56" s="80" t="n"/>
      <c r="G56" s="80" t="n"/>
      <c r="H56" s="84" t="n"/>
      <c r="I56" s="82" t="n"/>
      <c r="J56" s="85" t="n"/>
      <c r="K56" s="84" t="n"/>
      <c r="L56" s="85" t="n"/>
      <c r="M56" s="120" t="n"/>
      <c r="N56" s="120" t="n"/>
      <c r="O56" s="97" t="n"/>
      <c r="P56" s="101" t="n"/>
      <c r="Q56" s="102" t="n"/>
      <c r="R56" s="90" t="n"/>
      <c r="S56" s="85" t="n"/>
      <c r="T56" s="86" t="n"/>
      <c r="U56" s="85" t="n"/>
      <c r="V56" s="91" t="n"/>
      <c r="W56" s="101" t="n"/>
      <c r="X56" s="101" t="n"/>
      <c r="Y56" s="101">
        <f>W56</f>
        <v/>
      </c>
      <c r="Z56" s="92">
        <f>P56-Y56</f>
        <v/>
      </c>
      <c r="AA56" s="84" t="n"/>
      <c r="AB56" s="94" t="n"/>
      <c r="AC56" s="95" t="n"/>
      <c r="AD56" s="95" t="n"/>
      <c r="AE56" s="159" t="n"/>
      <c r="AG56" s="86" t="n"/>
      <c r="AH56" s="85" t="n"/>
      <c r="AI56" s="97" t="n"/>
      <c r="AJ56" s="161" t="n"/>
      <c r="AK56" s="85" t="b">
        <v>1</v>
      </c>
      <c r="AL56" s="98">
        <f>"ET has verified from invoices &amp; open PO that this expense is related to "&amp;I56&amp;" expense"&amp;" from "&amp;K56</f>
        <v/>
      </c>
      <c r="AM56" s="99" t="n"/>
      <c r="AN56" s="85" t="inlineStr">
        <is>
          <t>GC9403</t>
        </is>
      </c>
      <c r="AO56" s="100" t="inlineStr">
        <is>
          <t>Aviation</t>
        </is>
      </c>
      <c r="AP56" s="98" t="inlineStr">
        <is>
          <t>Yes, the classificaiton is appropriate</t>
        </is>
      </c>
      <c r="AR56" s="86" t="n"/>
      <c r="AS56" s="85" t="n"/>
      <c r="AT56" s="85" t="n"/>
      <c r="AU56" s="85" t="n"/>
      <c r="AV56" s="101" t="n"/>
      <c r="AW56" s="70" t="n"/>
      <c r="AX56" s="70" t="n"/>
      <c r="AY56" s="70" t="n"/>
      <c r="AZ56" s="70" t="n"/>
      <c r="BA56" s="70" t="n"/>
      <c r="BB56" s="70" t="n"/>
      <c r="BC56" s="70" t="n"/>
      <c r="BD56" s="70" t="n"/>
      <c r="BE56" s="70" t="n"/>
      <c r="BF56" s="70" t="n"/>
      <c r="BG56" s="70" t="n"/>
    </row>
    <row r="57" ht="30.05" customFormat="1" customHeight="1" s="59">
      <c r="A57" s="70" t="n"/>
      <c r="D57" s="80" t="n"/>
      <c r="E57" s="80" t="n"/>
      <c r="F57" s="80" t="n"/>
      <c r="G57" s="80" t="n"/>
      <c r="H57" s="84" t="n"/>
      <c r="I57" s="82" t="n"/>
      <c r="J57" s="85" t="n"/>
      <c r="K57" s="84" t="n"/>
      <c r="L57" s="85" t="n"/>
      <c r="M57" s="86" t="n"/>
      <c r="N57" s="86" t="n"/>
      <c r="O57" s="97" t="n"/>
      <c r="P57" s="101" t="n"/>
      <c r="Q57" s="102" t="n"/>
      <c r="R57" s="90" t="n"/>
      <c r="S57" s="85" t="n"/>
      <c r="T57" s="86" t="n"/>
      <c r="U57" s="85" t="n"/>
      <c r="V57" s="85" t="n"/>
      <c r="W57" s="101" t="n"/>
      <c r="X57" s="101" t="n"/>
      <c r="Y57" s="101">
        <f>W57</f>
        <v/>
      </c>
      <c r="Z57" s="92">
        <f>P57-Y57</f>
        <v/>
      </c>
      <c r="AA57" s="84" t="n"/>
      <c r="AB57" s="94" t="n"/>
      <c r="AC57" s="95" t="n"/>
      <c r="AD57" s="95" t="n"/>
      <c r="AE57" s="159" t="n"/>
      <c r="AG57" s="86" t="n"/>
      <c r="AH57" s="85" t="n"/>
      <c r="AI57" s="97" t="n"/>
      <c r="AJ57" s="161" t="n"/>
      <c r="AK57" s="85" t="b">
        <v>1</v>
      </c>
      <c r="AL57" s="98">
        <f>"ET has verified from invoices &amp; open PO that this expense is related to "&amp;I57&amp;" expense"&amp;" from "&amp;K57</f>
        <v/>
      </c>
      <c r="AM57" s="99" t="n"/>
      <c r="AN57" s="85" t="inlineStr">
        <is>
          <t>GC7549</t>
        </is>
      </c>
      <c r="AO57" s="100" t="inlineStr">
        <is>
          <t>Infra</t>
        </is>
      </c>
      <c r="AP57" s="98" t="inlineStr">
        <is>
          <t>Yes, the classificaiton is appropriate</t>
        </is>
      </c>
      <c r="AR57" s="86" t="n"/>
      <c r="AS57" s="85" t="n"/>
      <c r="AT57" s="85" t="n"/>
      <c r="AU57" s="85" t="n"/>
      <c r="AV57" s="101" t="n"/>
      <c r="AW57" s="70" t="n"/>
      <c r="AX57" s="70" t="n"/>
      <c r="AY57" s="70" t="n"/>
      <c r="AZ57" s="70" t="n"/>
      <c r="BA57" s="70" t="n"/>
      <c r="BB57" s="70" t="n"/>
      <c r="BC57" s="70" t="n"/>
      <c r="BD57" s="70" t="n"/>
      <c r="BE57" s="70" t="n"/>
      <c r="BF57" s="70" t="n"/>
      <c r="BG57" s="70" t="n"/>
    </row>
    <row r="58" ht="30.05" customFormat="1" customHeight="1" s="59">
      <c r="A58" s="70" t="n"/>
      <c r="D58" s="80" t="n"/>
      <c r="E58" s="80" t="n"/>
      <c r="F58" s="80" t="n"/>
      <c r="G58" s="80" t="n"/>
      <c r="H58" s="84" t="n"/>
      <c r="I58" s="82" t="n"/>
      <c r="J58" s="85" t="n"/>
      <c r="K58" s="84" t="n"/>
      <c r="L58" s="85" t="n"/>
      <c r="M58" s="86" t="n"/>
      <c r="N58" s="86" t="n"/>
      <c r="O58" s="113" t="n"/>
      <c r="P58" s="101" t="n"/>
      <c r="Q58" s="102" t="n"/>
      <c r="R58" s="90" t="n"/>
      <c r="S58" s="85" t="n"/>
      <c r="T58" s="86" t="n"/>
      <c r="U58" s="85" t="n"/>
      <c r="V58" s="85" t="n"/>
      <c r="W58" s="101" t="n"/>
      <c r="X58" s="101" t="n"/>
      <c r="Y58" s="101">
        <f>W58</f>
        <v/>
      </c>
      <c r="Z58" s="126">
        <f>P58-Y58</f>
        <v/>
      </c>
      <c r="AA58" s="84" t="n"/>
      <c r="AB58" s="94" t="n"/>
      <c r="AC58" s="95" t="n"/>
      <c r="AD58" s="95" t="n"/>
      <c r="AE58" s="159" t="n"/>
      <c r="AG58" s="86" t="inlineStr">
        <is>
          <t>The payment realtes to the property tax being paid to the BBMP for the FY. Hnce, there is not PO realted to it.</t>
        </is>
      </c>
      <c r="AH58" s="153" t="n"/>
      <c r="AI58" s="153" t="n"/>
      <c r="AJ58" s="153" t="n"/>
      <c r="AK58" s="153" t="n"/>
      <c r="AL58" s="158" t="n"/>
      <c r="AM58" s="99" t="n"/>
      <c r="AN58" s="85" t="inlineStr">
        <is>
          <t>GC7399</t>
        </is>
      </c>
      <c r="AO58" s="100" t="inlineStr">
        <is>
          <t>Infra</t>
        </is>
      </c>
      <c r="AP58" s="98" t="inlineStr">
        <is>
          <t>Yes, the classificaiton is appropriate</t>
        </is>
      </c>
      <c r="AR58" s="86" t="inlineStr">
        <is>
          <t>Provision for the property tax was being made for which the payment was not being made</t>
        </is>
      </c>
      <c r="AS58" s="153" t="n"/>
      <c r="AT58" s="153" t="n"/>
      <c r="AU58" s="153" t="n"/>
      <c r="AV58" s="158" t="n"/>
      <c r="AW58" s="70" t="n"/>
      <c r="AX58" s="70" t="n"/>
      <c r="AY58" s="70" t="n"/>
      <c r="AZ58" s="70" t="n"/>
      <c r="BA58" s="70" t="n"/>
      <c r="BB58" s="70" t="n"/>
      <c r="BC58" s="70" t="n"/>
      <c r="BD58" s="70" t="n"/>
      <c r="BE58" s="70" t="n"/>
      <c r="BF58" s="70" t="n"/>
      <c r="BG58" s="70" t="n"/>
    </row>
    <row r="59" ht="30.05" customFormat="1" customHeight="1" s="59">
      <c r="A59" s="70" t="n"/>
      <c r="D59" s="80" t="n"/>
      <c r="E59" s="80" t="n"/>
      <c r="F59" s="80" t="n"/>
      <c r="G59" s="80" t="n"/>
      <c r="H59" s="84" t="n"/>
      <c r="I59" s="82" t="n"/>
      <c r="J59" s="85" t="n"/>
      <c r="K59" s="84" t="n"/>
      <c r="L59" s="85" t="n"/>
      <c r="M59" s="86" t="n"/>
      <c r="N59" s="86" t="n"/>
      <c r="O59" s="84" t="n"/>
      <c r="P59" s="101" t="n"/>
      <c r="Q59" s="102" t="n"/>
      <c r="R59" s="90" t="n"/>
      <c r="S59" s="85" t="n"/>
      <c r="T59" s="86" t="n"/>
      <c r="U59" s="85" t="n"/>
      <c r="V59" s="85" t="n"/>
      <c r="W59" s="101" t="n"/>
      <c r="X59" s="101" t="n"/>
      <c r="Y59" s="101">
        <f>W59</f>
        <v/>
      </c>
      <c r="Z59" s="92">
        <f>P59-Y59</f>
        <v/>
      </c>
      <c r="AA59" s="84" t="n"/>
      <c r="AB59" s="94" t="n"/>
      <c r="AC59" s="95" t="n"/>
      <c r="AD59" s="95" t="n"/>
      <c r="AE59" s="159" t="n"/>
      <c r="AG59" s="163" t="inlineStr">
        <is>
          <t>No purchase order is required for this expense as it pertains to Rates &amp; Taxes. We have an intimation letter from Bruhat Bengaluru Mahanagara Palike (BBMP) supporting this. The ET has verified the amount against the intimation and confirmed that the expense is solely related to Rates &amp; Taxes.</t>
        </is>
      </c>
      <c r="AH59" s="164" t="n"/>
      <c r="AI59" s="164" t="n"/>
      <c r="AJ59" s="164" t="n"/>
      <c r="AK59" s="164" t="n"/>
      <c r="AL59" s="165" t="n"/>
      <c r="AM59" s="99" t="n"/>
      <c r="AN59" s="85" t="inlineStr">
        <is>
          <t>GC6839</t>
        </is>
      </c>
      <c r="AO59" s="100" t="inlineStr">
        <is>
          <t>Infra</t>
        </is>
      </c>
      <c r="AP59" s="98" t="inlineStr">
        <is>
          <t>Yes, the classificaiton is appropriate</t>
        </is>
      </c>
      <c r="AR59" s="86" t="inlineStr">
        <is>
          <t>The Engagement team have traced the payments of the same in the rates and taxes WP along with the challan and receipts</t>
        </is>
      </c>
      <c r="AS59" s="164" t="n"/>
      <c r="AT59" s="164" t="n"/>
      <c r="AU59" s="164" t="n"/>
      <c r="AV59" s="165" t="n"/>
      <c r="AW59" s="70" t="n"/>
      <c r="AX59" s="70" t="n"/>
      <c r="AY59" s="70" t="n"/>
      <c r="AZ59" s="70" t="n"/>
      <c r="BA59" s="70" t="n"/>
      <c r="BB59" s="70" t="n"/>
      <c r="BC59" s="70" t="n"/>
      <c r="BD59" s="70" t="n"/>
      <c r="BE59" s="70" t="n"/>
      <c r="BF59" s="70" t="n"/>
      <c r="BG59" s="70" t="n"/>
    </row>
    <row r="60" ht="30.05" customFormat="1" customHeight="1" s="59">
      <c r="A60" s="111" t="n"/>
      <c r="D60" s="80" t="n"/>
      <c r="E60" s="80" t="n"/>
      <c r="F60" s="80" t="n"/>
      <c r="G60" s="80" t="n"/>
      <c r="H60" s="84" t="n"/>
      <c r="I60" s="82" t="n"/>
      <c r="J60" s="85" t="n"/>
      <c r="K60" s="84" t="n"/>
      <c r="L60" s="85" t="n"/>
      <c r="M60" s="86" t="n"/>
      <c r="N60" s="86" t="n"/>
      <c r="O60" s="84" t="n"/>
      <c r="P60" s="101" t="n"/>
      <c r="Q60" s="102" t="n"/>
      <c r="R60" s="90" t="n"/>
      <c r="S60" s="85" t="n"/>
      <c r="T60" s="86" t="n"/>
      <c r="U60" s="85" t="n"/>
      <c r="V60" s="85" t="n"/>
      <c r="W60" s="101" t="n"/>
      <c r="X60" s="101" t="n"/>
      <c r="Y60" s="101">
        <f>W60</f>
        <v/>
      </c>
      <c r="Z60" s="92">
        <f>P60-Y60</f>
        <v/>
      </c>
      <c r="AA60" s="84" t="n"/>
      <c r="AB60" s="94" t="n"/>
      <c r="AC60" s="95" t="n"/>
      <c r="AD60" s="95" t="n"/>
      <c r="AE60" s="159" t="n"/>
      <c r="AG60" s="166" t="n"/>
      <c r="AL60" s="167" t="n"/>
      <c r="AM60" s="99" t="n"/>
      <c r="AN60" s="85" t="inlineStr">
        <is>
          <t>GC6839</t>
        </is>
      </c>
      <c r="AO60" s="100" t="inlineStr">
        <is>
          <t>Infra</t>
        </is>
      </c>
      <c r="AP60" s="98" t="inlineStr">
        <is>
          <t>Yes, the classificaiton is appropriate</t>
        </is>
      </c>
      <c r="AR60" s="166" t="n"/>
      <c r="AV60" s="167" t="n"/>
      <c r="AW60" s="111" t="n"/>
      <c r="AX60" s="111" t="n"/>
      <c r="AY60" s="111" t="n"/>
      <c r="AZ60" s="111" t="n"/>
      <c r="BA60" s="111" t="n"/>
      <c r="BB60" s="111" t="n"/>
      <c r="BC60" s="111" t="n"/>
      <c r="BD60" s="111" t="n"/>
      <c r="BE60" s="111" t="n"/>
      <c r="BF60" s="111" t="n"/>
      <c r="BG60" s="111" t="n"/>
    </row>
    <row r="61" ht="30.05" customFormat="1" customHeight="1" s="59">
      <c r="A61" s="70" t="n"/>
      <c r="D61" s="80" t="n"/>
      <c r="E61" s="80" t="n"/>
      <c r="F61" s="80" t="n"/>
      <c r="G61" s="80" t="n"/>
      <c r="H61" s="84" t="n"/>
      <c r="I61" s="82" t="n"/>
      <c r="J61" s="85" t="n"/>
      <c r="K61" s="84" t="n"/>
      <c r="L61" s="85" t="n"/>
      <c r="M61" s="86" t="n"/>
      <c r="N61" s="86" t="n"/>
      <c r="O61" s="84" t="n"/>
      <c r="P61" s="101" t="n"/>
      <c r="Q61" s="102" t="n"/>
      <c r="R61" s="90" t="n"/>
      <c r="S61" s="85" t="n"/>
      <c r="T61" s="86" t="n"/>
      <c r="U61" s="85" t="n"/>
      <c r="V61" s="85" t="n"/>
      <c r="W61" s="101" t="n"/>
      <c r="X61" s="101" t="n"/>
      <c r="Y61" s="101">
        <f>W61</f>
        <v/>
      </c>
      <c r="Z61" s="92">
        <f>P61-Y61</f>
        <v/>
      </c>
      <c r="AA61" s="84" t="n"/>
      <c r="AB61" s="94" t="n"/>
      <c r="AC61" s="95" t="n"/>
      <c r="AD61" s="95" t="n"/>
      <c r="AE61" s="159" t="n"/>
      <c r="AG61" s="166" t="n"/>
      <c r="AL61" s="167" t="n"/>
      <c r="AM61" s="99" t="n"/>
      <c r="AN61" s="85" t="inlineStr">
        <is>
          <t>GC6839</t>
        </is>
      </c>
      <c r="AO61" s="100" t="inlineStr">
        <is>
          <t>Infra</t>
        </is>
      </c>
      <c r="AP61" s="98" t="inlineStr">
        <is>
          <t>Yes, the classificaiton is appropriate</t>
        </is>
      </c>
      <c r="AR61" s="166" t="n"/>
      <c r="AV61" s="167" t="n"/>
      <c r="AW61" s="70" t="n"/>
      <c r="AX61" s="70" t="n"/>
      <c r="AY61" s="70" t="n"/>
      <c r="AZ61" s="70" t="n"/>
      <c r="BA61" s="70" t="n"/>
      <c r="BB61" s="70" t="n"/>
      <c r="BC61" s="70" t="n"/>
      <c r="BD61" s="70" t="n"/>
      <c r="BE61" s="70" t="n"/>
      <c r="BF61" s="70" t="n"/>
      <c r="BG61" s="70" t="n"/>
    </row>
    <row r="62" ht="30.05" customFormat="1" customHeight="1" s="59">
      <c r="A62" s="70" t="n"/>
      <c r="D62" s="80" t="n"/>
      <c r="E62" s="80" t="n"/>
      <c r="F62" s="80" t="n"/>
      <c r="G62" s="80" t="n"/>
      <c r="H62" s="84" t="n"/>
      <c r="I62" s="82" t="n"/>
      <c r="J62" s="85" t="n"/>
      <c r="K62" s="84" t="n"/>
      <c r="L62" s="85" t="n"/>
      <c r="M62" s="86" t="n"/>
      <c r="N62" s="86" t="n"/>
      <c r="O62" s="84" t="n"/>
      <c r="P62" s="101" t="n"/>
      <c r="Q62" s="102" t="n"/>
      <c r="R62" s="90" t="n"/>
      <c r="S62" s="85" t="n"/>
      <c r="T62" s="86" t="n"/>
      <c r="U62" s="85" t="n"/>
      <c r="V62" s="85" t="n"/>
      <c r="W62" s="101" t="n"/>
      <c r="X62" s="101" t="n"/>
      <c r="Y62" s="101">
        <f>W62</f>
        <v/>
      </c>
      <c r="Z62" s="92">
        <f>P62-Y62</f>
        <v/>
      </c>
      <c r="AA62" s="84" t="n"/>
      <c r="AB62" s="94" t="n"/>
      <c r="AC62" s="95" t="n"/>
      <c r="AD62" s="95" t="n"/>
      <c r="AE62" s="159" t="n"/>
      <c r="AG62" s="168" t="n"/>
      <c r="AH62" s="157" t="n"/>
      <c r="AI62" s="157" t="n"/>
      <c r="AJ62" s="157" t="n"/>
      <c r="AK62" s="157" t="n"/>
      <c r="AL62" s="169" t="n"/>
      <c r="AM62" s="99" t="n"/>
      <c r="AN62" s="85" t="inlineStr">
        <is>
          <t>GC6839</t>
        </is>
      </c>
      <c r="AO62" s="100" t="inlineStr">
        <is>
          <t>Infra</t>
        </is>
      </c>
      <c r="AP62" s="98" t="inlineStr">
        <is>
          <t>Yes, the classificaiton is appropriate</t>
        </is>
      </c>
      <c r="AR62" s="168" t="n"/>
      <c r="AS62" s="157" t="n"/>
      <c r="AT62" s="157" t="n"/>
      <c r="AU62" s="157" t="n"/>
      <c r="AV62" s="169" t="n"/>
      <c r="AW62" s="70" t="n"/>
      <c r="AX62" s="70" t="n"/>
      <c r="AY62" s="70" t="n"/>
      <c r="AZ62" s="70" t="n"/>
      <c r="BA62" s="70" t="n"/>
      <c r="BB62" s="70" t="n"/>
      <c r="BC62" s="70" t="n"/>
      <c r="BD62" s="70" t="n"/>
      <c r="BE62" s="70" t="n"/>
      <c r="BF62" s="70" t="n"/>
      <c r="BG62" s="70" t="n"/>
    </row>
    <row r="63" ht="30.05" customFormat="1" customHeight="1" s="59">
      <c r="A63" s="70" t="n"/>
      <c r="D63" s="80" t="n"/>
      <c r="E63" s="80" t="n"/>
      <c r="F63" s="80" t="n"/>
      <c r="G63" s="80" t="n"/>
      <c r="H63" s="84" t="n"/>
      <c r="I63" s="82" t="n"/>
      <c r="J63" s="85" t="n"/>
      <c r="K63" s="84" t="n"/>
      <c r="L63" s="85" t="n"/>
      <c r="M63" s="86" t="n"/>
      <c r="N63" s="86" t="n"/>
      <c r="O63" s="97" t="n"/>
      <c r="P63" s="101" t="n"/>
      <c r="Q63" s="102" t="n"/>
      <c r="R63" s="170" t="n"/>
      <c r="S63" s="85" t="n">
        <v>100061457</v>
      </c>
      <c r="T63" s="86" t="n">
        <v>45405</v>
      </c>
      <c r="U63" s="85" t="inlineStr">
        <is>
          <t>COMMISSIONER, MAHADEVAPURA CMC</t>
        </is>
      </c>
      <c r="V63" s="84" t="inlineStr">
        <is>
          <t>Payment Request : PR: Towards payment of Property tax for the year 2024-25</t>
        </is>
      </c>
      <c r="W63" s="101" t="n">
        <v>38426242</v>
      </c>
      <c r="X63" s="101" t="n"/>
      <c r="Y63" s="101">
        <f>W63</f>
        <v/>
      </c>
      <c r="Z63" s="92">
        <f>P63-Y63</f>
        <v/>
      </c>
      <c r="AA63" s="84" t="n"/>
      <c r="AB63" s="94" t="n"/>
      <c r="AC63" s="95" t="n"/>
      <c r="AD63" s="95" t="n"/>
      <c r="AE63" s="159" t="n"/>
      <c r="AG63" s="86" t="inlineStr">
        <is>
          <t>The payment realtes to the property tax being paid to the BBMP for the FY. Hnce, there is not PO realted to it.</t>
        </is>
      </c>
      <c r="AH63" s="153" t="n"/>
      <c r="AI63" s="153" t="n"/>
      <c r="AJ63" s="153" t="n"/>
      <c r="AK63" s="153" t="n"/>
      <c r="AL63" s="158" t="n"/>
      <c r="AM63" s="99" t="n"/>
      <c r="AN63" s="85" t="inlineStr">
        <is>
          <t>GC7399</t>
        </is>
      </c>
      <c r="AO63" s="100" t="inlineStr">
        <is>
          <t>Infra</t>
        </is>
      </c>
      <c r="AP63" s="98" t="inlineStr">
        <is>
          <t>Yes, the classificaiton is appropriate</t>
        </is>
      </c>
      <c r="AR63" s="86" t="n">
        <v>45406</v>
      </c>
      <c r="AS63" s="85" t="inlineStr">
        <is>
          <t>TO TRANSFER-INB-</t>
        </is>
      </c>
      <c r="AT63" s="85" t="n">
        <v>30470529910</v>
      </c>
      <c r="AU63" s="85" t="inlineStr">
        <is>
          <t>SBI Bank</t>
        </is>
      </c>
      <c r="AV63" s="101" t="n">
        <v>38426256.16</v>
      </c>
      <c r="AW63" s="70" t="n"/>
      <c r="AX63" s="70" t="n"/>
      <c r="AY63" s="70" t="n"/>
      <c r="AZ63" s="70" t="n"/>
      <c r="BA63" s="70" t="n"/>
      <c r="BB63" s="70" t="n"/>
      <c r="BC63" s="70" t="n"/>
      <c r="BD63" s="70" t="n"/>
      <c r="BE63" s="70" t="n"/>
      <c r="BF63" s="70" t="n"/>
      <c r="BG63" s="70" t="n"/>
    </row>
    <row r="64" ht="30.05" customFormat="1" customHeight="1" s="59">
      <c r="A64" s="70" t="n"/>
      <c r="D64" s="80" t="n"/>
      <c r="E64" s="80" t="n"/>
      <c r="F64" s="80" t="n"/>
      <c r="G64" s="80" t="n"/>
      <c r="H64" s="84" t="n"/>
      <c r="I64" s="107" t="n"/>
      <c r="J64" s="85" t="n"/>
      <c r="K64" s="84" t="n"/>
      <c r="L64" s="85" t="n"/>
      <c r="M64" s="86" t="n"/>
      <c r="N64" s="86" t="n"/>
      <c r="O64" s="97" t="n"/>
      <c r="P64" s="101" t="n"/>
      <c r="Q64" s="102" t="n"/>
      <c r="R64" s="90" t="n"/>
      <c r="S64" s="85" t="inlineStr">
        <is>
          <t>KP24Y-00011</t>
        </is>
      </c>
      <c r="T64" s="86" t="n">
        <v>45397</v>
      </c>
      <c r="U64" s="85" t="inlineStr">
        <is>
          <t>UDYOGI PLASTICS PRIVATE LIMITED</t>
        </is>
      </c>
      <c r="V64" s="91" t="inlineStr">
        <is>
          <t>Installation of vertical lifeline system for DG chimney</t>
        </is>
      </c>
      <c r="W64" s="101" t="n">
        <v>120000</v>
      </c>
      <c r="X64" s="101" t="n">
        <v>141600</v>
      </c>
      <c r="Y64" s="101">
        <f>W64</f>
        <v/>
      </c>
      <c r="Z64" s="92">
        <f>P64-Y64</f>
        <v/>
      </c>
      <c r="AA64" s="84" t="n"/>
      <c r="AB64" s="94" t="n"/>
      <c r="AC64" s="95" t="n"/>
      <c r="AD64" s="95" t="n"/>
      <c r="AE64" s="159" t="n"/>
      <c r="AG64" s="86" t="n">
        <v>45330</v>
      </c>
      <c r="AH64" s="85" t="n">
        <v>100060592</v>
      </c>
      <c r="AI64" s="97" t="inlineStr">
        <is>
          <t>Installation of vertical lifeline system for DG chimney</t>
        </is>
      </c>
      <c r="AJ64" s="161" t="n">
        <v>481841</v>
      </c>
      <c r="AK64" s="85" t="b">
        <v>1</v>
      </c>
      <c r="AL64" s="98" t="inlineStr">
        <is>
          <t>ET has verified from invoices &amp; open PO that this expense is related toRepairs &amp; Maintenance - Building from UDYOGI PLASTICS PRIVATE LIMITED.</t>
        </is>
      </c>
      <c r="AM64" s="99" t="n"/>
      <c r="AN64" s="85" t="inlineStr">
        <is>
          <t>GC7399</t>
        </is>
      </c>
      <c r="AO64" s="100" t="inlineStr">
        <is>
          <t>Infra</t>
        </is>
      </c>
      <c r="AP64" s="98" t="inlineStr">
        <is>
          <t>Yes, the classificaiton is appropriate</t>
        </is>
      </c>
      <c r="AR64" s="86" t="n">
        <v>45426</v>
      </c>
      <c r="AS64" s="85" t="inlineStr">
        <is>
          <t>LP BOM40ES8T</t>
        </is>
      </c>
      <c r="AT64" s="85" t="n">
        <v>71096713001</v>
      </c>
      <c r="AU64" s="85" t="inlineStr">
        <is>
          <t>HSBC</t>
        </is>
      </c>
      <c r="AV64" s="101" t="n">
        <v>139200</v>
      </c>
      <c r="AW64" s="70" t="n"/>
      <c r="AX64" s="70" t="n"/>
      <c r="AY64" s="70" t="n"/>
      <c r="AZ64" s="70" t="n"/>
      <c r="BA64" s="70" t="n"/>
      <c r="BB64" s="70" t="n"/>
      <c r="BC64" s="70" t="n"/>
      <c r="BD64" s="70" t="n"/>
      <c r="BE64" s="70" t="n"/>
      <c r="BF64" s="70" t="n"/>
      <c r="BG64" s="70" t="n"/>
    </row>
    <row r="65" ht="30.05" customFormat="1" customHeight="1" s="59">
      <c r="A65" s="70" t="n"/>
      <c r="D65" s="80" t="n"/>
      <c r="E65" s="80" t="n"/>
      <c r="F65" s="80" t="n"/>
      <c r="G65" s="80" t="n"/>
      <c r="H65" s="84" t="n"/>
      <c r="I65" s="107" t="n"/>
      <c r="J65" s="85" t="n"/>
      <c r="K65" s="84" t="n"/>
      <c r="L65" s="85" t="n"/>
      <c r="M65" s="86" t="n"/>
      <c r="N65" s="86" t="n"/>
      <c r="O65" s="97" t="n"/>
      <c r="P65" s="101" t="n"/>
      <c r="Q65" s="102" t="n"/>
      <c r="R65" s="90" t="n"/>
      <c r="S65" s="85" t="inlineStr">
        <is>
          <t>TXGK-018</t>
        </is>
      </c>
      <c r="T65" s="86" t="n">
        <v>45633</v>
      </c>
      <c r="U65" s="85" t="inlineStr">
        <is>
          <t>G K ENTERPRISES</t>
        </is>
      </c>
      <c r="V65" s="91" t="inlineStr">
        <is>
          <t>PO towards External texture painting works at JFWTC Campus. Details as per annexure. T&amp;Cs shall be governed by the MSA b/w GEIIPL and G K Enterprises.</t>
        </is>
      </c>
      <c r="W65" s="101" t="n">
        <v>786298.36</v>
      </c>
      <c r="X65" s="101">
        <f>W65*18%</f>
        <v/>
      </c>
      <c r="Y65" s="101">
        <f>W65</f>
        <v/>
      </c>
      <c r="Z65" s="92">
        <f>P65-Y65</f>
        <v/>
      </c>
      <c r="AA65" s="84" t="n"/>
      <c r="AB65" s="94" t="n"/>
      <c r="AC65" s="95" t="n"/>
      <c r="AD65" s="95" t="n"/>
      <c r="AE65" s="159" t="n"/>
      <c r="AG65" s="86" t="n">
        <v>45538</v>
      </c>
      <c r="AH65" s="85" t="n">
        <v>100063183</v>
      </c>
      <c r="AI65" s="97" t="inlineStr">
        <is>
          <t>PO towards External texture painting works at JFWTC Campus. Details as per annexure. T&amp;Cs shall be governed by the MSA b/w GEIIPL and G K Enterprises.</t>
        </is>
      </c>
      <c r="AJ65" s="161" t="n">
        <v>3319439</v>
      </c>
      <c r="AK65" s="85" t="b">
        <v>1</v>
      </c>
      <c r="AL65" s="98" t="inlineStr">
        <is>
          <t>ET has verified from invoices &amp; open PO that this expense is related toRepairs &amp; Maintenance - Building from G K ENTERPRISES</t>
        </is>
      </c>
      <c r="AM65" s="99" t="n"/>
      <c r="AN65" s="85" t="inlineStr">
        <is>
          <t>GC7399</t>
        </is>
      </c>
      <c r="AO65" s="100" t="inlineStr">
        <is>
          <t>Infra</t>
        </is>
      </c>
      <c r="AP65" s="98" t="inlineStr">
        <is>
          <t>Yes, the classificaiton is appropriate</t>
        </is>
      </c>
      <c r="AR65" s="86" t="n">
        <v>45646</v>
      </c>
      <c r="AS65" s="85" t="inlineStr">
        <is>
          <t>LP BOM49C403</t>
        </is>
      </c>
      <c r="AT65" s="85" t="n">
        <v>71096713001</v>
      </c>
      <c r="AU65" s="85" t="inlineStr">
        <is>
          <t>HSBC</t>
        </is>
      </c>
      <c r="AV65" s="101" t="n">
        <v>912106.09</v>
      </c>
      <c r="AW65" s="70" t="n"/>
      <c r="AX65" s="70" t="n"/>
      <c r="AY65" s="70" t="n"/>
      <c r="AZ65" s="70" t="n"/>
      <c r="BA65" s="70" t="n"/>
      <c r="BB65" s="70" t="n"/>
      <c r="BC65" s="70" t="n"/>
      <c r="BD65" s="70" t="n"/>
      <c r="BE65" s="70" t="n"/>
      <c r="BF65" s="70" t="n"/>
      <c r="BG65" s="70" t="n"/>
    </row>
    <row r="66" ht="30.05" customFormat="1" customHeight="1" s="59">
      <c r="A66" s="70" t="n"/>
      <c r="D66" s="80" t="n"/>
      <c r="E66" s="80" t="n"/>
      <c r="F66" s="80" t="n"/>
      <c r="G66" s="80" t="n"/>
      <c r="H66" s="84" t="n"/>
      <c r="I66" s="107" t="n"/>
      <c r="J66" s="85" t="n"/>
      <c r="K66" s="84" t="n"/>
      <c r="L66" s="85" t="n"/>
      <c r="M66" s="86" t="n"/>
      <c r="N66" s="86" t="n"/>
      <c r="O66" s="97" t="n"/>
      <c r="P66" s="101" t="n"/>
      <c r="Q66" s="102" t="n"/>
      <c r="R66" s="90" t="n"/>
      <c r="S66" s="85" t="inlineStr">
        <is>
          <t>067-24-25</t>
        </is>
      </c>
      <c r="T66" s="86" t="n">
        <v>45614</v>
      </c>
      <c r="U66" s="85" t="inlineStr">
        <is>
          <t>R. K. ENTERPRISES</t>
        </is>
      </c>
      <c r="V66" s="91" t="inlineStr">
        <is>
          <t>Amendment-2: Open PO for Fabrication till June 25 - Details as per annexure.w.e.f July 2024 to June 2025</t>
        </is>
      </c>
      <c r="W66" s="101" t="n">
        <v>2509039</v>
      </c>
      <c r="X66" s="101" t="n">
        <v>0</v>
      </c>
      <c r="Y66" s="101">
        <f>W66</f>
        <v/>
      </c>
      <c r="Z66" s="92">
        <f>P66-Y66</f>
        <v/>
      </c>
      <c r="AA66" s="84" t="n"/>
      <c r="AB66" s="94" t="n"/>
      <c r="AC66" s="95" t="n"/>
      <c r="AD66" s="95" t="n"/>
      <c r="AE66" s="159" t="n"/>
      <c r="AG66" s="86" t="n">
        <v>45338</v>
      </c>
      <c r="AH66" s="85" t="n">
        <v>100060723</v>
      </c>
      <c r="AI66" s="97" t="inlineStr">
        <is>
          <t>Amendment-2: Open PO for Fabrication till June 25 - Details as per annexure.w.e.f July 2024 to June 2025</t>
        </is>
      </c>
      <c r="AJ66" s="161" t="n">
        <v>2500000</v>
      </c>
      <c r="AK66" s="85" t="b">
        <v>1</v>
      </c>
      <c r="AL66" s="98" t="inlineStr">
        <is>
          <t>ET has verified from invoices &amp; open PO that this expense is related toRepairs &amp; Maintenance - Building from R. K. ENTERPRISES</t>
        </is>
      </c>
      <c r="AM66" s="99" t="n"/>
      <c r="AN66" s="85" t="inlineStr">
        <is>
          <t>GC7399</t>
        </is>
      </c>
      <c r="AO66" s="100" t="inlineStr">
        <is>
          <t>Infra</t>
        </is>
      </c>
      <c r="AP66" s="98" t="inlineStr">
        <is>
          <t>Yes, the classificaiton is appropriate</t>
        </is>
      </c>
      <c r="AR66" s="86" t="n">
        <v>45659</v>
      </c>
      <c r="AS66" s="104" t="inlineStr">
        <is>
          <t>LP BOM50074M</t>
        </is>
      </c>
      <c r="AT66" s="85" t="n">
        <v>71096713001</v>
      </c>
      <c r="AU66" s="85" t="inlineStr">
        <is>
          <t>HSBC</t>
        </is>
      </c>
      <c r="AV66" s="101" t="n">
        <v>3000441.24</v>
      </c>
      <c r="AW66" s="70" t="n"/>
      <c r="AX66" s="70" t="n"/>
      <c r="AY66" s="70" t="n"/>
      <c r="AZ66" s="70" t="n"/>
      <c r="BA66" s="70" t="n"/>
      <c r="BB66" s="70" t="n"/>
      <c r="BC66" s="70" t="n"/>
      <c r="BD66" s="70" t="n"/>
      <c r="BE66" s="70" t="n"/>
      <c r="BF66" s="70" t="n"/>
      <c r="BG66" s="70" t="n"/>
    </row>
    <row r="67" ht="30.05" customFormat="1" customHeight="1" s="59">
      <c r="A67" s="70" t="n"/>
      <c r="D67" s="80" t="n"/>
      <c r="E67" s="80" t="n"/>
      <c r="F67" s="80" t="n"/>
      <c r="G67" s="80" t="n"/>
      <c r="H67" s="84" t="n"/>
      <c r="I67" s="107" t="n"/>
      <c r="J67" s="85" t="n"/>
      <c r="K67" s="84" t="n"/>
      <c r="L67" s="85" t="n"/>
      <c r="M67" s="86" t="n"/>
      <c r="N67" s="86" t="n"/>
      <c r="O67" s="97" t="n"/>
      <c r="P67" s="101" t="n"/>
      <c r="Q67" s="102" t="n"/>
      <c r="R67" s="90" t="n"/>
      <c r="S67" s="85" t="inlineStr">
        <is>
          <t>SHA/025/24-25</t>
        </is>
      </c>
      <c r="T67" s="86" t="n">
        <v>45420</v>
      </c>
      <c r="U67" s="85" t="inlineStr">
        <is>
          <t xml:space="preserve">SHARAN CONTROLS </t>
        </is>
      </c>
      <c r="V67" s="91" t="inlineStr">
        <is>
          <t>Manufacturing &amp; Supplying of Compartmentalized LT Panel</t>
        </is>
      </c>
      <c r="W67" s="101" t="n">
        <v>735000</v>
      </c>
      <c r="X67" s="101">
        <f>W67*18%</f>
        <v/>
      </c>
      <c r="Y67" s="101">
        <f>W67</f>
        <v/>
      </c>
      <c r="Z67" s="92">
        <f>P67-Y67</f>
        <v/>
      </c>
      <c r="AA67" s="84" t="n"/>
      <c r="AB67" s="94" t="n"/>
      <c r="AC67" s="95" t="n"/>
      <c r="AD67" s="95" t="n"/>
      <c r="AE67" s="159" t="n"/>
      <c r="AG67" s="86" t="n">
        <v>45365</v>
      </c>
      <c r="AH67" s="85" t="n">
        <v>100061063</v>
      </c>
      <c r="AI67" s="97" t="inlineStr">
        <is>
          <t>Charges for Manufacturing &amp; Supplying of Compartmentalized LT Panel ( Double Door ) made out of 2.0 / 1.6mm thick CRCA sheet steel enclosure - Specifications of the Panel as per Qte No: SHC-: E-23-24:2802R Dates 14th March 2024</t>
        </is>
      </c>
      <c r="AJ67" s="161" t="n">
        <v>735000</v>
      </c>
      <c r="AK67" s="85" t="b">
        <v>1</v>
      </c>
      <c r="AL67" s="98" t="inlineStr">
        <is>
          <t>ET has verified from invoices &amp; open PO that this expense is related to Repairs &amp; Maintenance P&amp;M from SHARAN CONTROLS.</t>
        </is>
      </c>
      <c r="AM67" s="99" t="n"/>
      <c r="AN67" s="85" t="inlineStr">
        <is>
          <t>GC7399</t>
        </is>
      </c>
      <c r="AO67" s="100" t="inlineStr">
        <is>
          <t>Infra</t>
        </is>
      </c>
      <c r="AP67" s="98" t="inlineStr">
        <is>
          <t>Yes, the classificaiton is appropriate</t>
        </is>
      </c>
      <c r="AR67" s="86" t="n">
        <v>45462</v>
      </c>
      <c r="AS67" s="85" t="inlineStr">
        <is>
          <t>LP BOM40IBE9</t>
        </is>
      </c>
      <c r="AT67" s="85" t="n">
        <v>71096713001</v>
      </c>
      <c r="AU67" s="85" t="inlineStr">
        <is>
          <t>HSBC</t>
        </is>
      </c>
      <c r="AV67" s="101" t="n">
        <v>2248353</v>
      </c>
      <c r="AW67" s="70" t="n"/>
      <c r="AX67" s="70" t="n"/>
      <c r="AY67" s="70" t="n"/>
      <c r="AZ67" s="70" t="n"/>
      <c r="BA67" s="70" t="n"/>
      <c r="BB67" s="70" t="n"/>
      <c r="BC67" s="70" t="n"/>
      <c r="BD67" s="70" t="n"/>
      <c r="BE67" s="70" t="n"/>
      <c r="BF67" s="70" t="n"/>
      <c r="BG67" s="70" t="n"/>
    </row>
    <row r="68" ht="30.05" customFormat="1" customHeight="1" s="59">
      <c r="A68" s="70" t="n"/>
      <c r="D68" s="80" t="n"/>
      <c r="E68" s="80" t="n"/>
      <c r="F68" s="80" t="n"/>
      <c r="G68" s="80" t="n"/>
      <c r="H68" s="84" t="n"/>
      <c r="I68" s="107" t="n"/>
      <c r="J68" s="85" t="n"/>
      <c r="K68" s="84" t="n"/>
      <c r="L68" s="85" t="n"/>
      <c r="M68" s="86" t="n"/>
      <c r="N68" s="86" t="n"/>
      <c r="O68" s="97" t="n"/>
      <c r="P68" s="101" t="n"/>
      <c r="Q68" s="102" t="n"/>
      <c r="R68" s="90" t="n"/>
      <c r="S68" s="85" t="inlineStr">
        <is>
          <t>FISPL/24-25/0135</t>
        </is>
      </c>
      <c r="T68" s="86" t="n">
        <v>45574</v>
      </c>
      <c r="U68" s="85" t="inlineStr">
        <is>
          <t>FILLIP INNOVATIVE SOLUTIONS PRIVATE LIMITED</t>
        </is>
      </c>
      <c r="V68" s="91" t="inlineStr">
        <is>
          <t>Installation &amp; Commissioning Charges</t>
        </is>
      </c>
      <c r="W68" s="101" t="n">
        <v>525000</v>
      </c>
      <c r="X68" s="101">
        <f>W68*18%</f>
        <v/>
      </c>
      <c r="Y68" s="101">
        <f>W68</f>
        <v/>
      </c>
      <c r="Z68" s="92">
        <f>P68-Y68</f>
        <v/>
      </c>
      <c r="AA68" s="84" t="n"/>
      <c r="AB68" s="94" t="n"/>
      <c r="AC68" s="95" t="n"/>
      <c r="AD68" s="95" t="n"/>
      <c r="AE68" s="159" t="n"/>
      <c r="AG68" s="86" t="n">
        <v>45233</v>
      </c>
      <c r="AH68" s="85" t="n">
        <v>100059208</v>
      </c>
      <c r="AI68" s="97" t="inlineStr">
        <is>
          <t>Installation &amp; Commissioning Charges</t>
        </is>
      </c>
      <c r="AJ68" s="161" t="n">
        <v>650000</v>
      </c>
      <c r="AK68" s="85" t="b">
        <v>1</v>
      </c>
      <c r="AL68" s="98" t="inlineStr">
        <is>
          <t>ET has verified from invoices &amp; open PO that this expense is related to Repairs &amp; Maintenance P&amp;M from FILLIP INNOVATIVE SOLUTIONS PRIVATE LIMITED.</t>
        </is>
      </c>
      <c r="AM68" s="99" t="n"/>
      <c r="AN68" s="85" t="inlineStr">
        <is>
          <t>GC9401</t>
        </is>
      </c>
      <c r="AO68" s="100" t="inlineStr">
        <is>
          <t>Aviation</t>
        </is>
      </c>
      <c r="AP68" s="98" t="inlineStr">
        <is>
          <t>Yes, the classificaiton is appropriate</t>
        </is>
      </c>
      <c r="AR68" s="86" t="n">
        <v>45601</v>
      </c>
      <c r="AS68" s="85" t="inlineStr">
        <is>
          <t>LP BOM40WIUR</t>
        </is>
      </c>
      <c r="AT68" s="85" t="n">
        <v>71096713001</v>
      </c>
      <c r="AU68" s="85" t="inlineStr">
        <is>
          <t>HSBC</t>
        </is>
      </c>
      <c r="AV68" s="101" t="n">
        <v>567000</v>
      </c>
      <c r="AW68" s="70" t="n"/>
      <c r="AX68" s="70" t="n"/>
      <c r="AY68" s="70" t="n"/>
      <c r="AZ68" s="70" t="n"/>
      <c r="BA68" s="70" t="n"/>
      <c r="BB68" s="70" t="n"/>
      <c r="BC68" s="70" t="n"/>
      <c r="BD68" s="70" t="n"/>
      <c r="BE68" s="70" t="n"/>
      <c r="BF68" s="70" t="n"/>
      <c r="BG68" s="70" t="n"/>
    </row>
    <row r="69" ht="30.05" customFormat="1" customHeight="1" s="59">
      <c r="A69" s="70" t="n"/>
      <c r="D69" s="80" t="n"/>
      <c r="E69" s="80" t="n"/>
      <c r="F69" s="80" t="n"/>
      <c r="G69" s="80" t="n"/>
      <c r="H69" s="84" t="n"/>
      <c r="I69" s="107" t="n"/>
      <c r="J69" s="85" t="n"/>
      <c r="K69" s="97" t="n"/>
      <c r="M69" s="86" t="n"/>
      <c r="N69" s="86" t="n"/>
      <c r="O69" s="97" t="n"/>
      <c r="P69" s="101" t="n"/>
      <c r="Q69" s="102" t="n"/>
      <c r="R69" s="170" t="n"/>
      <c r="S69" s="85" t="n">
        <v>67086</v>
      </c>
      <c r="T69" s="86" t="n">
        <v>45625</v>
      </c>
      <c r="U69" s="85" t="inlineStr">
        <is>
          <t>Narayanan Janakiraman</t>
        </is>
      </c>
      <c r="V69" s="91" t="inlineStr">
        <is>
          <t>PED Multi users v5.2: ACerS-NIST Phase</t>
        </is>
      </c>
      <c r="W69" s="101">
        <f>2495*82</f>
        <v/>
      </c>
      <c r="X69" s="101" t="n">
        <v>0</v>
      </c>
      <c r="Y69" s="101">
        <f>W69</f>
        <v/>
      </c>
      <c r="Z69" s="92">
        <f>P69-Y69</f>
        <v/>
      </c>
      <c r="AA69" s="84" t="n"/>
      <c r="AB69" s="94" t="n"/>
      <c r="AC69" s="95" t="n"/>
      <c r="AD69" s="95" t="n"/>
      <c r="AE69" s="159" t="n"/>
      <c r="AG69" s="86" t="inlineStr">
        <is>
          <t>Mail communications were being done with the party to cinfirm the amount to be billed.</t>
        </is>
      </c>
      <c r="AH69" s="153" t="n"/>
      <c r="AI69" s="153" t="n"/>
      <c r="AJ69" s="153" t="n"/>
      <c r="AK69" s="153" t="n"/>
      <c r="AL69" s="158" t="n"/>
      <c r="AM69" s="99" t="n"/>
      <c r="AN69" s="85" t="inlineStr">
        <is>
          <t>GCC14J</t>
        </is>
      </c>
      <c r="AO69" s="100" t="inlineStr">
        <is>
          <t>GRC</t>
        </is>
      </c>
      <c r="AP69" s="98" t="inlineStr">
        <is>
          <t>Yes, the classificaiton is appropriate</t>
        </is>
      </c>
      <c r="AR69" s="86" t="inlineStr">
        <is>
          <t>The payment of the expense is being made with the corporate card which is being further reimbursed by the entity along with the other payments. Hence, the same is not treacable from the bank statement.</t>
        </is>
      </c>
      <c r="AS69" s="153" t="n"/>
      <c r="AT69" s="153" t="n"/>
      <c r="AU69" s="153" t="n"/>
      <c r="AV69" s="158" t="n"/>
      <c r="AW69" s="70" t="n"/>
      <c r="AX69" s="70" t="n"/>
      <c r="AY69" s="70" t="n"/>
      <c r="AZ69" s="70" t="n"/>
      <c r="BA69" s="70" t="n"/>
      <c r="BB69" s="70" t="n"/>
      <c r="BC69" s="70" t="n"/>
      <c r="BD69" s="70" t="n"/>
      <c r="BE69" s="70" t="n"/>
      <c r="BF69" s="70" t="n"/>
      <c r="BG69" s="70" t="n"/>
    </row>
    <row r="70" ht="30.05" customFormat="1" customHeight="1" s="59">
      <c r="A70" s="70" t="n"/>
      <c r="D70" s="80" t="n"/>
      <c r="E70" s="80" t="n"/>
      <c r="F70" s="80" t="n"/>
      <c r="G70" s="80" t="n"/>
      <c r="H70" s="84" t="n"/>
      <c r="I70" s="107" t="n"/>
      <c r="J70" s="85" t="n"/>
      <c r="K70" s="84" t="n"/>
      <c r="L70" s="85" t="n"/>
      <c r="M70" s="86" t="n"/>
      <c r="N70" s="86" t="n"/>
      <c r="O70" s="97" t="n"/>
      <c r="P70" s="101" t="n"/>
      <c r="Q70" s="102" t="n"/>
      <c r="R70" s="90" t="n"/>
      <c r="S70" s="85" t="n">
        <v>915074969</v>
      </c>
      <c r="T70" s="86" t="n">
        <v>45638</v>
      </c>
      <c r="U70" s="85" t="inlineStr">
        <is>
          <t>LINDE ADVANCED MATERIAL TECHNOLOGIES INC.</t>
        </is>
      </c>
      <c r="V70" s="91" t="inlineStr">
        <is>
          <t>Supply of CoCr alloy powder</t>
        </is>
      </c>
      <c r="W70" s="101" t="n">
        <v>40942</v>
      </c>
      <c r="X70" s="101" t="n">
        <v>0</v>
      </c>
      <c r="Y70" s="101">
        <f>W70</f>
        <v/>
      </c>
      <c r="Z70" s="92">
        <f>P70-Y70</f>
        <v/>
      </c>
      <c r="AA70" s="84" t="n"/>
      <c r="AB70" s="94" t="n"/>
      <c r="AC70" s="95" t="n"/>
      <c r="AD70" s="95" t="n"/>
      <c r="AE70" s="159" t="n"/>
      <c r="AG70" s="86" t="n">
        <v>45636</v>
      </c>
      <c r="AH70" s="85" t="n">
        <v>100064567</v>
      </c>
      <c r="AI70" s="97" t="inlineStr">
        <is>
          <t>Supply of CoCr alloy powder (CO538-1) - 250Kg/550lb</t>
        </is>
      </c>
      <c r="AJ70" s="161" t="n">
        <v>20471</v>
      </c>
      <c r="AK70" s="85" t="b">
        <v>1</v>
      </c>
      <c r="AL70" s="98" t="inlineStr">
        <is>
          <t>ET has verified from invoices &amp; open PO that this expense is related to Repairs &amp; Maintenance P&amp;M from LINDE ADVANCED MATERIAL TECHNOLOGIES INC.</t>
        </is>
      </c>
      <c r="AM70" s="99" t="n"/>
      <c r="AN70" s="85" t="inlineStr">
        <is>
          <t>GC9410</t>
        </is>
      </c>
      <c r="AO70" s="100" t="inlineStr">
        <is>
          <t>Aviation</t>
        </is>
      </c>
      <c r="AP70" s="98" t="inlineStr">
        <is>
          <t>Yes, the classificaiton is appropriate</t>
        </is>
      </c>
      <c r="AR70" s="86" t="n">
        <v>45703</v>
      </c>
      <c r="AS70" s="85" t="n">
        <v>71012579511</v>
      </c>
      <c r="AT70" s="85" t="n">
        <v>71012579511</v>
      </c>
      <c r="AU70" s="85" t="inlineStr">
        <is>
          <t>HSBC</t>
        </is>
      </c>
      <c r="AV70" s="101" t="n">
        <v>20471</v>
      </c>
      <c r="AW70" s="70" t="n"/>
      <c r="AX70" s="70" t="n"/>
      <c r="AY70" s="70" t="n"/>
      <c r="AZ70" s="70" t="n"/>
      <c r="BA70" s="70" t="n"/>
      <c r="BB70" s="70" t="n"/>
      <c r="BC70" s="70" t="n"/>
      <c r="BD70" s="70" t="n"/>
      <c r="BE70" s="70" t="n"/>
      <c r="BF70" s="70" t="n"/>
      <c r="BG70" s="70" t="n"/>
    </row>
    <row r="71" ht="30.05" customFormat="1" customHeight="1" s="59">
      <c r="A71" s="70" t="n"/>
      <c r="D71" s="80" t="n"/>
      <c r="E71" s="80" t="n"/>
      <c r="F71" s="80" t="n"/>
      <c r="G71" s="80" t="n"/>
      <c r="H71" s="84" t="n"/>
      <c r="I71" s="107" t="n"/>
      <c r="J71" s="85" t="n"/>
      <c r="K71" s="84" t="n"/>
      <c r="L71" s="85" t="n"/>
      <c r="M71" s="86" t="n"/>
      <c r="N71" s="86" t="n"/>
      <c r="O71" s="97" t="n"/>
      <c r="P71" s="101" t="n"/>
      <c r="Q71" s="102" t="n"/>
      <c r="R71" s="90" t="n"/>
      <c r="S71" s="85" t="inlineStr">
        <is>
          <t>KI2420110191</t>
        </is>
      </c>
      <c r="T71" s="86" t="n">
        <v>45625</v>
      </c>
      <c r="U71" s="85" t="inlineStr">
        <is>
          <t>GE RENEWABLE ENERGY TECHNOLOGIES PRIVATE LIMITED</t>
        </is>
      </c>
      <c r="V71" s="91" t="inlineStr">
        <is>
          <t>Charges towards PIV and CO2 sniffer test for LM9000 additive and cast premixers.Detailed SOW will be as per Statement of Work dated 8th Feb 2024.</t>
        </is>
      </c>
      <c r="W71" s="101" t="n">
        <v>3869876</v>
      </c>
      <c r="X71" s="101">
        <f>W71*18%</f>
        <v/>
      </c>
      <c r="Y71" s="101">
        <f>W71</f>
        <v/>
      </c>
      <c r="Z71" s="92">
        <f>P71-Y71</f>
        <v/>
      </c>
      <c r="AA71" s="84" t="n"/>
      <c r="AB71" s="94" t="n"/>
      <c r="AC71" s="95" t="n"/>
      <c r="AD71" s="95" t="n"/>
      <c r="AE71" s="159" t="n"/>
      <c r="AG71" s="86" t="n">
        <v>45372</v>
      </c>
      <c r="AH71" s="85" t="n">
        <v>100061162</v>
      </c>
      <c r="AI71" s="97" t="inlineStr">
        <is>
          <t>Charges towards PIV and CO2 sniffer test for LM9000 additive and cast premixers.Detailed SOW will be as per Statement of Work dated 8th Feb 2024.</t>
        </is>
      </c>
      <c r="AJ71" s="161" t="n">
        <v>6055781</v>
      </c>
      <c r="AK71" s="85" t="b">
        <v>1</v>
      </c>
      <c r="AL71" s="98" t="inlineStr">
        <is>
          <t>ET has verified from invoices &amp; open PO that this expense is related to Repairs &amp; Maintenance P&amp;M from GE RENEWABLE ENERGY TECHNOLOGIES PRIVATE LIMITED.</t>
        </is>
      </c>
      <c r="AM71" s="99" t="n"/>
      <c r="AN71" s="85" t="inlineStr">
        <is>
          <t>GC9403</t>
        </is>
      </c>
      <c r="AO71" s="100" t="inlineStr">
        <is>
          <t>Aviation</t>
        </is>
      </c>
      <c r="AP71" s="98" t="inlineStr">
        <is>
          <t>Yes, the classificaiton is appropriate</t>
        </is>
      </c>
      <c r="AR71" s="86" t="n">
        <v>45694</v>
      </c>
      <c r="AS71" s="85" t="inlineStr">
        <is>
          <t>C03700022852000J</t>
        </is>
      </c>
      <c r="AT71" s="85" t="n">
        <v>71096713001</v>
      </c>
      <c r="AU71" s="85" t="inlineStr">
        <is>
          <t>HSBC</t>
        </is>
      </c>
      <c r="AV71" s="101" t="n">
        <v>4179466.08</v>
      </c>
      <c r="AW71" s="70" t="n"/>
      <c r="AX71" s="70" t="n"/>
      <c r="AY71" s="70" t="n"/>
      <c r="AZ71" s="70" t="n"/>
      <c r="BA71" s="70" t="n"/>
      <c r="BB71" s="70" t="n"/>
      <c r="BC71" s="70" t="n"/>
      <c r="BD71" s="70" t="n"/>
      <c r="BE71" s="70" t="n"/>
      <c r="BF71" s="70" t="n"/>
      <c r="BG71" s="70" t="n"/>
    </row>
    <row r="72" ht="30.05" customFormat="1" customHeight="1" s="59">
      <c r="A72" s="70" t="n"/>
      <c r="D72" s="80" t="n"/>
      <c r="E72" s="80" t="n"/>
      <c r="F72" s="80" t="n"/>
      <c r="G72" s="80" t="n"/>
      <c r="H72" s="84" t="n"/>
      <c r="I72" s="107" t="n"/>
      <c r="J72" s="85" t="n"/>
      <c r="K72" s="84" t="n"/>
      <c r="L72" s="85" t="n"/>
      <c r="M72" s="86" t="n"/>
      <c r="N72" s="86" t="n"/>
      <c r="O72" s="97" t="n"/>
      <c r="P72" s="101" t="n"/>
      <c r="Q72" s="102" t="n"/>
      <c r="R72" s="90" t="n"/>
      <c r="S72" s="85" t="inlineStr">
        <is>
          <t>MSA/TI/24-25/114</t>
        </is>
      </c>
      <c r="T72" s="86" t="n">
        <v>45565</v>
      </c>
      <c r="U72" s="85" t="inlineStr">
        <is>
          <t xml:space="preserve">MSA GLOBAL TECHNOLOGY AND ENGINEERING PRIVATE LIMITED </t>
        </is>
      </c>
      <c r="V72" s="91" t="inlineStr">
        <is>
          <t>Suuply of Part no : 4013796-125DWG.</t>
        </is>
      </c>
      <c r="W72" s="101" t="n">
        <v>480240</v>
      </c>
      <c r="X72" s="101">
        <f>W72*18%</f>
        <v/>
      </c>
      <c r="Y72" s="101">
        <f>W72</f>
        <v/>
      </c>
      <c r="Z72" s="92">
        <f>P72-Y72</f>
        <v/>
      </c>
      <c r="AA72" s="84" t="n"/>
      <c r="AB72" s="94" t="n"/>
      <c r="AC72" s="95" t="n"/>
      <c r="AD72" s="95" t="n"/>
      <c r="AE72" s="159" t="n"/>
      <c r="AG72" s="86" t="n">
        <v>45544</v>
      </c>
      <c r="AH72" s="85" t="n">
        <v>100063259</v>
      </c>
      <c r="AI72" s="97" t="inlineStr">
        <is>
          <t>Suuply of Part no : 4013796-125DWG.</t>
        </is>
      </c>
      <c r="AJ72" s="161" t="n">
        <v>960480</v>
      </c>
      <c r="AK72" s="85" t="b">
        <v>1</v>
      </c>
      <c r="AL72" s="98" t="inlineStr">
        <is>
          <t>ET has verified from invoices &amp; open PO that this expense is related to Repairs &amp; Maintenance P&amp;M from MSA GLOBAL TECHNOLOGY AND ENGINEERING PRIVATE LIMITED .</t>
        </is>
      </c>
      <c r="AM72" s="99" t="n"/>
      <c r="AN72" s="85" t="inlineStr">
        <is>
          <t>GC9410</t>
        </is>
      </c>
      <c r="AO72" s="100" t="inlineStr">
        <is>
          <t>Aviation</t>
        </is>
      </c>
      <c r="AP72" s="98" t="inlineStr">
        <is>
          <t>Yes, the classificaiton is appropriate</t>
        </is>
      </c>
      <c r="AR72" s="86" t="n">
        <v>45590</v>
      </c>
      <c r="AS72" s="85" t="inlineStr">
        <is>
          <t>LP BOM400I56IRI</t>
        </is>
      </c>
      <c r="AT72" s="85" t="n">
        <v>71096713001</v>
      </c>
      <c r="AU72" s="85" t="inlineStr">
        <is>
          <t>HSBC</t>
        </is>
      </c>
      <c r="AV72" s="101" t="n">
        <v>2010953.09</v>
      </c>
      <c r="AW72" s="70" t="n"/>
      <c r="AX72" s="70" t="n"/>
      <c r="AY72" s="70" t="n"/>
      <c r="AZ72" s="70" t="n"/>
      <c r="BA72" s="70" t="n"/>
      <c r="BB72" s="70" t="n"/>
      <c r="BC72" s="70" t="n"/>
      <c r="BD72" s="70" t="n"/>
      <c r="BE72" s="70" t="n"/>
      <c r="BF72" s="70" t="n"/>
      <c r="BG72" s="70" t="n"/>
    </row>
    <row r="73" ht="30.05" customFormat="1" customHeight="1" s="59">
      <c r="A73" s="70" t="n"/>
      <c r="D73" s="80" t="n"/>
      <c r="E73" s="80" t="n"/>
      <c r="F73" s="80" t="n"/>
      <c r="G73" s="80" t="n"/>
      <c r="H73" s="84" t="n"/>
      <c r="I73" s="107" t="n"/>
      <c r="J73" s="85" t="n"/>
      <c r="K73" s="84" t="n"/>
      <c r="L73" s="85" t="n"/>
      <c r="M73" s="86" t="n"/>
      <c r="N73" s="86" t="n"/>
      <c r="O73" s="97" t="n"/>
      <c r="P73" s="101" t="n"/>
      <c r="Q73" s="102" t="n"/>
      <c r="R73" s="90" t="n"/>
      <c r="S73" s="85" t="inlineStr">
        <is>
          <t>ATSPL/202507</t>
        </is>
      </c>
      <c r="T73" s="86" t="n">
        <v>45714</v>
      </c>
      <c r="U73" s="85" t="inlineStr">
        <is>
          <t>ALTEM TECHNOLOGIES SINGAPORE PVT LTD</t>
        </is>
      </c>
      <c r="V73" s="91" t="inlineStr">
        <is>
          <t>FORTUS PLUS, (S), SR35, 92CI- Product Code: 355-03135</t>
        </is>
      </c>
      <c r="W73" s="101" t="n">
        <v>7623</v>
      </c>
      <c r="X73" s="101" t="n">
        <v>0</v>
      </c>
      <c r="Y73" s="101">
        <f>W73</f>
        <v/>
      </c>
      <c r="Z73" s="92">
        <f>P73-Y73</f>
        <v/>
      </c>
      <c r="AA73" s="84" t="n"/>
      <c r="AB73" s="94" t="n"/>
      <c r="AC73" s="95" t="n"/>
      <c r="AD73" s="95" t="n"/>
      <c r="AE73" s="159" t="n"/>
      <c r="AG73" s="86" t="n">
        <v>45698</v>
      </c>
      <c r="AH73" s="85" t="n">
        <v>100065288</v>
      </c>
      <c r="AI73" s="97" t="inlineStr">
        <is>
          <t>FORTUS PLUS, (S), SR35, 92CI- Product Code: 355-03135</t>
        </is>
      </c>
      <c r="AJ73" s="161" t="n">
        <v>7623</v>
      </c>
      <c r="AK73" s="85" t="b">
        <v>1</v>
      </c>
      <c r="AL73" s="98" t="inlineStr">
        <is>
          <t>ET has verified from invoices &amp; open PO that this expense is related to Repairs &amp; Maintenance P&amp;M from ALTEM TECHNOLOGIES SINGAPORE PVT LTD.</t>
        </is>
      </c>
      <c r="AM73" s="99" t="n"/>
      <c r="AN73" s="85" t="inlineStr">
        <is>
          <t>GC9407</t>
        </is>
      </c>
      <c r="AO73" s="100" t="inlineStr">
        <is>
          <t>Aviation</t>
        </is>
      </c>
      <c r="AP73" s="98" t="inlineStr">
        <is>
          <t>Yes, the classificaiton is appropriate</t>
        </is>
      </c>
      <c r="AR73" s="86" t="n">
        <v>45754</v>
      </c>
      <c r="AS73" s="85" t="inlineStr">
        <is>
          <t>LP BOM50AC73</t>
        </is>
      </c>
      <c r="AT73" s="85" t="n">
        <v>71096713001</v>
      </c>
      <c r="AU73" s="85" t="inlineStr">
        <is>
          <t>HSBC</t>
        </is>
      </c>
      <c r="AV73" s="101" t="n">
        <v>504600</v>
      </c>
      <c r="AW73" s="70" t="n"/>
      <c r="AX73" s="70" t="n"/>
      <c r="AY73" s="70" t="n"/>
      <c r="AZ73" s="70" t="n"/>
      <c r="BA73" s="70" t="n"/>
      <c r="BB73" s="70" t="n"/>
      <c r="BC73" s="70" t="n"/>
      <c r="BD73" s="70" t="n"/>
      <c r="BE73" s="70" t="n"/>
      <c r="BF73" s="70" t="n"/>
      <c r="BG73" s="70" t="n"/>
    </row>
    <row r="74" ht="30.05" customFormat="1" customHeight="1" s="59">
      <c r="A74" s="70" t="n"/>
      <c r="D74" s="80" t="n"/>
      <c r="E74" s="80" t="n"/>
      <c r="F74" s="80" t="n"/>
      <c r="G74" s="80" t="n"/>
      <c r="H74" s="84" t="n"/>
      <c r="I74" s="107" t="n"/>
      <c r="J74" s="85" t="n"/>
      <c r="K74" s="84" t="n"/>
      <c r="L74" s="85" t="n"/>
      <c r="M74" s="86" t="n"/>
      <c r="N74" s="86" t="n"/>
      <c r="O74" s="97" t="n"/>
      <c r="P74" s="101" t="n"/>
      <c r="Q74" s="102" t="n"/>
      <c r="R74" s="90" t="n"/>
      <c r="S74" s="85" t="inlineStr">
        <is>
          <t>2425BNGFM0253</t>
        </is>
      </c>
      <c r="T74" s="86" t="n">
        <v>45511</v>
      </c>
      <c r="U74" s="85" t="inlineStr">
        <is>
          <t>Apollo Power systems PVT LTD</t>
        </is>
      </c>
      <c r="V74" s="91" t="inlineStr">
        <is>
          <t>July-2024 Operation &amp; Maintenance</t>
        </is>
      </c>
      <c r="W74" s="101" t="n">
        <v>1157149</v>
      </c>
      <c r="X74" s="101">
        <f>W74*18%</f>
        <v/>
      </c>
      <c r="Y74" s="101">
        <f>W74</f>
        <v/>
      </c>
      <c r="Z74" s="92">
        <f>P74-Y74</f>
        <v/>
      </c>
      <c r="AA74" s="84" t="n"/>
      <c r="AB74" s="94" t="n"/>
      <c r="AC74" s="95" t="n"/>
      <c r="AD74" s="95" t="n"/>
      <c r="AE74" s="159" t="n"/>
      <c r="AG74" s="86" t="n">
        <v>45414</v>
      </c>
      <c r="AH74" s="85" t="n">
        <v>100061570</v>
      </c>
      <c r="AI74" s="97" t="inlineStr">
        <is>
          <t>Open PO towards providing O&amp;M of Electrical &amp; Mechanical Engineering services for the period of 1-May-2024 to 30-Apr-2025</t>
        </is>
      </c>
      <c r="AJ74" s="161" t="n">
        <v>13935813</v>
      </c>
      <c r="AK74" s="85" t="b">
        <v>1</v>
      </c>
      <c r="AL74" s="98" t="inlineStr">
        <is>
          <t>ET has verified from invoices &amp; open PO that this expense is related to Repairs &amp; Maintenance from Apollo Power systems PVT LTD.</t>
        </is>
      </c>
      <c r="AM74" s="99" t="n"/>
      <c r="AN74" s="85" t="inlineStr">
        <is>
          <t>GC7399</t>
        </is>
      </c>
      <c r="AO74" s="100" t="inlineStr">
        <is>
          <t>Infra</t>
        </is>
      </c>
      <c r="AP74" s="98" t="inlineStr">
        <is>
          <t>Yes, the classificaiton is appropriate</t>
        </is>
      </c>
      <c r="AR74" s="86" t="n">
        <v>45553</v>
      </c>
      <c r="AS74" s="85" t="inlineStr">
        <is>
          <t>LP BOM40RIWW</t>
        </is>
      </c>
      <c r="AT74" s="85" t="n">
        <v>71096713001</v>
      </c>
      <c r="AU74" s="85" t="inlineStr">
        <is>
          <t>HSBC</t>
        </is>
      </c>
      <c r="AV74" s="101" t="n">
        <v>1249721.1</v>
      </c>
      <c r="AW74" s="70" t="n"/>
      <c r="AX74" s="70" t="n"/>
      <c r="AY74" s="70" t="n"/>
      <c r="AZ74" s="70" t="n"/>
      <c r="BA74" s="70" t="n"/>
      <c r="BB74" s="70" t="n"/>
      <c r="BC74" s="70" t="n"/>
      <c r="BD74" s="70" t="n"/>
      <c r="BE74" s="70" t="n"/>
      <c r="BF74" s="70" t="n"/>
      <c r="BG74" s="70" t="n"/>
    </row>
    <row r="75" ht="30.05" customFormat="1" customHeight="1" s="59">
      <c r="A75" s="70" t="n"/>
      <c r="D75" s="80" t="n"/>
      <c r="E75" s="80" t="n"/>
      <c r="F75" s="80" t="n"/>
      <c r="G75" s="80" t="n"/>
      <c r="H75" s="84" t="n"/>
      <c r="I75" s="107" t="n"/>
      <c r="J75" s="85" t="n"/>
      <c r="K75" s="84" t="n"/>
      <c r="L75" s="85" t="n"/>
      <c r="M75" s="86" t="n"/>
      <c r="N75" s="86" t="n"/>
      <c r="O75" s="97" t="n"/>
      <c r="P75" s="101" t="n"/>
      <c r="Q75" s="102" t="n"/>
      <c r="R75" s="90" t="n"/>
      <c r="S75" s="85" t="n">
        <v>9300143666</v>
      </c>
      <c r="T75" s="86" t="n">
        <v>45589</v>
      </c>
      <c r="U75" s="85" t="inlineStr">
        <is>
          <t xml:space="preserve">RE SUSTAINABILITY LIMITED </t>
        </is>
      </c>
      <c r="V75" s="91" t="inlineStr">
        <is>
          <t>Disposal of Hazardous waste to Ramky Landfill facility</t>
        </is>
      </c>
      <c r="W75" s="101" t="n">
        <v>47733.01</v>
      </c>
      <c r="X75" s="101">
        <f>4296*2</f>
        <v/>
      </c>
      <c r="Y75" s="101">
        <f>W75</f>
        <v/>
      </c>
      <c r="Z75" s="92">
        <f>P75-Y75</f>
        <v/>
      </c>
      <c r="AA75" s="84" t="n"/>
      <c r="AB75" s="94" t="n"/>
      <c r="AC75" s="95" t="n"/>
      <c r="AD75" s="95" t="n"/>
      <c r="AE75" s="159" t="n"/>
      <c r="AG75" s="86" t="n">
        <v>45292</v>
      </c>
      <c r="AH75" s="85" t="n">
        <v>100060118</v>
      </c>
      <c r="AI75" s="97" t="inlineStr">
        <is>
          <t>Amd-01: Open PO Charges for disposal of Hazardous waste to Ramky Landfill facility for the period from Jan 2024 to Dec 2024. Details as per annexure and billing to be done at actuals.</t>
        </is>
      </c>
      <c r="AJ75" s="161" t="n">
        <v>200000</v>
      </c>
      <c r="AK75" s="85" t="b">
        <v>1</v>
      </c>
      <c r="AL75" s="98" t="inlineStr">
        <is>
          <t>ET has verified from invoices &amp; open PO that this expense is related to Repairs &amp; Maintenance from RE SUSTAINABILITY LIMITED.</t>
        </is>
      </c>
      <c r="AM75" s="99" t="n"/>
      <c r="AN75" s="85" t="inlineStr">
        <is>
          <t>GC7399</t>
        </is>
      </c>
      <c r="AO75" s="100" t="inlineStr">
        <is>
          <t>Infra</t>
        </is>
      </c>
      <c r="AP75" s="98" t="inlineStr">
        <is>
          <t>Yes, the classificaiton is appropriate</t>
        </is>
      </c>
      <c r="AR75" s="86" t="n">
        <v>45632</v>
      </c>
      <c r="AS75" s="85" t="inlineStr">
        <is>
          <t>LP BOM49ASZM</t>
        </is>
      </c>
      <c r="AT75" s="85" t="n">
        <v>71096713001</v>
      </c>
      <c r="AU75" s="85" t="inlineStr">
        <is>
          <t>HSBC</t>
        </is>
      </c>
      <c r="AV75" s="101" t="n">
        <v>55370.34</v>
      </c>
      <c r="AW75" s="70" t="n"/>
      <c r="AX75" s="70" t="n"/>
      <c r="AY75" s="70" t="n"/>
      <c r="AZ75" s="70" t="n"/>
      <c r="BA75" s="70" t="n"/>
      <c r="BB75" s="70" t="n"/>
      <c r="BC75" s="70" t="n"/>
      <c r="BD75" s="70" t="n"/>
      <c r="BE75" s="70" t="n"/>
      <c r="BF75" s="70" t="n"/>
      <c r="BG75" s="70" t="n"/>
    </row>
    <row r="76" ht="30.05" customFormat="1" customHeight="1" s="59">
      <c r="A76" s="70" t="n"/>
      <c r="D76" s="80" t="n"/>
      <c r="E76" s="80" t="n"/>
      <c r="F76" s="80" t="n"/>
      <c r="G76" s="80" t="n"/>
      <c r="H76" s="84" t="n"/>
      <c r="I76" s="107" t="n"/>
      <c r="J76" s="85" t="n"/>
      <c r="K76" s="84" t="n"/>
      <c r="L76" s="85" t="n"/>
      <c r="M76" s="86" t="n"/>
      <c r="N76" s="86" t="n"/>
      <c r="O76" s="97" t="n"/>
      <c r="P76" s="101" t="n"/>
      <c r="Q76" s="102" t="n"/>
      <c r="R76" s="90" t="n"/>
      <c r="S76" s="85" t="inlineStr">
        <is>
          <t>13244/24</t>
        </is>
      </c>
      <c r="T76" s="86" t="n">
        <v>45566</v>
      </c>
      <c r="U76" s="85" t="inlineStr">
        <is>
          <t>Vinolya Services Pvt Ltd.</t>
        </is>
      </c>
      <c r="V76" s="91" t="inlineStr">
        <is>
          <t>Facility ManagementService Charges</t>
        </is>
      </c>
      <c r="W76" s="101" t="n">
        <v>3603484</v>
      </c>
      <c r="X76" s="101">
        <f>324313.56*2</f>
        <v/>
      </c>
      <c r="Y76" s="101">
        <f>W76</f>
        <v/>
      </c>
      <c r="Z76" s="92">
        <f>P76-Y76</f>
        <v/>
      </c>
      <c r="AA76" s="84" t="n"/>
      <c r="AB76" s="94" t="n"/>
      <c r="AC76" s="95" t="n"/>
      <c r="AD76" s="95" t="n"/>
      <c r="AE76" s="159" t="n"/>
      <c r="AG76" s="86" t="n">
        <v>45322</v>
      </c>
      <c r="AH76" s="85" t="n">
        <v>100060467</v>
      </c>
      <c r="AI76" s="97" t="inlineStr">
        <is>
          <t>Facility Management Service Charges</t>
        </is>
      </c>
      <c r="AJ76" s="161" t="n">
        <v>42278191</v>
      </c>
      <c r="AK76" s="85" t="b">
        <v>1</v>
      </c>
      <c r="AL76" s="98" t="inlineStr">
        <is>
          <t>ET has verified from invoices &amp; open PO that this expense is related to Repairs &amp; Maintenance from Vinolya Services Pvt Ltd.</t>
        </is>
      </c>
      <c r="AM76" s="99" t="n"/>
      <c r="AN76" s="85" t="inlineStr">
        <is>
          <t>GC7399</t>
        </is>
      </c>
      <c r="AO76" s="100" t="inlineStr">
        <is>
          <t>Infra</t>
        </is>
      </c>
      <c r="AP76" s="98" t="inlineStr">
        <is>
          <t>Yes, the classificaiton is appropriate</t>
        </is>
      </c>
      <c r="AR76" s="86" t="n">
        <v>45609</v>
      </c>
      <c r="AS76" s="85" t="inlineStr">
        <is>
          <t>LP BOM40XEC3</t>
        </is>
      </c>
      <c r="AT76" s="85" t="n">
        <v>71096713001</v>
      </c>
      <c r="AU76" s="85" t="inlineStr">
        <is>
          <t>HSBC</t>
        </is>
      </c>
      <c r="AV76" s="101" t="n">
        <v>4571511.84</v>
      </c>
      <c r="AW76" s="70" t="n"/>
      <c r="AX76" s="70" t="n"/>
      <c r="AY76" s="70" t="n"/>
      <c r="AZ76" s="70" t="n"/>
      <c r="BA76" s="70" t="n"/>
      <c r="BB76" s="70" t="n"/>
      <c r="BC76" s="70" t="n"/>
      <c r="BD76" s="70" t="n"/>
      <c r="BE76" s="70" t="n"/>
      <c r="BF76" s="70" t="n"/>
      <c r="BG76" s="70" t="n"/>
    </row>
    <row r="77" ht="30.05" customFormat="1" customHeight="1" s="59">
      <c r="A77" s="70" t="n"/>
      <c r="D77" s="80" t="n"/>
      <c r="E77" s="80" t="n"/>
      <c r="F77" s="80" t="n"/>
      <c r="G77" s="80" t="n"/>
      <c r="H77" s="84" t="n"/>
      <c r="I77" s="107" t="n"/>
      <c r="J77" s="85" t="n"/>
      <c r="K77" s="84" t="n"/>
      <c r="L77" s="85" t="n"/>
      <c r="M77" s="86" t="n"/>
      <c r="N77" s="86" t="n"/>
      <c r="O77" s="97" t="n"/>
      <c r="P77" s="101" t="n"/>
      <c r="Q77" s="102" t="n"/>
      <c r="R77" s="90" t="n"/>
      <c r="S77" s="85" t="inlineStr">
        <is>
          <t>DI02/000055BLR25</t>
        </is>
      </c>
      <c r="T77" s="86" t="n">
        <v>45716</v>
      </c>
      <c r="U77" s="85" t="inlineStr">
        <is>
          <t>G4S Secure Solutions (India) Private Limited</t>
        </is>
      </c>
      <c r="V77" s="91" t="inlineStr">
        <is>
          <t>Security charges as per new min wages for the period of Oct 2024 to Mar 2025 at JFWTC.</t>
        </is>
      </c>
      <c r="W77" s="101" t="n">
        <v>2650751.64</v>
      </c>
      <c r="X77" s="101">
        <f>W77*18%</f>
        <v/>
      </c>
      <c r="Y77" s="101">
        <f>W77</f>
        <v/>
      </c>
      <c r="Z77" s="92">
        <f>P77-Y77</f>
        <v/>
      </c>
      <c r="AA77" s="84" t="n"/>
      <c r="AB77" s="94" t="n"/>
      <c r="AC77" s="95" t="n"/>
      <c r="AD77" s="95" t="n"/>
      <c r="AE77" s="159" t="n"/>
      <c r="AG77" s="86" t="n">
        <v>45394</v>
      </c>
      <c r="AH77" s="85" t="n">
        <v>100061352</v>
      </c>
      <c r="AI77" s="97" t="inlineStr">
        <is>
          <t>Open PO for Security charges as per new min wages for the period of Oct 2024 to Mar 2025 at JFWTC.</t>
        </is>
      </c>
      <c r="AJ77" s="161" t="n">
        <v>19361882</v>
      </c>
      <c r="AK77" s="85" t="b">
        <v>1</v>
      </c>
      <c r="AL77" s="98" t="inlineStr">
        <is>
          <t>ET has verified from invoices &amp; open PO that this expense is related to Repairs &amp; Maintenance from G4S Secure Solutions (India) Private Limited.</t>
        </is>
      </c>
      <c r="AM77" s="99" t="n"/>
      <c r="AN77" s="85" t="inlineStr">
        <is>
          <t>GC7359</t>
        </is>
      </c>
      <c r="AO77" s="100" t="inlineStr">
        <is>
          <t>Infra</t>
        </is>
      </c>
      <c r="AP77" s="98" t="inlineStr">
        <is>
          <t>Yes, the classificaiton is appropriate</t>
        </is>
      </c>
      <c r="AR77" s="86" t="n">
        <v>45803</v>
      </c>
      <c r="AS77" s="85" t="inlineStr">
        <is>
          <t>C14600003938001V</t>
        </is>
      </c>
      <c r="AT77" s="85" t="n">
        <v>71096713001</v>
      </c>
      <c r="AU77" s="85" t="inlineStr">
        <is>
          <t>HSBC</t>
        </is>
      </c>
      <c r="AV77" s="101" t="n">
        <v>7099211.4</v>
      </c>
      <c r="AW77" s="70" t="n"/>
      <c r="AX77" s="70" t="n"/>
      <c r="AY77" s="70" t="n"/>
      <c r="AZ77" s="70" t="n"/>
      <c r="BA77" s="70" t="n"/>
      <c r="BB77" s="70" t="n"/>
      <c r="BC77" s="70" t="n"/>
      <c r="BD77" s="70" t="n"/>
      <c r="BE77" s="70" t="n"/>
      <c r="BF77" s="70" t="n"/>
      <c r="BG77" s="70" t="n"/>
    </row>
    <row r="78" ht="30.05" customFormat="1" customHeight="1" s="59">
      <c r="A78" s="70" t="n"/>
      <c r="D78" s="80" t="n"/>
      <c r="E78" s="80" t="n"/>
      <c r="F78" s="80" t="n"/>
      <c r="G78" s="80" t="n"/>
      <c r="H78" s="84" t="n"/>
      <c r="I78" s="107" t="n"/>
      <c r="J78" s="85" t="n"/>
      <c r="K78" s="84" t="n"/>
      <c r="L78" s="85" t="n"/>
      <c r="M78" s="86" t="n"/>
      <c r="N78" s="86" t="n"/>
      <c r="O78" s="97" t="n"/>
      <c r="P78" s="101" t="n"/>
      <c r="Q78" s="102" t="n"/>
      <c r="R78" s="90" t="n"/>
      <c r="S78" s="85" t="inlineStr">
        <is>
          <t>24I1KA1L000762</t>
        </is>
      </c>
      <c r="T78" s="86" t="n">
        <v>45475</v>
      </c>
      <c r="U78" s="85" t="inlineStr">
        <is>
          <t xml:space="preserve">HEWLETT PACKARD ENTERPRISE INDIA PRIVATE LIMITED </t>
        </is>
      </c>
      <c r="V78" s="91" t="inlineStr">
        <is>
          <t>Charges towards HPC and VDI Hardware AMC for GE owned assets from 1st January 2024 to 30th September 2024</t>
        </is>
      </c>
      <c r="W78" s="101" t="n">
        <v>4692164</v>
      </c>
      <c r="X78" s="101">
        <f>W78*18%</f>
        <v/>
      </c>
      <c r="Y78" s="101">
        <f>W78</f>
        <v/>
      </c>
      <c r="Z78" s="92">
        <f>P78-Y78</f>
        <v/>
      </c>
      <c r="AA78" s="84" t="n"/>
      <c r="AB78" s="94" t="n"/>
      <c r="AC78" s="95" t="n"/>
      <c r="AD78" s="95" t="n"/>
      <c r="AE78" s="159" t="n"/>
      <c r="AG78" s="86" t="n">
        <v>45394</v>
      </c>
      <c r="AH78" s="85" t="n">
        <v>100060864</v>
      </c>
      <c r="AI78" s="97" t="inlineStr">
        <is>
          <t>Open PO for Security charges as per new min wages for the period of July 2024 to Sep 2024 at JFWTC</t>
        </is>
      </c>
      <c r="AJ78" s="161" t="n">
        <v>9551645</v>
      </c>
      <c r="AK78" s="85" t="b">
        <v>1</v>
      </c>
      <c r="AL78" s="98" t="inlineStr">
        <is>
          <t>ET has verified from invoices &amp; open PO that this expense is related to Repairs &amp; Maintenance from HEWLETT PACKARD ENTERPRISE INDIA PRIVATE LIMITED .</t>
        </is>
      </c>
      <c r="AM78" s="99" t="n"/>
      <c r="AN78" s="85" t="inlineStr">
        <is>
          <t>GC7689</t>
        </is>
      </c>
      <c r="AO78" s="100" t="inlineStr">
        <is>
          <t>Infra</t>
        </is>
      </c>
      <c r="AP78" s="98" t="inlineStr">
        <is>
          <t>Yes, the classificaiton is appropriate</t>
        </is>
      </c>
      <c r="AR78" s="86" t="n">
        <v>45560</v>
      </c>
      <c r="AS78" s="85" t="inlineStr">
        <is>
          <t>LP BOM400GAJIRI</t>
        </is>
      </c>
      <c r="AT78" s="85" t="n">
        <v>71096713001</v>
      </c>
      <c r="AU78" s="85" t="inlineStr">
        <is>
          <t>HSBC</t>
        </is>
      </c>
      <c r="AV78" s="101" t="n">
        <v>5067537.12</v>
      </c>
      <c r="AW78" s="70" t="n"/>
      <c r="AX78" s="70" t="n"/>
      <c r="AY78" s="70" t="n"/>
      <c r="AZ78" s="70" t="n"/>
      <c r="BA78" s="70" t="n"/>
      <c r="BB78" s="70" t="n"/>
      <c r="BC78" s="70" t="n"/>
      <c r="BD78" s="70" t="n"/>
      <c r="BE78" s="70" t="n"/>
      <c r="BF78" s="70" t="n"/>
      <c r="BG78" s="70" t="n"/>
    </row>
    <row r="79" ht="30.05" customFormat="1" customHeight="1" s="59">
      <c r="A79" s="70" t="n"/>
      <c r="D79" s="80" t="n"/>
      <c r="E79" s="80" t="n"/>
      <c r="F79" s="80" t="n"/>
      <c r="G79" s="80" t="n"/>
      <c r="H79" s="84" t="n"/>
      <c r="I79" s="107" t="n"/>
      <c r="J79" s="85" t="n"/>
      <c r="K79" s="84" t="n"/>
      <c r="L79" s="85" t="n"/>
      <c r="M79" s="86" t="n"/>
      <c r="N79" s="86" t="n"/>
      <c r="O79" s="97" t="n"/>
      <c r="P79" s="101" t="n"/>
      <c r="Q79" s="102" t="n"/>
      <c r="R79" s="90" t="n"/>
      <c r="S79" s="85" t="n">
        <v>2429007029</v>
      </c>
      <c r="T79" s="86" t="n">
        <v>45692</v>
      </c>
      <c r="U79" s="85" t="inlineStr">
        <is>
          <t>UPDATER SERVICES LIMITED</t>
        </is>
      </c>
      <c r="V79" s="91" t="inlineStr">
        <is>
          <t>CHARGES TOWARDSTHE HOUSEKEEPINGSERVICE FORODYSSEY &amp; GALILEO@ GEITC-BANGA</t>
        </is>
      </c>
      <c r="W79" s="101" t="n">
        <v>1399250.87</v>
      </c>
      <c r="X79" s="101">
        <f>W79*18%</f>
        <v/>
      </c>
      <c r="Y79" s="101">
        <f>W79</f>
        <v/>
      </c>
      <c r="Z79" s="92">
        <f>P79-Y79</f>
        <v/>
      </c>
      <c r="AA79" s="84" t="n"/>
      <c r="AB79" s="94" t="n"/>
      <c r="AC79" s="95" t="n"/>
      <c r="AD79" s="95" t="n"/>
      <c r="AE79" s="159" t="n"/>
      <c r="AG79" s="86" t="n">
        <v>45673</v>
      </c>
      <c r="AH79" s="85" t="n">
        <v>100064959</v>
      </c>
      <c r="AI79" s="97" t="inlineStr">
        <is>
          <t xml:space="preserve">Charges towards the house-keeping services &amp; Pantry services for Odyssey, Galileo buildings &amp; SHS Area at JFWTC, Period from Jan 2025 to Mar 2025. </t>
        </is>
      </c>
      <c r="AJ79" s="161" t="n">
        <v>4197753</v>
      </c>
      <c r="AK79" s="85" t="b">
        <v>1</v>
      </c>
      <c r="AL79" s="98" t="inlineStr">
        <is>
          <t>ET has verified from invoices &amp; open PO that this expense is related to Repairs &amp; Maintenance from UPDATER SERVICES LIMITED.</t>
        </is>
      </c>
      <c r="AM79" s="99" t="n"/>
      <c r="AN79" s="85" t="inlineStr">
        <is>
          <t>GC7399</t>
        </is>
      </c>
      <c r="AO79" s="100" t="inlineStr">
        <is>
          <t>Infra</t>
        </is>
      </c>
      <c r="AP79" s="98" t="inlineStr">
        <is>
          <t>Yes, the classificaiton is appropriate</t>
        </is>
      </c>
      <c r="AR79" s="86" t="n">
        <v>45734</v>
      </c>
      <c r="AS79" s="85" t="inlineStr">
        <is>
          <t>LP BOM5083KW</t>
        </is>
      </c>
      <c r="AT79" s="85" t="n">
        <v>71096713001</v>
      </c>
      <c r="AU79" s="85" t="inlineStr">
        <is>
          <t>HSBC</t>
        </is>
      </c>
      <c r="AV79" s="101" t="n">
        <v>1642720.49</v>
      </c>
      <c r="AW79" s="70" t="n"/>
      <c r="AX79" s="70" t="n"/>
      <c r="AY79" s="70" t="n"/>
      <c r="AZ79" s="70" t="n"/>
      <c r="BA79" s="70" t="n"/>
      <c r="BB79" s="70" t="n"/>
      <c r="BC79" s="70" t="n"/>
      <c r="BD79" s="70" t="n"/>
      <c r="BE79" s="70" t="n"/>
      <c r="BF79" s="70" t="n"/>
      <c r="BG79" s="70" t="n"/>
    </row>
    <row r="80" ht="30.05" customFormat="1" customHeight="1" s="59">
      <c r="A80" s="70" t="n"/>
      <c r="D80" s="80" t="n"/>
      <c r="E80" s="80" t="n"/>
      <c r="F80" s="80" t="n"/>
      <c r="G80" s="80" t="n"/>
      <c r="H80" s="84" t="n"/>
      <c r="I80" s="107" t="n"/>
      <c r="J80" s="83" t="n"/>
      <c r="K80" s="84" t="n"/>
      <c r="L80" s="85" t="n"/>
      <c r="M80" s="86" t="n"/>
      <c r="N80" s="86" t="n"/>
      <c r="O80" s="114" t="n"/>
      <c r="P80" s="101" t="n"/>
      <c r="Q80" s="115" t="n"/>
      <c r="R80" s="90" t="n"/>
      <c r="S80" s="85" t="inlineStr">
        <is>
          <t>S252400</t>
        </is>
      </c>
      <c r="T80" s="86" t="n">
        <v>45644</v>
      </c>
      <c r="U80" s="85" t="inlineStr">
        <is>
          <t xml:space="preserve">TECHSOL ENGINEERS </t>
        </is>
      </c>
      <c r="V80" s="91" t="inlineStr">
        <is>
          <t>Job work for Installation charges</t>
        </is>
      </c>
      <c r="W80" s="101" t="n">
        <v>53840</v>
      </c>
      <c r="X80" s="101">
        <f>W80*18%</f>
        <v/>
      </c>
      <c r="Y80" s="101">
        <f>W80</f>
        <v/>
      </c>
      <c r="Z80" s="92">
        <f>P80-Y80</f>
        <v/>
      </c>
      <c r="AA80" s="84" t="n"/>
      <c r="AB80" s="94" t="n"/>
      <c r="AC80" s="95" t="n"/>
      <c r="AD80" s="95" t="n"/>
      <c r="AE80" s="159" t="n"/>
      <c r="AG80" s="86" t="n">
        <v>45544</v>
      </c>
      <c r="AH80" s="85" t="n">
        <v>100063254</v>
      </c>
      <c r="AI80" s="97" t="inlineStr">
        <is>
          <t>Charges towards installation of flow sensors in Additive lab compressor line. Details as per annexure and quote ref no. Q251699. Dated: 26-08-2024.</t>
        </is>
      </c>
      <c r="AJ80" s="161" t="n">
        <v>53840</v>
      </c>
      <c r="AK80" s="85" t="b">
        <v>1</v>
      </c>
      <c r="AL80" s="98" t="inlineStr">
        <is>
          <t>ET has verified from invoices &amp; open PO that this expense is related to  Product development expenses from TECHSOL ENGINEERS .</t>
        </is>
      </c>
      <c r="AM80" s="99" t="n"/>
      <c r="AN80" s="85" t="inlineStr">
        <is>
          <t>GC9410</t>
        </is>
      </c>
      <c r="AO80" s="100" t="inlineStr">
        <is>
          <t>Aviation</t>
        </is>
      </c>
      <c r="AP80" s="98" t="inlineStr">
        <is>
          <t>Yes, the classificaiton is appropriate</t>
        </is>
      </c>
      <c r="AR80" s="86" t="n">
        <v>45681</v>
      </c>
      <c r="AS80" s="85" t="inlineStr">
        <is>
          <t>T188942287</t>
        </is>
      </c>
      <c r="AT80" s="85" t="n">
        <v>71096713001</v>
      </c>
      <c r="AU80" s="85" t="inlineStr">
        <is>
          <t>HSBC</t>
        </is>
      </c>
      <c r="AV80" s="101" t="n">
        <v>117071.84</v>
      </c>
      <c r="AW80" s="70" t="n"/>
      <c r="AX80" s="70" t="n"/>
      <c r="AY80" s="70" t="n"/>
      <c r="AZ80" s="70" t="n"/>
      <c r="BA80" s="70" t="n"/>
      <c r="BB80" s="70" t="n"/>
      <c r="BC80" s="70" t="n"/>
      <c r="BD80" s="70" t="n"/>
      <c r="BE80" s="70" t="n"/>
      <c r="BF80" s="70" t="n"/>
      <c r="BG80" s="70" t="n"/>
    </row>
    <row r="81" ht="30.05" customFormat="1" customHeight="1" s="59">
      <c r="A81" s="70" t="n"/>
      <c r="D81" s="80" t="n"/>
      <c r="E81" s="80" t="n"/>
      <c r="F81" s="80" t="n"/>
      <c r="G81" s="80" t="n"/>
      <c r="H81" s="84" t="n"/>
      <c r="I81" s="107" t="n"/>
      <c r="J81" s="83" t="n"/>
      <c r="K81" s="84" t="n"/>
      <c r="L81" s="85" t="n"/>
      <c r="M81" s="86" t="n"/>
      <c r="N81" s="86" t="n"/>
      <c r="O81" s="114" t="n"/>
      <c r="P81" s="101" t="n"/>
      <c r="Q81" s="102" t="n"/>
      <c r="R81" s="90" t="n"/>
      <c r="S81" s="85" t="inlineStr">
        <is>
          <t xml:space="preserve">061/2024-25 </t>
        </is>
      </c>
      <c r="T81" s="86" t="n">
        <v>45608</v>
      </c>
      <c r="U81" s="85" t="inlineStr">
        <is>
          <t>BK INFRASYS PRIVATE LIMITED</t>
        </is>
      </c>
      <c r="V81" s="91" t="inlineStr">
        <is>
          <t>Associated works towards supply &amp; installation of HDPE piping for fiber cable laying at JFWTC</t>
        </is>
      </c>
      <c r="W81" s="101" t="n">
        <v>286523.6</v>
      </c>
      <c r="X81" s="101" t="n">
        <v>0</v>
      </c>
      <c r="Y81" s="101">
        <f>W81</f>
        <v/>
      </c>
      <c r="Z81" s="92">
        <f>P81-Y81</f>
        <v/>
      </c>
      <c r="AA81" s="84" t="n"/>
      <c r="AB81" s="94" t="n"/>
      <c r="AC81" s="95" t="n"/>
      <c r="AD81" s="95" t="n"/>
      <c r="AE81" s="159" t="n"/>
      <c r="AG81" s="86" t="n">
        <v>45523</v>
      </c>
      <c r="AH81" s="85" t="n">
        <v>100062952</v>
      </c>
      <c r="AI81" s="97" t="inlineStr">
        <is>
          <t>Associated works towards supply &amp; installation of HDPE piping for fiber cable laying at JFWTC.
Details as per annexure.</t>
        </is>
      </c>
      <c r="AJ81" s="161" t="n">
        <v>333100</v>
      </c>
      <c r="AK81" s="85" t="b">
        <v>1</v>
      </c>
      <c r="AL81" s="98" t="inlineStr">
        <is>
          <t>ET has verified from invoices &amp; open PO that this expense is related to  Product development expenses from BK Infrasys</t>
        </is>
      </c>
      <c r="AM81" s="99" t="n"/>
      <c r="AN81" s="85" t="inlineStr">
        <is>
          <t>GC7699</t>
        </is>
      </c>
      <c r="AO81" s="100" t="inlineStr">
        <is>
          <t>Infra</t>
        </is>
      </c>
      <c r="AP81" s="98" t="inlineStr">
        <is>
          <t>Yes, the classificaiton is appropriate</t>
        </is>
      </c>
      <c r="AR81" s="86" t="n">
        <v>45652</v>
      </c>
      <c r="AS81" s="85" t="inlineStr">
        <is>
          <t>BOM49CHIO</t>
        </is>
      </c>
      <c r="AT81" s="85" t="n">
        <v>71096713001</v>
      </c>
      <c r="AU81" s="85" t="inlineStr">
        <is>
          <t>HSBC</t>
        </is>
      </c>
      <c r="AV81" s="101" t="n">
        <v>2416938</v>
      </c>
      <c r="AW81" s="70" t="n"/>
      <c r="AX81" s="70" t="n"/>
      <c r="AY81" s="70" t="n"/>
      <c r="AZ81" s="70" t="n"/>
      <c r="BA81" s="70" t="n"/>
      <c r="BB81" s="70" t="n"/>
      <c r="BC81" s="70" t="n"/>
      <c r="BD81" s="70" t="n"/>
      <c r="BE81" s="70" t="n"/>
      <c r="BF81" s="70" t="n"/>
      <c r="BG81" s="70" t="n"/>
    </row>
    <row r="82" ht="30.05" customFormat="1" customHeight="1" s="59">
      <c r="A82" s="70" t="n"/>
      <c r="D82" s="80" t="n"/>
      <c r="E82" s="80" t="n"/>
      <c r="F82" s="80" t="n"/>
      <c r="G82" s="80" t="n"/>
      <c r="H82" s="84" t="n"/>
      <c r="I82" s="107" t="n"/>
      <c r="J82" s="83" t="n"/>
      <c r="K82" s="84" t="n"/>
      <c r="L82" s="85" t="n"/>
      <c r="M82" s="86" t="n"/>
      <c r="N82" s="86" t="n"/>
      <c r="O82" s="97" t="n"/>
      <c r="P82" s="101" t="n"/>
      <c r="Q82" s="102" t="n"/>
      <c r="R82" s="90" t="n"/>
      <c r="S82" s="85" t="n">
        <v>10016008</v>
      </c>
      <c r="T82" s="86" t="n">
        <v>45511</v>
      </c>
      <c r="U82" s="91" t="inlineStr">
        <is>
          <t>BANGALORE FLUID SYSTEM COMPONENTS PRIVATE LIMITED</t>
        </is>
      </c>
      <c r="V82" s="91" t="inlineStr">
        <is>
          <t>Supply of Stainless-steel tubes and fittings from Swagelok India</t>
        </is>
      </c>
      <c r="W82" s="101" t="n">
        <v>212857</v>
      </c>
      <c r="X82" s="101" t="n">
        <v>0</v>
      </c>
      <c r="Y82" s="101">
        <f>W82</f>
        <v/>
      </c>
      <c r="Z82" s="92">
        <f>P82-Y82</f>
        <v/>
      </c>
      <c r="AA82" s="84" t="n"/>
      <c r="AB82" s="94" t="n"/>
      <c r="AC82" s="95" t="n"/>
      <c r="AD82" s="95" t="n"/>
      <c r="AE82" s="159" t="n"/>
      <c r="AG82" s="86" t="n">
        <v>45489</v>
      </c>
      <c r="AH82" s="85" t="n">
        <v>100062504</v>
      </c>
      <c r="AI82" s="97" t="inlineStr">
        <is>
          <t>Supply of Stainless-steel tubes and fittings from Swagelok India</t>
        </is>
      </c>
      <c r="AJ82" s="161" t="n">
        <v>212857</v>
      </c>
      <c r="AK82" s="85" t="b">
        <v>1</v>
      </c>
      <c r="AL82" s="98" t="inlineStr">
        <is>
          <t>ET has verified from invoices &amp; open PO that this expense is related to  Product development expenses from BANGALORE FLUID SYSTEM COMPONENTS PRIVATE LIMITED.</t>
        </is>
      </c>
      <c r="AM82" s="99" t="n"/>
      <c r="AN82" s="85" t="inlineStr">
        <is>
          <t>GRAS14</t>
        </is>
      </c>
      <c r="AO82" s="100" t="inlineStr">
        <is>
          <t>GRC</t>
        </is>
      </c>
      <c r="AP82" s="98" t="inlineStr">
        <is>
          <t>Yes, the classificaiton is appropriate</t>
        </is>
      </c>
      <c r="AR82" s="86" t="n">
        <v>45538</v>
      </c>
      <c r="AS82" s="85" t="inlineStr">
        <is>
          <t>LP BOM40Q446</t>
        </is>
      </c>
      <c r="AT82" s="85" t="n">
        <v>71096713001</v>
      </c>
      <c r="AU82" s="85" t="inlineStr">
        <is>
          <t>HSBC</t>
        </is>
      </c>
      <c r="AV82" s="101" t="n">
        <v>255674.4</v>
      </c>
      <c r="AW82" s="70" t="n"/>
      <c r="AX82" s="70" t="n"/>
      <c r="AY82" s="70" t="n"/>
      <c r="AZ82" s="70" t="n"/>
      <c r="BA82" s="70" t="n"/>
      <c r="BB82" s="70" t="n"/>
      <c r="BC82" s="70" t="n"/>
      <c r="BD82" s="70" t="n"/>
      <c r="BE82" s="70" t="n"/>
      <c r="BF82" s="70" t="n"/>
      <c r="BG82" s="70" t="n"/>
    </row>
    <row r="83" ht="30.05" customFormat="1" customHeight="1" s="59">
      <c r="A83" s="70" t="n"/>
      <c r="D83" s="80" t="n"/>
      <c r="E83" s="80" t="n"/>
      <c r="F83" s="80" t="n"/>
      <c r="G83" s="80" t="n"/>
      <c r="H83" s="84" t="n"/>
      <c r="I83" s="107" t="n"/>
      <c r="J83" s="83" t="n"/>
      <c r="K83" s="84" t="n"/>
      <c r="L83" s="85" t="n"/>
      <c r="M83" s="86" t="n"/>
      <c r="N83" s="86" t="n"/>
      <c r="O83" s="97" t="n"/>
      <c r="P83" s="101" t="n"/>
      <c r="Q83" s="102" t="n"/>
      <c r="R83" s="90" t="n"/>
      <c r="S83" s="85" t="inlineStr">
        <is>
          <t>SRT-CI/24-25/171</t>
        </is>
      </c>
      <c r="T83" s="86" t="n">
        <v>45635</v>
      </c>
      <c r="U83" s="85" t="inlineStr">
        <is>
          <t>SR TECHTRONICS</t>
        </is>
      </c>
      <c r="V83" s="91" t="inlineStr">
        <is>
          <t>Electrical equipment and components and supplies</t>
        </is>
      </c>
      <c r="W83" s="101" t="n">
        <v>34791</v>
      </c>
      <c r="X83" s="101">
        <f>3131*2</f>
        <v/>
      </c>
      <c r="Y83" s="101">
        <f>W83</f>
        <v/>
      </c>
      <c r="Z83" s="92">
        <f>P83-Y83</f>
        <v/>
      </c>
      <c r="AA83" s="84" t="n"/>
      <c r="AB83" s="94" t="n"/>
      <c r="AC83" s="95" t="n"/>
      <c r="AD83" s="95" t="n"/>
      <c r="AE83" s="159" t="n"/>
      <c r="AG83" s="86" t="n">
        <v>45586</v>
      </c>
      <c r="AH83" s="85" t="n">
        <v>100063829</v>
      </c>
      <c r="AI83" s="97" t="inlineStr">
        <is>
          <t>Electrical equipment and components and supplies</t>
        </is>
      </c>
      <c r="AJ83" s="161" t="n">
        <v>34791</v>
      </c>
      <c r="AK83" s="85" t="b">
        <v>1</v>
      </c>
      <c r="AL83" s="98" t="inlineStr">
        <is>
          <t>ET has verified from invoices &amp; open PO that this expense is related to  Product development expenses from SR TECHTRONICS.</t>
        </is>
      </c>
      <c r="AM83" s="99" t="n"/>
      <c r="AN83" s="85" t="inlineStr">
        <is>
          <t>GRAS14</t>
        </is>
      </c>
      <c r="AO83" s="100" t="inlineStr">
        <is>
          <t>GRC</t>
        </is>
      </c>
      <c r="AP83" s="98" t="inlineStr">
        <is>
          <t>Yes, the classificaiton is appropriate</t>
        </is>
      </c>
      <c r="AR83" s="86" t="n">
        <v>45633</v>
      </c>
      <c r="AS83" s="85" t="inlineStr">
        <is>
          <t>LP BOM49AVZ8</t>
        </is>
      </c>
      <c r="AT83" s="85" t="n">
        <v>71096713001</v>
      </c>
      <c r="AU83" s="85" t="inlineStr">
        <is>
          <t>HSBC</t>
        </is>
      </c>
      <c r="AV83" s="101" t="n">
        <v>110721</v>
      </c>
      <c r="AW83" s="70" t="n"/>
      <c r="AX83" s="70" t="n"/>
      <c r="AY83" s="70" t="n"/>
      <c r="AZ83" s="70" t="n"/>
      <c r="BA83" s="70" t="n"/>
      <c r="BB83" s="70" t="n"/>
      <c r="BC83" s="70" t="n"/>
      <c r="BD83" s="70" t="n"/>
      <c r="BE83" s="70" t="n"/>
      <c r="BF83" s="70" t="n"/>
      <c r="BG83" s="70" t="n"/>
    </row>
    <row r="84" ht="30.05" customFormat="1" customHeight="1" s="59">
      <c r="A84" s="70" t="n"/>
      <c r="D84" s="80" t="n"/>
      <c r="E84" s="80" t="n"/>
      <c r="F84" s="80" t="n"/>
      <c r="G84" s="80" t="n"/>
      <c r="H84" s="84" t="n"/>
      <c r="I84" s="107" t="n"/>
      <c r="J84" s="83" t="n"/>
      <c r="K84" s="84" t="n"/>
      <c r="L84" s="85" t="n"/>
      <c r="M84" s="86" t="n"/>
      <c r="N84" s="86" t="n"/>
      <c r="O84" s="97" t="n"/>
      <c r="P84" s="101" t="n"/>
      <c r="Q84" s="102" t="n"/>
      <c r="R84" s="90" t="n"/>
      <c r="S84" s="85" t="n">
        <v>881</v>
      </c>
      <c r="T84" s="86" t="n">
        <v>45568</v>
      </c>
      <c r="U84" s="85" t="inlineStr">
        <is>
          <t>TERAVIEW LIMITED</t>
        </is>
      </c>
      <c r="V84" s="91" t="inlineStr">
        <is>
          <t>Thermal barrier coating measurement system (nozzle &amp; blades) rental, 2 months. Start date TBD</t>
        </is>
      </c>
      <c r="W84" s="101" t="n">
        <v>40500</v>
      </c>
      <c r="X84" s="101" t="n">
        <v>0</v>
      </c>
      <c r="Y84" s="101">
        <f>W84*83.66</f>
        <v/>
      </c>
      <c r="Z84" s="92">
        <f>P84-Y84</f>
        <v/>
      </c>
      <c r="AA84" s="116" t="n"/>
      <c r="AB84" s="94" t="n"/>
      <c r="AC84" s="95" t="n"/>
      <c r="AD84" s="95" t="n"/>
      <c r="AE84" s="159" t="n"/>
      <c r="AG84" s="86" t="n">
        <v>45487</v>
      </c>
      <c r="AH84" s="85" t="n">
        <v>100062479</v>
      </c>
      <c r="AI84" s="97" t="inlineStr">
        <is>
          <t>Charges for Rental of systemfor measurement of Thermal Barrier Coatingon Nozzles &amp; Blades. Detailed Scope will be as per your Quote No.SAL20240755-4 dtd 7th Jun 2024.</t>
        </is>
      </c>
      <c r="AJ84" s="161" t="n">
        <v>81000</v>
      </c>
      <c r="AK84" s="85" t="b">
        <v>1</v>
      </c>
      <c r="AL84" s="98" t="inlineStr">
        <is>
          <t>ET has verified from invoices &amp; open PO that this expense is related to  Product development expenses from TERAVIEW LIMITED.</t>
        </is>
      </c>
      <c r="AM84" s="99" t="n"/>
      <c r="AN84" s="85" t="inlineStr">
        <is>
          <t>GRAS14</t>
        </is>
      </c>
      <c r="AO84" s="100" t="inlineStr">
        <is>
          <t>GRC</t>
        </is>
      </c>
      <c r="AP84" s="98" t="inlineStr">
        <is>
          <t>Yes, the classificaiton is appropriate</t>
        </is>
      </c>
      <c r="AR84" s="86" t="n">
        <v>45652</v>
      </c>
      <c r="AS84" s="85" t="inlineStr">
        <is>
          <t>TT BOM402GCOMNYN</t>
        </is>
      </c>
      <c r="AT84" s="85" t="n">
        <v>71096713001</v>
      </c>
      <c r="AU84" s="85" t="inlineStr">
        <is>
          <t>HSBC</t>
        </is>
      </c>
      <c r="AV84" s="101" t="n">
        <v>40500</v>
      </c>
      <c r="AW84" s="70" t="n"/>
      <c r="AX84" s="70" t="n"/>
      <c r="AY84" s="70" t="n"/>
      <c r="AZ84" s="70" t="n"/>
      <c r="BA84" s="70" t="n"/>
      <c r="BB84" s="70" t="n"/>
      <c r="BC84" s="70" t="n"/>
      <c r="BD84" s="70" t="n"/>
      <c r="BE84" s="70" t="n"/>
      <c r="BF84" s="70" t="n"/>
      <c r="BG84" s="70" t="n"/>
    </row>
    <row r="85">
      <c r="A85" s="4" t="n"/>
      <c r="B85" s="4" t="n"/>
      <c r="C85" s="4" t="n"/>
      <c r="D85" s="4" t="n"/>
      <c r="E85" s="4" t="n"/>
      <c r="F85" s="4" t="n"/>
      <c r="G85" s="4" t="n"/>
      <c r="H85" s="4" t="n"/>
      <c r="I85" s="4" t="n"/>
      <c r="J85" s="4" t="n"/>
      <c r="K85" s="4" t="n"/>
      <c r="L85" s="4" t="n"/>
      <c r="M85" s="4" t="n"/>
      <c r="N85" s="4" t="n"/>
      <c r="O85" s="4" t="n"/>
      <c r="P85" s="4" t="n"/>
      <c r="Q85" s="4" t="n"/>
      <c r="S85" s="4" t="n"/>
      <c r="T85" s="4" t="n"/>
      <c r="U85" s="4" t="n"/>
      <c r="V85" s="4" t="n"/>
      <c r="W85" s="4" t="n"/>
      <c r="X85" s="4" t="n"/>
      <c r="Y85" s="4" t="n"/>
      <c r="Z85" s="4" t="n"/>
      <c r="AA85" s="4" t="n"/>
      <c r="AB85" s="4" t="n"/>
      <c r="AC85" s="4" t="n"/>
      <c r="AD85" s="4" t="n"/>
      <c r="AE85" s="4" t="n"/>
      <c r="AF85" s="4" t="n"/>
      <c r="AG85" s="25" t="n"/>
      <c r="AH85" s="4" t="n"/>
      <c r="AI85" s="4" t="n"/>
      <c r="AJ85" s="149" t="n"/>
      <c r="AK85" s="150" t="n"/>
      <c r="AL85" s="4" t="n"/>
      <c r="AM85" s="25" t="n"/>
      <c r="AN85" s="4" t="n"/>
      <c r="AO85" s="4" t="n"/>
      <c r="AP85" s="4" t="n"/>
      <c r="AQ85" s="4" t="n"/>
      <c r="AR85" s="4" t="n"/>
      <c r="AS85" s="4" t="n"/>
      <c r="AT85" s="4" t="n"/>
      <c r="AU85" s="4" t="n"/>
      <c r="AV85" s="4" t="n"/>
    </row>
    <row r="86">
      <c r="A86" s="4" t="n"/>
      <c r="B86" s="4" t="n"/>
      <c r="C86" s="4" t="n"/>
      <c r="D86" s="4" t="n"/>
      <c r="E86" s="4" t="n"/>
      <c r="F86" s="4" t="n"/>
      <c r="G86" s="4" t="n"/>
      <c r="H86" s="4" t="n"/>
      <c r="I86" s="4" t="n"/>
      <c r="J86" s="4" t="n"/>
      <c r="K86" s="4" t="n"/>
      <c r="L86" s="4" t="n"/>
      <c r="M86" s="4" t="n"/>
      <c r="N86" s="4" t="n"/>
      <c r="O86" s="4" t="n"/>
      <c r="P86" s="4" t="n"/>
      <c r="Q86" s="4" t="n"/>
      <c r="S86" s="4" t="n"/>
      <c r="T86" s="4" t="n"/>
      <c r="U86" s="4" t="n"/>
      <c r="V86" s="4" t="n"/>
      <c r="W86" s="4" t="n"/>
      <c r="X86" s="4" t="n"/>
      <c r="Y86" s="4" t="n"/>
      <c r="Z86" s="4" t="n"/>
      <c r="AA86" s="4" t="n"/>
      <c r="AB86" s="4" t="n"/>
      <c r="AC86" s="4" t="n"/>
      <c r="AD86" s="4" t="n"/>
      <c r="AE86" s="4" t="n"/>
      <c r="AF86" s="4" t="n"/>
      <c r="AG86" s="25" t="n"/>
      <c r="AH86" s="4" t="n"/>
      <c r="AI86" s="4" t="n"/>
      <c r="AJ86" s="149" t="n"/>
      <c r="AK86" s="150" t="n"/>
      <c r="AL86" s="4" t="n"/>
      <c r="AM86" s="25" t="n"/>
      <c r="AN86" s="4" t="n"/>
      <c r="AO86" s="4" t="n"/>
      <c r="AP86" s="4" t="n"/>
      <c r="AQ86" s="4" t="n"/>
      <c r="AR86" s="4" t="n"/>
      <c r="AS86" s="4" t="n"/>
      <c r="AT86" s="4" t="n"/>
      <c r="AU86" s="4" t="n"/>
      <c r="AV86" s="4" t="n"/>
    </row>
    <row r="87">
      <c r="A87" s="4" t="n"/>
      <c r="B87" s="4" t="n"/>
      <c r="C87" s="4" t="n"/>
      <c r="D87" s="4" t="n"/>
      <c r="E87" s="4" t="n"/>
      <c r="F87" s="4" t="n"/>
      <c r="G87" s="4" t="n"/>
      <c r="H87" s="4" t="n"/>
      <c r="I87" s="4" t="n"/>
      <c r="J87" s="4" t="n"/>
      <c r="K87" s="4" t="n"/>
      <c r="L87" s="4" t="n"/>
      <c r="M87" s="4" t="n"/>
      <c r="N87" s="4" t="n"/>
      <c r="O87" s="4" t="n"/>
      <c r="P87" s="4" t="n"/>
      <c r="Q87" s="4" t="n"/>
      <c r="S87" s="4" t="n"/>
      <c r="T87" s="4" t="n"/>
      <c r="U87" s="4" t="n"/>
      <c r="V87" s="4" t="n"/>
      <c r="W87" s="4" t="n"/>
      <c r="X87" s="4" t="n"/>
      <c r="Y87" s="4" t="n"/>
      <c r="Z87" s="4" t="n"/>
      <c r="AA87" s="4" t="n"/>
      <c r="AB87" s="4" t="n"/>
      <c r="AC87" s="4" t="n"/>
      <c r="AD87" s="4" t="n"/>
      <c r="AE87" s="4" t="n"/>
      <c r="AF87" s="4" t="n"/>
      <c r="AG87" s="25" t="n"/>
      <c r="AH87" s="4" t="n"/>
      <c r="AI87" s="4" t="n"/>
      <c r="AJ87" s="149" t="n"/>
      <c r="AK87" s="150" t="n"/>
      <c r="AL87" s="4" t="n"/>
      <c r="AM87" s="25" t="n"/>
      <c r="AN87" s="4" t="n"/>
      <c r="AO87" s="4" t="n"/>
      <c r="AP87" s="4" t="n"/>
      <c r="AQ87" s="4" t="n"/>
      <c r="AR87" s="4" t="n"/>
      <c r="AS87" s="4" t="n"/>
      <c r="AT87" s="4" t="n"/>
      <c r="AU87" s="4" t="n"/>
      <c r="AV87" s="4" t="n"/>
    </row>
    <row r="88">
      <c r="A88" s="4" t="n"/>
      <c r="B88" s="4" t="n"/>
      <c r="C88" s="4" t="n"/>
      <c r="D88" s="4" t="n"/>
      <c r="E88" s="4" t="n"/>
      <c r="F88" s="4" t="n"/>
      <c r="G88" s="4" t="n"/>
      <c r="H88" s="4" t="n"/>
      <c r="I88" s="4" t="n"/>
      <c r="J88" s="4" t="n"/>
      <c r="K88" s="4" t="n"/>
      <c r="L88" s="4" t="n"/>
      <c r="M88" s="4" t="n"/>
      <c r="N88" s="4" t="n"/>
      <c r="O88" s="4" t="n"/>
      <c r="P88" s="4" t="n"/>
      <c r="Q88" s="4" t="n"/>
      <c r="S88" s="4" t="n"/>
      <c r="T88" s="4" t="n"/>
      <c r="U88" s="4" t="n"/>
      <c r="V88" s="4" t="n"/>
      <c r="W88" s="4" t="n"/>
      <c r="X88" s="4" t="n"/>
      <c r="Y88" s="4" t="n"/>
      <c r="Z88" s="4" t="n"/>
      <c r="AA88" s="4" t="n"/>
      <c r="AB88" s="4" t="n"/>
      <c r="AC88" s="4" t="n"/>
      <c r="AD88" s="4" t="n"/>
      <c r="AE88" s="4" t="n"/>
      <c r="AF88" s="4" t="n"/>
      <c r="AG88" s="25" t="n"/>
      <c r="AH88" s="4" t="n"/>
      <c r="AI88" s="4" t="n"/>
      <c r="AJ88" s="149" t="n"/>
      <c r="AK88" s="150" t="n"/>
      <c r="AL88" s="4" t="n"/>
      <c r="AM88" s="25" t="n"/>
      <c r="AN88" s="4" t="n"/>
      <c r="AO88" s="4" t="n"/>
      <c r="AP88" s="4" t="n"/>
      <c r="AQ88" s="4" t="n"/>
      <c r="AR88" s="4" t="n"/>
      <c r="AS88" s="4" t="n"/>
      <c r="AT88" s="4" t="n"/>
      <c r="AU88" s="4" t="n"/>
      <c r="AV88" s="4" t="n"/>
    </row>
    <row r="89">
      <c r="A89" s="4" t="n"/>
      <c r="B89" s="4" t="n"/>
      <c r="C89" s="4" t="n"/>
      <c r="D89" s="4" t="n"/>
      <c r="E89" s="4" t="n"/>
      <c r="F89" s="4" t="n"/>
      <c r="G89" s="4" t="n"/>
      <c r="H89" s="4" t="n"/>
      <c r="I89" s="4" t="n"/>
      <c r="J89" s="4" t="n"/>
      <c r="K89" s="4" t="n"/>
      <c r="L89" s="4" t="n"/>
      <c r="M89" s="4" t="n"/>
      <c r="N89" s="4" t="n"/>
      <c r="O89" s="4" t="n"/>
      <c r="P89" s="4" t="n"/>
      <c r="Q89" s="4" t="n"/>
      <c r="S89" s="4" t="n"/>
      <c r="T89" s="4" t="n"/>
      <c r="U89" s="4" t="n"/>
      <c r="V89" s="4" t="n"/>
      <c r="W89" s="4" t="n"/>
      <c r="X89" s="4" t="n"/>
      <c r="Y89" s="4" t="n"/>
      <c r="Z89" s="4" t="n"/>
      <c r="AA89" s="4" t="n"/>
      <c r="AB89" s="4" t="n"/>
      <c r="AC89" s="4" t="n"/>
      <c r="AD89" s="4" t="n"/>
      <c r="AE89" s="4" t="n"/>
      <c r="AF89" s="4" t="n"/>
      <c r="AG89" s="25" t="n"/>
      <c r="AH89" s="4" t="n"/>
      <c r="AI89" s="4" t="n"/>
      <c r="AJ89" s="149" t="n"/>
      <c r="AK89" s="150" t="n"/>
      <c r="AL89" s="4" t="n"/>
      <c r="AM89" s="25" t="n"/>
      <c r="AN89" s="4" t="n"/>
      <c r="AO89" s="4" t="n"/>
      <c r="AP89" s="4" t="n"/>
      <c r="AQ89" s="4" t="n"/>
      <c r="AR89" s="4" t="n"/>
      <c r="AS89" s="4" t="n"/>
      <c r="AT89" s="4" t="n"/>
      <c r="AU89" s="4" t="n"/>
      <c r="AV89" s="4" t="n"/>
    </row>
    <row r="90">
      <c r="A90" s="4" t="n"/>
      <c r="B90" s="4" t="n"/>
      <c r="C90" s="4" t="n"/>
      <c r="D90" s="4" t="n"/>
      <c r="E90" s="4" t="n"/>
      <c r="F90" s="4" t="n"/>
      <c r="G90" s="4" t="n"/>
      <c r="H90" s="4" t="n"/>
      <c r="I90" s="4" t="n"/>
      <c r="J90" s="4" t="n"/>
      <c r="K90" s="4" t="n"/>
      <c r="L90" s="4" t="n"/>
      <c r="M90" s="4" t="n"/>
      <c r="N90" s="4" t="n"/>
      <c r="O90" s="4" t="n"/>
      <c r="P90" s="4" t="n"/>
      <c r="Q90" s="4" t="n"/>
      <c r="S90" s="4" t="n"/>
      <c r="T90" s="4" t="n"/>
      <c r="U90" s="4" t="n"/>
      <c r="V90" s="4" t="n"/>
      <c r="W90" s="4" t="n"/>
      <c r="X90" s="4" t="n"/>
      <c r="Y90" s="4" t="n"/>
      <c r="Z90" s="4" t="n"/>
      <c r="AA90" s="4" t="n"/>
      <c r="AB90" s="4" t="n"/>
      <c r="AC90" s="4" t="n"/>
      <c r="AD90" s="4" t="n"/>
      <c r="AE90" s="4" t="n"/>
      <c r="AF90" s="4" t="n"/>
      <c r="AG90" s="25" t="n"/>
      <c r="AH90" s="4" t="n"/>
      <c r="AI90" s="4" t="n"/>
      <c r="AJ90" s="149" t="n"/>
      <c r="AK90" s="150" t="n"/>
      <c r="AL90" s="4" t="n"/>
      <c r="AM90" s="25" t="n"/>
      <c r="AN90" s="4" t="n"/>
      <c r="AO90" s="4" t="n"/>
      <c r="AP90" s="4" t="n"/>
      <c r="AQ90" s="4" t="n"/>
      <c r="AR90" s="4" t="n"/>
      <c r="AS90" s="4" t="n"/>
      <c r="AT90" s="4" t="n"/>
      <c r="AU90" s="4" t="n"/>
      <c r="AV90" s="4" t="n"/>
    </row>
    <row r="91">
      <c r="A91" s="4" t="n"/>
      <c r="B91" s="4" t="n"/>
      <c r="C91" s="4" t="n"/>
      <c r="D91" s="4" t="n"/>
      <c r="E91" s="4" t="n"/>
      <c r="F91" s="4" t="n"/>
      <c r="G91" s="4" t="n"/>
      <c r="H91" s="4" t="n"/>
      <c r="I91" s="4" t="n"/>
      <c r="J91" s="4" t="n"/>
      <c r="K91" s="4" t="n"/>
      <c r="L91" s="4" t="n"/>
      <c r="M91" s="4" t="n"/>
      <c r="N91" s="4" t="n"/>
      <c r="O91" s="4" t="n"/>
      <c r="P91" s="4" t="n"/>
      <c r="Q91" s="4" t="n"/>
      <c r="S91" s="4" t="n"/>
      <c r="T91" s="4" t="n"/>
      <c r="U91" s="4" t="n"/>
      <c r="V91" s="4" t="n"/>
      <c r="W91" s="4" t="n"/>
      <c r="X91" s="4" t="n"/>
      <c r="Y91" s="4" t="n"/>
      <c r="Z91" s="4" t="n"/>
      <c r="AA91" s="4" t="n"/>
      <c r="AB91" s="4" t="n"/>
      <c r="AC91" s="4" t="n"/>
      <c r="AD91" s="4" t="n"/>
      <c r="AE91" s="4" t="n"/>
      <c r="AF91" s="4" t="n"/>
      <c r="AG91" s="25" t="n"/>
      <c r="AH91" s="4" t="n"/>
      <c r="AI91" s="4" t="n"/>
      <c r="AJ91" s="149" t="n"/>
      <c r="AK91" s="150" t="n"/>
      <c r="AL91" s="4" t="n"/>
      <c r="AM91" s="25" t="n"/>
      <c r="AN91" s="4" t="n"/>
      <c r="AO91" s="4" t="n"/>
      <c r="AP91" s="4" t="n"/>
      <c r="AQ91" s="4" t="n"/>
      <c r="AR91" s="4" t="n"/>
      <c r="AS91" s="4" t="n"/>
      <c r="AT91" s="4" t="n"/>
      <c r="AU91" s="4" t="n"/>
      <c r="AV91" s="4" t="n"/>
    </row>
    <row r="92">
      <c r="A92" s="4" t="n"/>
      <c r="B92" s="4" t="n"/>
      <c r="C92" s="4" t="n"/>
      <c r="D92" s="4" t="n"/>
      <c r="E92" s="4" t="n"/>
      <c r="F92" s="4" t="n"/>
      <c r="G92" s="4" t="n"/>
      <c r="H92" s="4" t="n"/>
      <c r="I92" s="4" t="n"/>
      <c r="J92" s="4" t="n"/>
      <c r="K92" s="4" t="n"/>
      <c r="L92" s="4" t="n"/>
      <c r="M92" s="4" t="n"/>
      <c r="N92" s="4" t="n"/>
      <c r="O92" s="4" t="n"/>
      <c r="P92" s="4" t="n"/>
      <c r="Q92" s="4" t="n"/>
      <c r="S92" s="4" t="n"/>
      <c r="T92" s="4" t="n"/>
      <c r="U92" s="4" t="n"/>
      <c r="V92" s="4" t="n"/>
      <c r="W92" s="4" t="n"/>
      <c r="X92" s="4" t="n"/>
      <c r="Y92" s="4" t="n"/>
      <c r="Z92" s="4" t="n"/>
      <c r="AA92" s="4" t="n"/>
      <c r="AB92" s="4" t="n"/>
      <c r="AC92" s="4" t="n"/>
      <c r="AD92" s="4" t="n"/>
      <c r="AE92" s="4" t="n"/>
      <c r="AF92" s="4" t="n"/>
      <c r="AG92" s="25" t="n"/>
      <c r="AH92" s="4" t="n"/>
      <c r="AI92" s="4" t="n"/>
      <c r="AJ92" s="149" t="n"/>
      <c r="AK92" s="150" t="n"/>
      <c r="AL92" s="4" t="n"/>
      <c r="AM92" s="25" t="n"/>
      <c r="AN92" s="4" t="n"/>
      <c r="AO92" s="4" t="n"/>
      <c r="AP92" s="4" t="n"/>
      <c r="AQ92" s="4" t="n"/>
      <c r="AR92" s="4" t="n"/>
      <c r="AS92" s="4" t="n"/>
      <c r="AT92" s="4" t="n"/>
      <c r="AU92" s="4" t="n"/>
      <c r="AV92" s="4" t="n"/>
    </row>
    <row r="93">
      <c r="A93" s="4" t="n"/>
      <c r="B93" s="4" t="n"/>
      <c r="C93" s="4" t="n"/>
      <c r="D93" s="4" t="n"/>
      <c r="E93" s="4" t="n"/>
      <c r="F93" s="4" t="n"/>
      <c r="G93" s="4" t="n"/>
      <c r="H93" s="4" t="n"/>
      <c r="I93" s="4" t="n"/>
      <c r="J93" s="4" t="n"/>
      <c r="K93" s="4" t="n"/>
      <c r="L93" s="4" t="n"/>
      <c r="M93" s="4" t="n"/>
      <c r="N93" s="4" t="n"/>
      <c r="O93" s="4" t="n"/>
      <c r="P93" s="4" t="n"/>
      <c r="Q93" s="4" t="n"/>
      <c r="S93" s="4" t="n"/>
      <c r="T93" s="4" t="n"/>
      <c r="U93" s="4" t="n"/>
      <c r="V93" s="4" t="n"/>
      <c r="W93" s="4" t="n"/>
      <c r="X93" s="4" t="n"/>
      <c r="Y93" s="4" t="n"/>
      <c r="Z93" s="4" t="n"/>
      <c r="AA93" s="4" t="n"/>
      <c r="AB93" s="4" t="n"/>
      <c r="AC93" s="4" t="n"/>
      <c r="AD93" s="4" t="n"/>
      <c r="AE93" s="4" t="n"/>
      <c r="AF93" s="4" t="n"/>
      <c r="AG93" s="25" t="n"/>
      <c r="AH93" s="4" t="n"/>
      <c r="AI93" s="4" t="n"/>
      <c r="AJ93" s="149" t="n"/>
      <c r="AK93" s="150" t="n"/>
      <c r="AL93" s="4" t="n"/>
      <c r="AM93" s="25" t="n"/>
      <c r="AN93" s="4" t="n"/>
      <c r="AO93" s="4" t="n"/>
      <c r="AP93" s="4" t="n"/>
      <c r="AQ93" s="4" t="n"/>
      <c r="AR93" s="4" t="n"/>
      <c r="AS93" s="4" t="n"/>
      <c r="AT93" s="4" t="n"/>
      <c r="AU93" s="4" t="n"/>
      <c r="AV93" s="4" t="n"/>
    </row>
    <row r="94">
      <c r="A94" s="4" t="n"/>
      <c r="B94" s="4" t="n"/>
      <c r="C94" s="4" t="n"/>
      <c r="D94" s="4" t="n"/>
      <c r="E94" s="4" t="n"/>
      <c r="F94" s="4" t="n"/>
      <c r="G94" s="4" t="n"/>
      <c r="H94" s="4" t="n"/>
      <c r="I94" s="4" t="n"/>
      <c r="J94" s="4" t="n"/>
      <c r="K94" s="4" t="n"/>
      <c r="L94" s="4" t="n"/>
      <c r="M94" s="4" t="n"/>
      <c r="N94" s="4" t="n"/>
      <c r="O94" s="4" t="n"/>
      <c r="P94" s="4" t="n"/>
      <c r="Q94" s="4" t="n"/>
      <c r="S94" s="4" t="n"/>
      <c r="T94" s="4" t="n"/>
      <c r="U94" s="4" t="n"/>
      <c r="V94" s="4" t="n"/>
      <c r="W94" s="4" t="n"/>
      <c r="X94" s="4" t="n"/>
      <c r="Y94" s="4" t="n"/>
      <c r="Z94" s="4" t="n"/>
      <c r="AA94" s="4" t="n"/>
      <c r="AB94" s="4" t="n"/>
      <c r="AC94" s="4" t="n"/>
      <c r="AD94" s="4" t="n"/>
      <c r="AE94" s="4" t="n"/>
      <c r="AF94" s="4" t="n"/>
      <c r="AG94" s="25" t="n"/>
      <c r="AH94" s="4" t="n"/>
      <c r="AI94" s="4" t="n"/>
      <c r="AJ94" s="149" t="n"/>
      <c r="AK94" s="150" t="n"/>
      <c r="AL94" s="4" t="n"/>
      <c r="AM94" s="25" t="n"/>
      <c r="AN94" s="4" t="n"/>
      <c r="AO94" s="4" t="n"/>
      <c r="AP94" s="4" t="n"/>
      <c r="AQ94" s="4" t="n"/>
      <c r="AR94" s="4" t="n"/>
      <c r="AS94" s="4" t="n"/>
      <c r="AT94" s="4" t="n"/>
      <c r="AU94" s="4" t="n"/>
      <c r="AV94" s="4" t="n"/>
    </row>
    <row r="95">
      <c r="A95" s="4" t="n"/>
      <c r="B95" s="4" t="n"/>
      <c r="C95" s="4" t="n"/>
      <c r="D95" s="4" t="n"/>
      <c r="E95" s="4" t="n"/>
      <c r="F95" s="4" t="n"/>
      <c r="G95" s="4" t="n"/>
      <c r="H95" s="4" t="n"/>
      <c r="I95" s="4" t="n"/>
      <c r="J95" s="4" t="n"/>
      <c r="K95" s="4" t="n"/>
      <c r="L95" s="4" t="n"/>
      <c r="M95" s="4" t="n"/>
      <c r="N95" s="4" t="n"/>
      <c r="O95" s="4" t="n"/>
      <c r="P95" s="4" t="n"/>
      <c r="Q95" s="4" t="n"/>
      <c r="S95" s="4" t="n"/>
      <c r="T95" s="4" t="n"/>
      <c r="U95" s="4" t="n"/>
      <c r="V95" s="4" t="n"/>
      <c r="W95" s="4" t="n"/>
      <c r="X95" s="4" t="n"/>
      <c r="Y95" s="4" t="n"/>
      <c r="Z95" s="4" t="n"/>
      <c r="AA95" s="4" t="n"/>
      <c r="AB95" s="4" t="n"/>
      <c r="AC95" s="4" t="n"/>
      <c r="AD95" s="4" t="n"/>
      <c r="AE95" s="4" t="n"/>
      <c r="AF95" s="4" t="n"/>
      <c r="AG95" s="25" t="n"/>
      <c r="AH95" s="4" t="n"/>
      <c r="AI95" s="4" t="n"/>
      <c r="AJ95" s="149" t="n"/>
      <c r="AK95" s="150" t="n"/>
      <c r="AL95" s="4" t="n"/>
      <c r="AM95" s="25" t="n"/>
      <c r="AN95" s="4" t="n"/>
      <c r="AO95" s="4" t="n"/>
      <c r="AP95" s="4" t="n"/>
      <c r="AQ95" s="4" t="n"/>
      <c r="AR95" s="4" t="n"/>
      <c r="AS95" s="4" t="n"/>
      <c r="AT95" s="4" t="n"/>
      <c r="AU95" s="4" t="n"/>
      <c r="AV95" s="4" t="n"/>
    </row>
    <row r="96">
      <c r="A96" s="4" t="n"/>
      <c r="B96" s="4" t="n"/>
      <c r="C96" s="4" t="n"/>
      <c r="D96" s="4" t="n"/>
      <c r="E96" s="4" t="n"/>
      <c r="F96" s="4" t="n"/>
      <c r="G96" s="4" t="n"/>
      <c r="H96" s="4" t="n"/>
      <c r="I96" s="4" t="n"/>
      <c r="J96" s="4" t="n"/>
      <c r="K96" s="4" t="n"/>
      <c r="L96" s="4" t="n"/>
      <c r="M96" s="4" t="n"/>
      <c r="N96" s="4" t="n"/>
      <c r="O96" s="4" t="n"/>
      <c r="P96" s="4" t="n"/>
      <c r="Q96" s="4" t="n"/>
      <c r="S96" s="4" t="n"/>
      <c r="T96" s="4" t="n"/>
      <c r="U96" s="4" t="n"/>
      <c r="V96" s="4" t="n"/>
      <c r="W96" s="4" t="n"/>
      <c r="X96" s="4" t="n"/>
      <c r="Y96" s="4" t="n"/>
      <c r="Z96" s="4" t="n"/>
      <c r="AA96" s="4" t="n"/>
      <c r="AB96" s="4" t="n"/>
      <c r="AC96" s="4" t="n"/>
      <c r="AD96" s="4" t="n"/>
      <c r="AE96" s="4" t="n"/>
      <c r="AF96" s="4" t="n"/>
      <c r="AG96" s="25" t="n"/>
      <c r="AH96" s="4" t="n"/>
      <c r="AI96" s="4" t="n"/>
      <c r="AJ96" s="149" t="n"/>
      <c r="AK96" s="150" t="n"/>
      <c r="AL96" s="4" t="n"/>
      <c r="AM96" s="25" t="n"/>
      <c r="AN96" s="4" t="n"/>
      <c r="AO96" s="4" t="n"/>
      <c r="AP96" s="4" t="n"/>
      <c r="AQ96" s="4" t="n"/>
      <c r="AR96" s="4" t="n"/>
      <c r="AS96" s="4" t="n"/>
      <c r="AT96" s="4" t="n"/>
      <c r="AU96" s="4" t="n"/>
      <c r="AV96" s="4" t="n"/>
    </row>
    <row r="97">
      <c r="A97" s="4" t="n"/>
      <c r="B97" s="4" t="n"/>
      <c r="C97" s="4" t="n"/>
      <c r="D97" s="4" t="n"/>
      <c r="E97" s="4" t="n"/>
      <c r="F97" s="4" t="n"/>
      <c r="G97" s="4" t="n"/>
      <c r="H97" s="4" t="n"/>
      <c r="I97" s="4" t="n"/>
      <c r="J97" s="4" t="n"/>
      <c r="K97" s="4" t="n"/>
      <c r="L97" s="4" t="n"/>
      <c r="M97" s="4" t="n"/>
      <c r="N97" s="4" t="n"/>
      <c r="O97" s="4" t="n"/>
      <c r="P97" s="4" t="n"/>
      <c r="Q97" s="4" t="n"/>
      <c r="S97" s="4" t="n"/>
      <c r="T97" s="4" t="n"/>
      <c r="U97" s="4" t="n"/>
      <c r="V97" s="4" t="n"/>
      <c r="W97" s="4" t="n"/>
      <c r="X97" s="4" t="n"/>
      <c r="Y97" s="4" t="n"/>
      <c r="Z97" s="4" t="n"/>
      <c r="AA97" s="4" t="n"/>
      <c r="AB97" s="4" t="n"/>
      <c r="AC97" s="4" t="n"/>
      <c r="AD97" s="4" t="n"/>
      <c r="AE97" s="4" t="n"/>
      <c r="AF97" s="4" t="n"/>
      <c r="AG97" s="25" t="n"/>
      <c r="AH97" s="4" t="n"/>
      <c r="AI97" s="4" t="n"/>
      <c r="AJ97" s="149" t="n"/>
      <c r="AK97" s="150" t="n"/>
      <c r="AL97" s="4" t="n"/>
      <c r="AM97" s="25" t="n"/>
      <c r="AN97" s="4" t="n"/>
      <c r="AO97" s="4" t="n"/>
      <c r="AP97" s="4" t="n"/>
      <c r="AQ97" s="4" t="n"/>
      <c r="AR97" s="4" t="n"/>
      <c r="AS97" s="4" t="n"/>
      <c r="AT97" s="4" t="n"/>
      <c r="AU97" s="4" t="n"/>
      <c r="AV97" s="4" t="n"/>
    </row>
    <row r="98">
      <c r="A98" s="4" t="n"/>
      <c r="B98" s="4" t="n"/>
      <c r="C98" s="4" t="n"/>
      <c r="D98" s="4" t="n"/>
      <c r="E98" s="4" t="n"/>
      <c r="F98" s="4" t="n"/>
      <c r="G98" s="4" t="n"/>
      <c r="H98" s="4" t="n"/>
      <c r="I98" s="4" t="n"/>
      <c r="J98" s="4" t="n"/>
      <c r="K98" s="4" t="n"/>
      <c r="L98" s="4" t="n"/>
      <c r="M98" s="4" t="n"/>
      <c r="N98" s="4" t="n"/>
      <c r="O98" s="4" t="n"/>
      <c r="P98" s="4" t="n"/>
      <c r="Q98" s="4" t="n"/>
      <c r="S98" s="4" t="n"/>
      <c r="T98" s="4" t="n"/>
      <c r="U98" s="4" t="n"/>
      <c r="V98" s="4" t="n"/>
      <c r="W98" s="4" t="n"/>
      <c r="X98" s="4" t="n"/>
      <c r="Y98" s="4" t="n"/>
      <c r="Z98" s="4" t="n"/>
      <c r="AA98" s="4" t="n"/>
      <c r="AB98" s="4" t="n"/>
      <c r="AC98" s="4" t="n"/>
      <c r="AD98" s="4" t="n"/>
      <c r="AE98" s="4" t="n"/>
      <c r="AF98" s="4" t="n"/>
      <c r="AG98" s="25" t="n"/>
      <c r="AH98" s="4" t="n"/>
      <c r="AI98" s="4" t="n"/>
      <c r="AJ98" s="149" t="n"/>
      <c r="AK98" s="150" t="n"/>
      <c r="AL98" s="4" t="n"/>
      <c r="AM98" s="25" t="n"/>
      <c r="AN98" s="4" t="n"/>
      <c r="AO98" s="4" t="n"/>
      <c r="AP98" s="4" t="n"/>
      <c r="AQ98" s="4" t="n"/>
      <c r="AR98" s="4" t="n"/>
      <c r="AS98" s="4" t="n"/>
      <c r="AT98" s="4" t="n"/>
      <c r="AU98" s="4" t="n"/>
      <c r="AV98" s="4" t="n"/>
    </row>
    <row r="99">
      <c r="A99" s="4" t="n"/>
      <c r="B99" s="4" t="n"/>
      <c r="C99" s="4" t="n"/>
      <c r="D99" s="4" t="n"/>
      <c r="E99" s="4" t="n"/>
      <c r="F99" s="4" t="n"/>
      <c r="G99" s="4" t="n"/>
      <c r="H99" s="4" t="n"/>
      <c r="I99" s="4" t="n"/>
      <c r="J99" s="4" t="n"/>
      <c r="K99" s="4" t="n"/>
      <c r="L99" s="4" t="n"/>
      <c r="M99" s="4" t="n"/>
      <c r="N99" s="4" t="n"/>
      <c r="O99" s="4" t="n"/>
      <c r="P99" s="4" t="n"/>
      <c r="Q99" s="4" t="n"/>
      <c r="S99" s="4" t="n"/>
      <c r="T99" s="4" t="n"/>
      <c r="U99" s="4" t="n"/>
      <c r="V99" s="4" t="n"/>
      <c r="W99" s="4" t="n"/>
      <c r="X99" s="4" t="n"/>
      <c r="Y99" s="4" t="n"/>
      <c r="Z99" s="4" t="n"/>
      <c r="AA99" s="4" t="n"/>
      <c r="AB99" s="4" t="n"/>
      <c r="AC99" s="4" t="n"/>
      <c r="AD99" s="4" t="n"/>
      <c r="AE99" s="4" t="n"/>
      <c r="AF99" s="4" t="n"/>
      <c r="AG99" s="25" t="n"/>
      <c r="AH99" s="4" t="n"/>
      <c r="AI99" s="4" t="n"/>
      <c r="AJ99" s="149" t="n"/>
      <c r="AK99" s="150" t="n"/>
      <c r="AL99" s="4" t="n"/>
      <c r="AM99" s="25" t="n"/>
      <c r="AN99" s="4" t="n"/>
      <c r="AO99" s="4" t="n"/>
      <c r="AP99" s="4" t="n"/>
      <c r="AQ99" s="4" t="n"/>
      <c r="AR99" s="4" t="n"/>
      <c r="AS99" s="4" t="n"/>
      <c r="AT99" s="4" t="n"/>
      <c r="AU99" s="4" t="n"/>
      <c r="AV99" s="4" t="n"/>
    </row>
    <row r="100">
      <c r="A100" s="4" t="n"/>
      <c r="B100" s="4" t="n"/>
      <c r="C100" s="4" t="n"/>
      <c r="D100" s="4" t="n"/>
      <c r="E100" s="4" t="n"/>
      <c r="F100" s="4" t="n"/>
      <c r="G100" s="4" t="n"/>
      <c r="H100" s="4" t="n"/>
      <c r="I100" s="4" t="n"/>
      <c r="J100" s="4" t="n"/>
      <c r="K100" s="4" t="n"/>
      <c r="L100" s="4" t="n"/>
      <c r="M100" s="4" t="n"/>
      <c r="N100" s="4" t="n"/>
      <c r="O100" s="4" t="n"/>
      <c r="P100" s="4" t="n"/>
      <c r="Q100" s="4" t="n"/>
      <c r="S100" s="4" t="n"/>
      <c r="T100" s="4" t="n"/>
      <c r="U100" s="4" t="n"/>
      <c r="V100" s="4" t="n"/>
      <c r="W100" s="4" t="n"/>
      <c r="X100" s="4" t="n"/>
      <c r="Y100" s="4" t="n"/>
      <c r="Z100" s="4" t="n"/>
      <c r="AA100" s="4" t="n"/>
      <c r="AB100" s="4" t="n"/>
      <c r="AC100" s="4" t="n"/>
      <c r="AD100" s="4" t="n"/>
      <c r="AE100" s="4" t="n"/>
      <c r="AF100" s="4" t="n"/>
      <c r="AG100" s="25" t="n"/>
      <c r="AH100" s="4" t="n"/>
      <c r="AI100" s="4" t="n"/>
      <c r="AJ100" s="149" t="n"/>
      <c r="AK100" s="150" t="n"/>
      <c r="AL100" s="4" t="n"/>
      <c r="AM100" s="25" t="n"/>
      <c r="AN100" s="4" t="n"/>
      <c r="AO100" s="4" t="n"/>
      <c r="AP100" s="4" t="n"/>
      <c r="AQ100" s="4" t="n"/>
      <c r="AR100" s="4" t="n"/>
      <c r="AS100" s="4" t="n"/>
      <c r="AT100" s="4" t="n"/>
      <c r="AU100" s="4" t="n"/>
      <c r="AV100" s="4" t="n"/>
    </row>
    <row r="101">
      <c r="A101" s="4" t="n"/>
      <c r="B101" s="4" t="n"/>
      <c r="C101" s="4" t="n"/>
      <c r="D101" s="4" t="n"/>
      <c r="E101" s="4" t="n"/>
      <c r="F101" s="4" t="n"/>
      <c r="G101" s="4" t="n"/>
      <c r="H101" s="4" t="n"/>
      <c r="I101" s="4" t="n"/>
      <c r="J101" s="4" t="n"/>
      <c r="K101" s="4" t="n"/>
      <c r="L101" s="4" t="n"/>
      <c r="M101" s="4" t="n"/>
      <c r="N101" s="4" t="n"/>
      <c r="O101" s="4" t="n"/>
      <c r="P101" s="4" t="n"/>
      <c r="Q101" s="4" t="n"/>
      <c r="S101" s="4" t="n"/>
      <c r="T101" s="4" t="n"/>
      <c r="U101" s="4" t="n"/>
      <c r="V101" s="4" t="n"/>
      <c r="W101" s="4" t="n"/>
      <c r="X101" s="4" t="n"/>
      <c r="Y101" s="4" t="n"/>
      <c r="Z101" s="4" t="n"/>
      <c r="AA101" s="4" t="n"/>
      <c r="AB101" s="4" t="n"/>
      <c r="AC101" s="4" t="n"/>
      <c r="AD101" s="4" t="n"/>
      <c r="AE101" s="4" t="n"/>
      <c r="AF101" s="4" t="n"/>
      <c r="AG101" s="25" t="n"/>
      <c r="AH101" s="4" t="n"/>
      <c r="AI101" s="4" t="n"/>
      <c r="AJ101" s="149" t="n"/>
      <c r="AK101" s="150" t="n"/>
      <c r="AL101" s="4" t="n"/>
      <c r="AM101" s="25" t="n"/>
      <c r="AN101" s="4" t="n"/>
      <c r="AO101" s="4" t="n"/>
      <c r="AP101" s="4" t="n"/>
      <c r="AQ101" s="4" t="n"/>
      <c r="AR101" s="4" t="n"/>
      <c r="AS101" s="4" t="n"/>
      <c r="AT101" s="4" t="n"/>
      <c r="AU101" s="4" t="n"/>
      <c r="AV101" s="4" t="n"/>
    </row>
    <row r="102">
      <c r="A102" s="4" t="n"/>
      <c r="B102" s="4" t="n"/>
      <c r="C102" s="4" t="n"/>
      <c r="D102" s="4" t="n"/>
      <c r="E102" s="4" t="n"/>
      <c r="F102" s="4" t="n"/>
      <c r="G102" s="4" t="n"/>
      <c r="H102" s="4" t="n"/>
      <c r="I102" s="4" t="n"/>
      <c r="J102" s="4" t="n"/>
      <c r="K102" s="4" t="n"/>
      <c r="L102" s="4" t="n"/>
      <c r="M102" s="4" t="n"/>
      <c r="N102" s="4" t="n"/>
      <c r="O102" s="4" t="n"/>
      <c r="P102" s="4" t="n"/>
      <c r="Q102" s="4" t="n"/>
      <c r="S102" s="4" t="n"/>
      <c r="T102" s="4" t="n"/>
      <c r="U102" s="4" t="n"/>
      <c r="V102" s="4" t="n"/>
      <c r="W102" s="4" t="n"/>
      <c r="X102" s="4" t="n"/>
      <c r="Y102" s="4" t="n"/>
      <c r="Z102" s="4" t="n"/>
      <c r="AA102" s="4" t="n"/>
      <c r="AB102" s="4" t="n"/>
      <c r="AC102" s="4" t="n"/>
      <c r="AD102" s="4" t="n"/>
      <c r="AE102" s="4" t="n"/>
      <c r="AF102" s="4" t="n"/>
      <c r="AG102" s="25" t="n"/>
      <c r="AH102" s="4" t="n"/>
      <c r="AI102" s="4" t="n"/>
      <c r="AJ102" s="149" t="n"/>
      <c r="AK102" s="150" t="n"/>
      <c r="AL102" s="4" t="n"/>
      <c r="AM102" s="25" t="n"/>
      <c r="AN102" s="4" t="n"/>
      <c r="AO102" s="4" t="n"/>
      <c r="AP102" s="4" t="n"/>
      <c r="AQ102" s="4" t="n"/>
      <c r="AR102" s="4" t="n"/>
      <c r="AS102" s="4" t="n"/>
      <c r="AT102" s="4" t="n"/>
      <c r="AU102" s="4" t="n"/>
      <c r="AV102" s="4" t="n"/>
    </row>
    <row r="103">
      <c r="A103" s="4" t="n"/>
      <c r="B103" s="4" t="n"/>
      <c r="C103" s="4" t="n"/>
      <c r="D103" s="4" t="n"/>
      <c r="E103" s="4" t="n"/>
      <c r="F103" s="4" t="n"/>
      <c r="G103" s="4" t="n"/>
      <c r="H103" s="4" t="n"/>
      <c r="I103" s="4" t="n"/>
      <c r="J103" s="4" t="n"/>
      <c r="K103" s="4" t="n"/>
      <c r="L103" s="4" t="n"/>
      <c r="M103" s="4" t="n"/>
      <c r="N103" s="4" t="n"/>
      <c r="O103" s="4" t="n"/>
      <c r="P103" s="4" t="n"/>
      <c r="Q103" s="4" t="n"/>
      <c r="S103" s="4" t="n"/>
      <c r="T103" s="4" t="n"/>
      <c r="U103" s="4" t="n"/>
      <c r="V103" s="4" t="n"/>
      <c r="W103" s="4" t="n"/>
      <c r="X103" s="4" t="n"/>
      <c r="Y103" s="4" t="n"/>
      <c r="Z103" s="4" t="n"/>
      <c r="AA103" s="4" t="n"/>
      <c r="AB103" s="4" t="n"/>
      <c r="AC103" s="4" t="n"/>
      <c r="AD103" s="4" t="n"/>
      <c r="AE103" s="4" t="n"/>
      <c r="AF103" s="4" t="n"/>
      <c r="AG103" s="25" t="n"/>
      <c r="AH103" s="4" t="n"/>
      <c r="AI103" s="4" t="n"/>
      <c r="AJ103" s="149" t="n"/>
      <c r="AK103" s="150" t="n"/>
      <c r="AL103" s="4" t="n"/>
      <c r="AM103" s="25" t="n"/>
      <c r="AN103" s="4" t="n"/>
      <c r="AO103" s="4" t="n"/>
      <c r="AP103" s="4" t="n"/>
      <c r="AQ103" s="4" t="n"/>
      <c r="AR103" s="4" t="n"/>
      <c r="AS103" s="4" t="n"/>
      <c r="AT103" s="4" t="n"/>
      <c r="AU103" s="4" t="n"/>
      <c r="AV103" s="4" t="n"/>
    </row>
    <row r="104">
      <c r="A104" s="4" t="n"/>
      <c r="B104" s="4" t="n"/>
      <c r="C104" s="4" t="n"/>
      <c r="D104" s="4" t="n"/>
      <c r="E104" s="4" t="n"/>
      <c r="F104" s="4" t="n"/>
      <c r="G104" s="4" t="n"/>
      <c r="H104" s="4" t="n"/>
      <c r="I104" s="4" t="n"/>
      <c r="J104" s="4" t="n"/>
      <c r="K104" s="4" t="n"/>
      <c r="L104" s="4" t="n"/>
      <c r="M104" s="4" t="n"/>
      <c r="N104" s="4" t="n"/>
      <c r="O104" s="4" t="n"/>
      <c r="P104" s="4" t="n"/>
      <c r="Q104" s="4" t="n"/>
      <c r="S104" s="4" t="n"/>
      <c r="T104" s="4" t="n"/>
      <c r="U104" s="4" t="n"/>
      <c r="V104" s="4" t="n"/>
      <c r="W104" s="4" t="n"/>
      <c r="X104" s="4" t="n"/>
      <c r="Y104" s="4" t="n"/>
      <c r="Z104" s="4" t="n"/>
      <c r="AA104" s="4" t="n"/>
      <c r="AB104" s="4" t="n"/>
      <c r="AC104" s="4" t="n"/>
      <c r="AD104" s="4" t="n"/>
      <c r="AE104" s="4" t="n"/>
      <c r="AF104" s="4" t="n"/>
      <c r="AG104" s="25" t="n"/>
      <c r="AH104" s="4" t="n"/>
      <c r="AI104" s="4" t="n"/>
      <c r="AJ104" s="149" t="n"/>
      <c r="AK104" s="150" t="n"/>
      <c r="AL104" s="4" t="n"/>
      <c r="AM104" s="25" t="n"/>
      <c r="AN104" s="4" t="n"/>
      <c r="AO104" s="4" t="n"/>
      <c r="AP104" s="4" t="n"/>
      <c r="AQ104" s="4" t="n"/>
      <c r="AR104" s="4" t="n"/>
      <c r="AS104" s="4" t="n"/>
      <c r="AT104" s="4" t="n"/>
      <c r="AU104" s="4" t="n"/>
      <c r="AV104" s="4" t="n"/>
    </row>
    <row r="105">
      <c r="A105" s="4" t="n"/>
      <c r="B105" s="4" t="n"/>
      <c r="C105" s="4" t="n"/>
      <c r="D105" s="4" t="n"/>
      <c r="E105" s="4" t="n"/>
      <c r="F105" s="4" t="n"/>
      <c r="G105" s="4" t="n"/>
      <c r="H105" s="4" t="n"/>
      <c r="I105" s="4" t="n"/>
      <c r="J105" s="4" t="n"/>
      <c r="K105" s="4" t="n"/>
      <c r="L105" s="4" t="n"/>
      <c r="M105" s="4" t="n"/>
      <c r="N105" s="4" t="n"/>
      <c r="O105" s="4" t="n"/>
      <c r="P105" s="4" t="n"/>
      <c r="Q105" s="4" t="n"/>
      <c r="S105" s="4" t="n"/>
      <c r="T105" s="4" t="n"/>
      <c r="U105" s="4" t="n"/>
      <c r="V105" s="4" t="n"/>
      <c r="W105" s="4" t="n"/>
      <c r="X105" s="4" t="n"/>
      <c r="Y105" s="4" t="n"/>
      <c r="Z105" s="4" t="n"/>
      <c r="AA105" s="4" t="n"/>
      <c r="AB105" s="4" t="n"/>
      <c r="AC105" s="4" t="n"/>
      <c r="AD105" s="4" t="n"/>
      <c r="AE105" s="4" t="n"/>
      <c r="AF105" s="4" t="n"/>
      <c r="AG105" s="25" t="n"/>
      <c r="AH105" s="4" t="n"/>
      <c r="AI105" s="4" t="n"/>
      <c r="AJ105" s="149" t="n"/>
      <c r="AK105" s="150" t="n"/>
      <c r="AL105" s="4" t="n"/>
      <c r="AM105" s="25" t="n"/>
      <c r="AN105" s="4" t="n"/>
      <c r="AO105" s="4" t="n"/>
      <c r="AP105" s="4" t="n"/>
      <c r="AQ105" s="4" t="n"/>
      <c r="AR105" s="4" t="n"/>
      <c r="AS105" s="4" t="n"/>
      <c r="AT105" s="4" t="n"/>
      <c r="AU105" s="4" t="n"/>
      <c r="AV105" s="4" t="n"/>
    </row>
    <row r="106">
      <c r="A106" s="4" t="n"/>
      <c r="B106" s="4" t="n"/>
      <c r="C106" s="4" t="n"/>
      <c r="D106" s="4" t="n"/>
      <c r="E106" s="4" t="n"/>
      <c r="F106" s="4" t="n"/>
      <c r="G106" s="4" t="n"/>
      <c r="H106" s="4" t="n"/>
      <c r="I106" s="4" t="n"/>
      <c r="J106" s="4" t="n"/>
      <c r="K106" s="4" t="n"/>
      <c r="L106" s="4" t="n"/>
      <c r="M106" s="4" t="n"/>
      <c r="N106" s="4" t="n"/>
      <c r="O106" s="4" t="n"/>
      <c r="P106" s="4" t="n"/>
      <c r="Q106" s="4" t="n"/>
      <c r="S106" s="4" t="n"/>
      <c r="T106" s="4" t="n"/>
      <c r="U106" s="4" t="n"/>
      <c r="V106" s="4" t="n"/>
      <c r="W106" s="4" t="n"/>
      <c r="X106" s="4" t="n"/>
      <c r="Y106" s="4" t="n"/>
      <c r="Z106" s="4" t="n"/>
      <c r="AA106" s="4" t="n"/>
      <c r="AB106" s="4" t="n"/>
      <c r="AC106" s="4" t="n"/>
      <c r="AD106" s="4" t="n"/>
      <c r="AE106" s="4" t="n"/>
      <c r="AF106" s="4" t="n"/>
      <c r="AG106" s="25" t="n"/>
      <c r="AH106" s="4" t="n"/>
      <c r="AI106" s="4" t="n"/>
      <c r="AJ106" s="149" t="n"/>
      <c r="AK106" s="150" t="n"/>
      <c r="AL106" s="4" t="n"/>
      <c r="AM106" s="25" t="n"/>
      <c r="AN106" s="4" t="n"/>
      <c r="AO106" s="4" t="n"/>
      <c r="AP106" s="4" t="n"/>
      <c r="AQ106" s="4" t="n"/>
      <c r="AR106" s="4" t="n"/>
      <c r="AS106" s="4" t="n"/>
      <c r="AT106" s="4" t="n"/>
      <c r="AU106" s="4" t="n"/>
      <c r="AV106" s="4" t="n"/>
    </row>
    <row r="107">
      <c r="A107" s="4" t="n"/>
      <c r="B107" s="4" t="n"/>
      <c r="C107" s="4" t="n"/>
      <c r="D107" s="4" t="n"/>
      <c r="E107" s="4" t="n"/>
      <c r="F107" s="4" t="n"/>
      <c r="G107" s="4" t="n"/>
      <c r="H107" s="4" t="n"/>
      <c r="I107" s="4" t="n"/>
      <c r="J107" s="4" t="n"/>
      <c r="K107" s="4" t="n"/>
      <c r="L107" s="4" t="n"/>
      <c r="M107" s="4" t="n"/>
      <c r="N107" s="4" t="n"/>
      <c r="O107" s="4" t="n"/>
      <c r="P107" s="4" t="n"/>
      <c r="Q107" s="4" t="n"/>
      <c r="S107" s="4" t="n"/>
      <c r="T107" s="4" t="n"/>
      <c r="U107" s="4" t="n"/>
      <c r="V107" s="4" t="n"/>
      <c r="W107" s="4" t="n"/>
      <c r="X107" s="4" t="n"/>
      <c r="Y107" s="4" t="n"/>
      <c r="Z107" s="4" t="n"/>
      <c r="AA107" s="4" t="n"/>
      <c r="AB107" s="4" t="n"/>
      <c r="AC107" s="4" t="n"/>
      <c r="AD107" s="4" t="n"/>
      <c r="AE107" s="4" t="n"/>
      <c r="AF107" s="4" t="n"/>
      <c r="AG107" s="25" t="n"/>
      <c r="AH107" s="4" t="n"/>
      <c r="AI107" s="4" t="n"/>
      <c r="AJ107" s="149" t="n"/>
      <c r="AK107" s="150" t="n"/>
      <c r="AL107" s="4" t="n"/>
      <c r="AM107" s="25" t="n"/>
      <c r="AN107" s="4" t="n"/>
      <c r="AO107" s="4" t="n"/>
      <c r="AP107" s="4" t="n"/>
      <c r="AQ107" s="4" t="n"/>
      <c r="AR107" s="4" t="n"/>
      <c r="AS107" s="4" t="n"/>
      <c r="AT107" s="4" t="n"/>
      <c r="AU107" s="4" t="n"/>
      <c r="AV107" s="4" t="n"/>
    </row>
    <row r="108">
      <c r="A108" s="4" t="n"/>
      <c r="B108" s="4" t="n"/>
      <c r="C108" s="4" t="n"/>
      <c r="D108" s="4" t="n"/>
      <c r="E108" s="4" t="n"/>
      <c r="F108" s="4" t="n"/>
      <c r="G108" s="4" t="n"/>
      <c r="H108" s="4" t="n"/>
      <c r="I108" s="4" t="n"/>
      <c r="J108" s="4" t="n"/>
      <c r="K108" s="4" t="n"/>
      <c r="L108" s="4" t="n"/>
      <c r="M108" s="4" t="n"/>
      <c r="N108" s="4" t="n"/>
      <c r="O108" s="4" t="n"/>
      <c r="P108" s="4" t="n"/>
      <c r="Q108" s="4" t="n"/>
      <c r="S108" s="4" t="n"/>
      <c r="T108" s="4" t="n"/>
      <c r="U108" s="4" t="n"/>
      <c r="V108" s="4" t="n"/>
      <c r="W108" s="4" t="n"/>
      <c r="X108" s="4" t="n"/>
      <c r="Y108" s="4" t="n"/>
      <c r="Z108" s="4" t="n"/>
      <c r="AA108" s="4" t="n"/>
      <c r="AB108" s="4" t="n"/>
      <c r="AC108" s="4" t="n"/>
      <c r="AD108" s="4" t="n"/>
      <c r="AE108" s="4" t="n"/>
      <c r="AF108" s="4" t="n"/>
      <c r="AG108" s="25" t="n"/>
      <c r="AH108" s="4" t="n"/>
      <c r="AI108" s="4" t="n"/>
      <c r="AJ108" s="149" t="n"/>
      <c r="AK108" s="150" t="n"/>
      <c r="AL108" s="4" t="n"/>
      <c r="AM108" s="25" t="n"/>
      <c r="AN108" s="4" t="n"/>
      <c r="AO108" s="4" t="n"/>
      <c r="AP108" s="4" t="n"/>
      <c r="AQ108" s="4" t="n"/>
      <c r="AR108" s="4" t="n"/>
      <c r="AS108" s="4" t="n"/>
      <c r="AT108" s="4" t="n"/>
      <c r="AU108" s="4" t="n"/>
      <c r="AV108" s="4" t="n"/>
    </row>
    <row r="109">
      <c r="A109" s="4" t="n"/>
      <c r="B109" s="4" t="n"/>
      <c r="C109" s="4" t="n"/>
      <c r="D109" s="4" t="n"/>
      <c r="E109" s="4" t="n"/>
      <c r="F109" s="4" t="n"/>
      <c r="G109" s="4" t="n"/>
      <c r="H109" s="4" t="n"/>
      <c r="I109" s="4" t="n"/>
      <c r="J109" s="4" t="n"/>
      <c r="K109" s="4" t="n"/>
      <c r="L109" s="4" t="n"/>
      <c r="M109" s="4" t="n"/>
      <c r="N109" s="4" t="n"/>
      <c r="O109" s="4" t="n"/>
      <c r="P109" s="4" t="n"/>
      <c r="Q109" s="4" t="n"/>
      <c r="S109" s="4" t="n"/>
      <c r="T109" s="4" t="n"/>
      <c r="U109" s="4" t="n"/>
      <c r="V109" s="4" t="n"/>
      <c r="W109" s="4" t="n"/>
      <c r="X109" s="4" t="n"/>
      <c r="Y109" s="4" t="n"/>
      <c r="Z109" s="4" t="n"/>
      <c r="AA109" s="4" t="n"/>
      <c r="AB109" s="4" t="n"/>
      <c r="AC109" s="4" t="n"/>
      <c r="AD109" s="4" t="n"/>
      <c r="AE109" s="4" t="n"/>
      <c r="AF109" s="4" t="n"/>
      <c r="AG109" s="25" t="n"/>
      <c r="AH109" s="4" t="n"/>
      <c r="AI109" s="4" t="n"/>
      <c r="AJ109" s="149" t="n"/>
      <c r="AK109" s="150" t="n"/>
      <c r="AL109" s="4" t="n"/>
      <c r="AM109" s="25" t="n"/>
      <c r="AN109" s="4" t="n"/>
      <c r="AO109" s="4" t="n"/>
      <c r="AP109" s="4" t="n"/>
      <c r="AQ109" s="4" t="n"/>
      <c r="AR109" s="4" t="n"/>
      <c r="AS109" s="4" t="n"/>
      <c r="AT109" s="4" t="n"/>
      <c r="AU109" s="4" t="n"/>
      <c r="AV109" s="4" t="n"/>
    </row>
    <row r="110">
      <c r="A110" s="4" t="n"/>
      <c r="B110" s="4" t="n"/>
      <c r="C110" s="4" t="n"/>
      <c r="D110" s="4" t="n"/>
      <c r="E110" s="4" t="n"/>
      <c r="F110" s="4" t="n"/>
      <c r="G110" s="4" t="n"/>
      <c r="H110" s="4" t="n"/>
      <c r="I110" s="4" t="n"/>
      <c r="J110" s="4" t="n"/>
      <c r="K110" s="4" t="n"/>
      <c r="L110" s="4" t="n"/>
      <c r="M110" s="4" t="n"/>
      <c r="N110" s="4" t="n"/>
      <c r="O110" s="4" t="n"/>
      <c r="P110" s="4" t="n"/>
      <c r="Q110" s="4" t="n"/>
      <c r="S110" s="4" t="n"/>
      <c r="T110" s="4" t="n"/>
      <c r="U110" s="4" t="n"/>
      <c r="V110" s="4" t="n"/>
      <c r="W110" s="4" t="n"/>
      <c r="X110" s="4" t="n"/>
      <c r="Y110" s="4" t="n"/>
      <c r="Z110" s="4" t="n"/>
      <c r="AA110" s="4" t="n"/>
      <c r="AB110" s="4" t="n"/>
      <c r="AC110" s="4" t="n"/>
      <c r="AD110" s="4" t="n"/>
      <c r="AE110" s="4" t="n"/>
      <c r="AF110" s="4" t="n"/>
      <c r="AG110" s="25" t="n"/>
      <c r="AH110" s="4" t="n"/>
      <c r="AI110" s="4" t="n"/>
      <c r="AJ110" s="149" t="n"/>
      <c r="AK110" s="150" t="n"/>
      <c r="AL110" s="4" t="n"/>
      <c r="AM110" s="25" t="n"/>
      <c r="AN110" s="4" t="n"/>
      <c r="AO110" s="4" t="n"/>
      <c r="AP110" s="4" t="n"/>
      <c r="AQ110" s="4" t="n"/>
      <c r="AR110" s="4" t="n"/>
      <c r="AS110" s="4" t="n"/>
      <c r="AT110" s="4" t="n"/>
      <c r="AU110" s="4" t="n"/>
      <c r="AV110" s="4" t="n"/>
    </row>
    <row r="111">
      <c r="A111" s="4" t="n"/>
      <c r="B111" s="4" t="n"/>
      <c r="C111" s="4" t="n"/>
      <c r="D111" s="4" t="n"/>
      <c r="E111" s="4" t="n"/>
      <c r="F111" s="4" t="n"/>
      <c r="G111" s="4" t="n"/>
      <c r="H111" s="4" t="n"/>
      <c r="I111" s="4" t="n"/>
      <c r="J111" s="4" t="n"/>
      <c r="K111" s="4" t="n"/>
      <c r="L111" s="4" t="n"/>
      <c r="M111" s="4" t="n"/>
      <c r="N111" s="4" t="n"/>
      <c r="O111" s="4" t="n"/>
      <c r="P111" s="4" t="n"/>
      <c r="Q111" s="4" t="n"/>
      <c r="S111" s="4" t="n"/>
      <c r="T111" s="4" t="n"/>
      <c r="U111" s="4" t="n"/>
      <c r="V111" s="4" t="n"/>
      <c r="W111" s="4" t="n"/>
      <c r="X111" s="4" t="n"/>
      <c r="Y111" s="4" t="n"/>
      <c r="Z111" s="4" t="n"/>
      <c r="AA111" s="4" t="n"/>
      <c r="AB111" s="4" t="n"/>
      <c r="AC111" s="4" t="n"/>
      <c r="AD111" s="4" t="n"/>
      <c r="AE111" s="4" t="n"/>
      <c r="AF111" s="4" t="n"/>
      <c r="AG111" s="25" t="n"/>
      <c r="AH111" s="4" t="n"/>
      <c r="AI111" s="4" t="n"/>
      <c r="AJ111" s="149" t="n"/>
      <c r="AK111" s="150" t="n"/>
      <c r="AL111" s="4" t="n"/>
      <c r="AM111" s="25" t="n"/>
      <c r="AN111" s="4" t="n"/>
      <c r="AO111" s="4" t="n"/>
      <c r="AP111" s="4" t="n"/>
      <c r="AQ111" s="4" t="n"/>
      <c r="AR111" s="4" t="n"/>
      <c r="AS111" s="4" t="n"/>
      <c r="AT111" s="4" t="n"/>
      <c r="AU111" s="4" t="n"/>
      <c r="AV111" s="4" t="n"/>
    </row>
    <row r="112">
      <c r="A112" s="4" t="n"/>
      <c r="B112" s="4" t="n"/>
      <c r="C112" s="4" t="n"/>
      <c r="D112" s="4" t="n"/>
      <c r="E112" s="4" t="n"/>
      <c r="F112" s="4" t="n"/>
      <c r="G112" s="4" t="n"/>
      <c r="H112" s="4" t="n"/>
      <c r="I112" s="4" t="n"/>
      <c r="J112" s="4" t="n"/>
      <c r="K112" s="4" t="n"/>
      <c r="L112" s="4" t="n"/>
      <c r="M112" s="4" t="n"/>
      <c r="N112" s="4" t="n"/>
      <c r="O112" s="4" t="n"/>
      <c r="P112" s="4" t="n"/>
      <c r="Q112" s="4" t="n"/>
      <c r="S112" s="4" t="n"/>
      <c r="T112" s="4" t="n"/>
      <c r="U112" s="4" t="n"/>
      <c r="V112" s="4" t="n"/>
      <c r="W112" s="4" t="n"/>
      <c r="X112" s="4" t="n"/>
      <c r="Y112" s="4" t="n"/>
      <c r="Z112" s="4" t="n"/>
      <c r="AA112" s="4" t="n"/>
      <c r="AB112" s="4" t="n"/>
      <c r="AC112" s="4" t="n"/>
      <c r="AD112" s="4" t="n"/>
      <c r="AE112" s="4" t="n"/>
      <c r="AF112" s="4" t="n"/>
      <c r="AG112" s="25" t="n"/>
      <c r="AH112" s="4" t="n"/>
      <c r="AI112" s="4" t="n"/>
      <c r="AJ112" s="149" t="n"/>
      <c r="AK112" s="150" t="n"/>
      <c r="AL112" s="4" t="n"/>
      <c r="AM112" s="25" t="n"/>
      <c r="AN112" s="4" t="n"/>
      <c r="AO112" s="4" t="n"/>
      <c r="AP112" s="4" t="n"/>
      <c r="AQ112" s="4" t="n"/>
      <c r="AR112" s="4" t="n"/>
      <c r="AS112" s="4" t="n"/>
      <c r="AT112" s="4" t="n"/>
      <c r="AU112" s="4" t="n"/>
      <c r="AV112" s="4" t="n"/>
    </row>
    <row r="113">
      <c r="A113" s="4" t="n"/>
      <c r="B113" s="4" t="n"/>
      <c r="C113" s="4" t="n"/>
      <c r="D113" s="4" t="n"/>
      <c r="E113" s="4" t="n"/>
      <c r="F113" s="4" t="n"/>
      <c r="G113" s="4" t="n"/>
      <c r="H113" s="4" t="n"/>
      <c r="I113" s="4" t="n"/>
      <c r="J113" s="4" t="n"/>
      <c r="K113" s="4" t="n"/>
      <c r="L113" s="4" t="n"/>
      <c r="M113" s="4" t="n"/>
      <c r="N113" s="4" t="n"/>
      <c r="O113" s="4" t="n"/>
      <c r="P113" s="4" t="n"/>
      <c r="Q113" s="4" t="n"/>
      <c r="S113" s="4" t="n"/>
      <c r="T113" s="4" t="n"/>
      <c r="U113" s="4" t="n"/>
      <c r="V113" s="4" t="n"/>
      <c r="W113" s="4" t="n"/>
      <c r="X113" s="4" t="n"/>
      <c r="Y113" s="4" t="n"/>
      <c r="Z113" s="4" t="n"/>
      <c r="AA113" s="4" t="n"/>
      <c r="AB113" s="4" t="n"/>
      <c r="AC113" s="4" t="n"/>
      <c r="AD113" s="4" t="n"/>
      <c r="AE113" s="4" t="n"/>
      <c r="AF113" s="4" t="n"/>
      <c r="AG113" s="25" t="n"/>
      <c r="AH113" s="4" t="n"/>
      <c r="AI113" s="4" t="n"/>
      <c r="AJ113" s="149" t="n"/>
      <c r="AK113" s="150" t="n"/>
      <c r="AL113" s="4" t="n"/>
      <c r="AM113" s="25" t="n"/>
      <c r="AN113" s="4" t="n"/>
      <c r="AO113" s="4" t="n"/>
      <c r="AP113" s="4" t="n"/>
      <c r="AQ113" s="4" t="n"/>
      <c r="AR113" s="4" t="n"/>
      <c r="AS113" s="4" t="n"/>
      <c r="AT113" s="4" t="n"/>
      <c r="AU113" s="4" t="n"/>
      <c r="AV113" s="4" t="n"/>
    </row>
    <row r="114">
      <c r="A114" s="4" t="n"/>
      <c r="B114" s="4" t="n"/>
      <c r="C114" s="4" t="n"/>
      <c r="D114" s="4" t="n"/>
      <c r="E114" s="4" t="n"/>
      <c r="F114" s="4" t="n"/>
      <c r="G114" s="4" t="n"/>
      <c r="H114" s="4" t="n"/>
      <c r="I114" s="4" t="n"/>
      <c r="J114" s="4" t="n"/>
      <c r="K114" s="4" t="n"/>
      <c r="L114" s="4" t="n"/>
      <c r="M114" s="4" t="n"/>
      <c r="N114" s="4" t="n"/>
      <c r="O114" s="4" t="n"/>
      <c r="P114" s="4" t="n"/>
      <c r="Q114" s="4" t="n"/>
      <c r="S114" s="4" t="n"/>
      <c r="T114" s="4" t="n"/>
      <c r="U114" s="4" t="n"/>
      <c r="V114" s="4" t="n"/>
      <c r="W114" s="4" t="n"/>
      <c r="X114" s="4" t="n"/>
      <c r="Y114" s="4" t="n"/>
      <c r="Z114" s="4" t="n"/>
      <c r="AA114" s="4" t="n"/>
      <c r="AB114" s="4" t="n"/>
      <c r="AC114" s="4" t="n"/>
      <c r="AD114" s="4" t="n"/>
      <c r="AE114" s="4" t="n"/>
      <c r="AF114" s="4" t="n"/>
      <c r="AG114" s="25" t="n"/>
      <c r="AH114" s="4" t="n"/>
      <c r="AI114" s="4" t="n"/>
      <c r="AJ114" s="149" t="n"/>
      <c r="AK114" s="150" t="n"/>
      <c r="AL114" s="4" t="n"/>
      <c r="AM114" s="25" t="n"/>
      <c r="AN114" s="4" t="n"/>
      <c r="AO114" s="4" t="n"/>
      <c r="AP114" s="4" t="n"/>
      <c r="AQ114" s="4" t="n"/>
      <c r="AR114" s="4" t="n"/>
      <c r="AS114" s="4" t="n"/>
      <c r="AT114" s="4" t="n"/>
      <c r="AU114" s="4" t="n"/>
      <c r="AV114" s="4" t="n"/>
    </row>
    <row r="115">
      <c r="A115" s="4" t="n"/>
      <c r="B115" s="4" t="n"/>
      <c r="C115" s="4" t="n"/>
      <c r="D115" s="4" t="n"/>
      <c r="E115" s="4" t="n"/>
      <c r="F115" s="4" t="n"/>
      <c r="G115" s="4" t="n"/>
      <c r="H115" s="4" t="n"/>
      <c r="I115" s="4" t="n"/>
      <c r="J115" s="4" t="n"/>
      <c r="K115" s="4" t="n"/>
      <c r="L115" s="4" t="n"/>
      <c r="M115" s="4" t="n"/>
      <c r="N115" s="4" t="n"/>
      <c r="O115" s="4" t="n"/>
      <c r="P115" s="4" t="n"/>
      <c r="Q115" s="4" t="n"/>
      <c r="S115" s="4" t="n"/>
      <c r="T115" s="4" t="n"/>
      <c r="U115" s="4" t="n"/>
      <c r="V115" s="4" t="n"/>
      <c r="W115" s="4" t="n"/>
      <c r="X115" s="4" t="n"/>
      <c r="Y115" s="4" t="n"/>
      <c r="Z115" s="4" t="n"/>
      <c r="AA115" s="4" t="n"/>
      <c r="AB115" s="4" t="n"/>
      <c r="AC115" s="4" t="n"/>
      <c r="AD115" s="4" t="n"/>
      <c r="AE115" s="4" t="n"/>
      <c r="AF115" s="4" t="n"/>
      <c r="AG115" s="25" t="n"/>
      <c r="AH115" s="4" t="n"/>
      <c r="AI115" s="4" t="n"/>
      <c r="AJ115" s="149" t="n"/>
      <c r="AK115" s="150" t="n"/>
      <c r="AL115" s="4" t="n"/>
      <c r="AM115" s="25" t="n"/>
      <c r="AN115" s="4" t="n"/>
      <c r="AO115" s="4" t="n"/>
      <c r="AP115" s="4" t="n"/>
      <c r="AQ115" s="4" t="n"/>
      <c r="AR115" s="4" t="n"/>
      <c r="AS115" s="4" t="n"/>
      <c r="AT115" s="4" t="n"/>
      <c r="AU115" s="4" t="n"/>
      <c r="AV115" s="4" t="n"/>
    </row>
    <row r="116">
      <c r="A116" s="4" t="n"/>
      <c r="B116" s="4" t="n"/>
      <c r="C116" s="4" t="n"/>
      <c r="D116" s="4" t="n"/>
      <c r="E116" s="4" t="n"/>
      <c r="F116" s="4" t="n"/>
      <c r="G116" s="4" t="n"/>
      <c r="H116" s="4" t="n"/>
      <c r="I116" s="4" t="n"/>
      <c r="J116" s="4" t="n"/>
      <c r="K116" s="4" t="n"/>
      <c r="L116" s="4" t="n"/>
      <c r="M116" s="4" t="n"/>
      <c r="N116" s="4" t="n"/>
      <c r="O116" s="4" t="n"/>
      <c r="P116" s="4" t="n"/>
      <c r="Q116" s="4" t="n"/>
      <c r="S116" s="4" t="n"/>
      <c r="T116" s="4" t="n"/>
      <c r="U116" s="4" t="n"/>
      <c r="V116" s="4" t="n"/>
      <c r="W116" s="4" t="n"/>
      <c r="X116" s="4" t="n"/>
      <c r="Y116" s="4" t="n"/>
      <c r="Z116" s="4" t="n"/>
      <c r="AA116" s="4" t="n"/>
      <c r="AB116" s="4" t="n"/>
      <c r="AC116" s="4" t="n"/>
      <c r="AD116" s="4" t="n"/>
      <c r="AE116" s="4" t="n"/>
      <c r="AF116" s="4" t="n"/>
      <c r="AG116" s="25" t="n"/>
      <c r="AH116" s="4" t="n"/>
      <c r="AI116" s="4" t="n"/>
      <c r="AJ116" s="149" t="n"/>
      <c r="AK116" s="150" t="n"/>
      <c r="AL116" s="4" t="n"/>
      <c r="AM116" s="25" t="n"/>
      <c r="AN116" s="4" t="n"/>
      <c r="AO116" s="4" t="n"/>
      <c r="AP116" s="4" t="n"/>
      <c r="AQ116" s="4" t="n"/>
      <c r="AR116" s="4" t="n"/>
      <c r="AS116" s="4" t="n"/>
      <c r="AT116" s="4" t="n"/>
      <c r="AU116" s="4" t="n"/>
      <c r="AV116" s="4" t="n"/>
    </row>
    <row r="117">
      <c r="A117" s="4" t="n"/>
      <c r="B117" s="4" t="n"/>
      <c r="C117" s="4" t="n"/>
      <c r="D117" s="4" t="n"/>
      <c r="E117" s="4" t="n"/>
      <c r="F117" s="4" t="n"/>
      <c r="G117" s="4" t="n"/>
      <c r="H117" s="4" t="n"/>
      <c r="I117" s="4" t="n"/>
      <c r="J117" s="4" t="n"/>
      <c r="K117" s="4" t="n"/>
      <c r="L117" s="4" t="n"/>
      <c r="M117" s="4" t="n"/>
      <c r="N117" s="4" t="n"/>
      <c r="O117" s="4" t="n"/>
      <c r="P117" s="4" t="n"/>
      <c r="Q117" s="4" t="n"/>
      <c r="S117" s="4" t="n"/>
      <c r="T117" s="4" t="n"/>
      <c r="U117" s="4" t="n"/>
      <c r="V117" s="4" t="n"/>
      <c r="W117" s="4" t="n"/>
      <c r="X117" s="4" t="n"/>
      <c r="Y117" s="4" t="n"/>
      <c r="Z117" s="4" t="n"/>
      <c r="AA117" s="4" t="n"/>
      <c r="AB117" s="4" t="n"/>
      <c r="AC117" s="4" t="n"/>
      <c r="AD117" s="4" t="n"/>
      <c r="AE117" s="4" t="n"/>
      <c r="AF117" s="4" t="n"/>
      <c r="AG117" s="25" t="n"/>
      <c r="AH117" s="4" t="n"/>
      <c r="AI117" s="4" t="n"/>
      <c r="AJ117" s="149" t="n"/>
      <c r="AK117" s="150" t="n"/>
      <c r="AL117" s="4" t="n"/>
      <c r="AM117" s="25" t="n"/>
      <c r="AN117" s="4" t="n"/>
      <c r="AO117" s="4" t="n"/>
      <c r="AP117" s="4" t="n"/>
      <c r="AQ117" s="4" t="n"/>
      <c r="AR117" s="4" t="n"/>
      <c r="AS117" s="4" t="n"/>
      <c r="AT117" s="4" t="n"/>
      <c r="AU117" s="4" t="n"/>
      <c r="AV117" s="4" t="n"/>
    </row>
    <row r="1048572">
      <c r="AK1048572" s="113" t="n"/>
      <c r="AL1048572" s="151" t="n"/>
      <c r="AT1048572" s="7" t="n"/>
      <c r="AU1048572" s="7" t="n"/>
    </row>
  </sheetData>
  <autoFilter ref="C24:AV84"/>
  <mergeCells count="21">
    <mergeCell ref="AB23:AE23"/>
    <mergeCell ref="AN25:AP25"/>
    <mergeCell ref="D19:E19"/>
    <mergeCell ref="S23:AA23"/>
    <mergeCell ref="C17:C19"/>
    <mergeCell ref="AR23:AV23"/>
    <mergeCell ref="AR58:AV58"/>
    <mergeCell ref="AN23:AP23"/>
    <mergeCell ref="D17:E17"/>
    <mergeCell ref="AR69:AV69"/>
    <mergeCell ref="D16:E16"/>
    <mergeCell ref="AG59:AL62"/>
    <mergeCell ref="AG58:AL58"/>
    <mergeCell ref="AG23:AL23"/>
    <mergeCell ref="AR59:AV62"/>
    <mergeCell ref="D18:E18"/>
    <mergeCell ref="C15:E15"/>
    <mergeCell ref="I23:P23"/>
    <mergeCell ref="AG69:AL69"/>
    <mergeCell ref="AG63:AL63"/>
    <mergeCell ref="D23:H23"/>
  </mergeCells>
  <conditionalFormatting sqref="C26:C43 Y46:Y83 AV28:AV36">
    <cfRule type="containsText" priority="9" operator="containsText" dxfId="1" text="&quot;N/A&quot;">
      <formula>NOT(ISERROR(SEARCH("""N/A""",C26)))</formula>
    </cfRule>
    <cfRule type="containsText" priority="10" operator="containsText" dxfId="0" text="N/A">
      <formula>NOT(ISERROR(SEARCH("N/A",C26)))</formula>
    </cfRule>
  </conditionalFormatting>
  <conditionalFormatting sqref="D26:G84">
    <cfRule type="containsText" priority="7" operator="containsText" dxfId="38" text="No">
      <formula>NOT(ISERROR(SEARCH("No",D26)))</formula>
    </cfRule>
    <cfRule type="containsText" priority="8" operator="containsText" dxfId="34" text="Yes">
      <formula>NOT(ISERROR(SEARCH("Yes",D26)))</formula>
    </cfRule>
  </conditionalFormatting>
  <conditionalFormatting sqref="E4:G4">
    <cfRule type="expression" priority="41" dxfId="36">
      <formula>IF($F$3&lt;&gt;"Yes",1,0)</formula>
    </cfRule>
  </conditionalFormatting>
  <conditionalFormatting sqref="F3">
    <cfRule type="containsText" priority="34" operator="containsText" dxfId="35" text="Yes">
      <formula>NOT(ISERROR(SEARCH("Yes",F3)))</formula>
    </cfRule>
    <cfRule type="containsText" priority="35" operator="containsText" dxfId="34" text="No">
      <formula>NOT(ISERROR(SEARCH("No",F3)))</formula>
    </cfRule>
  </conditionalFormatting>
  <conditionalFormatting sqref="C24:D24 H26:I45 H46 I46:I49 Z27:Z84 AA44:AA48 AD39:AD44 AR24:AV24">
    <cfRule type="containsText" priority="38" operator="containsText" dxfId="0" text="N/A">
      <formula>NOT(ISERROR(SEARCH("N/A",C24)))</formula>
    </cfRule>
  </conditionalFormatting>
  <conditionalFormatting sqref="O59:O62">
    <cfRule type="containsText" priority="6" operator="containsText" dxfId="0" text="N/A">
      <formula>NOT(ISERROR(SEARCH("N/A",O59)))</formula>
    </cfRule>
  </conditionalFormatting>
  <conditionalFormatting sqref="T24">
    <cfRule type="containsText" priority="37" operator="containsText" dxfId="0" text="N/A">
      <formula>NOT(ISERROR(SEARCH("N/A",T24)))</formula>
    </cfRule>
  </conditionalFormatting>
  <conditionalFormatting sqref="H26:I45 H46 I46:I49 U26:U35 W44:Y45 Z44:Z84 AA44:AA48 AD39:AD44">
    <cfRule type="containsText" priority="13" operator="containsText" dxfId="1" text="&quot;N/A&quot;">
      <formula>NOT(ISERROR(SEARCH("""N/A""",H26)))</formula>
    </cfRule>
  </conditionalFormatting>
  <conditionalFormatting sqref="U38:U40">
    <cfRule type="containsText" priority="20" operator="containsText" dxfId="0" text="N/A">
      <formula>NOT(ISERROR(SEARCH("N/A",U38)))</formula>
    </cfRule>
  </conditionalFormatting>
  <conditionalFormatting sqref="U53:U54">
    <cfRule type="containsText" priority="15" operator="containsText" dxfId="1" text="&quot;N/A&quot;">
      <formula>NOT(ISERROR(SEARCH("""N/A""",U53)))</formula>
    </cfRule>
  </conditionalFormatting>
  <conditionalFormatting sqref="U24:Z25">
    <cfRule type="containsText" priority="36" operator="containsText" dxfId="0" text="N/A">
      <formula>NOT(ISERROR(SEARCH("N/A",U24)))</formula>
    </cfRule>
  </conditionalFormatting>
  <conditionalFormatting sqref="V57:V63">
    <cfRule type="containsText" priority="3" operator="containsText" dxfId="0" text="N/A">
      <formula>NOT(ISERROR(SEARCH("N/A",V57)))</formula>
    </cfRule>
  </conditionalFormatting>
  <conditionalFormatting sqref="V48:X51">
    <cfRule type="containsText" priority="17" operator="containsText" dxfId="0" text="N/A">
      <formula>NOT(ISERROR(SEARCH("N/A",V48)))</formula>
    </cfRule>
  </conditionalFormatting>
  <conditionalFormatting sqref="W64">
    <cfRule type="containsText" priority="30" operator="containsText" dxfId="1" text="&quot;N/A&quot;">
      <formula>NOT(ISERROR(SEARCH("""N/A""",W64)))</formula>
    </cfRule>
  </conditionalFormatting>
  <conditionalFormatting sqref="W48:X51">
    <cfRule type="containsText" priority="16" operator="containsText" dxfId="1" text="&quot;N/A&quot;">
      <formula>NOT(ISERROR(SEARCH("""N/A""",W48)))</formula>
    </cfRule>
  </conditionalFormatting>
  <conditionalFormatting sqref="H47:H48 H53:H54 I50:I57 J26:L32 J53:L54 K33:L37 O53:Q53 O54 P26:Q37 S26:S29 S34 S36:S40 S42 S47:S51 S53:S54 S56 W26:AA43 W47 W53:X53 X46 X54 AA53:AA54 AC52 AD28:AD37">
    <cfRule type="containsText" priority="39" operator="containsText" dxfId="1" text="&quot;N/A&quot;">
      <formula>NOT(ISERROR(SEARCH("""N/A""",H26)))</formula>
    </cfRule>
  </conditionalFormatting>
  <conditionalFormatting sqref="D25:G25 H24:Q24 H47:H48 H53:H54 I25:Q25 I50:I57 J26:L32 J53:L54 K33:L37 O53:Q53 O54 P26:Q37 S12:S22 S24:S29 S34 S36:S40 S42 S47:S51 S53:S54 S56 U26:U37 U53:U54 V26:Z27 V29:AA43 V44:Y44 V47:W47 V52 V53:X53 V54 V67:V70 V74:V81 V84 W28:AA28 W45:Y45 W64 X46 X54 AA24:AA27 AA53:AA54 AC52 AD28:AD37">
    <cfRule type="containsText" priority="40" operator="containsText" dxfId="0" text="N/A">
      <formula>NOT(ISERROR(SEARCH("N/A",D12)))</formula>
    </cfRule>
  </conditionalFormatting>
  <conditionalFormatting sqref="AA84">
    <cfRule type="containsText" priority="18" operator="containsText" dxfId="1" text="&quot;N/A&quot;">
      <formula>NOT(ISERROR(SEARCH("""N/A""",AA84)))</formula>
    </cfRule>
    <cfRule type="containsText" priority="19" operator="containsText" dxfId="0" text="N/A">
      <formula>NOT(ISERROR(SEARCH("N/A",AA84)))</formula>
    </cfRule>
  </conditionalFormatting>
  <conditionalFormatting sqref="AB25">
    <cfRule type="containsText" priority="33" operator="containsText" dxfId="0" text="N/A">
      <formula>NOT(ISERROR(SEARCH("N/A",AB25)))</formula>
    </cfRule>
  </conditionalFormatting>
  <conditionalFormatting sqref="AG25">
    <cfRule type="containsText" priority="5" operator="containsText" dxfId="0" text="N/A">
      <formula>NOT(ISERROR(SEARCH("N/A",AG25)))</formula>
    </cfRule>
  </conditionalFormatting>
  <conditionalFormatting sqref="AG24:AL24">
    <cfRule type="containsText" priority="25" operator="containsText" dxfId="0" text="N/A">
      <formula>NOT(ISERROR(SEARCH("N/A",AG24)))</formula>
    </cfRule>
  </conditionalFormatting>
  <conditionalFormatting sqref="AI41">
    <cfRule type="containsText" priority="23" operator="containsText" dxfId="0" text="N/A">
      <formula>NOT(ISERROR(SEARCH("N/A",AI41)))</formula>
    </cfRule>
  </conditionalFormatting>
  <conditionalFormatting sqref="AI48:AI50">
    <cfRule type="containsText" priority="14" operator="containsText" dxfId="0" text="N/A">
      <formula>NOT(ISERROR(SEARCH("N/A",AI48)))</formula>
    </cfRule>
  </conditionalFormatting>
  <conditionalFormatting sqref="AI57">
    <cfRule type="containsText" priority="29" operator="containsText" dxfId="0" text="N/A">
      <formula>NOT(ISERROR(SEARCH("N/A",AI57)))</formula>
    </cfRule>
  </conditionalFormatting>
  <conditionalFormatting sqref="AI67:AI68 AI70:AI71">
    <cfRule type="containsText" priority="11" operator="containsText" dxfId="0" text="N/A">
      <formula>NOT(ISERROR(SEARCH("N/A",AI67)))</formula>
    </cfRule>
  </conditionalFormatting>
  <conditionalFormatting sqref="AI73:AI74">
    <cfRule type="containsText" priority="26" operator="containsText" dxfId="0" text="N/A">
      <formula>NOT(ISERROR(SEARCH("N/A",AI73)))</formula>
    </cfRule>
  </conditionalFormatting>
  <conditionalFormatting sqref="AI76:AI84">
    <cfRule type="containsText" priority="12" operator="containsText" dxfId="0" text="N/A">
      <formula>NOT(ISERROR(SEARCH("N/A",AI76)))</formula>
    </cfRule>
  </conditionalFormatting>
  <conditionalFormatting sqref="AI25:AN25">
    <cfRule type="containsText" priority="4" operator="containsText" dxfId="0" text="N/A">
      <formula>NOT(ISERROR(SEARCH("N/A",AI25)))</formula>
    </cfRule>
  </conditionalFormatting>
  <conditionalFormatting sqref="AJ39:AJ40">
    <cfRule type="containsText" priority="21" operator="containsText" dxfId="1" text="&quot;N/A&quot;">
      <formula>NOT(ISERROR(SEARCH("""N/A""",AJ39)))</formula>
    </cfRule>
    <cfRule type="containsText" priority="22" operator="containsText" dxfId="0" text="N/A">
      <formula>NOT(ISERROR(SEARCH("N/A",AJ39)))</formula>
    </cfRule>
  </conditionalFormatting>
  <conditionalFormatting sqref="AJ43">
    <cfRule type="containsText" priority="31" operator="containsText" dxfId="1" text="&quot;N/A&quot;">
      <formula>NOT(ISERROR(SEARCH("""N/A""",AJ43)))</formula>
    </cfRule>
    <cfRule type="containsText" priority="32" operator="containsText" dxfId="0" text="N/A">
      <formula>NOT(ISERROR(SEARCH("N/A",AJ43)))</formula>
    </cfRule>
  </conditionalFormatting>
  <conditionalFormatting sqref="AJ45:AJ46">
    <cfRule type="containsText" priority="27" operator="containsText" dxfId="1" text="&quot;N/A&quot;">
      <formula>NOT(ISERROR(SEARCH("""N/A""",AJ45)))</formula>
    </cfRule>
    <cfRule type="containsText" priority="28" operator="containsText" dxfId="0" text="N/A">
      <formula>NOT(ISERROR(SEARCH("N/A",AJ45)))</formula>
    </cfRule>
  </conditionalFormatting>
  <conditionalFormatting sqref="AN24:AP24">
    <cfRule type="containsText" priority="24" operator="containsText" dxfId="0" text="N/A">
      <formula>NOT(ISERROR(SEARCH("N/A",AN24)))</formula>
    </cfRule>
  </conditionalFormatting>
  <conditionalFormatting sqref="J38">
    <cfRule type="containsText" priority="1" operator="containsText" dxfId="1" text="&quot;N/A&quot;">
      <formula>NOT(ISERROR(SEARCH("""N/A""",J38)))</formula>
    </cfRule>
    <cfRule type="containsText" priority="2" operator="containsText" dxfId="0" text="N/A">
      <formula>NOT(ISERROR(SEARCH("N/A",J38)))</formula>
    </cfRule>
  </conditionalFormatting>
  <dataValidations count="3">
    <dataValidation sqref="F3" showDropDown="0" showInputMessage="1" showErrorMessage="1" allowBlank="1" type="list">
      <formula1>"[Select one], Yes, No"</formula1>
    </dataValidation>
    <dataValidation sqref="AB24" showDropDown="0" showInputMessage="0" showErrorMessage="1" allowBlank="1"/>
    <dataValidation sqref="AD24:AE24" showDropDown="0" showInputMessage="0" showErrorMessage="1" allowBlank="1" promptTitle="PC" prompt="PC = Presentational currency"/>
  </dataValidations>
  <hyperlinks>
    <hyperlink ref="I2" location="'0. Summary'!A1" display="Click here to return to Summary tab"/>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Sharma, Akshit</dc:creator>
  <dcterms:created xsi:type="dcterms:W3CDTF">2026-06-28T15:17:43Z</dcterms:created>
  <dcterms:modified xsi:type="dcterms:W3CDTF">2026-06-28T15:40:22Z</dcterms:modified>
  <cp:lastModifiedBy>Sharma, Akshit</cp:lastModifiedBy>
</cp:coreProperties>
</file>