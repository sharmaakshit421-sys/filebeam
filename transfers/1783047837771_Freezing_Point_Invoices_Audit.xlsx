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 per 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<sst xmlns="http://schemas.openxmlformats.org/spreadsheetml/2006/main" count="60" uniqueCount="44">
  <si>
    <t xml:space="preserve">As per Invoice</t>
  </si>
  <si>
    <t xml:space="preserve">Invoice Number</t>
  </si>
  <si>
    <t xml:space="preserve">Invoice Date</t>
  </si>
  <si>
    <t xml:space="preserve">Vendor</t>
  </si>
  <si>
    <t xml:space="preserve">Invoice Description</t>
  </si>
  <si>
    <t xml:space="preserve">Quantity</t>
  </si>
  <si>
    <t xml:space="preserve">Taxable Value</t>
  </si>
  <si>
    <t xml:space="preserve">GST</t>
  </si>
  <si>
    <t xml:space="preserve">Invoice Amount</t>
  </si>
  <si>
    <t xml:space="preserve">Difference Amount</t>
  </si>
  <si>
    <t xml:space="preserve">PO Number</t>
  </si>
  <si>
    <t xml:space="preserve">FP/25-26/259</t>
  </si>
  <si>
    <t xml:space="preserve">14-Jul-25</t>
  </si>
  <si>
    <t xml:space="preserve">Freezing Point</t>
  </si>
  <si>
    <t xml:space="preserve">Supply of AHU-101 (18TR/20HP), AHU-103/104 (25TR/32HP), AHU-113 (35TR/44HP), AHU-114 (25TR/32HP) in multiple modules w/ expansion valve to suit DX coil circuits - RA-1 Supply 70% against material delivery at site</t>
  </si>
  <si>
    <t xml:space="preserve">2.80 NOS</t>
  </si>
  <si>
    <t xml:space="preserve">100066093</t>
  </si>
  <si>
    <t xml:space="preserve">FP/25-26/280</t>
  </si>
  <si>
    <t xml:space="preserve">25-Jul-25</t>
  </si>
  <si>
    <t xml:space="preserve">Supply of AHU-107 (38TR/48HP), AHU-112 (38TR/48HP) in multiple modules w/ expansion valve to suit DX coil circuits - RA-2 Supply 70% against material delivery at site</t>
  </si>
  <si>
    <t xml:space="preserve">1.40 NOS</t>
  </si>
  <si>
    <t xml:space="preserve">FP/25-26/395</t>
  </si>
  <si>
    <t xml:space="preserve">11-Sep-25</t>
  </si>
  <si>
    <t xml:space="preserve">Supply of Air Handling Units - DX cooling coil, AHU-101/103/104/107/112/113/114 - RA-4 Supply 70% against material delivery at site</t>
  </si>
  <si>
    <t xml:space="preserve">4.20 NOS</t>
  </si>
  <si>
    <t xml:space="preserve">FP/25-26/444</t>
  </si>
  <si>
    <t xml:space="preserve">17-Oct-25</t>
  </si>
  <si>
    <t xml:space="preserve">Supply of AHU-103/104, AHU-105/106, AHU-116/117, AHU-109 in multiple modules; copper pipes, tube insulation, cabling, MS support structure - RA-5 Supply 70% against material delivery at site</t>
  </si>
  <si>
    <t xml:space="preserve">See invoice (NOS/MTR/KG mix)</t>
  </si>
  <si>
    <t xml:space="preserve">FP/25-26/453</t>
  </si>
  <si>
    <t xml:space="preserve">25-Oct-25</t>
  </si>
  <si>
    <t xml:space="preserve">Supply of Air Handling Units - DX cooling coil, AHU-103/104, AHU-105/106, AHU-116/117, AHU-109 - RA-6 Supply 70% against material delivery at site</t>
  </si>
  <si>
    <t xml:space="preserve">FP/25-26/468</t>
  </si>
  <si>
    <t xml:space="preserve">06-Nov-25</t>
  </si>
  <si>
    <t xml:space="preserve">Supply of AHU DX cooling coils, VRV ODU units (AHU-103/104,105/106,116/117,109), BMS BACnet card, copper pipes, tube insulation, cabling, cable tray, MS support structure, tube frame - RA-8 Supply 30% against material delivery</t>
  </si>
  <si>
    <t xml:space="preserve">FP/25-26/477</t>
  </si>
  <si>
    <t xml:space="preserve">08-Nov-25</t>
  </si>
  <si>
    <t xml:space="preserve">Providing VRF System for Phase-4 AHU at JFWTC - Installation Work (Details as per Annexure) - RA-09 Installation</t>
  </si>
  <si>
    <t xml:space="preserve">1.00 NOS</t>
  </si>
  <si>
    <t xml:space="preserve">FP/25-26/535</t>
  </si>
  <si>
    <t xml:space="preserve">29-Nov-25</t>
  </si>
  <si>
    <t xml:space="preserve">Supply of copper pipes, tube insulation, cabling, cable tray with cover - RA-10 Supply</t>
  </si>
  <si>
    <t xml:space="preserve">See invoice (MTR/RMT mix)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</si>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</sst>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6.2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n">
        <v>3080368.9</v>
      </c>
      <c r="G3" s="4" t="n">
        <v>862503.26</v>
      </c>
      <c r="H3" s="4" t="n">
        <v>3942872</v>
      </c>
      <c r="I3" s="4" t="n">
        <f aca="false">H3-(F3+G3)</f>
        <v>-0.160000000149012</v>
      </c>
      <c r="J3" s="3" t="s">
        <v>16</v>
      </c>
    </row>
    <row r="4" customFormat="false" ht="35.05" hidden="false" customHeight="false" outlineLevel="0" collapsed="false">
      <c r="A4" s="3" t="s">
        <v>17</v>
      </c>
      <c r="B4" s="3" t="s">
        <v>18</v>
      </c>
      <c r="C4" s="3" t="s">
        <v>13</v>
      </c>
      <c r="D4" s="3" t="s">
        <v>19</v>
      </c>
      <c r="E4" s="3" t="s">
        <v>20</v>
      </c>
      <c r="F4" s="4" t="n">
        <v>2222694.6</v>
      </c>
      <c r="G4" s="4" t="n">
        <v>622354.48</v>
      </c>
      <c r="H4" s="4" t="n">
        <v>2845049</v>
      </c>
      <c r="I4" s="4" t="n">
        <f aca="false">H4-(F4+G4)</f>
        <v>-0.0800000000745058</v>
      </c>
      <c r="J4" s="3" t="s">
        <v>16</v>
      </c>
    </row>
    <row r="5" customFormat="false" ht="35.05" hidden="false" customHeight="false" outlineLevel="0" collapsed="false">
      <c r="A5" s="3" t="s">
        <v>21</v>
      </c>
      <c r="B5" s="3" t="s">
        <v>22</v>
      </c>
      <c r="C5" s="3" t="s">
        <v>13</v>
      </c>
      <c r="D5" s="3" t="s">
        <v>23</v>
      </c>
      <c r="E5" s="3" t="s">
        <v>24</v>
      </c>
      <c r="F5" s="4" t="n">
        <v>1901635.4</v>
      </c>
      <c r="G5" s="4" t="n">
        <v>532457.88</v>
      </c>
      <c r="H5" s="4" t="n">
        <v>2434093</v>
      </c>
      <c r="I5" s="4" t="n">
        <f aca="false">H5-(F5+G5)</f>
        <v>-0.279999999795109</v>
      </c>
      <c r="J5" s="3" t="s">
        <v>16</v>
      </c>
    </row>
    <row r="6" customFormat="false" ht="46.25" hidden="false" customHeight="false" outlineLevel="0" collapsed="false">
      <c r="A6" s="3" t="s">
        <v>25</v>
      </c>
      <c r="B6" s="3" t="s">
        <v>26</v>
      </c>
      <c r="C6" s="3" t="s">
        <v>13</v>
      </c>
      <c r="D6" s="3" t="s">
        <v>27</v>
      </c>
      <c r="E6" s="3" t="s">
        <v>28</v>
      </c>
      <c r="F6" s="4" t="n">
        <v>8219461.5</v>
      </c>
      <c r="G6" s="4" t="n">
        <v>1479503.04</v>
      </c>
      <c r="H6" s="4" t="n">
        <v>9698965</v>
      </c>
      <c r="I6" s="4" t="n">
        <f aca="false">H6-(F6+G6)</f>
        <v>0.46000000089407</v>
      </c>
      <c r="J6" s="3" t="s">
        <v>16</v>
      </c>
    </row>
    <row r="7" customFormat="false" ht="35.05" hidden="false" customHeight="false" outlineLevel="0" collapsed="false">
      <c r="A7" s="3" t="s">
        <v>29</v>
      </c>
      <c r="B7" s="3" t="s">
        <v>30</v>
      </c>
      <c r="C7" s="3" t="s">
        <v>13</v>
      </c>
      <c r="D7" s="3" t="s">
        <v>31</v>
      </c>
      <c r="E7" s="3" t="s">
        <v>24</v>
      </c>
      <c r="F7" s="4" t="n">
        <v>3721040.4</v>
      </c>
      <c r="G7" s="4" t="n">
        <v>669787.28</v>
      </c>
      <c r="H7" s="4" t="n">
        <v>4390828</v>
      </c>
      <c r="I7" s="4" t="n">
        <f aca="false">H7-(F7+G7)</f>
        <v>0.320000000298023</v>
      </c>
      <c r="J7" s="3" t="s">
        <v>16</v>
      </c>
    </row>
    <row r="8" customFormat="false" ht="46.25" hidden="false" customHeight="false" outlineLevel="0" collapsed="false">
      <c r="A8" s="3" t="s">
        <v>32</v>
      </c>
      <c r="B8" s="3" t="s">
        <v>33</v>
      </c>
      <c r="C8" s="3" t="s">
        <v>13</v>
      </c>
      <c r="D8" s="3" t="s">
        <v>34</v>
      </c>
      <c r="E8" s="3" t="s">
        <v>28</v>
      </c>
      <c r="F8" s="4" t="n">
        <v>6980747.1</v>
      </c>
      <c r="G8" s="4" t="n">
        <v>1256534.5</v>
      </c>
      <c r="H8" s="4" t="n">
        <v>8237281</v>
      </c>
      <c r="I8" s="4" t="n">
        <f aca="false">H8-(F8+G8)</f>
        <v>-0.599999999627471</v>
      </c>
      <c r="J8" s="3" t="s">
        <v>16</v>
      </c>
    </row>
    <row r="9" customFormat="false" ht="23.85" hidden="false" customHeight="false" outlineLevel="0" collapsed="false">
      <c r="A9" s="3" t="s">
        <v>35</v>
      </c>
      <c r="B9" s="3" t="s">
        <v>36</v>
      </c>
      <c r="C9" s="3" t="s">
        <v>13</v>
      </c>
      <c r="D9" s="3" t="s">
        <v>37</v>
      </c>
      <c r="E9" s="3" t="s">
        <v>38</v>
      </c>
      <c r="F9" s="4" t="n">
        <v>1010580</v>
      </c>
      <c r="G9" s="4" t="n">
        <v>181904.4</v>
      </c>
      <c r="H9" s="4" t="n">
        <v>1192484</v>
      </c>
      <c r="I9" s="4" t="n">
        <f aca="false">H9-(F9+G9)</f>
        <v>-0.399999999906868</v>
      </c>
      <c r="J9" s="3" t="s">
        <v>16</v>
      </c>
    </row>
    <row r="10" customFormat="false" ht="23.85" hidden="false" customHeight="false" outlineLevel="0" collapsed="false">
      <c r="A10" s="3" t="s">
        <v>39</v>
      </c>
      <c r="B10" s="3" t="s">
        <v>40</v>
      </c>
      <c r="C10" s="3" t="s">
        <v>13</v>
      </c>
      <c r="D10" s="3" t="s">
        <v>41</v>
      </c>
      <c r="E10" s="3" t="s">
        <v>42</v>
      </c>
      <c r="F10" s="4" t="n">
        <v>1738908</v>
      </c>
      <c r="G10" s="4" t="n">
        <v>313003.44</v>
      </c>
      <c r="H10" s="4" t="n">
        <v>2051911</v>
      </c>
      <c r="I10" s="4" t="n">
        <f aca="false">H10-(F10+G10)</f>
        <v>-0.439999999944121</v>
      </c>
      <c r="J10" s="3" t="s">
        <v>16</v>
      </c>
    </row>
    <row r="11" customFormat="false" ht="15" hidden="false" customHeight="false" outlineLevel="0" collapsed="false">
      <c r="D11" s="5" t="s">
        <v>43</v>
      </c>
      <c r="F11" s="6" t="n">
        <f aca="false">SUM(F3:F10)</f>
        <v>28875435.9</v>
      </c>
      <c r="G11" s="6" t="n">
        <f aca="false">SUM(G3:G10)</f>
        <v>5918048.28</v>
      </c>
      <c r="H11" s="6" t="n">
        <f aca="false">SUM(H3:H10)</f>
        <v>34793483</v>
      </c>
      <c r="I11" s="6" t="n">
        <f aca="false">SUM(I3:I10)</f>
        <v>-1.17999999830499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2026-07-03T02:54:40Z</dcterms:created>
  <dc:creator>openpyxl</dc:creator>
  <dc:description/>
  <dc:language>en-US</dc:language>
  <cp:lastModifiedBy/>
  <dcterms:modified xsi:type="dcterms:W3CDTF">2026-07-03T02:54:40Z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