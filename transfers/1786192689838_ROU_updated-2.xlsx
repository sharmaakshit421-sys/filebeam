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3"/>
    <sheet name="57772" sheetId="2" state="visible" r:id="rId4"/>
  </sheets>
  <definedNames>
    <definedName function="false" hidden="true" name="a." vbProcedure="false">{#N/A,#N/A,TRUE,"KEY DATA";#N/A,#N/A,TRUE,"KEY DATA Base Case";#N/A,#N/A,TRUE,"JULY";#N/A,#N/A,TRUE,"AUG";#N/A,#N/A,TRUE,"SEPT";#N/A,#N/A,TRUE,"3Q"}</definedName>
    <definedName function="false" hidden="true" name="A.." vbProcedure="false">{#N/A,#N/A,TRUE,"KEY DATA";#N/A,#N/A,TRUE,"KEY DATA Base Case";#N/A,#N/A,TRUE,"JULY";#N/A,#N/A,TRUE,"AUG";#N/A,#N/A,TRUE,"SEPT";#N/A,#N/A,TRUE,"3Q"}</definedName>
    <definedName function="false" hidden="true" name="aaa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aaa." vbProcedure="false">{#N/A,#N/A,TRUE,"KEY DATA";#N/A,#N/A,TRUE,"KEY DATA Base Case";#N/A,#N/A,TRUE,"JULY";#N/A,#N/A,TRUE,"AUG";#N/A,#N/A,TRUE,"SEPT";#N/A,#N/A,TRUE,"3Q"}</definedName>
    <definedName function="false" hidden="true" name="aaaaaaaaa.aaaa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AAAAAAAAAAAAAAAAAAAAAAAAAAAAAAAAAAAA" vbProcedure="false">{#N/A,#N/A,FALSE,"USMED 3";#N/A,#N/A,FALSE,"MARCHALLENGER 1";#N/A,#N/A,FALSE,"MARCHALLENGER 2";#N/A,#N/A,FALSE,"MARCHALLENGER 3";#N/A,#N/A,FALSE,"MARCHALLENGER 4"}</definedName>
    <definedName function="false" hidden="true" name="aaaasdf" vbProcedure="false">{#N/A,#N/A,TRUE,"GEM Total";#N/A,#N/A,TRUE,"Final Assembly";#N/A,#N/A,TRUE,"Cleaning";#N/A,#N/A,TRUE,"Schooping,Clearing";#N/A,#N/A,TRUE,"Winding"}</definedName>
    <definedName function="false" hidden="true" name="aaaassss" vbProcedure="false">{#N/A,#N/A,TRUE,"GEM Total";#N/A,#N/A,TRUE,"Final Assembly";#N/A,#N/A,TRUE,"Cleaning";#N/A,#N/A,TRUE,"Schooping,Clearing";#N/A,#N/A,TRUE,"Winding"}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" vbProcedure="false">{"'Mach'!$A$1:$D$39"}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n" vbProcedure="false">2</definedName>
    <definedName function="false" hidden="true" name="aasasasASasASasASasASasASAs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SASD" vbProcedure="false">{#N/A,#N/A,TRUE,"Summary";#N/A,#N/A,TRUE,"IS";#N/A,#N/A,TRUE,"Adj";#N/A,#N/A,TRUE,"BS";#N/A,#N/A,TRUE,"CF";#N/A,#N/A,TRUE,"Debt";#N/A,#N/A,TRUE,"IRR"}</definedName>
    <definedName function="false" hidden="true" name="abc.doc" vbProcedure="false">{"'Income Statement'!$D$96:$E$101"}</definedName>
    <definedName function="false" hidden="true" name="AccessDatabase" vbProcedure="false">"C:\accts\AUD97_98.mdb"</definedName>
    <definedName function="false" hidden="true" name="Access_Button" vbProcedure="false">"업체현황_카드발송_List"</definedName>
    <definedName function="false" hidden="true" name="Access_Button1" vbProcedure="false">"업체현황_카드발송_List"</definedName>
    <definedName function="false" hidden="true" name="Access_Button2" vbProcedure="false">"업체현황_카드발송_List"</definedName>
    <definedName function="false" hidden="true" name="Access_Button3" vbProcedure="false">"카드발송_카드발송_List1"</definedName>
    <definedName function="false" hidden="true" name="Access_Button4" vbProcedure="false">"업체현황_카드발송_List"</definedName>
    <definedName function="false" hidden="true" name="actual" vbProcedure="false">{#N/A,#N/A,FALSE,"Cash Flows";#N/A,#N/A,FALSE,"Fixed Assets";#N/A,#N/A,FALSE,"Balance Sheet";#N/A,#N/A,FALSE,"P &amp; L"}</definedName>
    <definedName function="false" hidden="true" name="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add" vbProcedure="false">{"Inputs",#N/A,FALSE,"Data Reduction";"Outputs",#N/A,FALSE,"Data Reduction";"Cycle Deck Comparison",#N/A,FALSE,"Data Reduction"}</definedName>
    <definedName function="false" hidden="true" name="additions" vbProcedure="false">{#N/A,#N/A,FALSE,"COMP"}</definedName>
    <definedName function="false" hidden="true" name="ads\" vbProcedure="false">#REF!</definedName>
    <definedName function="false" hidden="true" name="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ge" vbProcedure="false">{#N/A,#N/A,FALSE,"Aging Summary";#N/A,#N/A,FALSE,"Ratio Analysis";#N/A,#N/A,FALSE,"Test 120 Day Accts";#N/A,#N/A,FALSE,"Tickmarks"}</definedName>
    <definedName function="false" hidden="true" name="Ahdhdhd" vbProcedure="false">{"Inputs",#N/A,FALSE,"Data Reduction";"Outputs",#N/A,FALSE,"Data Reduction";"Cycle Deck Comparison",#N/A,FALSE,"Data Reduction"}</definedName>
    <definedName function="false" hidden="true" name="ALN" vbProcedure="false">#REF!</definedName>
    <definedName function="false" hidden="true" name="ANNUITY" vbProcedure="false">{"'Typical Costs Estimates'!$C$158:$H$161"}</definedName>
    <definedName function="false" hidden="true" name="anscount" vbProcedure="false">3</definedName>
    <definedName function="false" hidden="true" name="arfaef" vbProcedure="false">#N/A</definedName>
    <definedName function="false" hidden="true" name="as" vbProcedure="false">#REF!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LinkLS" vbProcedure="false">#REF!</definedName>
    <definedName function="false" hidden="true" name="AS2NamedRange" vbProcedure="false">4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a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sb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asbdfk" vbProcedure="false">{#N/A,#N/A,FALSE,"10"}</definedName>
    <definedName function="false" hidden="true" name="asdasdasd" vbProcedure="false">{#N/A,#N/A,FALSE,"COMP"}</definedName>
    <definedName function="false" hidden="true" name="asdf" vbProcedure="false">{#N/A,#N/A,FALSE,"CDA Plan"}</definedName>
    <definedName function="false" hidden="true" name="asdfg" vbProcedure="false">{#N/A,#N/A,TRUE,"KEY DATA";#N/A,#N/A,TRUE,"KEY DATA Base Case";#N/A,#N/A,TRUE,"JULY";#N/A,#N/A,TRUE,"AUG";#N/A,#N/A,TRUE,"SEPT";#N/A,#N/A,TRUE,"3Q"}</definedName>
    <definedName function="false" hidden="true" name="asfsdf" vbProcedure="false">{#N/A,#N/A,FALSE,"COMP"}</definedName>
    <definedName function="false" hidden="true" name="a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shis" vbProcedure="false">{#N/A,#N/A,FALSE,"8"}</definedName>
    <definedName function="false" hidden="true" name="ashish" vbProcedure="false">{#N/A,#N/A,FALSE,"11"}</definedName>
    <definedName function="false" hidden="true" name="asset" vbProcedure="false">{"'Mach'!$A$1:$D$39"}</definedName>
    <definedName function="false" hidden="true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backup" vbProcedure="false">{#N/A,#N/A,TRUE,"KEY DATA";#N/A,#N/A,TRUE,"KEY DATA Base Case";#N/A,#N/A,TRUE,"JULY";#N/A,#N/A,TRUE,"AUG";#N/A,#N/A,TRUE,"SEPT";#N/A,#N/A,TRUE,"3Q"}</definedName>
    <definedName function="false" hidden="true" name="backup." vbProcedure="false">{#N/A,#N/A,TRUE,"KEY DATA";#N/A,#N/A,TRUE,"KEY DATA Base Case";#N/A,#N/A,TRUE,"JULY";#N/A,#N/A,TRUE,"AUG";#N/A,#N/A,TRUE,"SEPT";#N/A,#N/A,TRUE,"3Q"}</definedName>
    <definedName function="false" hidden="true" name="Bari" vbProcedure="false">{"inventory",#N/A,FALSE,"Inven. Turns 97 Rep";"sales",#N/A,FALSE,"Inven. Turns 97 Rep";"turns",#N/A,FALSE,"Inven. Turns 97 Rep";"days",#N/A,FALSE,"Inven. Turns 97 Rep"}</definedName>
    <definedName function="false" hidden="true" name="Bari." vbProcedure="false">{"Inventory",#N/A,TRUE,"Inven. Turns 1996";"sales",#N/A,TRUE,"Inven. Turns 1996";"Turns",#N/A,TRUE,"Inven. Turns 1996";"days",#N/A,TRUE,"Inven. Turns 1996"}</definedName>
    <definedName function="false" hidden="true" name="bbbbbbbbbbbbbb" vbProcedure="false">#REF!</definedName>
    <definedName function="false" hidden="true" name="bcb" vbProcedure="false">{#N/A,#N/A,FALSE,"3";#N/A,#N/A,FALSE,"5";#N/A,#N/A,FALSE,"6";#N/A,#N/A,FALSE,"8";#N/A,#N/A,FALSE,"10";#N/A,#N/A,FALSE,"13";#N/A,#N/A,FALSE,"14";#N/A,#N/A,FALSE,"15";#N/A,#N/A,FALSE,"16"}</definedName>
    <definedName function="false" hidden="true" name="BCHART" vbProcedure="false">#REF!</definedName>
    <definedName function="false" hidden="true" name="bcvb" vbProcedure="false">{#N/A,#N/A,FALSE,"3";#N/A,#N/A,FALSE,"5";#N/A,#N/A,FALSE,"6";#N/A,#N/A,FALSE,"8";#N/A,#N/A,FALSE,"10";#N/A,#N/A,FALSE,"13";#N/A,#N/A,FALSE,"14";#N/A,#N/A,FALSE,"15";#N/A,#N/A,FALSE,"16"}</definedName>
    <definedName function="false" hidden="true" name="bdk" vbProcedure="false">{"Inputs",#N/A,FALSE,"Data Reduction";"Outputs",#N/A,FALSE,"Data Reduction";"Cycle Deck Comparison",#N/A,FALSE,"Data Reduction"}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ilan4" vbProcedure="false">{"K Bilanz o. Kommentar",#N/A,FALSE,"Kaufhof"}</definedName>
    <definedName function="false" hidden="true" name="BLPB10" vbProcedure="false">#REF!</definedName>
    <definedName function="false" hidden="true" name="BLPB11" vbProcedure="false">#REF!</definedName>
    <definedName function="false" hidden="true" name="BLPB6" vbProcedure="false">#REF!</definedName>
    <definedName function="false" hidden="true" name="BLPB7" vbProcedure="false">#REF!</definedName>
    <definedName function="false" hidden="true" name="BLPB8" vbProcedure="false">#REF!</definedName>
    <definedName function="false" hidden="true" name="BLPB9" vbProcedure="false">#REF!</definedName>
    <definedName function="false" hidden="true" name="BLPH1" vbProcedure="false">#REF!</definedName>
    <definedName function="false" hidden="true" name="BLPH10" vbProcedure="false">#REF!</definedName>
    <definedName function="false" hidden="true" name="BLPH11" vbProcedure="false">#REF!</definedName>
    <definedName function="false" hidden="true" name="BLPH12" vbProcedure="false">#REF!</definedName>
    <definedName function="false" hidden="true" name="BLPH13" vbProcedure="false">#REF!</definedName>
    <definedName function="false" hidden="true" name="BLPH14" vbProcedure="false">#REF!</definedName>
    <definedName function="false" hidden="true" name="BLPH15" vbProcedure="false">#REF!</definedName>
    <definedName function="false" hidden="true" name="BLPH16" vbProcedure="false">#REF!</definedName>
    <definedName function="false" hidden="true" name="BLPH17" vbProcedure="false">#REF!</definedName>
    <definedName function="false" hidden="true" name="BLPH18" vbProcedure="false">#REF!</definedName>
    <definedName function="false" hidden="true" name="BLPH19" vbProcedure="false">#REF!</definedName>
    <definedName function="false" hidden="true" name="BLPH2" vbProcedure="false">#REF!</definedName>
    <definedName function="false" hidden="true" name="BLPH20" vbProcedure="false">#REF!</definedName>
    <definedName function="false" hidden="true" name="BLPH200001" vbProcedure="false">#REF!</definedName>
    <definedName function="false" hidden="true" name="BLPH3" vbProcedure="false">#REF!</definedName>
    <definedName function="false" hidden="true" name="BLPH4" vbProcedure="false">#REF!</definedName>
    <definedName function="false" hidden="true" name="BLPH5" vbProcedure="false">#REF!</definedName>
    <definedName function="false" hidden="true" name="BLPH6" vbProcedure="false">#REF!</definedName>
    <definedName function="false" hidden="true" name="BSDPL" vbProcedure="false">{#N/A,#N/A,FALSE,"CDA Plan"}</definedName>
    <definedName function="false" hidden="true" name="BWFINANCIALS" vbProcedure="false">{"'CQ1-4'!$B$1:$L$49"}</definedName>
    <definedName function="false" hidden="true" name="cancel" vbProcedure="false">{#N/A,#N/A,TRUE,"KEY DATA";#N/A,#N/A,TRUE,"KEY DATA Base Case";#N/A,#N/A,TRUE,"JULY";#N/A,#N/A,TRUE,"AUG";#N/A,#N/A,TRUE,"SEPT";#N/A,#N/A,TRUE,"3Q"}</definedName>
    <definedName function="false" hidden="true" name="cas" vbProcedure="false">{#N/A,#N/A,FALSE,"10"}</definedName>
    <definedName function="false" hidden="true" name="cashflow2" vbProcedure="false">{#N/A,#N/A,FALSE,"10"}</definedName>
    <definedName function="false" hidden="true" name="CBL" vbProcedure="false">#REF!</definedName>
    <definedName function="false" hidden="true" name="ce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enva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CHECKING" vbProcedure="false">{#N/A,#N/A,TRUE,"Summary";#N/A,#N/A,TRUE,"IS";#N/A,#N/A,TRUE,"Adj";#N/A,#N/A,TRUE,"BS";#N/A,#N/A,TRUE,"CF";#N/A,#N/A,TRUE,"Debt";#N/A,#N/A,TRUE,"IRR"}</definedName>
    <definedName function="false" hidden="true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HENNAI1" vbProcedure="false">{#N/A,#N/A,FALSE,"Aging Summary";#N/A,#N/A,FALSE,"Ratio Analysis";#N/A,#N/A,FALSE,"Test 120 Day Accts";#N/A,#N/A,FALSE,"Tickmarks"}</definedName>
    <definedName function="false" hidden="true" name="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Christinea" vbProcedure="false">{#N/A,#N/A,FALSE,"3";#N/A,#N/A,FALSE,"5";#N/A,#N/A,FALSE,"6";#N/A,#N/A,FALSE,"8";#N/A,#N/A,FALSE,"10";#N/A,#N/A,FALSE,"13";#N/A,#N/A,FALSE,"14";#N/A,#N/A,FALSE,"15";#N/A,#N/A,FALSE,"16"}</definedName>
    <definedName function="false" hidden="true" name="CIQWBGuid" vbProcedure="false">"2fb921ca-4928-48de-9e0a-468d9c32e7ed"</definedName>
    <definedName function="false" hidden="true" name="ClubMed" vbProcedure="false">{"inventory",#N/A,FALSE,"Inven. Turns 97 Rep";"sales",#N/A,FALSE,"Inven. Turns 97 Rep";"turns",#N/A,FALSE,"Inven. Turns 97 Rep";"days",#N/A,FALSE,"Inven. Turns 97 Rep"}</definedName>
    <definedName function="false" hidden="true" name="Code" vbProcedure="false">#REF!</definedName>
    <definedName function="false" hidden="true" name="COL" vbProcedure="false">#REF!</definedName>
    <definedName function="false" hidden="true" name="COMM" vbProcedure="false">{"'Mach'!$A$1:$D$39"}</definedName>
    <definedName function="false" hidden="true" name="conflicr" vbProcedure="false">{#N/A,#N/A,TRUE,"GEM Total";#N/A,#N/A,TRUE,"Final Assembly";#N/A,#N/A,TRUE,"Cleaning";#N/A,#N/A,TRUE,"Schooping,Clearing";#N/A,#N/A,TRUE,"Winding"}</definedName>
    <definedName function="false" hidden="true" name="CONT02092000.4" vbProcedure="false">{#N/A,#N/A,FALSE,"1321";#N/A,#N/A,FALSE,"1324";#N/A,#N/A,FALSE,"1333";#N/A,#N/A,FALSE,"1371"}</definedName>
    <definedName function="false" hidden="true" name="Continu" vbProcedure="false">1</definedName>
    <definedName function="false" hidden="true" name="cristina" vbProcedure="false">{"Inputs",#N/A,FALSE,"Data Reduction";"Outputs",#N/A,FALSE,"Data Reduction";"Cycle Deck Comparison",#N/A,FALSE,"Data Reduction"}</definedName>
    <definedName function="false" hidden="true" name="crs_31.03.02" vbProcedure="false">#REF!</definedName>
    <definedName function="false" hidden="true" name="csfsfsf" vbProcedure="false">{#N/A,#N/A,FALSE,"Ventilation";#N/A,#N/A,FALSE,"Courbe1";#N/A,#N/A,FALSE,"Courbe2"}</definedName>
    <definedName function="false" hidden="true" name="d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dafvsf" vbProcedure="false">{"summary",#N/A,FALSE,"2000 vs 1999";"detail",#N/A,FALSE,"2000 vs 1999"}</definedName>
    <definedName function="false" hidden="true" name="dan" vbProcedure="false">{#N/A,#N/A,FALSE,"Aging Summary";#N/A,#N/A,FALSE,"Ratio Analysis";#N/A,#N/A,FALSE,"Test 120 Day Accts";#N/A,#N/A,FALSE,"Tickmarks"}</definedName>
    <definedName function="false" hidden="true" name="dasdasdas" vbProcedure="false">{#N/A,#N/A,FALSE,"3";#N/A,#N/A,FALSE,"5";#N/A,#N/A,FALSE,"6";#N/A,#N/A,FALSE,"8";#N/A,#N/A,FALSE,"10";#N/A,#N/A,FALSE,"13";#N/A,#N/A,FALSE,"14";#N/A,#N/A,FALSE,"15";#N/A,#N/A,FALSE,"16"}</definedName>
    <definedName function="false" hidden="true" name="data2" vbProcedure="false">#REF!</definedName>
    <definedName function="false" hidden="true" name="data3" vbProcedure="false">#REF!</definedName>
    <definedName function="false" hidden="true" name="DAWWD" vbProcedure="false">#REF!</definedName>
    <definedName function="false" hidden="true" name="DA_3337388674700002280" vbProcedure="false">#REF!</definedName>
    <definedName function="false" hidden="true" name="DA_3337388674700002286" vbProcedure="false">#REF!</definedName>
    <definedName function="false" hidden="true" name="DA_3337388674700002292" vbProcedure="false">#REF!</definedName>
    <definedName function="false" hidden="true" name="DA_3337388674700002298" vbProcedure="false">#REF!</definedName>
    <definedName function="false" hidden="true" name="DA_3337388674700002304" vbProcedure="false">#REF!</definedName>
    <definedName function="false" hidden="true" name="DA_3337388674700002306" vbProcedure="false">#REF!</definedName>
    <definedName function="false" hidden="true" name="DA_3337388674700002312" vbProcedure="false">#REF!</definedName>
    <definedName function="false" hidden="true" name="DA_3337388674700002318" vbProcedure="false">#REF!</definedName>
    <definedName function="false" hidden="true" name="DA_3337388674700002334" vbProcedure="false">#REF!</definedName>
    <definedName function="false" hidden="true" name="DA_4038951086900001248" vbProcedure="false">#REF!</definedName>
    <definedName function="false" hidden="true" name="DA_4038951086900001249" vbProcedure="false">#REF!</definedName>
    <definedName function="false" hidden="true" name="DA_4038951086900001253" vbProcedure="false">#REF!</definedName>
    <definedName function="false" hidden="true" name="DA_4038951086900001254" vbProcedure="false">#REF!</definedName>
    <definedName function="false" hidden="true" name="DA_4038951086900001263" vbProcedure="false">#REF!</definedName>
    <definedName function="false" hidden="true" name="DA_4038951086900001264" vbProcedure="false">#REF!</definedName>
    <definedName function="false" hidden="true" name="DA_4038951086900001268" vbProcedure="false">#REF!</definedName>
    <definedName function="false" hidden="true" name="DA_4038951086900001269" vbProcedure="false">#REF!</definedName>
    <definedName function="false" hidden="true" name="DA_4038951086900001273" vbProcedure="false">#REF!</definedName>
    <definedName function="false" hidden="true" name="DA_4038951086900001274" vbProcedure="false">#REF!</definedName>
    <definedName function="false" hidden="true" name="DA_4038951086900001278" vbProcedure="false">#REF!</definedName>
    <definedName function="false" hidden="true" name="DA_4038951086900001279" vbProcedure="false">#REF!</definedName>
    <definedName function="false" hidden="true" name="DA_4038951086900001283" vbProcedure="false">#REF!</definedName>
    <definedName function="false" hidden="true" name="DA_4038951086900001284" vbProcedure="false">#REF!</definedName>
    <definedName function="false" hidden="true" name="DA_4038951086900001288" vbProcedure="false">#REF!</definedName>
    <definedName function="false" hidden="true" name="DA_4038951086900001289" vbProcedure="false">#REF!</definedName>
    <definedName function="false" hidden="true" name="DA_4038951086900001293" vbProcedure="false">#REF!</definedName>
    <definedName function="false" hidden="true" name="DA_4038951086900001294" vbProcedure="false">#REF!</definedName>
    <definedName function="false" hidden="true" name="DA_4038951086900001298" vbProcedure="false">#REF!</definedName>
    <definedName function="false" hidden="true" name="DA_4038951086900001299" vbProcedure="false">#REF!</definedName>
    <definedName function="false" hidden="true" name="DA_4038951086900001303" vbProcedure="false">#REF!</definedName>
    <definedName function="false" hidden="true" name="DA_4038951086900001304" vbProcedure="false">#REF!</definedName>
    <definedName function="false" hidden="true" name="DA_4038951086900001308" vbProcedure="false">#REF!</definedName>
    <definedName function="false" hidden="true" name="DA_4038951086900001309" vbProcedure="false">#REF!</definedName>
    <definedName function="false" hidden="true" name="DA_4038951086900001313" vbProcedure="false">#REF!</definedName>
    <definedName function="false" hidden="true" name="DA_4038951086900001314" vbProcedure="false">#REF!</definedName>
    <definedName function="false" hidden="true" name="DA_4038951086900001318" vbProcedure="false">#REF!</definedName>
    <definedName function="false" hidden="true" name="DA_4038951086900001319" vbProcedure="false">#REF!</definedName>
    <definedName function="false" hidden="true" name="DA_4038951086900001475" vbProcedure="false">#REF!</definedName>
    <definedName function="false" hidden="true" name="DA_4038951086900001476" vbProcedure="false">#REF!</definedName>
    <definedName function="false" hidden="true" name="DA_4038951086900001480" vbProcedure="false">#REF!</definedName>
    <definedName function="false" hidden="true" name="DA_4038951086900001481" vbProcedure="false">#REF!</definedName>
    <definedName function="false" hidden="true" name="DA_4044149571400005879" vbProcedure="false">#REF!</definedName>
    <definedName function="false" hidden="true" name="DA_4044149571400006117" vbProcedure="false">#REF!</definedName>
    <definedName function="false" hidden="true" name="DA_4084077185500003539" vbProcedure="false">#REF!</definedName>
    <definedName function="false" hidden="true" name="DA_4084077185500003552" vbProcedure="false">#REF!</definedName>
    <definedName function="false" hidden="true" name="DA_4089215025200003709" vbProcedure="false">#REF!</definedName>
    <definedName function="false" hidden="true" name="DA_4089215025200003719" vbProcedure="false">#REF!</definedName>
    <definedName function="false" hidden="true" name="DA_4089215025200003728" vbProcedure="false">#REF!</definedName>
    <definedName function="false" hidden="true" name="dDA" vbProcedure="false">{"'Resins'!$B$1:$P$6","'Resins'!$B$1:$Q$85"}</definedName>
    <definedName function="false" hidden="true" name="dddddddd" vbProcedure="false">{#N/A,#N/A,FALSE,"3";#N/A,#N/A,FALSE,"5";#N/A,#N/A,FALSE,"6";#N/A,#N/A,FALSE,"8";#N/A,#N/A,FALSE,"10";#N/A,#N/A,FALSE,"13";#N/A,#N/A,FALSE,"14";#N/A,#N/A,FALSE,"15";#N/A,#N/A,FALSE,"16"}</definedName>
    <definedName function="false" hidden="true" name="dddddddddddddd" vbProcedure="false">#REF!</definedName>
    <definedName function="false" hidden="true" name="debtors_delhi" vbProcedure="false">#REF!</definedName>
    <definedName function="false" hidden="true" name="ded" vbProcedure="false">{#N/A,#N/A,FALSE,"3";#N/A,#N/A,FALSE,"5";#N/A,#N/A,FALSE,"6";#N/A,#N/A,FALSE,"8";#N/A,#N/A,FALSE,"10";#N/A,#N/A,FALSE,"13";#N/A,#N/A,FALSE,"14";#N/A,#N/A,FALSE,"15";#N/A,#N/A,FALSE,"16"}</definedName>
    <definedName function="false" hidden="true" name="dee" vbProcedure="false">{#N/A,#N/A,TRUE,"KEY DATA";#N/A,#N/A,TRUE,"KEY DATA Base Case";#N/A,#N/A,TRUE,"JULY";#N/A,#N/A,TRUE,"AUG";#N/A,#N/A,TRUE,"SEPT";#N/A,#N/A,TRUE,"3Q"}</definedName>
    <definedName function="false" hidden="true" name="deftax04" vbProcedure="false">{#N/A,#N/A,FALSE,"12"}</definedName>
    <definedName function="false" hidden="true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delh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ph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delt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Dennis" vbProcedure="false">#REF!</definedName>
    <definedName function="false" hidden="true" name="DEPRI" vbProcedure="false">#REF!</definedName>
    <definedName function="false" hidden="true" name="DEPTION_GGN" vbProcedure="false">{#N/A,#N/A,FALSE,"Cash Flows";#N/A,#N/A,FALSE,"Fixed Assets";#N/A,#N/A,FALSE,"Balance Sheet";#N/A,#N/A,FALSE,"P &amp; L"}</definedName>
    <definedName function="false" hidden="true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ajsdfsfdasklsdLKLKKHKASFSD" vbProcedure="false">{#N/A,#N/A,FALSE,"USMED 3";#N/A,#N/A,FALSE,"MARCHALLENGER 1";#N/A,#N/A,FALSE,"MARCHALLENGER 2";#N/A,#N/A,FALSE,"MARCHALLENGER 3";#N/A,#N/A,FALSE,"MARCHALLENGER 4"}</definedName>
    <definedName function="false" hidden="true" name="df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df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sgdsfgdsf" vbProcedure="false">#REF!</definedName>
    <definedName function="false" hidden="true" name="d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ir" vbProcedure="false">{#N/A,#N/A,FALSE,"COMP"}</definedName>
    <definedName function="false" hidden="true" name="Discount" vbProcedure="false">#REF!</definedName>
    <definedName function="false" hidden="true" name="display_area_2" vbProcedure="false">#REF!</definedName>
    <definedName function="false" hidden="true" name="djkdj" vbProcedure="false">{"Inputs",#N/A,FALSE,"Data Reduction";"Outputs",#N/A,FALSE,"Data Reduction";"Cycle Deck Comparison",#N/A,FALSE,"Data Reduction"}</definedName>
    <definedName function="false" hidden="true" name="DL3eafb9ff_b705_4e5f_8a61_27d35438f30e" vbProcedure="false">#REF!</definedName>
    <definedName function="false" hidden="true" name="DL717e9cad_8191_46cb_90d5_40d612757735" vbProcedure="false">#REF!</definedName>
    <definedName function="false" hidden="true" name="DL942b10ad_8bca_407a_8306_97d4b77ca82e" vbProcedure="false">#REF!</definedName>
    <definedName function="false" hidden="true" name="DLaad15270_c3c7_4e94_8ceb_64fdd374dd18" vbProcedure="false">#REF!</definedName>
    <definedName function="false" hidden="true" name="DME_Dirty" vbProcedure="false">"False"</definedName>
    <definedName function="false" hidden="true" name="DME_LocalFile" vbProcedure="false">"True"</definedName>
    <definedName function="false" hidden="true" name="DQ" vbProcedure="false">{"page1",#N/A,FALSE,"Taean 1&amp;2";"page2",#N/A,FALSE,"Taean 1&amp;2"}</definedName>
    <definedName function="false" hidden="true" name="DQAFAWF" vbProcedure="false">#REF!</definedName>
    <definedName function="false" hidden="true" name="Drainage" vbProcedure="false">{"'Typical Costs Estimates'!$C$158:$H$161"}</definedName>
    <definedName function="false" hidden="true" name="dr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sd" vbProcedure="false">{#N/A,#N/A,FALSE,"3";#N/A,#N/A,FALSE,"5";#N/A,#N/A,FALSE,"6";#N/A,#N/A,FALSE,"8";#N/A,#N/A,FALSE,"10";#N/A,#N/A,FALSE,"13";#N/A,#N/A,FALSE,"14";#N/A,#N/A,FALSE,"15";#N/A,#N/A,FALSE,"16"}</definedName>
    <definedName function="false" hidden="true" name="dsgsd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dwadad" vbProcedure="false">{"'Mach'!$A$1:$D$39"}</definedName>
    <definedName function="false" hidden="true" name="DWEFDW" vbProcedure="false">#REF!</definedName>
    <definedName function="false" hidden="true" name="E1.1" vbProcedure="false">{#N/A,#N/A,FALSE,"Graficos    ( 9 )"}</definedName>
    <definedName function="false" hidden="true" name="ecs" vbProcedure="false">{#N/A,#N/A,FALSE,"USMED 3";#N/A,#N/A,FALSE,"MARCHALLENGER 1";#N/A,#N/A,FALSE,"MARCHALLENGER 2";#N/A,#N/A,FALSE,"MARCHALLENGER 3";#N/A,#N/A,FALSE,"MARCHALLENGER 4"}</definedName>
    <definedName function="false" hidden="true" name="ed" vbProcedure="false">#REF!</definedName>
    <definedName function="false" hidden="true" name="EDG" vbProcedure="false">{#N/A,#N/A,TRUE,"GEM Total";#N/A,#N/A,TRUE,"Final Assembly";#N/A,#N/A,TRUE,"Cleaning";#N/A,#N/A,TRUE,"Schooping,Clearing";#N/A,#N/A,TRUE,"Winding"}</definedName>
    <definedName function="false" hidden="true" name="EDGest" vbProcedure="false">{#N/A,#N/A,TRUE,"GEM Total";#N/A,#N/A,TRUE,"Final Assembly";#N/A,#N/A,TRUE,"Cleaning";#N/A,#N/A,TRUE,"Schooping,Clearing";#N/A,#N/A,TRUE,"Winding"}</definedName>
    <definedName function="false" hidden="true" name="e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ee" vbProcedure="false">{#N/A,#N/A,FALSE,"Aging Summary";#N/A,#N/A,FALSE,"Ratio Analysis";#N/A,#N/A,FALSE,"Test 120 Day Accts";#N/A,#N/A,FALSE,"Tickmarks"}</definedName>
    <definedName function="false" hidden="true" name="eeeeeeeeeeeeeee" vbProcedure="false">#REF!</definedName>
    <definedName function="false" hidden="true" name="EFG" vbProcedure="false">{"'Mach'!$A$1:$D$39"}</definedName>
    <definedName function="false" hidden="true" name="ege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eg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se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hegehhe" vbProcedure="false">{#N/A,#N/A,FALSE,"3";#N/A,#N/A,FALSE,"5";#N/A,#N/A,FALSE,"6";#N/A,#N/A,FALSE,"8";#N/A,#N/A,FALSE,"10";#N/A,#N/A,FALSE,"13";#N/A,#N/A,FALSE,"14";#N/A,#N/A,FALSE,"15";#N/A,#N/A,FALSE,"16"}</definedName>
    <definedName function="false" hidden="true" name="elan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MM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enc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ENGEL" vbProcedure="false">#REF!</definedName>
    <definedName function="false" hidden="true" name="EPMWorkbookOptions_1" vbProcedure="false">"RwEAAB|LCAAAAAAABADtvQdgHEmWJSYvbcp7f0r1StfgdKEIgGATJNiQQBDswYjN5pLsHWlHIymrKoHKZVZlXWYWQMztnbz33nvvvffee||997o7nU4n99//P1xmZAFs9s5K2smeIYCqyB8/fnwfPyIe/x7vFmV6mddNUS0/|2h3vPNRmi|n1axYXnz20bo939799KPf4|g3Th5/t6rfTqrq7Zerlpo2Kb23bB69a4rPPpq37erR3btXV1fjq3v"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function="false" hidden="true" name="EPMWorkbookOptions_2" vbProcedure="false">"jqr64u7ezs3v39/7i|evpPF9k28WyabPlNP/IvjW7|a2PqNc0ffwqP6/zZv7l8stVvjxq63X||G74GTc7KfOsfpq12ZfL19llfnSelQ217H7Mbc1QXtZVm0/bfGZa978I21/N0rughW2oxDj6fwDZL/IxRwEAAA=="</definedName>
    <definedName function="false" hidden="true" name="erer" vbProcedure="false">{#N/A,#N/A,FALSE,"3";#N/A,#N/A,FALSE,"5";#N/A,#N/A,FALSE,"6";#N/A,#N/A,FALSE,"8";#N/A,#N/A,FALSE,"10";#N/A,#N/A,FALSE,"13";#N/A,#N/A,FALSE,"14";#N/A,#N/A,FALSE,"15";#N/A,#N/A,FALSE,"16"}</definedName>
    <definedName function="false" hidden="true" name="esadfsdg" vbProcedure="false">{#N/A,#N/A,FALSE,"USMED 3";#N/A,#N/A,FALSE,"MARCHALLENGER 1";#N/A,#N/A,FALSE,"MARCHALLENGER 2";#N/A,#N/A,FALSE,"MARCHALLENGER 3";#N/A,#N/A,FALSE,"MARCHALLENGER 4"}</definedName>
    <definedName function="false" hidden="true" name="es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tc" vbProcedure="false">#REF!</definedName>
    <definedName function="false" hidden="true" name="Europe" vbProcedure="false">#REF!</definedName>
    <definedName function="false" hidden="true" name="EV__EVCOM_OPTIONS__" vbProcedure="false">8</definedName>
    <definedName function="false" hidden="true" name="EV__EXPOPTIONS__" vbProcedure="false">0</definedName>
    <definedName function="false" hidden="true" name="EV__LASTREFTIME__" vbProcedure="false">41478.6306018519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WBEVMODE__" vbProcedure="false">0</definedName>
    <definedName function="false" hidden="true" name="EV__WBREFOPTIONS__" vbProcedure="false">134217855</definedName>
    <definedName function="false" hidden="true" name="EV__WBVERSION__" vbProcedure="false">0</definedName>
    <definedName function="false" hidden="true" name="EV__WSINFO__" vbProcedure="false">123</definedName>
    <definedName function="false" hidden="true" name="ewdw" vbProcedure="false">#REF!</definedName>
    <definedName function="false" hidden="true" name="ez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faasfas" vbProcedure="false">{#N/A,#N/A,FALSE,"3";#N/A,#N/A,FALSE,"5";#N/A,#N/A,FALSE,"6";#N/A,#N/A,FALSE,"8";#N/A,#N/A,FALSE,"10";#N/A,#N/A,FALSE,"13";#N/A,#N/A,FALSE,"14";#N/A,#N/A,FALSE,"15";#N/A,#N/A,FALSE,"16"}</definedName>
    <definedName function="false" hidden="true" name="fafawf" vbProcedure="false">{"summary",#N/A,FALSE,"2000 vs 1999";"detail",#N/A,FALSE,"2000 vs 1999"}</definedName>
    <definedName function="false" hidden="true" name="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A_SCHEDULE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FCode" vbProcedure="false">#REF!</definedName>
    <definedName function="false" hidden="true" name="fd" vbProcedure="false">#REF!</definedName>
    <definedName function="false" hidden="true" name="FDaFAF" vbProcedure="false">{"'Mach'!$A$1:$D$39"}</definedName>
    <definedName function="false" hidden="true" name="f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dfsf" vbProcedure="false">{#N/A,#N/A,TRUE,"KEY DATA";#N/A,#N/A,TRUE,"KEY DATA Base Case";#N/A,#N/A,TRUE,"JULY";#N/A,#N/A,TRUE,"AUG";#N/A,#N/A,TRUE,"SEPT";#N/A,#N/A,TRUE,"3Q"}</definedName>
    <definedName function="false" hidden="true" name="fd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dhg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fff" vbProcedure="false">#REF!</definedName>
    <definedName function="false" hidden="true" name="fgd" vbProcedure="false">{#N/A,#N/A,FALSE,"Ventilation";#N/A,#N/A,FALSE,"Courbe1";#N/A,#N/A,FALSE,"Courbe2"}</definedName>
    <definedName function="false" hidden="true" name="fgds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hdfgdf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RW" vbProcedure="false">#REF!</definedName>
    <definedName function="false" hidden="true" name="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gfhf" vbProcedure="false">{#N/A,#N/A,FALSE,"3";#N/A,#N/A,FALSE,"5";#N/A,#N/A,FALSE,"6";#N/A,#N/A,FALSE,"8";#N/A,#N/A,FALSE,"10";#N/A,#N/A,FALSE,"13";#N/A,#N/A,FALSE,"14";#N/A,#N/A,FALSE,"15";#N/A,#N/A,FALSE,"16"}</definedName>
    <definedName function="false" hidden="true" name="FixedAssets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ixedassets_it" vbProcedure="false">#REF!</definedName>
    <definedName function="false" hidden="true" name="fkfkf" vbProcedure="false">{"'CQ1-4'!$B$1:$L$49"}</definedName>
    <definedName function="false" hidden="true" name="fORM" vbProcedure="false">{#N/A,#N/A,FALSE,"COMP"}</definedName>
    <definedName function="false" hidden="true" name="form1" vbProcedure="false">{#N/A,#N/A,FALSE,"COMP"}</definedName>
    <definedName function="false" hidden="true" name="FQSDF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franko" vbProcedure="false">{#N/A,#N/A,FALSE,"Kosten97Einzel";#N/A,#N/A,FALSE,"Kosten97FZ"}</definedName>
    <definedName function="false" hidden="true" name="frew" vbProcedure="false">{"CashPrint",#N/A,FALSE,"Cash"}</definedName>
    <definedName function="false" hidden="true" name="from" vbProcedure="false">{"'Typical Costs Estimates'!$C$158:$H$161"}</definedName>
    <definedName function="false" hidden="true" name="fr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df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s" vbProcedure="false">{#N/A,#N/A,FALSE,"3";#N/A,#N/A,FALSE,"5";#N/A,#N/A,FALSE,"6";#N/A,#N/A,FALSE,"8";#N/A,#N/A,FALSE,"10";#N/A,#N/A,FALSE,"13";#N/A,#N/A,FALSE,"14";#N/A,#N/A,FALSE,"15";#N/A,#N/A,FALSE,"16"}</definedName>
    <definedName function="false" hidden="true" name="gcb" vbProcedure="false">{#N/A,#N/A,FALSE,"3";#N/A,#N/A,FALSE,"5";#N/A,#N/A,FALSE,"6";#N/A,#N/A,FALSE,"8";#N/A,#N/A,FALSE,"10";#N/A,#N/A,FALSE,"13";#N/A,#N/A,FALSE,"14";#N/A,#N/A,FALSE,"15";#N/A,#N/A,FALSE,"16"}</definedName>
    <definedName function="false" hidden="true" name="GDFA" vbProcedure="false">{#N/A,#N/A,FALSE,"COMP"}</definedName>
    <definedName function="false" hidden="true" name="gdfhgd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gdfgr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gffdsgfds" vbProcedure="false">{#N/A,#N/A,FALSE,"3";#N/A,#N/A,FALSE,"5";#N/A,#N/A,FALSE,"6";#N/A,#N/A,FALSE,"8";#N/A,#N/A,FALSE,"10";#N/A,#N/A,FALSE,"13";#N/A,#N/A,FALSE,"14";#N/A,#N/A,FALSE,"15";#N/A,#N/A,FALSE,"16"}</definedName>
    <definedName function="false" hidden="true" name="ggggggg" vbProcedure="false">{#N/A,#N/A,FALSE,"3";#N/A,#N/A,FALSE,"5";#N/A,#N/A,FALSE,"6";#N/A,#N/A,FALSE,"8";#N/A,#N/A,FALSE,"10";#N/A,#N/A,FALSE,"13";#N/A,#N/A,FALSE,"14";#N/A,#N/A,FALSE,"15";#N/A,#N/A,FALSE,"16"}</definedName>
    <definedName function="false" hidden="true" name="gghgjj" vbProcedure="false">{#N/A,#N/A,FALSE,"KPI-EMM-Graph";#N/A,#N/A,FALSE,"Cost Graph";#N/A,#N/A,FALSE,"Cash graph";#N/A,#N/A,FALSE,"Order Sales Graph"}</definedName>
    <definedName function="false" hidden="true" name="ghg" vbProcedure="false">{"'Typical Costs Estimates'!$C$158:$H$161"}</definedName>
    <definedName function="false" hidden="true" name="ghikjl" vbProcedure="false">#REF!</definedName>
    <definedName function="false" hidden="true" name="ghkg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ngfhtfhntf" vbProcedure="false">#REF!</definedName>
    <definedName function="false" hidden="true" name="gjygj" vbProcedure="false">{#N/A,#N/A,FALSE,"COMP"}</definedName>
    <definedName function="false" hidden="true" name="gkgfkghkff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j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rat" vbProcedure="false">{#N/A,#N/A,FALSE,"COMP"}</definedName>
    <definedName function="false" hidden="true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gy" vbProcedure="false">{#N/A,#N/A,TRUE,"Summary";#N/A,#N/A,TRUE,"IS";#N/A,#N/A,TRUE,"Adj";#N/A,#N/A,TRUE,"BS";#N/A,#N/A,TRUE,"CF";#N/A,#N/A,TRUE,"Debt";#N/A,#N/A,TRUE,"IRR"}</definedName>
    <definedName function="false" hidden="true" name="hddfhfd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d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HDHD" vbProcedure="false">#REF!</definedName>
    <definedName function="false" hidden="true" name="hdoihd\" vbProcedure="false">#REF!</definedName>
    <definedName function="false" hidden="true" name="hf" vbProcedure="false">{#N/A,#N/A,FALSE,"3";#N/A,#N/A,FALSE,"5";#N/A,#N/A,FALSE,"6";#N/A,#N/A,FALSE,"8";#N/A,#N/A,FALSE,"10";#N/A,#N/A,FALSE,"13";#N/A,#N/A,FALSE,"14";#N/A,#N/A,FALSE,"15";#N/A,#N/A,FALSE,"16"}</definedName>
    <definedName function="false" hidden="true" name="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fdh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hhhhh" vbProcedure="false">{#N/A,#N/A,FALSE,"Graficos    ( 9 )"}</definedName>
    <definedName function="false" hidden="true" name="hhjg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KJ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iddenRows" vbProcedure="false">#REF!</definedName>
    <definedName function="false" hidden="true" name="hjghj" vbProcedure="false">{"raatios",#N/A,FALSE,"A";"ratios",#N/A,FALSE,"B";"ratios",#N/A,FALSE,"C";"ratios",#N/A,FALSE,"D";"ratios",#N/A,FALSE,"F"}</definedName>
    <definedName function="false" hidden="true" name="hjghjg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hjh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jhgkj" vbProcedure="false">{#N/A,#N/A,FALSE,"3";#N/A,#N/A,FALSE,"5";#N/A,#N/A,FALSE,"6";#N/A,#N/A,FALSE,"8";#N/A,#N/A,FALSE,"10";#N/A,#N/A,FALSE,"13";#N/A,#N/A,FALSE,"14";#N/A,#N/A,FALSE,"15";#N/A,#N/A,FALSE,"16"}</definedName>
    <definedName function="false" hidden="true" name="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hlh" vbProcedure="false">#REF!</definedName>
    <definedName function="false" hidden="true" name="hl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TML1_1" vbProcedure="false">"[FCFF3]Sheet1!$A$1:$L$34"</definedName>
    <definedName function="false" hidden="true" name="HTML1_10" vbProcedure="false">""</definedName>
    <definedName function="false" hidden="true" name="HTML1_11" vbProcedure="false">1</definedName>
    <definedName function="false" hidden="true" name="HTML1_12" vbProcedure="false">"Aswath:Adobe SiteMill™ 1.0.2:MyHomePage:FCFF3.html"</definedName>
    <definedName function="false" hidden="true" name="HTML1_2" vbProcedure="false">1</definedName>
    <definedName function="false" hidden="true" name="HTML1_3" vbProcedure="false">"FCFF3"</definedName>
    <definedName function="false" hidden="true" name="HTML1_4" vbProcedure="false">"Three-Stage FCFF Model"</definedName>
    <definedName function="false" hidden="true" name="HTML1_5" vbProcedure="false">""</definedName>
    <definedName function="false" hidden="true" name="HTML1_6" vbProcedure="false">-4146</definedName>
    <definedName function="false" hidden="true" name="HTML1_7" vbProcedure="false">-4146</definedName>
    <definedName function="false" hidden="true" name="HTML1_8" vbProcedure="false">"10/22/96"</definedName>
    <definedName function="false" hidden="true" name="HTML1_9" vbProcedure="false">"Aswath Damodaran"</definedName>
    <definedName function="false" hidden="true" name="HTML2_1" vbProcedure="false">"[poolprices.xls]Sheet1!$A$3:$F$16"</definedName>
    <definedName function="false" hidden="true" name="HTML2_10" vbProcedure="false">"robert.schulten@corporate.ge.com"</definedName>
    <definedName function="false" hidden="true" name="HTML2_11" vbProcedure="false">1</definedName>
    <definedName function="false" hidden="true" name="HTML2_12" vbProcedure="false">"C:\webpage\poolpri2.htm"</definedName>
    <definedName function="false" hidden="true" name="HTML2_2" vbProcedure="false">1</definedName>
    <definedName function="false" hidden="true" name="HTML2_3" vbProcedure="false">"Consigned Metals Prices"</definedName>
    <definedName function="false" hidden="true" name="HTML2_4" vbProcedure="false">"Consigned Metals Prices"</definedName>
    <definedName function="false" hidden="true" name="HTML2_5" vbProcedure="false">"(Cents/Lb.)"</definedName>
    <definedName function="false" hidden="true" name="HTML2_6" vbProcedure="false">1</definedName>
    <definedName function="false" hidden="true" name="HTML2_7" vbProcedure="false">1</definedName>
    <definedName function="false" hidden="true" name="HTML2_8" vbProcedure="false">"3/11/97"</definedName>
    <definedName function="false" hidden="true" name="HTML2_9" vbProcedure="false">"Robert M. Schulten"</definedName>
    <definedName function="false" hidden="true" name="HTML3_1" vbProcedure="false">"[poolprices.xls]Sheet1!$A$3:$F$17"</definedName>
    <definedName function="false" hidden="true" name="HTML3_10" vbProcedure="false">"robert.schulten@corporate.ge.com"</definedName>
    <definedName function="false" hidden="true" name="HTML3_11" vbProcedure="false">1</definedName>
    <definedName function="false" hidden="true" name="HTML3_12" vbProcedure="false">"C:\webpage\MyHTML.htm"</definedName>
    <definedName function="false" hidden="true" name="HTML3_2" vbProcedure="false">1</definedName>
    <definedName function="false" hidden="true" name="HTML3_3" vbProcedure="false">"Consigned Metals Prices"</definedName>
    <definedName function="false" hidden="true" name="HTML3_4" vbProcedure="false">"Consigned Metals Prices"</definedName>
    <definedName function="false" hidden="true" name="HTML3_5" vbProcedure="false">"(Cents/lb)"</definedName>
    <definedName function="false" hidden="true" name="HTML3_6" vbProcedure="false">-4146</definedName>
    <definedName function="false" hidden="true" name="HTML3_7" vbProcedure="false">-4146</definedName>
    <definedName function="false" hidden="true" name="HTML3_8" vbProcedure="false">"3/11/97"</definedName>
    <definedName function="false" hidden="true" name="HTML3_9" vbProcedure="false">"Robert M. Schulten"</definedName>
    <definedName function="false" hidden="true" name="HTMLCount" vbProcedure="false">1</definedName>
    <definedName function="false" hidden="true" name="HTML_CodePage" vbProcedure="false">1252</definedName>
    <definedName function="false" hidden="true" name="HTML_Control" vbProcedure="false">{"'Typical Costs Estimates'!$C$158:$H$161"}</definedName>
    <definedName function="false" hidden="true" name="HTML_Control2" vbProcedure="false">{"' calendrier 2000'!$A$1:$Q$38"}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"SUBNETS"</definedName>
    <definedName function="false" hidden="true" name="HTML_LastUpdate" vbProcedure="false">"01/25/2000"</definedName>
    <definedName function="false" hidden="true" name="HTML_LineAfter" vbProcedure="false">TRUE()</definedName>
    <definedName function="false" hidden="true" name="HTML_LineBefore" vbProcedure="false">FALSE()</definedName>
    <definedName function="false" hidden="true" name="HTML_Name" vbProcedure="false">"Jerry George"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"C:\WWW\IT\network\subnets.htm"</definedName>
    <definedName function="false" hidden="true" name="HTML_Title" vbProcedure="false">"Subnets"</definedName>
    <definedName function="false" hidden="true" name="iei" vbProcedure="false">{"Inputs",#N/A,FALSE,"Data Reduction";"Outputs",#N/A,FALSE,"Data Reduction";"Cycle Deck Comparison",#N/A,FALSE,"Data Reduction"}</definedName>
    <definedName function="false" hidden="true" name="ines" vbProcedure="false">{#N/A,#N/A,FALSE,"3";#N/A,#N/A,FALSE,"5";#N/A,#N/A,FALSE,"6";#N/A,#N/A,FALSE,"8";#N/A,#N/A,FALSE,"10";#N/A,#N/A,FALSE,"13";#N/A,#N/A,FALSE,"14";#N/A,#N/A,FALSE,"15";#N/A,#N/A,FALSE,"16"}</definedName>
    <definedName function="false" hidden="true" name="Insuranc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Inventory" vbProcedure="false">{"Summary analysis",#N/A,FALSE,"Total";"OCPH analysis",#N/A,FALSE,"Total";"detail analysis",#N/A,FALSE,"Total"}</definedName>
    <definedName function="false" hidden="true" name="Inventory1" vbProcedure="false">{"Summary analysis",#N/A,FALSE,"Total";"OCPH analysis",#N/A,FALSE,"Total";"detail analysis",#N/A,FALSE,"Total"}</definedName>
    <definedName function="false" hidden="true" name="inventory2" vbProcedure="false">{"Summary analysis",#N/A,FALSE,"Total";"OCPH analysis",#N/A,FALSE,"Total";"detail analysis",#N/A,FALSE,"Total"}</definedName>
    <definedName function="false" hidden="true" name="i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op" vbProcedure="false">{#N/A,#N/A,TRUE,"Summary";#N/A,#N/A,TRUE,"IS";#N/A,#N/A,TRUE,"Adj";#N/A,#N/A,TRUE,"BS";#N/A,#N/A,TRUE,"CF";#N/A,#N/A,TRUE,"Debt";#N/A,#N/A,TRUE,"IRR"}</definedName>
    <definedName function="false" hidden="true" name="iouiuouio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QB_BOOKMARK_COUNT" vbProcedure="false">2</definedName>
    <definedName function="false" hidden="true" name="IQRBA4" vbProcedure="false">"$BA$5:$BA$9"</definedName>
    <definedName function="false" hidden="true" name="IQRBB4" vbProcedure="false">"$BB$5:$BB$9"</definedName>
    <definedName function="false" hidden="true" name="IQ_ACCOUNTS_PAY" vbProcedure="false">"c32"</definedName>
    <definedName function="false" hidden="true" name="IQ_ACCOUNT_CHANGE" vbProcedure="false">"c413"</definedName>
    <definedName function="false" hidden="true" name="IQ_ACCRUED_EXP" vbProcedure="false">"c8"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DEP" vbProcedure="false">"c7"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_PAID_IN" vbProcedure="false">"c39"</definedName>
    <definedName function="false" hidden="true" name="IQ_ADJ_AVG_BANK_ASSETS" vbProcedure="false">"c2671"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"c16"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"c1471"</definedName>
    <definedName function="false" hidden="true" name="IQ_AMT_OUT" vbProcedure="false">"c2145"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PC_EARNED" vbProcedure="false">"c2746"</definedName>
    <definedName function="false" hidden="true" name="IQ_ASSUMED_WRITTEN" vbProcedure="false">"c2725"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"c65"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TA" vbProcedure="false">"c88"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FITCH_DATE" vbProcedure="false">"c241"</definedName>
    <definedName function="false" hidden="true" name="IQ_BONDRATING_MOODYS" vbProcedure="false">"IQ_BONDRATING_MOODYS"</definedName>
    <definedName function="false" hidden="true" name="IQ_BONDRATING_SP" vbProcedure="false">"IQ_BONDRATING_SP"</definedName>
    <definedName function="false" hidden="true" name="IQ_BONDRATING_SP_DATE" vbProcedure="false">"c242"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PRICE" vbProcedure="false">"c2162"</definedName>
    <definedName function="false" hidden="true" name="IQ_BOOK_VALUE" vbProcedure="false">"IQ_BOOK_VALUE"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"c100"</definedName>
    <definedName function="false" hidden="true" name="IQ_BV_SHARE" vbProcedure="false">"c100"</definedName>
    <definedName function="false" hidden="true" name="IQ_CABLE_ARPU" vbProcedure="false">"c2869"</definedName>
    <definedName function="false" hidden="true" name="IQ_CABLE_ARPU_ANALOG" vbProcedure="false">"c2864"</definedName>
    <definedName function="false" hidden="true" name="IQ_CABLE_ARPU_BASIC" vbProcedure="false">"c2866"</definedName>
    <definedName function="false" hidden="true" name="IQ_CABLE_ARPU_BBAND" vbProcedure="false">"c2867"</definedName>
    <definedName function="false" hidden="true" name="IQ_CABLE_ARPU_DIG" vbProcedure="false">"c2865"</definedName>
    <definedName function="false" hidden="true" name="IQ_CABLE_ARPU_PHONE" vbProcedure="false">"c2868"</definedName>
    <definedName function="false" hidden="true" name="IQ_CABLE_BASIC_PENETRATION" vbProcedure="false">"c2850"</definedName>
    <definedName function="false" hidden="true" name="IQ_CABLE_BBAND_PENETRATION" vbProcedure="false">"c2852"</definedName>
    <definedName function="false" hidden="true" name="IQ_CABLE_BBAND_PENETRATION_THP" vbProcedure="false">"c2851"</definedName>
    <definedName function="false" hidden="true" name="IQ_CABLE_CHURN" vbProcedure="false">"c2874"</definedName>
    <definedName function="false" hidden="true" name="IQ_CABLE_CHURN_BASIC" vbProcedure="false">"c2871"</definedName>
    <definedName function="false" hidden="true" name="IQ_CABLE_CHURN_BBAND" vbProcedure="false">"c2872"</definedName>
    <definedName function="false" hidden="true" name="IQ_CABLE_CHURN_DIG" vbProcedure="false">"c2870"</definedName>
    <definedName function="false" hidden="true" name="IQ_CABLE_CHURN_PHONE" vbProcedure="false">"c2873"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"c2848"</definedName>
    <definedName function="false" hidden="true" name="IQ_CABLE_OTHER_REV" vbProcedure="false">"c2882"</definedName>
    <definedName function="false" hidden="true" name="IQ_CABLE_PHONE_PENETRATION" vbProcedure="false">"c2853"</definedName>
    <definedName function="false" hidden="true" name="IQ_CABLE_PROGRAMMING_COSTS" vbProcedure="false">"c2884"</definedName>
    <definedName function="false" hidden="true" name="IQ_CABLE_REV_ADVERT" vbProcedure="false">"c2880"</definedName>
    <definedName function="false" hidden="true" name="IQ_CABLE_REV_ANALOG" vbProcedure="false">"c2875"</definedName>
    <definedName function="false" hidden="true" name="IQ_CABLE_REV_BASIC" vbProcedure="false">"c2877"</definedName>
    <definedName function="false" hidden="true" name="IQ_CABLE_REV_BBAND" vbProcedure="false">"c2878"</definedName>
    <definedName function="false" hidden="true" name="IQ_CABLE_REV_COMMERCIAL" vbProcedure="false">"c2881"</definedName>
    <definedName function="false" hidden="true" name="IQ_CABLE_REV_DIG" vbProcedure="false">"c2876"</definedName>
    <definedName function="false" hidden="true" name="IQ_CABLE_REV_PHONE" vbProcedure="false">"c2879"</definedName>
    <definedName function="false" hidden="true" name="IQ_CABLE_RGU" vbProcedure="false">"c2863"</definedName>
    <definedName function="false" hidden="true" name="IQ_CABLE_SUBS_ANALOG" vbProcedure="false">"c2855"</definedName>
    <definedName function="false" hidden="true" name="IQ_CABLE_SUBS_BASIC" vbProcedure="false">"c2857"</definedName>
    <definedName function="false" hidden="true" name="IQ_CABLE_SUBS_BBAND" vbProcedure="false">"c2858"</definedName>
    <definedName function="false" hidden="true" name="IQ_CABLE_SUBS_BUNDLED" vbProcedure="false">"c2861"</definedName>
    <definedName function="false" hidden="true" name="IQ_CABLE_SUBS_DIG" vbProcedure="false">"c2856"</definedName>
    <definedName function="false" hidden="true" name="IQ_CABLE_SUBS_NON_VIDEO" vbProcedure="false">"c2860"</definedName>
    <definedName function="false" hidden="true" name="IQ_CABLE_SUBS_PHONE" vbProcedure="false">"c2859"</definedName>
    <definedName function="false" hidden="true" name="IQ_CABLE_SUBS_TOTAL" vbProcedure="false">"c2862"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"c2883"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"c115"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SH" vbProcedure="false">"c118"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"c118"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"c124"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EDED_AH_EARNED" vbProcedure="false">"c2743"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PC_EARNED" vbProcedure="false">"c2748"</definedName>
    <definedName function="false" hidden="true" name="IQ_CEDED_WRITTEN" vbProcedure="false">"c2727"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" vbProcedure="false">110000</definedName>
    <definedName function="false" hidden="true" name="IQ_CHANGES_WORK_CAP" vbProcedure="false">"c161"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NET_WORKING_CAPITAL" vbProcedure="false">"c1909"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OBLIGATION_IMMEDIATE" vbProcedure="false">"c2253"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"c182"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VERT" vbProcedure="false">"c2536"</definedName>
    <definedName function="false" hidden="true" name="IQ_CONVERT_DEBT" vbProcedure="false">"c224"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"c226"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P" vbProcedure="false">"c2495"</definedName>
    <definedName function="false" hidden="true" name="IQ_CP_PCT" vbProcedure="false">"c2496"</definedName>
    <definedName function="false" hidden="true" name="IQ_CQ" vbProcedure="false">5000</definedName>
    <definedName function="false" hidden="true" name="IQ_CREDIT_CARD_FEE" vbProcedure="false">"c231"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MULATIVE_SPLIT_FACTOR" vbProcedure="false">"c2094"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Y" vbProcedure="false">10000</definedName>
    <definedName function="false" hidden="true" name="IQ_DA" vbProcedure="false">"c247"</definedName>
    <definedName function="false" hidden="true" name="IQ_DAILY" vbProcedure="false">500000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"c274"</definedName>
    <definedName function="false" hidden="true" name="IQ_DAYS_SALES_OUT" vbProcedure="false">"c275"</definedName>
    <definedName function="false" hidden="true" name="IQ_DAYS_SALES_OUTST" vbProcedure="false">"c275"</definedName>
    <definedName function="false" hidden="true" name="IQ_DAY_COUNT" vbProcedure="false">"c2161"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ADJ" vbProcedure="false">"c2515"</definedName>
    <definedName function="false" hidden="true" name="IQ_DEBT_ADJ_PCT" vbProcedure="false">"c2516"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"c315"</definedName>
    <definedName function="false" hidden="true" name="IQ_DEFERRED_TAXES" vbProcedure="false">"c147"</definedName>
    <definedName function="false" hidden="true" name="IQ_DEF_ACQ_CST" vbProcedure="false">"c301"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"c313"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"c247"</definedName>
    <definedName function="false" hidden="true" name="IQ_DEPRE_AMORT_SUPPL" vbProcedure="false">"c1593"</definedName>
    <definedName function="false" hidden="true" name="IQ_DEPRE_DEPLE" vbProcedure="false">"c261"</definedName>
    <definedName function="false" hidden="true" name="IQ_DEPRE_SUPP" vbProcedure="false">"c1443"</definedName>
    <definedName function="false" hidden="true" name="IQ_DESCRIPTION_LONG" vbProcedure="false">"c322"</definedName>
    <definedName function="false" hidden="true" name="IQ_DEVELOP_LAND" vbProcedure="false">"c323"</definedName>
    <definedName function="false" hidden="true" name="IQ_DIFF_LASTCLOSE_TARGET_PRICE" vbProcedure="false">"c1854"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CONT_OPER" vbProcedure="false">"c333"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IBUTABLE_CASH" vbProcedure="false">"c3002"</definedName>
    <definedName function="false" hidden="true" name="IQ_DISTRIBUTABLE_CASH_PAYOUT" vbProcedure="false">"c3005"</definedName>
    <definedName function="false" hidden="true" name="IQ_DISTRIBUTABLE_CASH_SHARE" vbProcedure="false">"c3003"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"c330"</definedName>
    <definedName function="false" hidden="true" name="IQ_DIV_AMOUNT" vbProcedure="false">"c3041"</definedName>
    <definedName function="false" hidden="true" name="IQ_DIV_PAYMENT_DATE" vbProcedure="false">"c2205"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"c368"</definedName>
    <definedName function="false" hidden="true" name="IQ_EBITDA_EST" vbProcedure="false">"c369"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NO_EST" vbProcedure="false">"c267"</definedName>
    <definedName function="false" hidden="true" name="IQ_EBITDA_NUM_EST" vbProcedure="false">"c374"</definedName>
    <definedName function="false" hidden="true" name="IQ_EBITDA_OVER_TOTAL_IE" vbProcedure="false">"c373"</definedName>
    <definedName function="false" hidden="true" name="IQ_EBITDA_STDDEV_EST" vbProcedure="false">"c375"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"c360"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"c84"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HIGH_EST" vbProcedure="false">"c269"</definedName>
    <definedName function="false" hidden="true" name="IQ_EPS_LOW_EST" vbProcedure="false">"c270"</definedName>
    <definedName function="false" hidden="true" name="IQ_EPS_MEDIAN_EST" vbProcedure="false">"c1661"</definedName>
    <definedName function="false" hidden="true" name="IQ_EPS_NORM" vbProcedure="false">"c1902"</definedName>
    <definedName function="false" hidden="true" name="IQ_EPS_NO_EST" vbProcedure="false">"c271"</definedName>
    <definedName function="false" hidden="true" name="IQ_EPS_NUM_EST" vbProcedure="false">"c271"</definedName>
    <definedName function="false" hidden="true" name="IQ_EPS_STDDEV_EST" vbProcedure="false">"c272"</definedName>
    <definedName function="false" hidden="true" name="IQ_EQUITY_AFFIL" vbProcedure="false">"c552"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"c739"</definedName>
    <definedName function="false" hidden="true" name="IQ_ESOP_DEBT" vbProcedure="false">"c1597"</definedName>
    <definedName function="false" hidden="true" name="IQ_EST_ACT_EPS" vbProcedure="false">"c1648"</definedName>
    <definedName function="false" hidden="true" name="IQ_EST_CURRENCY" vbProcedure="false">"c2140"</definedName>
    <definedName function="false" hidden="true" name="IQ_EST_DATE" vbProcedure="false">"c1634"</definedName>
    <definedName function="false" hidden="true" name="IQ_EST_EPS_DIFF" vbProcedure="false">"c1864"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5YR" vbProcedure="false">"c1655"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VAL_DATE" vbProcedure="false">"c2180"</definedName>
    <definedName function="false" hidden="true" name="IQ_EV_OVER_EMPLOYEE" vbProcedure="false">"c1225"</definedName>
    <definedName function="false" hidden="true" name="IQ_EV_OVER_LTM_EBIT" vbProcedure="false">"c1221"</definedName>
    <definedName function="false" hidden="true" name="IQ_EV_OVER_LTM_EBITDA" vbProcedure="false">"c1223"</definedName>
    <definedName function="false" hidden="true" name="IQ_EV_OVER_LTM_REVENUE" vbProcedure="false">"c1227"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"c406"</definedName>
    <definedName function="false" hidden="true" name="IQ_EXPENSE_CODE_" vbProcedure="false">"test"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"c413"</definedName>
    <definedName function="false" hidden="true" name="IQ_FDIC" vbProcedure="false">"c417"</definedName>
    <definedName function="false" hidden="true" name="IQ_FEDFUNDS_SOLD" vbProcedure="false">"c2256"</definedName>
    <definedName function="false" hidden="true" name="IQ_FFO" vbProcedure="false">"c1574"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NO_EST" vbProcedure="false">"c276"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" vbProcedure="false">100000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M_RIGHTS" vbProcedure="false">"c2254"</definedName>
    <definedName function="false" hidden="true" name="IQ_FINANCING_CASH" vbProcedure="false">"c893"</definedName>
    <definedName function="false" hidden="true" name="IQ_FINANCING_CASH_SUPPL" vbProcedure="false">"c899"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"c451"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Y" vbProcedure="false">1000</definedName>
    <definedName function="false" hidden="true" name="IQ_FY_DATE" vbProcedure="false">"IQ_FY_DATE"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C_BNK" vbProcedure="false">"c488"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"c452"</definedName>
    <definedName function="false" hidden="true" name="IQ_GA_EXP" vbProcedure="false">"c2241"</definedName>
    <definedName function="false" hidden="true" name="IQ_GOODWILL_NET" vbProcedure="false">"c530"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AH_EARNED" vbProcedure="false">"c2742"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"c192"</definedName>
    <definedName function="false" hidden="true" name="IQ_GROSS_EARNED" vbProcedure="false">"c2732"</definedName>
    <definedName function="false" hidden="true" name="IQ_GROSS_GW" vbProcedure="false">"c519"</definedName>
    <definedName function="false" hidden="true" name="IQ_GROSS_INTAN" vbProcedure="false">"c520"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C_EARNED" vbProcedure="false">"c2747"</definedName>
    <definedName function="false" hidden="true" name="IQ_GROSS_PROFIT" vbProcedure="false">"c511"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IGH_TARGET_PRICE" vbProcedure="false">"c1651"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NC_AFTER_TAX" vbProcedure="false">"c1598"</definedName>
    <definedName function="false" hidden="true" name="IQ_INC_AVAIL_EXCL" vbProcedure="false">"c789"</definedName>
    <definedName function="false" hidden="true" name="IQ_INC_AVAIL_INCL" vbProcedure="false">"c791"</definedName>
    <definedName function="false" hidden="true" name="IQ_INC_BEFORE_TAX" vbProcedure="false">"c386"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" vbProcedure="false">"c1534"</definedName>
    <definedName function="false" hidden="true" name="IQ_INSIDER_3MTH_BOUGHT_PCT" vbProcedure="false">"c1534"</definedName>
    <definedName function="false" hidden="true" name="IQ_INSIDER_3MTH_NET" vbProcedure="false">"c1535"</definedName>
    <definedName function="false" hidden="true" name="IQ_INSIDER_3MTH_NET_PCT" vbProcedure="false">"c1535"</definedName>
    <definedName function="false" hidden="true" name="IQ_INSIDER_3MTH_SOLD" vbProcedure="false">"c1533"</definedName>
    <definedName function="false" hidden="true" name="IQ_INSIDER_3MTH_SOLD_PCT" vbProcedure="false">"c1533"</definedName>
    <definedName function="false" hidden="true" name="IQ_INSIDER_6MTH_BOUGHT" vbProcedure="false">"c1537"</definedName>
    <definedName function="false" hidden="true" name="IQ_INSIDER_6MTH_BOUGHT_PCT" vbProcedure="false">"c1537"</definedName>
    <definedName function="false" hidden="true" name="IQ_INSIDER_6MTH_NET" vbProcedure="false">"c1538"</definedName>
    <definedName function="false" hidden="true" name="IQ_INSIDER_6MTH_NET_PCT" vbProcedure="false">"c1538"</definedName>
    <definedName function="false" hidden="true" name="IQ_INSIDER_6MTH_SOLD" vbProcedure="false">"c1536"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"c907"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"c618"</definedName>
    <definedName function="false" hidden="true" name="IQ_INTEREST_EXP_SUPPL" vbProcedure="false">"c1460"</definedName>
    <definedName function="false" hidden="true" name="IQ_INTEREST_INC" vbProcedure="false">"c769"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"c619"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"c751"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LAND" vbProcedure="false">"c645"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"50"</definedName>
    <definedName function="false" hidden="true" name="IQ_LATESTQ" vbProcedure="false">500</definedName>
    <definedName function="false" hidden="true" name="IQ_LATESTQFR" vbProcedure="false">"100"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CENSED_POPS" vbProcedure="false">"c2123"</definedName>
    <definedName function="false" hidden="true" name="IQ_LIFE_EARNED" vbProcedure="false">"c2739"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"c656"</definedName>
    <definedName function="false" hidden="true" name="IQ_LOAN_SERVICE_REV" vbProcedure="false">"c658"</definedName>
    <definedName function="false" hidden="true" name="IQ_LONG_TERM_DEBT" vbProcedure="false">"c674"</definedName>
    <definedName function="false" hidden="true" name="IQ_LONG_TERM_DEBT_OVER_TOTAL_CAP" vbProcedure="false">"c677"</definedName>
    <definedName function="false" hidden="true" name="IQ_LONG_TERM_GROWTH" vbProcedure="false">"c671"</definedName>
    <definedName function="false" hidden="true" name="IQ_LONG_TERM_INV" vbProcedure="false">"c697"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TARGET_PRICE" vbProcedure="false">"c1652"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"c1304"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LT_SENIOR_DEBT" vbProcedure="false">"c702"</definedName>
    <definedName function="false" hidden="true" name="IQ_LT_SUB_DEBT" vbProcedure="false">"c703"</definedName>
    <definedName function="false" hidden="true" name="IQ_MACHINERY" vbProcedure="false">"c711"</definedName>
    <definedName function="false" hidden="true" name="IQ_MAINT_CAPEX" vbProcedure="false">"c2947"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_CAP_LFCF" vbProcedure="false">"c2209"</definedName>
    <definedName function="false" hidden="true" name="IQ_MARKTCAP" vbProcedure="false">"c258"</definedName>
    <definedName function="false" hidden="true" name="IQ_MATURITY_DATE" vbProcedure="false">"c2146"</definedName>
    <definedName function="false" hidden="true" name="IQ_MC_RATIO" vbProcedure="false">"c2783"</definedName>
    <definedName function="false" hidden="true" name="IQ_MC_STATUTORY_SURPLUS" vbProcedure="false">"c2772"</definedName>
    <definedName function="false" hidden="true" name="IQ_MEDIAN_TARGET_PRICE" vbProcedure="false">"c1650"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TH" vbProcedure="false">15000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NAMES_REVISION_DATE_" vbProcedure="false">40984.8419907407</definedName>
    <definedName function="false" hidden="true" name="IQ_NET_CHANGE" vbProcedure="false">"c749"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EARNED" vbProcedure="false">"c2734"</definedName>
    <definedName function="false" hidden="true" name="IQ_NET_INC" vbProcedure="false">"c781"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"c344"</definedName>
    <definedName function="false" hidden="true" name="IQ_NET_INC_CF" vbProcedure="false">"c793"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"c794"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"c764"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RITTEN" vbProcedure="false">"c2728"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ASH_PENSION_EXP" vbProcedure="false">"c3000"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"c797"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"c801"</definedName>
    <definedName function="false" hidden="true" name="IQ_NON_INTEREST_INC" vbProcedure="false">"c802"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"c1176"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NGL" vbProcedure="false">"c2921"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"c362"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OS" vbProcedure="false">"c858"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THER_ADJUST_GROSS_LOANS" vbProcedure="false">"c859"</definedName>
    <definedName function="false" hidden="true" name="IQ_OTHER_AMORT_BR" vbProcedure="false">"c5566"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"c868"</definedName>
    <definedName function="false" hidden="true" name="IQ_OTHER_CURRENT_LIAB" vbProcedure="false">"c877"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"c916"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"c946"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"c959"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OS" vbProcedure="false">"c2691"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"c1010"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STRIKE_PRICE_GRANTED" vbProcedure="false">"c2692"</definedName>
    <definedName function="false" hidden="true" name="IQ_OTHER_UNDRAWN" vbProcedure="false">"c2522"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"c1022"</definedName>
    <definedName function="false" hidden="true" name="IQ_OUTSTANDING_FILING_DATE" vbProcedure="false">"c1023"</definedName>
    <definedName function="false" hidden="true" name="IQ_OWNERSHIP" vbProcedure="false">"c2160"</definedName>
    <definedName function="false" hidden="true" name="IQ_PART_TIME" vbProcedure="false">"c1024"</definedName>
    <definedName function="false" hidden="true" name="IQ_PAYOUT_RATIO" vbProcedure="false">"c1900"</definedName>
    <definedName function="false" hidden="true" name="IQ_PAY_ACCRUED" vbProcedure="false">"c8"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EARNED" vbProcedure="false">"c2749"</definedName>
    <definedName function="false" hidden="true" name="IQ_PC_GAAP_COMBINED_RATIO" vbProcedure="false">"c2781"</definedName>
    <definedName function="false" hidden="true" name="IQ_PC_GAAP_COMBINED_RATIO_EXCL_CL" vbProcedure="false">"c2782"</definedName>
    <definedName function="false" hidden="true" name="IQ_PC_GAAP_EXPENSE_RATIO" vbProcedure="false">"c2780"</definedName>
    <definedName function="false" hidden="true" name="IQ_PC_GAAP_LOSS" vbProcedure="false">"c2779"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IODDATE" vbProcedure="false">"c1034"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LL" vbProcedure="false">"c2114"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"c1052"</definedName>
    <definedName function="false" hidden="true" name="IQ_PREF_TOT" vbProcedure="false">"c1044"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"c1068"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"c1026"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"c1029"</definedName>
    <definedName function="false" hidden="true" name="IQ_PRICE_TARGET" vbProcedure="false">"c82"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INCIPAL_AMT" vbProcedure="false">"c2157"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"c518"</definedName>
    <definedName function="false" hidden="true" name="IQ_PROPERTY_MGMT_FEE" vbProcedure="false">"c1074"</definedName>
    <definedName function="false" hidden="true" name="IQ_PROPERTY_NET" vbProcedure="false">"c829"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"c795"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"c1059"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"c1090"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L_ACQUIRED_FRANCHISE_STORES" vbProcedure="false">"c2903"</definedName>
    <definedName function="false" hidden="true" name="IQ_RETAIL_ACQUIRED_OWNED_STORES" vbProcedure="false">"c2895"</definedName>
    <definedName function="false" hidden="true" name="IQ_RETAIL_ACQUIRED_STORES" vbProcedure="false">"c2887"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FRANCHISE_STORES_BEG" vbProcedure="false">"c2893"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WNED_STORES_BEG" vbProcedure="false">"c2901"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TORES" vbProcedure="false">"c2061"</definedName>
    <definedName function="false" hidden="true" name="IQ_RETAINED_EARN" vbProcedure="false">"c1092"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"c1117"</definedName>
    <definedName function="false" hidden="true" name="IQ_REV" vbProcedure="false">"c1122"</definedName>
    <definedName function="false" hidden="true" name="IQ_REVENUE" vbProcedure="false">"c1122"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" vbProcedure="false">"IQ_REVENUE_EST"</definedName>
    <definedName function="false" hidden="true" name="IQ_REVENUE_EST_1" vbProcedure="false">"IQ_REVENUE_EST_1"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NO_EST" vbProcedure="false">"c263"</definedName>
    <definedName function="false" hidden="true" name="IQ_REVENUE_NUM_EST" vbProcedure="false">"c1129"</definedName>
    <definedName function="false" hidden="true" name="IQ_REVISION_DATE_" vbProcedure="false">39175.3915972222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RISK_ADJ_BANK_ASSETS" vbProcedure="false">"c2670"</definedName>
    <definedName function="false" hidden="true" name="IQ_SALARY" vbProcedure="false">"c1130"</definedName>
    <definedName function="false" hidden="true" name="IQ_SALES_MARKETING" vbProcedure="false">"c2240"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TOTAL" vbProcedure="false">"c2892"</definedName>
    <definedName function="false" hidden="true" name="IQ_SAVING_DEP" vbProcedure="false">"c1150"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"c1197"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COMP" vbProcedure="false">"c1204"</definedName>
    <definedName function="false" hidden="true" name="IQ_STOCK_BASED_GA" vbProcedure="false">"c2993"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TOTAL" vbProcedure="false">"c3040"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W" vbProcedure="false">"c2166"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RGET_PRICE_NUM" vbProcedure="false">"c1653"</definedName>
    <definedName function="false" hidden="true" name="IQ_TARGET_PRICE_STDDEV" vbProcedure="false">"c1654"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UFCF" vbProcedure="false">"c2208"</definedName>
    <definedName function="false" hidden="true" name="IQ_TIER_ONE_CAPITAL" vbProcedure="false">"c2667"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"c1266"</definedName>
    <definedName function="false" hidden="true" name="IQ_TOTAL_CASH_FINAN" vbProcedure="false">"c119"</definedName>
    <definedName function="false" hidden="true" name="IQ_TOTAL_CASH_INVEST" vbProcedure="false">"c121"</definedName>
    <definedName function="false" hidden="true" name="IQ_TOTAL_CASH_OPER" vbProcedure="false">"c122"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"c1022"</definedName>
    <definedName function="false" hidden="true" name="IQ_TOTAL_COMMON_EQUITY" vbProcedure="false">"c1246"</definedName>
    <definedName function="false" hidden="true" name="IQ_TOTAL_CURRENT_ASSETS" vbProcedure="false">"c1243"</definedName>
    <definedName function="false" hidden="true" name="IQ_TOTAL_CURRENT_LIAB" vbProcedure="false">"c1245"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XCL_FIN" vbProcedure="false">"c2937"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"c1249"</definedName>
    <definedName function="false" hidden="true" name="IQ_TOTAL_DEBT_OVER_TOTAL_BV" vbProcedure="false">"c1250"</definedName>
    <definedName function="false" hidden="true" name="IQ_TOTAL_DEBT_OVER_TOTAL_CAP" vbProcedure="false">"c1248"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"c591"</definedName>
    <definedName function="false" hidden="true" name="IQ_TOTAL_INVENTORY" vbProcedure="false">"c622"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"c1279"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"c1294"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"c1177"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UNUSUAL" vbProcedure="false">"c1508"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ADJ_INC" vbProcedure="false">"c1616"</definedName>
    <definedName function="false" hidden="true" name="IQ_TRADE_AR" vbProcedure="false">"c40"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ADING_CURRENCY" vbProcedure="false">"c2212"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"c1311"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ST_INVEST" vbProcedure="false">"c3025"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XPIRED_DATE" vbProcedure="false">"c2412"</definedName>
    <definedName function="false" hidden="true" name="IQ_TR_GROSS_OFFERING_AMT" vbProcedure="false">"c2262"</definedName>
    <definedName function="false" hidden="true" name="IQ_TR_HYBRID_CONSID_PCT" vbProcedure="false">"c2300"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NI_LTM" vbProcedure="false">"c3020"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PTIONS_CONSID_PCT" vbProcedure="false">"c2311"</definedName>
    <definedName function="false" hidden="true" name="IQ_TR_OTHER_CONSID" vbProcedure="false">"c3022"</definedName>
    <definedName function="false" hidden="true" name="IQ_TR_PCT_SOUGHT" vbProcedure="false">"c2309"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"c2274"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"c2298"</definedName>
    <definedName function="false" hidden="true" name="IQ_TR_TERM_FEE_PCT" vbProcedure="false">"c2297"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ONSID_SH" vbProcedure="false">"c2316"</definedName>
    <definedName function="false" hidden="true" name="IQ_TR_TOTAL_DEBT" vbProcedure="false">"c2317"</definedName>
    <definedName function="false" hidden="true" name="IQ_TR_TOTAL_GROSS_TV" vbProcedure="false">"c2318"</definedName>
    <definedName function="false" hidden="true" name="IQ_TR_TOTAL_HYBRID" vbProcedure="false">"c2319"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PREFERRED" vbProcedure="false">"c2321"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WITHDRAWN_DTE" vbProcedure="false">"c2266"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UAL_EXP" vbProcedure="false">"c18"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_ADJ" vbProcedure="false">"c2927"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_ADJ" vbProcedure="false">"c2959"</definedName>
    <definedName function="false" hidden="true" name="IQ_US_GAAP_EXTRA_ACC_ITEMS_ADJ" vbProcedure="false">"c2958"</definedName>
    <definedName function="false" hidden="true" name="IQ_US_GAAP_INC_TAX_ADJ" vbProcedure="false">"c2961"</definedName>
    <definedName function="false" hidden="true" name="IQ_US_GAAP_INTEREST_EXP_ADJ" vbProcedure="false">"c2957"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_ADJ" vbProcedure="false">"c2960"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_ADJ" vbProcedure="false">"c2955"</definedName>
    <definedName function="false" hidden="true" name="IQ_US_GAAP_OTHER_OPER_ADJ" vbProcedure="false">"c2954"</definedName>
    <definedName function="false" hidden="true" name="IQ_US_GAAP_RD_ADJ" vbProcedure="false">"c2953"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_ADJ" vbProcedure="false">"c2950"</definedName>
    <definedName function="false" hidden="true" name="IQ_US_GAAP_TOTAL_UNUSUAL_ADJ" vbProcedure="false">"c2956"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true" name="IQ_WEEK" vbProcedure="false">50000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XDIV_DATE" vbProcedure="false">"c2203"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TD" vbProcedure="false">3000</definedName>
    <definedName function="false" hidden="true" name="IQ_YTDMONTH" vbProcedure="false">130000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true" name="itacma7" vbProcedure="false">{#N/A,#N/A,FALSE,"USMED 3";#N/A,#N/A,FALSE,"MARCHALLENGER 1";#N/A,#N/A,FALSE,"MARCHALLENGER 2";#N/A,#N/A,FALSE,"MARCHALLENGER 3";#N/A,#N/A,FALSE,"MARCHALLENGER 4"}</definedName>
    <definedName function="false" hidden="true" name="itaemc7" vbProcedure="false">{#N/A,#N/A,FALSE,"USMED 3";#N/A,#N/A,FALSE,"MARCHALLENGER 1";#N/A,#N/A,FALSE,"MARCHALLENGER 2";#N/A,#N/A,FALSE,"MARCHALLENGER 3";#N/A,#N/A,FALSE,"MARCHALLENGER 4"}</definedName>
    <definedName function="false" hidden="true" name="itaemc9" vbProcedure="false">{#N/A,#N/A,FALSE,"USMED 3";#N/A,#N/A,FALSE,"MARCHALLENGER 1";#N/A,#N/A,FALSE,"MARCHALLENGER 2";#N/A,#N/A,FALSE,"MARCHALLENGER 3";#N/A,#N/A,FALSE,"MARCHALLENGER 4"}</definedName>
    <definedName function="false" hidden="true" name="ITAMEMC0" vbProcedure="false">{#N/A,#N/A,FALSE,"USMED 3";#N/A,#N/A,FALSE,"MARCHALLENGER 1";#N/A,#N/A,FALSE,"MARCHALLENGER 2";#N/A,#N/A,FALSE,"MARCHALLENGER 3";#N/A,#N/A,FALSE,"MARCHALLENGER 4"}</definedName>
    <definedName function="false" hidden="true" name="iteamc6" vbProcedure="false">{#N/A,#N/A,FALSE,"USMED 3";#N/A,#N/A,FALSE,"MARCHALLENGER 1";#N/A,#N/A,FALSE,"MARCHALLENGER 2";#N/A,#N/A,FALSE,"MARCHALLENGER 3";#N/A,#N/A,FALSE,"MARCHALLENGER 4"}</definedName>
    <definedName function="false" hidden="true" name="iu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uio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yiy" vbProcedure="false">{#N/A,#N/A,FALSE,"3";#N/A,#N/A,FALSE,"5";#N/A,#N/A,FALSE,"6";#N/A,#N/A,FALSE,"8";#N/A,#N/A,FALSE,"10";#N/A,#N/A,FALSE,"13";#N/A,#N/A,FALSE,"14";#N/A,#N/A,FALSE,"15";#N/A,#N/A,FALSE,"16"}</definedName>
    <definedName function="false" hidden="true" name="J" vbProcedure="false">{#N/A,#N/A,FALSE,"USMED 3";#N/A,#N/A,FALSE,"MARCHALLENGER 1";#N/A,#N/A,FALSE,"MARCHALLENGER 2";#N/A,#N/A,FALSE,"MARCHALLENGER 3";#N/A,#N/A,FALSE,"MARCHALLENGER 4"}</definedName>
    <definedName function="false" hidden="true" name="jgh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ghjgy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jhfdnjkfd" vbProcedure="false">{#N/A,#N/A,TRUE,"Summary";#N/A,#N/A,TRUE,"IS";#N/A,#N/A,TRUE,"Adj";#N/A,#N/A,TRUE,"BS";#N/A,#N/A,TRUE,"CF";#N/A,#N/A,TRUE,"Debt";#N/A,#N/A,TRUE,"IRR"}</definedName>
    <definedName function="false" hidden="true" name="jhg" vbProcedure="false">{#N/A,#N/A,FALSE,"3";#N/A,#N/A,FALSE,"5";#N/A,#N/A,FALSE,"6";#N/A,#N/A,FALSE,"8";#N/A,#N/A,FALSE,"10";#N/A,#N/A,FALSE,"13";#N/A,#N/A,FALSE,"14";#N/A,#N/A,FALSE,"15";#N/A,#N/A,FALSE,"16"}</definedName>
    <definedName function="false" hidden="true" name="jh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hjhgj" vbProcedure="false">{#N/A,#N/A,FALSE,"3";#N/A,#N/A,FALSE,"5";#N/A,#N/A,FALSE,"6";#N/A,#N/A,FALSE,"8";#N/A,#N/A,FALSE,"10";#N/A,#N/A,FALSE,"13";#N/A,#N/A,FALSE,"14";#N/A,#N/A,FALSE,"15";#N/A,#N/A,FALSE,"16"}</definedName>
    <definedName function="false" hidden="true" name="JJKJKJL" vbProcedure="false">{"'Mach'!$A$1:$D$39"}</definedName>
    <definedName function="false" hidden="true" name="jkl" vbProcedure="false">{"'Typical Costs Estimates'!$C$158:$H$161"}</definedName>
    <definedName function="false" hidden="true" name="jlh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k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yu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karen" vbProcedure="false">{"Summary analysis",#N/A,FALSE,"Total";"OCPH analysis",#N/A,FALSE,"Total";"detail analysis",#N/A,FALSE,"Total"}</definedName>
    <definedName function="false" hidden="true" name="Kauhal" vbProcedure="false">#REF!</definedName>
    <definedName function="false" hidden="true" name="kdsfmùmf" vbProcedure="false">#REF!</definedName>
    <definedName function="false" hidden="true" name="kfgk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hkf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g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jlj" vbProcedure="false">{"Summary analysis",#N/A,FALSE,"Total";"OCPH analysis",#N/A,FALSE,"Total";"detail analysis",#N/A,FALSE,"Total"}</definedName>
    <definedName function="false" hidden="true" name="kjlklk" vbProcedure="false">#REF!</definedName>
    <definedName function="false" hidden="true" name="KK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KUULSD" vbProcedure="false">{#N/A,#N/A,FALSE,"COMP"}</definedName>
    <definedName function="false" hidden="true" name="lalal" vbProcedure="false">{"receivables",#N/A,FALSE,"SII 99";"sales",#N/A,FALSE,"SII 99";"turns",#N/A,FALSE,"SII 99";"pastdue",#N/A,FALSE,"SII 99"}</definedName>
    <definedName function="false" hidden="true" name="lhjlhjlh" vbProcedure="false">{#N/A,#N/A,FALSE,"3";#N/A,#N/A,FALSE,"5";#N/A,#N/A,FALSE,"6";#N/A,#N/A,FALSE,"8";#N/A,#N/A,FALSE,"10";#N/A,#N/A,FALSE,"13";#N/A,#N/A,FALSE,"14";#N/A,#N/A,FALSE,"15";#N/A,#N/A,FALSE,"16"}</definedName>
    <definedName function="false" hidden="true" name="liliy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hjlhjlh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hjlh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j" vbProcedure="false">{"PARTE1",#N/A,FALSE,"Plan1"}</definedName>
    <definedName function="false" hidden="true" name="ljl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M" vbProcedure="false">#REF!</definedName>
    <definedName function="false" hidden="true" name="lps" vbProcedure="false">{#N/A,#N/A,FALSE,"단축1";#N/A,#N/A,FALSE,"단축2";#N/A,#N/A,FALSE,"단축3";#N/A,#N/A,FALSE,"장축";#N/A,#N/A,FALSE,"4WD"}</definedName>
    <definedName function="false" hidden="true" name="m.m" vbProcedure="false">{#N/A,#N/A,FALSE,"3";#N/A,#N/A,FALSE,"5";#N/A,#N/A,FALSE,"6";#N/A,#N/A,FALSE,"8";#N/A,#N/A,FALSE,"10";#N/A,#N/A,FALSE,"13";#N/A,#N/A,FALSE,"14";#N/A,#N/A,FALSE,"15";#N/A,#N/A,FALSE,"16"}</definedName>
    <definedName function="false" hidden="true" name="madhavi" vbProcedure="false">{"plansummary",#N/A,FALSE,"PlanSummary";"sales",#N/A,FALSE,"Sales Rec";"productivity",#N/A,FALSE,"Productivity Rec";"capitalspending",#N/A,FALSE,"Capital Spending"}</definedName>
    <definedName function="false" hidden="true" name="maerskseal3" vbProcedure="false">{#N/A,#N/A,FALSE,"USMED 3";#N/A,#N/A,FALSE,"MARCHALLENGER 1";#N/A,#N/A,FALSE,"MARCHALLENGER 2";#N/A,#N/A,FALSE,"MARCHALLENGER 3";#N/A,#N/A,FALSE,"MARCHALLENGER 4"}</definedName>
    <definedName function="false" hidden="true" name="maersksl3" vbProcedure="false">{#N/A,#N/A,FALSE,"USMED 3";#N/A,#N/A,FALSE,"MARCHALLENGER 1";#N/A,#N/A,FALSE,"MARCHALLENGER 2";#N/A,#N/A,FALSE,"MARCHALLENGER 3";#N/A,#N/A,FALSE,"MARCHALLENGER 4"}</definedName>
    <definedName function="false" hidden="true" name="maersl3" vbProcedure="false">{#N/A,#N/A,FALSE,"USMED 3";#N/A,#N/A,FALSE,"MARCHALLENGER 1";#N/A,#N/A,FALSE,"MARCHALLENGER 2";#N/A,#N/A,FALSE,"MARCHALLENGER 3";#N/A,#N/A,FALSE,"MARCHALLENGER 4"}</definedName>
    <definedName function="false" hidden="true" name="maerssl3" vbProcedure="false">{#N/A,#N/A,FALSE,"USMED 3";#N/A,#N/A,FALSE,"MARCHALLENGER 1";#N/A,#N/A,FALSE,"MARCHALLENGER 2";#N/A,#N/A,FALSE,"MARCHALLENGER 3";#N/A,#N/A,FALSE,"MARCHALLENGER 4"}</definedName>
    <definedName function="false" hidden="true" name="maesl3" vbProcedure="false">{#N/A,#N/A,FALSE,"USMED 3";#N/A,#N/A,FALSE,"MARCHALLENGER 1";#N/A,#N/A,FALSE,"MARCHALLENGER 2";#N/A,#N/A,FALSE,"MARCHALLENGER 3";#N/A,#N/A,FALSE,"MARCHALLENGER 4"}</definedName>
    <definedName function="false" hidden="true" name="mahantesh" vbProcedure="false">{"'Typical Costs Estimates'!$C$158:$H$161"}</definedName>
    <definedName function="false" hidden="true" name="mam" vbProcedure="false">{#N/A,#N/A,TRUE,"TOTALS";#N/A,#N/A,TRUE,"ROUTES"}</definedName>
    <definedName function="false" hidden="true" name="mamma" vbProcedure="false">{"inventory",#N/A,FALSE,"Inven. Turns 97 Rep";"sales",#N/A,FALSE,"Inven. Turns 97 Rep";"turns",#N/A,FALSE,"Inven. Turns 97 Rep";"days",#N/A,FALSE,"Inven. Turns 97 Rep"}</definedName>
    <definedName function="false" hidden="true" name="Man" vbProcedure="false">1</definedName>
    <definedName function="false" hidden="true" name="masl" vbProcedure="false">{#N/A,#N/A,FALSE,"USMED 3";#N/A,#N/A,FALSE,"MARCHALLENGER 1";#N/A,#N/A,FALSE,"MARCHALLENGER 2";#N/A,#N/A,FALSE,"MARCHALLENGER 3";#N/A,#N/A,FALSE,"MARCHALLENGER 4"}</definedName>
    <definedName function="false" hidden="true" name="MBL" vbProcedure="false">#REF!</definedName>
    <definedName function="false" hidden="true" name="mbm" vbProcedure="false">{#N/A,#N/A,FALSE,"3";#N/A,#N/A,FALSE,"5";#N/A,#N/A,FALSE,"6";#N/A,#N/A,FALSE,"8";#N/A,#N/A,FALSE,"10";#N/A,#N/A,FALSE,"13";#N/A,#N/A,FALSE,"14";#N/A,#N/A,FALSE,"15";#N/A,#N/A,FALSE,"16"}</definedName>
    <definedName function="false" hidden="true" name="mbmb" vbProcedure="false">{#N/A,#N/A,FALSE,"3";#N/A,#N/A,FALSE,"5";#N/A,#N/A,FALSE,"6";#N/A,#N/A,FALSE,"8";#N/A,#N/A,FALSE,"10";#N/A,#N/A,FALSE,"13";#N/A,#N/A,FALSE,"14";#N/A,#N/A,FALSE,"15";#N/A,#N/A,FALSE,"16"}</definedName>
    <definedName function="false" hidden="true" name="michelle" vbProcedure="false">{"Summary analysis",#N/A,FALSE,"Total";"OCPH analysis",#N/A,FALSE,"Total";"detail analysis",#N/A,FALSE,"Total"}</definedName>
    <definedName function="false" hidden="true" name="Milano" vbProcedure="false">{#N/A,#N/A,FALSE,"Cipta-All";#N/A,#N/A,FALSE,"Individual"}</definedName>
    <definedName function="false" hidden="true" name="miscpy" vbProcedure="false">{"page1",#N/A,FALSE,"Taean 1&amp;2";"page2",#N/A,FALSE,"Taean 1&amp;2"}</definedName>
    <definedName function="false" hidden="true" name="Mix_Var_PJB" vbProcedure="false">#REF!</definedName>
    <definedName function="false" hidden="true" name="ML" vbProcedure="false">{#N/A,#N/A,FALSE,"USMED 3";#N/A,#N/A,FALSE,"MARCHALLENGER 1";#N/A,#N/A,FALSE,"MARCHALLENGER 2";#N/A,#N/A,FALSE,"MARCHALLENGER 3";#N/A,#N/A,FALSE,"MARCHALLENGER 4"}</definedName>
    <definedName function="false" hidden="true" name="mnmn" vbProcedure="false">{#N/A,#N/A,FALSE,"3";#N/A,#N/A,FALSE,"5";#N/A,#N/A,FALSE,"6";#N/A,#N/A,FALSE,"8";#N/A,#N/A,FALSE,"10";#N/A,#N/A,FALSE,"13";#N/A,#N/A,FALSE,"14";#N/A,#N/A,FALSE,"15";#N/A,#N/A,FALSE,"16"}</definedName>
    <definedName function="false" hidden="true" name="mucwip" vbProcedure="false">{#N/A,#N/A,TRUE,"RM-June"}</definedName>
    <definedName function="false" hidden="true" name="navneet" vbProcedure="false">{"'Sheet3'!$A$1:$B$30"}</definedName>
    <definedName function="false" hidden="true" name="NDGNDN" vbProcedure="false">{"'Mach'!$A$1:$D$39"}</definedName>
    <definedName function="false" hidden="true" name="Newone" vbProcedure="false">{#N/A,#N/A,FALSE,"COMP"}</definedName>
    <definedName function="false" hidden="true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ewt" vbProcedure="false">{#N/A,#N/A,TRUE,"Summary";#N/A,#N/A,TRUE,"IS";#N/A,#N/A,TRUE,"Adj";#N/A,#N/A,TRUE,"BS";#N/A,#N/A,TRUE,"CF";#N/A,#N/A,TRUE,"Debt";#N/A,#N/A,TRUE,"IRR"}</definedName>
    <definedName function="false" hidden="true" name="neww4" vbProcedure="false">{#N/A,#N/A,FALSE,"3";#N/A,#N/A,FALSE,"5";#N/A,#N/A,FALSE,"6";#N/A,#N/A,FALSE,"8";#N/A,#N/A,FALSE,"10";#N/A,#N/A,FALSE,"13";#N/A,#N/A,FALSE,"14";#N/A,#N/A,FALSE,"15";#N/A,#N/A,FALSE,"16"}</definedName>
    <definedName function="false" hidden="true" name="NHR" vbProcedure="false">{"raatios",#N/A,FALSE,"A";"ratios",#N/A,FALSE,"B";"ratios",#N/A,FALSE,"C";"ratios",#N/A,FALSE,"D";"ratios",#N/A,FALSE,"F"}</definedName>
    <definedName function="false" hidden="true" name="Nil" vbProcedure="false">{#N/A,#N/A,FALSE,"Aging Summary";#N/A,#N/A,FALSE,"Ratio Analysis";#N/A,#N/A,FALSE,"Test 120 Day Accts";#N/A,#N/A,FALSE,"Tickmarks"}</definedName>
    <definedName function="false" hidden="true" name="nir" vbProcedure="false">#REF!</definedName>
    <definedName function="false" hidden="true" name="None" vbProcedure="false">{"Summary analysis",#N/A,FALSE,"Total";"OCPH analysis",#N/A,FALSE,"Total";"detail analysis",#N/A,FALSE,"Total"}</definedName>
    <definedName function="false" hidden="true" name="noura" vbProcedure="false">{#N/A,#N/A,FALSE,"3";#N/A,#N/A,FALSE,"5";#N/A,#N/A,FALSE,"6";#N/A,#N/A,FALSE,"8";#N/A,#N/A,FALSE,"10";#N/A,#N/A,FALSE,"13";#N/A,#N/A,FALSE,"14";#N/A,#N/A,FALSE,"15";#N/A,#N/A,FALSE,"16"}</definedName>
    <definedName function="false" hidden="true" name="NOURA1" vbProcedure="false">{#N/A,#N/A,FALSE,"3";#N/A,#N/A,FALSE,"5";#N/A,#N/A,FALSE,"6";#N/A,#N/A,FALSE,"8";#N/A,#N/A,FALSE,"10";#N/A,#N/A,FALSE,"13";#N/A,#N/A,FALSE,"14";#N/A,#N/A,FALSE,"15";#N/A,#N/A,FALSE,"16"}</definedName>
    <definedName function="false" hidden="true" name="o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ok" vbProcedure="false">{#N/A,#N/A,TRUE,"KEY DATA";#N/A,#N/A,TRUE,"KEY DATA Base Case";#N/A,#N/A,TRUE,"JULY";#N/A,#N/A,TRUE,"AUG";#N/A,#N/A,TRUE,"SEPT";#N/A,#N/A,TRUE,"3Q"}</definedName>
    <definedName function="false" hidden="true" name="okkk" vbProcedure="false">{#N/A,#N/A,TRUE,"KEY DATA";#N/A,#N/A,TRUE,"KEY DATA Base Case";#N/A,#N/A,TRUE,"JULY";#N/A,#N/A,TRUE,"AUG";#N/A,#N/A,TRUE,"SEPT";#N/A,#N/A,TRUE,"3Q"}</definedName>
    <definedName function="false" hidden="true" name="open" vbProcedure="false">{"plansummary",#N/A,FALSE,"PlanSummary";"sales",#N/A,FALSE,"Sales Rec";"productivity",#N/A,FALSE,"Productivity Rec";"capitalspending",#N/A,FALSE,"Capital Spending"}</definedName>
    <definedName function="false" hidden="true" name="Opening" vbProcedure="false">{"plansummary",#N/A,FALSE,"PlanSummary";"sales",#N/A,FALSE,"Sales Rec";"productivity",#N/A,FALSE,"Productivity Rec";"capitalspending",#N/A,FALSE,"Capital Spending"}</definedName>
    <definedName function="false" hidden="true" name="opop" vbProcedure="false">{#N/A,#N/A,FALSE,"3";#N/A,#N/A,FALSE,"5";#N/A,#N/A,FALSE,"6";#N/A,#N/A,FALSE,"8";#N/A,#N/A,FALSE,"10";#N/A,#N/A,FALSE,"13";#N/A,#N/A,FALSE,"14";#N/A,#N/A,FALSE,"15";#N/A,#N/A,FALSE,"16"}</definedName>
    <definedName function="false" hidden="true" name="Order1" vbProcedure="false">0</definedName>
    <definedName function="false" hidden="true" name="OrderTable" vbProcedure="false">#REF!</definedName>
    <definedName function="false" hidden="true" name="ownership" vbProcedure="false">{#N/A,#N/A,TRUE,"Summary";#N/A,#N/A,TRUE,"IS";#N/A,#N/A,TRUE,"Adj";#N/A,#N/A,TRUE,"BS";#N/A,#N/A,TRUE,"CF";#N/A,#N/A,TRUE,"Debt";#N/A,#N/A,TRUE,"IRR"}</definedName>
    <definedName function="false" hidden="true" name="o\" vbProcedure="false">#REF!</definedName>
    <definedName function="false" hidden="true" name="P" vbProcedure="false">{#N/A,#N/A,FALSE,"USMED 3";#N/A,#N/A,FALSE,"MARCHALLENGER 1";#N/A,#N/A,FALSE,"MARCHALLENGER 2";#N/A,#N/A,FALSE,"MARCHALLENGER 3";#N/A,#N/A,FALSE,"MARCHALLENGER 4"}</definedName>
    <definedName function="false" hidden="true" name="PACKAGE3" vbProcedure="false">{#N/A,#N/A,FALSE,"단축1";#N/A,#N/A,FALSE,"단축2";#N/A,#N/A,FALSE,"단축3";#N/A,#N/A,FALSE,"장축";#N/A,#N/A,FALSE,"4WD"}</definedName>
    <definedName function="false" hidden="true" name="Parte1a." vbProcedure="false">{"PARTE1",#N/A,FALSE,"Plan1"}</definedName>
    <definedName function="false" hidden="true" name="Parte2" vbProcedure="false">{"PARTE1",#N/A,FALSE,"Plan1"}</definedName>
    <definedName function="false" hidden="true" name="pa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aul" vbProcedure="false">{#N/A,#N/A,TRUE,"GEM Total";#N/A,#N/A,TRUE,"Final Assembly";#N/A,#N/A,TRUE,"Cleaning";#N/A,#N/A,TRUE,"Schooping,Clearing";#N/A,#N/A,TRUE,"Winding"}</definedName>
    <definedName function="false" hidden="true" name="payal" vbProcedure="false">{"'Sheet3'!$A$1:$B$30"}</definedName>
    <definedName function="false" hidden="true" name="Payroll" vbProcedure="false">{"summary",#N/A,FALSE,"2000 vs 1999";"detail",#N/A,FALSE,"2000 vs 1999"}</definedName>
    <definedName function="false" hidden="true" name="PDC" vbProcedure="false">#REF!</definedName>
    <definedName function="false" hidden="true" name="pe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ps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rA" vbProcedure="false">1</definedName>
    <definedName function="false" hidden="true" name="PerB" vbProcedure="false">2</definedName>
    <definedName function="false" hidden="true" name="pinco" vbProcedure="false">#REF!</definedName>
    <definedName function="false" hidden="true" name="pipe" vbProcedure="false">{"'Typical Costs Estimates'!$C$158:$H$161"}</definedName>
    <definedName function="false" hidden="true" name="pippo_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PopCache_GL_INTERFACE_REFERENCE7" vbProcedure="false">#REF!</definedName>
    <definedName function="false" hidden="true" name="Post" vbProcedure="false">2</definedName>
    <definedName function="false" hidden="true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ae" vbProcedure="false">0</definedName>
    <definedName function="false" hidden="true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em" vbProcedure="false">{"Summary analysis",#N/A,FALSE,"Total";"OCPH analysis",#N/A,FALSE,"Total";"detail analysis",#N/A,FALSE,"Total"}</definedName>
    <definedName function="false" hidden="true" name="Print_Tiles" vbProcedure="false">#REF!</definedName>
    <definedName function="false" hidden="true" name="ProdForm" vbProcedure="false">#REF!</definedName>
    <definedName function="false" hidden="true" name="Product" vbProcedure="false">#REF!</definedName>
    <definedName function="false" hidden="true" name="Provision2" vbProcedure="false">{"plansummary",#N/A,FALSE,"PlanSummary";"sales",#N/A,FALSE,"Sales Rec";"productivity",#N/A,FALSE,"Productivity Rec";"capitalspending",#N/A,FALSE,"Capital Spending"}</definedName>
    <definedName function="false" hidden="true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TDATA" vbProcedure="false">{"page1",#N/A,FALSE,"Taean 1&amp;2";"page2",#N/A,FALSE,"Taean 1&amp;2"}</definedName>
    <definedName function="false" hidden="true" name="puoipui" vbProcedure="false">{#N/A,#N/A,FALSE,"3";#N/A,#N/A,FALSE,"5";#N/A,#N/A,FALSE,"6";#N/A,#N/A,FALSE,"8";#N/A,#N/A,FALSE,"10";#N/A,#N/A,FALSE,"13";#N/A,#N/A,FALSE,"14";#N/A,#N/A,FALSE,"15";#N/A,#N/A,FALSE,"16"}</definedName>
    <definedName function="false" hidden="true" name="q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qsdf" vbProcedure="false">{#N/A,#N/A,FALSE,"Ventilation";#N/A,#N/A,FALSE,"Courbe1";#N/A,#N/A,FALSE,"Courbe2"}</definedName>
    <definedName function="false" hidden="true" name="qweqw" vbProcedure="false">{#N/A,#N/A,FALSE,"3";#N/A,#N/A,FALSE,"5";#N/A,#N/A,FALSE,"6";#N/A,#N/A,FALSE,"8";#N/A,#N/A,FALSE,"10";#N/A,#N/A,FALSE,"13";#N/A,#N/A,FALSE,"14";#N/A,#N/A,FALSE,"15";#N/A,#N/A,FALSE,"16"}</definedName>
    <definedName function="false" hidden="true" name="qwqewqe" vbProcedure="false">{#N/A,#N/A,FALSE,"3";#N/A,#N/A,FALSE,"5";#N/A,#N/A,FALSE,"6";#N/A,#N/A,FALSE,"8";#N/A,#N/A,FALSE,"10";#N/A,#N/A,FALSE,"13";#N/A,#N/A,FALSE,"14";#N/A,#N/A,FALSE,"15";#N/A,#N/A,FALSE,"16"}</definedName>
    <definedName function="false" hidden="true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v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wtwaeg" vbProcedure="false">#REF!</definedName>
    <definedName function="false" hidden="true" name="RCArea" vbProcedure="false">#REF!</definedName>
    <definedName function="false" hidden="true" name="re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EF" vbProcedure="false">{#N/A,#N/A,FALSE,"COMP"}</definedName>
    <definedName function="false" hidden="true" name="regerg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move" vbProcedure="false">{#N/A,#N/A,TRUE,"KEY DATA";#N/A,#N/A,TRUE,"KEY DATA Base Case";#N/A,#N/A,TRUE,"JULY";#N/A,#N/A,TRUE,"AUG";#N/A,#N/A,TRUE,"SEPT";#N/A,#N/A,TRUE,"3Q"}</definedName>
    <definedName function="false" hidden="true" name="remove2" vbProcedure="false">{#N/A,#N/A,TRUE,"KEY DATA";#N/A,#N/A,TRUE,"KEY DATA Base Case";#N/A,#N/A,TRUE,"JULY";#N/A,#N/A,TRUE,"AUG";#N/A,#N/A,TRUE,"SEPT";#N/A,#N/A,TRUE,"3Q"}</definedName>
    <definedName function="false" hidden="true" name="rewqf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yrey" vbProcedure="false">{#N/A,#N/A,FALSE,"3";#N/A,#N/A,FALSE,"5";#N/A,#N/A,FALSE,"6";#N/A,#N/A,FALSE,"8";#N/A,#N/A,FALSE,"10";#N/A,#N/A,FALSE,"13";#N/A,#N/A,FALSE,"14";#N/A,#N/A,FALSE,"15";#N/A,#N/A,FALSE,"16"}</definedName>
    <definedName function="false" hidden="true" name="rhs" vbProcedure="false">{#N/A,#N/A,TRUE,"KEY DATA";#N/A,#N/A,TRUE,"KEY DATA Base Case";#N/A,#N/A,TRUE,"JULY";#N/A,#N/A,TRUE,"AUG";#N/A,#N/A,TRUE,"SEPT";#N/A,#N/A,TRUE,"3Q"}</definedName>
    <definedName function="false" hidden="true" name="roy" vbProcedure="false">{"Summary analysis",#N/A,FALSE,"Total";"OCPH analysis",#N/A,FALSE,"Total";"detail analysis",#N/A,FALSE,"Total"}</definedName>
    <definedName function="false" hidden="true" name="rqwrqwrq" vbProcedure="false">{#N/A,#N/A,FALSE,"3";#N/A,#N/A,FALSE,"5";#N/A,#N/A,FALSE,"6";#N/A,#N/A,FALSE,"8";#N/A,#N/A,FALSE,"10";#N/A,#N/A,FALSE,"13";#N/A,#N/A,FALSE,"14";#N/A,#N/A,FALSE,"15";#N/A,#N/A,FALSE,"16"}</definedName>
    <definedName function="false" hidden="true" name="rr" vbProcedure="false">{"plansummary",#N/A,FALSE,"PlanSummary";"sales",#N/A,FALSE,"Sales Rec";"productivity",#N/A,FALSE,"Productivity Rec";"capitalspending",#N/A,FALSE,"Capital Spending"}</definedName>
    <definedName function="false" hidden="true" name="rrrrrrrrrrrrrr" vbProcedure="false">#REF!</definedName>
    <definedName function="false" hidden="true" name="rt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wafwaf" vbProcedure="false">#REF!</definedName>
    <definedName function="false" hidden="true" name="rwqrq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rwrw" vbProcedure="false">#REF!</definedName>
    <definedName function="false" hidden="true" name="ry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yyry" vbProcedure="false">{#N/A,#N/A,FALSE,"3";#N/A,#N/A,FALSE,"5";#N/A,#N/A,FALSE,"6";#N/A,#N/A,FALSE,"8";#N/A,#N/A,FALSE,"10";#N/A,#N/A,FALSE,"13";#N/A,#N/A,FALSE,"14";#N/A,#N/A,FALSE,"15";#N/A,#N/A,FALSE,"16"}</definedName>
    <definedName function="false" hidden="true" name="S3a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s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f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APBEXhrIndnt" vbProcedure="false">1</definedName>
    <definedName function="false" hidden="true" name="SAPBEXrevision" vbProcedure="false">5</definedName>
    <definedName function="false" hidden="true" name="SAPBEXsysID" vbProcedure="false">"BP0"</definedName>
    <definedName function="false" hidden="true" name="SAPBEXwbID" vbProcedure="false">"3OL6VG88FWB4CUKP9H8ZYSRJ1"</definedName>
    <definedName function="false" hidden="true" name="sASa" vbProcedure="false">{#N/A,#N/A,FALSE,"3";#N/A,#N/A,FALSE,"5";#N/A,#N/A,FALSE,"6";#N/A,#N/A,FALSE,"8";#N/A,#N/A,FALSE,"10";#N/A,#N/A,FALSE,"13";#N/A,#N/A,FALSE,"14";#N/A,#N/A,FALSE,"15";#N/A,#N/A,FALSE,"16"}</definedName>
    <definedName function="false" hidden="true" name="saurabh" vbProcedure="false">{"'Mach'!$A$1:$D$39"}</definedName>
    <definedName function="false" hidden="true" name="scasc" vbProcedure="false">{#N/A,#N/A,FALSE,"3";#N/A,#N/A,FALSE,"5";#N/A,#N/A,FALSE,"6";#N/A,#N/A,FALSE,"8";#N/A,#N/A,FALSE,"10";#N/A,#N/A,FALSE,"13";#N/A,#N/A,FALSE,"14";#N/A,#N/A,FALSE,"15";#N/A,#N/A,FALSE,"16"}</definedName>
    <definedName function="false" hidden="true" name="scedule" vbProcedure="false">{"'CQ1-4'!$B$1:$L$49"}</definedName>
    <definedName function="false" hidden="true" name="scen_name1" vbProcedure="false">"high1 normal"</definedName>
    <definedName function="false" hidden="true" name="scen_name2" vbProcedure="false">"high1 high"</definedName>
    <definedName function="false" hidden="true" name="scen_name3" vbProcedure="false">"low1 normal"</definedName>
    <definedName function="false" hidden="true" name="scen_name4" vbProcedure="false">"low 2 normal"</definedName>
    <definedName function="false" hidden="true" name="scen_name5" vbProcedure="false">"low2 high"</definedName>
    <definedName function="false" hidden="true" name="scen_name6" vbProcedure="false">"low1 high"</definedName>
    <definedName function="false" hidden="true" name="scen_user1" vbProcedure="false">"Dorit Timman"</definedName>
    <definedName function="false" hidden="true" name="scen_user2" vbProcedure="false">"Dorit Timman"</definedName>
    <definedName function="false" hidden="true" name="scen_user3" vbProcedure="false">"Dorit Timman"</definedName>
    <definedName function="false" hidden="true" name="scen_user4" vbProcedure="false">"Dorit Timman"</definedName>
    <definedName function="false" hidden="true" name="scen_user5" vbProcedure="false">"Dorit Timman"</definedName>
    <definedName function="false" hidden="true" name="scen_user6" vbProcedure="false">"Dorit Timman"</definedName>
    <definedName function="false" hidden="true" name="Schdule1" vbProcedure="false">{#N/A,#N/A,FALSE,"COMP"}</definedName>
    <definedName function="false" hidden="true" name="sched" vbProcedure="false">{"'CQ1-4'!$B$1:$L$49"}</definedName>
    <definedName function="false" hidden="true" name="schedu" vbProcedure="false">{"'CQ1-4'!$B$1:$L$49"}</definedName>
    <definedName function="false" hidden="true" name="schedule" vbProcedure="false">{#N/A,#N/A,FALSE,"COMP"}</definedName>
    <definedName function="false" hidden="true" name="scsd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dd" vbProcedure="false">#REF!</definedName>
    <definedName function="false" hidden="true" name="sdf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sdfs" vbProcedure="false">{#N/A,#N/A,FALSE,"3";#N/A,#N/A,FALSE,"5";#N/A,#N/A,FALSE,"6";#N/A,#N/A,FALSE,"8";#N/A,#N/A,FALSE,"10";#N/A,#N/A,FALSE,"13";#N/A,#N/A,FALSE,"14";#N/A,#N/A,FALSE,"15";#N/A,#N/A,FALSE,"16"}</definedName>
    <definedName function="false" hidden="true" name="sdqsdfg" vbProcedure="false">{#N/A,#N/A,FALSE,"Ventilation";#N/A,#N/A,FALSE,"Courbe1";#N/A,#N/A,FALSE,"Courbe2"}</definedName>
    <definedName function="false" hidden="true" name="sds" vbProcedure="false">{"plansummary",#N/A,FALSE,"PlanSummary";"sales",#N/A,FALSE,"Sales Rec";"productivity",#N/A,FALSE,"Productivity Rec";"capitalspending",#N/A,FALSE,"Capital Spending"}</definedName>
    <definedName function="false" hidden="true" name="sdsad" vbProcedure="false">{#N/A,#N/A,FALSE,"3";#N/A,#N/A,FALSE,"5";#N/A,#N/A,FALSE,"6";#N/A,#N/A,FALSE,"8";#N/A,#N/A,FALSE,"10";#N/A,#N/A,FALSE,"13";#N/A,#N/A,FALSE,"14";#N/A,#N/A,FALSE,"15";#N/A,#N/A,FALSE,"16"}</definedName>
    <definedName function="false" hidden="true" name="sealand3" vbProcedure="false">{#N/A,#N/A,FALSE,"USMED 3";#N/A,#N/A,FALSE,"MARCHALLENGER 1";#N/A,#N/A,FALSE,"MARCHALLENGER 2";#N/A,#N/A,FALSE,"MARCHALLENGER 3";#N/A,#N/A,FALSE,"MARCHALLENGER 4"}</definedName>
    <definedName function="false" hidden="true" name="sencount" vbProcedure="false">1</definedName>
    <definedName function="false" hidden="true" name="sf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fs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hankar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hiv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ky" vbProcedure="false">{"Summary analysis",#N/A,FALSE,"Total";"OCPH analysis",#N/A,FALSE,"Total";"detail analysis",#N/A,FALSE,"Total"}</definedName>
    <definedName function="false" hidden="true" name="slotcost21kts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3</definedName>
    <definedName function="false" hidden="true" name="solver_rel2" vbProcedure="false">1</definedName>
    <definedName function="false" hidden="true" name="solver_rel3" vbProcedure="false">3</definedName>
    <definedName function="false" hidden="true" name="solver_rhs1" vbProcedure="false">1</definedName>
    <definedName function="false" hidden="true" name="solver_rhs2" vbProcedure="false">0.5</definedName>
    <definedName function="false" hidden="true" name="solver_rhs3" vbProcedure="false">-0.5</definedName>
    <definedName function="false" hidden="true" name="solver_scl" vbProcedure="false">0</definedName>
    <definedName function="false" hidden="true" name="solver_sho" vbProcedure="false">0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true" name="SORT" vbProcedure="false">#REF!</definedName>
    <definedName function="false" hidden="true" name="SpecialPrice" vbProcedure="false">#REF!</definedName>
    <definedName function="false" hidden="true" name="srtgh" vbProcedure="false">{#N/A,#N/A,FALSE,"3";#N/A,#N/A,FALSE,"5";#N/A,#N/A,FALSE,"6";#N/A,#N/A,FALSE,"8";#N/A,#N/A,FALSE,"10";#N/A,#N/A,FALSE,"13";#N/A,#N/A,FALSE,"14";#N/A,#N/A,FALSE,"15";#N/A,#N/A,FALSE,"16"}</definedName>
    <definedName function="false" hidden="true" name="srweatfwa" vbProcedure="false">#REF!</definedName>
    <definedName function="false" hidden="true" name="ss" vbProcedure="false">{#N/A,#N/A,FALSE,"Cipta-All";#N/A,#N/A,FALSE,"Individual"}</definedName>
    <definedName function="false" hidden="true" name="ssdd" vbProcedure="false">{"'Typical Costs Estimates'!$C$158:$H$161"}</definedName>
    <definedName function="false" hidden="true" name="SSDP" vbProcedure="false">{#N/A,#N/A,FALSE,"Cipta-All";#N/A,#N/A,FALSE,"Individual"}</definedName>
    <definedName function="false" hidden="true" name="SSK" vbProcedure="false">{#N/A,#N/A,FALSE,"COMP"}</definedName>
    <definedName function="false" hidden="true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t" vbProcedure="false">{#N/A,#N/A,FALSE,"USMED 3";#N/A,#N/A,FALSE,"MARCHALLENGER 1";#N/A,#N/A,FALSE,"MARCHALLENGER 2";#N/A,#N/A,FALSE,"MARCHALLENGER 3";#N/A,#N/A,FALSE,"MARCHALLENGER 4"}</definedName>
    <definedName function="false" hidden="true" name="summaryty" vbProcedure="false">{#N/A,#N/A,TRUE,"KEY DATA";#N/A,#N/A,TRUE,"KEY DATA Base Case";#N/A,#N/A,TRUE,"JULY";#N/A,#N/A,TRUE,"AUG";#N/A,#N/A,TRUE,"SEPT";#N/A,#N/A,TRUE,"3Q"}</definedName>
    <definedName function="false" hidden="true" name="summaryty." vbProcedure="false">{#N/A,#N/A,TRUE,"KEY DATA";#N/A,#N/A,TRUE,"KEY DATA Base Case";#N/A,#N/A,TRUE,"JULY";#N/A,#N/A,TRUE,"AUG";#N/A,#N/A,TRUE,"SEPT";#N/A,#N/A,TRUE,"3Q"}</definedName>
    <definedName function="false" hidden="true" name="summmmmm" vbProcedure="false">{#N/A,#N/A,TRUE,"KEY DATA";#N/A,#N/A,TRUE,"KEY DATA Base Case";#N/A,#N/A,TRUE,"JULY";#N/A,#N/A,TRUE,"AUG";#N/A,#N/A,TRUE,"SEPT";#N/A,#N/A,TRUE,"3Q"}</definedName>
    <definedName function="false" hidden="true" name="Sushil" vbProcedure="false">{#N/A,#N/A,FALSE,"6"}</definedName>
    <definedName function="false" hidden="true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tbl_ProdInfo" vbProcedure="false">#REF!</definedName>
    <definedName function="false" hidden="true" name="tdryr" vbProcedure="false">#REF!</definedName>
    <definedName function="false" hidden="true" name="Tech" vbProcedure="false">{"Summary analysis",#N/A,FALSE,"Total";"OCPH analysis",#N/A,FALSE,"Total";"detail analysis",#N/A,FALSE,"Total"}</definedName>
    <definedName function="false" hidden="true" name="TELE" vbProcedure="false">{"'Mach'!$A$1:$D$39"}</definedName>
    <definedName function="false" hidden="true" name="temp." vbProcedure="false">{#N/A,#N/A,TRUE,"KEY DATA";#N/A,#N/A,TRUE,"KEY DATA Base Case";#N/A,#N/A,TRUE,"JULY";#N/A,#N/A,TRUE,"AUG";#N/A,#N/A,TRUE,"SEPT";#N/A,#N/A,TRUE,"3Q"}</definedName>
    <definedName function="false" hidden="true" name="temp12" vbProcedure="false">{#N/A,#N/A,TRUE,"KEY DATA";#N/A,#N/A,TRUE,"KEY DATA Base Case";#N/A,#N/A,TRUE,"JULY";#N/A,#N/A,TRUE,"AUG";#N/A,#N/A,TRUE,"SEPT";#N/A,#N/A,TRUE,"3Q"}</definedName>
    <definedName function="false" hidden="true" name="temp12." vbProcedure="false">{#N/A,#N/A,TRUE,"KEY DATA";#N/A,#N/A,TRUE,"KEY DATA Base Case";#N/A,#N/A,TRUE,"JULY";#N/A,#N/A,TRUE,"AUG";#N/A,#N/A,TRUE,"SEPT";#N/A,#N/A,TRUE,"3Q"}</definedName>
    <definedName function="false" hidden="true" name="TextRefCopyRangeCount" vbProcedure="false">31</definedName>
    <definedName function="false" hidden="true" name="tft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tftchristine2" vbProcedure="false">{#N/A,#N/A,FALSE,"3";#N/A,#N/A,FALSE,"5";#N/A,#N/A,FALSE,"6";#N/A,#N/A,FALSE,"8";#N/A,#N/A,FALSE,"10";#N/A,#N/A,FALSE,"13";#N/A,#N/A,FALSE,"14";#N/A,#N/A,FALSE,"15";#N/A,#N/A,FALSE,"16"}</definedName>
    <definedName function="false" hidden="true" name="tony" vbProcedure="false">{"Summary analysis",#N/A,FALSE,"Total";"OCPH analysis",#N/A,FALSE,"Total";"detail analysis",#N/A,FALSE,"Total"}</definedName>
    <definedName function="false" hidden="true" name="tototo2" vbProcedure="false">{#N/A,#N/A,FALSE,"3";#N/A,#N/A,FALSE,"5";#N/A,#N/A,FALSE,"6";#N/A,#N/A,FALSE,"8";#N/A,#N/A,FALSE,"10";#N/A,#N/A,FALSE,"13";#N/A,#N/A,FALSE,"14";#N/A,#N/A,FALSE,"15";#N/A,#N/A,FALSE,"16"}</definedName>
    <definedName function="false" hidden="true" name="tpfp" vbProcedure="false">"P:\CLILIST\MICHELIN\50728\2000\002\Workfile\Due Diligence\france\"</definedName>
    <definedName function="false" hidden="true" name="TP_Footer_Path" vbProcedure="false">"P:\CLILIST\GLOBAL_CLOSURE_SYSTEMS\95257\2006\001_EvalAct\Workfile\IAS 2006\Compta\"</definedName>
    <definedName function="false" hidden="true" name="TP_Footer_User" vbProcedure="false">"FETZERB"</definedName>
    <definedName function="false" hidden="true" name="TP_Footer_Version" vbProcedure="false">"v4.00"</definedName>
    <definedName function="false" hidden="true" name="tr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t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t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uu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y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wregfasd" vbProcedure="false">{#N/A,#N/A,FALSE,"3";#N/A,#N/A,FALSE,"5";#N/A,#N/A,FALSE,"6";#N/A,#N/A,FALSE,"8";#N/A,#N/A,FALSE,"10";#N/A,#N/A,FALSE,"13";#N/A,#N/A,FALSE,"14";#N/A,#N/A,FALSE,"15";#N/A,#N/A,FALSE,"16"}</definedName>
    <definedName function="false" hidden="true" name="ty" vbProcedure="false">{"plansummary",#N/A,FALSE,"PlanSummary";"sales",#N/A,FALSE,"Sales Rec";"productivity",#N/A,FALSE,"Productivity Rec";"capitalspending",#N/A,FALSE,"Capital Spending"}</definedName>
    <definedName function="false" hidden="true" name="tygrd5t4rd" vbProcedure="false">#REF!</definedName>
    <definedName function="false" hidden="true" name="tyuty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iluliuliul" vbProcedure="false">{#N/A,#N/A,FALSE,"3";#N/A,#N/A,FALSE,"5";#N/A,#N/A,FALSE,"6";#N/A,#N/A,FALSE,"8";#N/A,#N/A,FALSE,"10";#N/A,#N/A,FALSE,"13";#N/A,#N/A,FALSE,"14";#N/A,#N/A,FALSE,"15";#N/A,#N/A,FALSE,"16"}</definedName>
    <definedName function="false" hidden="true" name="Uit" vbProcedure="false">1</definedName>
    <definedName function="false" hidden="true" name="uiui" vbProcedure="false">{#N/A,#N/A,FALSE,"3";#N/A,#N/A,FALSE,"5";#N/A,#N/A,FALSE,"6";#N/A,#N/A,FALSE,"8";#N/A,#N/A,FALSE,"10";#N/A,#N/A,FALSE,"13";#N/A,#N/A,FALSE,"14";#N/A,#N/A,FALSE,"15";#N/A,#N/A,FALSE,"16"}</definedName>
    <definedName function="false" hidden="true" name="uiuyi" vbProcedure="false">{#N/A,#N/A,FALSE,"3";#N/A,#N/A,FALSE,"5";#N/A,#N/A,FALSE,"6";#N/A,#N/A,FALSE,"8";#N/A,#N/A,FALSE,"10";#N/A,#N/A,FALSE,"13";#N/A,#N/A,FALSE,"14";#N/A,#N/A,FALSE,"15";#N/A,#N/A,FALSE,"16"}</definedName>
    <definedName function="false" hidden="true" name="Unit_Risk" vbProcedure="false">{#N/A,#N/A,FALSE,"CDA Plan"}</definedName>
    <definedName function="false" hidden="true" name="usmed7" vbProcedure="false">{#N/A,#N/A,FALSE,"USMED 3";#N/A,#N/A,FALSE,"MARCHALLENGER 1";#N/A,#N/A,FALSE,"MARCHALLENGER 2";#N/A,#N/A,FALSE,"MARCHALLENGER 3";#N/A,#N/A,FALSE,"MARCHALLENGER 4"}</definedName>
    <definedName function="false" hidden="true" name="usmed9" vbProcedure="false">{#N/A,#N/A,FALSE,"USMED 3";#N/A,#N/A,FALSE,"MARCHALLENGER 1";#N/A,#N/A,FALSE,"MARCHALLENGER 2";#N/A,#N/A,FALSE,"MARCHALLENGER 3";#N/A,#N/A,FALSE,"MARCHALLENGER 4"}</definedName>
    <definedName function="false" hidden="true" name="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yikuyik" vbProcedure="false">{#N/A,#N/A,FALSE,"3";#N/A,#N/A,FALSE,"5";#N/A,#N/A,FALSE,"6";#N/A,#N/A,FALSE,"8";#N/A,#N/A,FALSE,"10";#N/A,#N/A,FALSE,"13";#N/A,#N/A,FALSE,"14";#N/A,#N/A,FALSE,"15";#N/A,#N/A,FALSE,"16"}</definedName>
    <definedName function="false" hidden="true" name="vcb" vbProcedure="false">{#N/A,#N/A,FALSE,"3";#N/A,#N/A,FALSE,"5";#N/A,#N/A,FALSE,"6";#N/A,#N/A,FALSE,"8";#N/A,#N/A,FALSE,"10";#N/A,#N/A,FALSE,"13";#N/A,#N/A,FALSE,"14";#N/A,#N/A,FALSE,"15";#N/A,#N/A,FALSE,"16"}</definedName>
    <definedName function="false" hidden="true" name="Vgl" vbProcedure="false">{"K GuV o. Kommentar",#N/A,FALSE,"Kaufhof"}</definedName>
    <definedName function="false" hidden="true" name="Vijay" vbProcedure="false">#REF!</definedName>
    <definedName function="false" hidden="true" name="vinu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VISHWA" vbProcedure="false">{"'Mach'!$A$1:$D$39"}</definedName>
    <definedName function="false" hidden="true" name="vnb" vbProcedure="false">{#N/A,#N/A,FALSE,"3";#N/A,#N/A,FALSE,"5";#N/A,#N/A,FALSE,"6";#N/A,#N/A,FALSE,"8";#N/A,#N/A,FALSE,"10";#N/A,#N/A,FALSE,"13";#N/A,#N/A,FALSE,"14";#N/A,#N/A,FALSE,"15";#N/A,#N/A,FALSE,"16"}</definedName>
    <definedName function="false" hidden="true" name="Vrw" vbProcedure="false">2</definedName>
    <definedName function="false" hidden="true" name="v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erwq3rqw" vbProcedure="false">#REF!</definedName>
    <definedName function="false" hidden="true" name="wn" vbProcedure="false">{#N/A,#N/A,FALSE,"3";#N/A,#N/A,FALSE,"5";#N/A,#N/A,FALSE,"6";#N/A,#N/A,FALSE,"8";#N/A,#N/A,FALSE,"10";#N/A,#N/A,FALSE,"13";#N/A,#N/A,FALSE,"14";#N/A,#N/A,FALSE,"15";#N/A,#N/A,FALSE,"16"}</definedName>
    <definedName function="false" hidden="true" name="wnn" vbProcedure="false">{"AFR200_P1",#N/A,FALSE,"AFR200";"AFR200_P2",#N/A,FALSE,"AFR200";"AFR200_P3",#N/A,FALSE,"AFR200";"AFR200_P4",#N/A,FALSE,"AFR200";"AFR200_P5",#N/A,FALSE,"AFR200"}</definedName>
    <definedName function="false" hidden="true" name="wnnn" vbProcedure="false">{"AFR200_P1",#N/A,FALSE,"AFR200";"AFR200_P2",#N/A,FALSE,"AFR200";"AFR200_P3",#N/A,FALSE,"AFR200";"AFR200_P4",#N/A,FALSE,"AFR200";"AFR200_P5",#N/A,FALSE,"AFR200"}</definedName>
    <definedName function="false" hidden="true" name="wns" vbProcedure="false">{"AFR200_P1",#N/A,FALSE,"AFR200";"AFR200_P2",#N/A,FALSE,"AFR200";"AFR200_P3",#N/A,FALSE,"AFR200";"AFR200_P4",#N/A,FALSE,"AFR200";"AFR200_P5",#N/A,FALSE,"AFR200"}</definedName>
    <definedName function="false" hidden="true" name="worksheet" vbProcedure="false">{#N/A,#N/A,FALSE,"COMP"}</definedName>
    <definedName function="false" hidden="true" name="wqew" vbProcedure="false">{#N/A,#N/A,FALSE,"3";#N/A,#N/A,FALSE,"5";#N/A,#N/A,FALSE,"6";#N/A,#N/A,FALSE,"8";#N/A,#N/A,FALSE,"10";#N/A,#N/A,FALSE,"13";#N/A,#N/A,FALSE,"14";#N/A,#N/A,FALSE,"15";#N/A,#N/A,FALSE,"16"}</definedName>
    <definedName function="false" hidden="true" name="wqewqeqwe" vbProcedure="false">{#N/A,#N/A,FALSE,"3";#N/A,#N/A,FALSE,"5";#N/A,#N/A,FALSE,"6";#N/A,#N/A,FALSE,"8";#N/A,#N/A,FALSE,"10";#N/A,#N/A,FALSE,"13";#N/A,#N/A,FALSE,"14";#N/A,#N/A,FALSE,"15";#N/A,#N/A,FALSE,"16"}</definedName>
    <definedName function="false" hidden="true" name="wr" vbProcedure="false">{#N/A,#N/A,FALSE,"COMP"}</definedName>
    <definedName function="false" hidden="true" name="wreqwr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WRI" vbProcedure="false">{#N/A,#N/A,FALSE,"COMP"}</definedName>
    <definedName function="false" hidden="true" name="wrn" vbProcedure="false">{#N/A,#N/A,FALSE,"단축1";#N/A,#N/A,FALSE,"단축2";#N/A,#N/A,FALSE,"단축3";#N/A,#N/A,FALSE,"장축";#N/A,#N/A,FALSE,"4WD"}</definedName>
    <definedName function="false" hidden="true" name="wrn.01." vbProcedure="false">{#N/A,#N/A,FALSE,"1321";#N/A,#N/A,FALSE,"1324";#N/A,#N/A,FALSE,"1333";#N/A,#N/A,FALSE,"1371"}</definedName>
    <definedName function="false" hidden="true" name="wrn.3._.hojas." vbProcedure="false">{"DESVI1",#N/A,FALSE,"JULIO";"DESVI2",#N/A,FALSE,"JULIO";"DESVI3",#N/A,FALSE,"JULIO"}</definedName>
    <definedName function="false" hidden="true" name="wrn.Accounts._.3Q98._.Est.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wrn.Accounts._.SII._.99." vbProcedure="false">{"receivables",#N/A,FALSE,"SII 99";"sales",#N/A,FALSE,"SII 99";"turns",#N/A,FALSE,"SII 99";"pastdue",#N/A,FALSE,"SII 99"}</definedName>
    <definedName function="false" hidden="true" name="wrn.AFR200." vbProcedure="false">{"AFR200_P1",#N/A,FALSE,"AFR200";"AFR200_P2",#N/A,FALSE,"AFR200";"AFR200_P3",#N/A,FALSE,"AFR200";"AFR200_P4",#N/A,FALSE,"AFR200";"AFR200_P5",#N/A,FALSE,"AFR200"}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im.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im.2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wrn.All._.Units." vbProcedure="false">{"All Units",#N/A,FALSE,"Sheet1"}</definedName>
    <definedName function="false" hidden="true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rn.backup." vbProcedure="false">{"financials",#N/A,FALSE,"BASIC";"interest",#N/A,FALSE,"BASIC";"leasing and financing",#N/A,FALSE,"BASIC";"returns back up",#N/A,FALSE,"BASIC"}</definedName>
    <definedName function="false" hidden="true" name="wrn.Balance._.Sheet._.Accounts." vbProcedure="false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function="false" hidden="true" name="wrn.Balance._.Sheet._.Rpts." vbProcedure="false">{"Mgmt Bonus (Bal Sht)",#N/A,FALSE,"Mgmt Bonus Accrual";"Profit Sharing (Bal Sht)",#N/A,FALSE,"Profit Sharing Accrual"}</definedName>
    <definedName function="false" hidden="true" name="wrn.bank._.model." vbProcedure="false">{"banks",#N/A,FALSE,"BASIC"}</definedName>
    <definedName function="false" hidden="true" name="wrn.Belgium_Total." vbProcedure="false">{"Belgium_Total",#N/A,FALSE,"Belg Wksheet"}</definedName>
    <definedName function="false" hidden="true" name="wrn.BelgSummary." vbProcedure="false">{"BelgSummary",#N/A,FALSE,"Belg Summary"}</definedName>
    <definedName function="false" hidden="true" name="wrn.Brief." vbProcedure="false">{#N/A,#N/A,TRUE,"Summary";#N/A,#N/A,TRUE,"Balance Sheet";#N/A,#N/A,TRUE,"P &amp; L";#N/A,#N/A,TRUE,"Fixed Assets";#N/A,#N/A,TRUE,"Cash Flows"}</definedName>
    <definedName function="false" hidden="true" name="wrn.BS_ALL." vbProcedure="false">{"BS","id_9000",FALSE,"BS";"BS","id_7007",FALSE,"BS"}</definedName>
    <definedName function="false" hidden="true" name="wrn.CALL._.SUCCESS._.RATE." vbProcedure="false">{#N/A,#N/A,TRUE,"TOTALS";#N/A,#N/A,TRUE,"ROUTES"}</definedName>
    <definedName function="false" hidden="true" name="wrn.Cash." vbProcedure="false">{"CashPrint",#N/A,FALSE,"Cash"}</definedName>
    <definedName function="false" hidden="true" name="wrn.CDA._.Plan._.Page." vbProcedure="false">{#N/A,#N/A,FALSE,"CDA Plan"}</definedName>
    <definedName function="false" hidden="true" name="wrn.Comptes95." vbProcedure="false">{#N/A,#N/A,FALSE,"3";#N/A,#N/A,FALSE,"5";#N/A,#N/A,FALSE,"6";#N/A,#N/A,FALSE,"8";#N/A,#N/A,FALSE,"10";#N/A,#N/A,FALSE,"13";#N/A,#N/A,FALSE,"14";#N/A,#N/A,FALSE,"15";#N/A,#N/A,FALSE,"16"}</definedName>
    <definedName function="false" hidden="true" name="wrn.country." vbProcedure="false">{#N/A,#N/A,FALSE,"Operating income";#N/A,#N/A,FALSE,"Revenues";#N/A,#N/A,FALSE,"Alpha"}</definedName>
    <definedName function="false" hidden="true" name="wrn.Country._.Summary." vbProcedure="false">{"Summary",#N/A,FALSE,"Country Summary"}</definedName>
    <definedName function="false" hidden="true" name="wrn.Country._.Worksheet." vbProcedure="false">{"WkSheet",#N/A,FALSE,"Country Wksheet"}</definedName>
    <definedName function="false" hidden="true" name="wrn.Data._.Reduction." vbProcedure="false">{"Inputs",#N/A,FALSE,"Data Reduction";"Outputs",#N/A,FALSE,"Data Reduction";"Cycle Deck Comparison",#N/A,FALSE,"Data Reduction"}</definedName>
    <definedName function="false" hidden="true" name="wrn.Default._.Document._.for._.9351FB.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wrn.Depotübersicht." vbProcedure="false">{#N/A,#N/A,FALSE,"Tabelle1"}</definedName>
    <definedName function="false" hidden="true" name="wrn.Elaborate." vbProcedure="false">{#N/A,#N/A,FALSE,"Cash Flows";#N/A,#N/A,FALSE,"Fixed Assets";#N/A,#N/A,FALSE,"Balance Sheet";#N/A,#N/A,FALSE,"P &amp; L"}</definedName>
    <definedName function="false" hidden="true" name="wrn.Emg._.report." vbProcedure="false">{#N/A,#N/A,FALSE,"Emerging Mkt Fund"}</definedName>
    <definedName function="false" hidden="true" name="wrn.EMM._.detail._.edition.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wrn.falmex.xls.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wrn.falmexb.xls." vbProcedure="false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function="false" hidden="true" name="wrn.Financial._.Pkg." vbProcedure="false">{#N/A,#N/A,FALSE,"401K";"Goodwill (Financial)",#N/A,FALSE,"GOODWILL"}</definedName>
    <definedName function="false" hidden="true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name="wrn.grafico." vbProcedure="false">{#N/A,#N/A,FALSE,"Graficos    ( 9 )"}</definedName>
    <definedName function="false" hidden="true" name="wrn.Graph._.edition." vbProcedure="false">{#N/A,#N/A,FALSE,"KPI-EMM-Graph";#N/A,#N/A,FALSE,"Cost Graph";#N/A,#N/A,FALSE,"Cash graph";#N/A,#N/A,FALSE,"Order Sales Graph"}</definedName>
    <definedName function="false" hidden="true" name="wrn.impress." vbProcedure="false">{#N/A,#N/A,FALSE,"Ventilation";#N/A,#N/A,FALSE,"Courbe1";#N/A,#N/A,FALSE,"Courbe2"}</definedName>
    <definedName function="false" hidden="true" name="wrn.INDICADORES." vbProcedure="false">{"PARTE1",#N/A,FALSE,"Plan1"}</definedName>
    <definedName function="false" hidden="true" name="wrn.inventario._.97._.Act." vbProcedure="false">{"inventory",#N/A,FALSE,"Inven. Turns 97 Act";"sales",#N/A,FALSE,"Inven. Turns 97 Act";"turns",#N/A,FALSE,"Inven. Turns 97 Act";"days",#N/A,FALSE,"Inven. Turns 97 Act"}</definedName>
    <definedName function="false" hidden="true" name="wrn.inventario._.97._.OP." vbProcedure="false">{"inventory",#N/A,TRUE,"Inven. Turns 97 OP";"sales",#N/A,TRUE,"Inven. Turns 97 OP";"turns",#N/A,TRUE,"Inven. Turns 97 OP";"days",#N/A,TRUE,"Inven. Turns 97 OP"}</definedName>
    <definedName function="false" hidden="true" name="wrn.inventario._.97._.Rep." vbProcedure="false">{"inventory",#N/A,FALSE,"Inven. Turns 97 Rep";"sales",#N/A,FALSE,"Inven. Turns 97 Rep";"turns",#N/A,FALSE,"Inven. Turns 97 Rep";"days",#N/A,FALSE,"Inven. Turns 97 Rep"}</definedName>
    <definedName function="false" hidden="true" name="wrn.inventario96." vbProcedure="false">{"Inventory",#N/A,TRUE,"Inven. Turns 1996";"sales",#N/A,TRUE,"Inven. Turns 1996";"Turns",#N/A,TRUE,"Inven. Turns 1996";"days",#N/A,TRUE,"Inven. Turns 1996"}</definedName>
    <definedName function="false" hidden="true" name="wrn.Invoice._.Print." vbProcedure="false">{#N/A,#N/A,FALSE,"Invoices"}</definedName>
    <definedName function="false" hidden="true" name="wrn.K._.GuV._.o.._.Kommentar." vbProcedure="false">{"K GuV o. Kommentar",#N/A,FALSE,"Kaufhof"}</definedName>
    <definedName function="false" hidden="true" name="wrn.KBilanz._.o.._.Kommentar." vbProcedure="false">{"K Bilanz o. Kommentar",#N/A,FALSE,"Kaufhof"}</definedName>
    <definedName function="false" hidden="true" name="wrn.KESPCal." vbProcedure="false">{#N/A,#N/A,FALSE,"Cipta-All";#N/A,#N/A,FALSE,"Individual"}</definedName>
    <definedName function="false" hidden="true" name="wrn.KostenPlan1997." vbProcedure="false">{#N/A,#N/A,FALSE,"Kosten97FZallein";#N/A,#N/A,FALSE,"Ko97EinzelFZ"}</definedName>
    <definedName function="false" hidden="true" name="wrn.MARKF98FULL." vbProcedure="fals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ARKF98H." vbProcedure="fals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function="false" hidden="true" name="wrn.MARKF98P.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odel." vbProcedure="false">{"basic",#N/A,FALSE,"BASIC"}</definedName>
    <definedName function="false" hidden="tru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true" name="wrn.oldfleet.xls." vbProcedure="false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function="false" hidden="true" name="wrn.only" vbProcedure="false">{#N/A,#N/A,FALSE,"JANLN2"}</definedName>
    <definedName function="false" hidden="true" name="wrn.pg1." vbProcedure="false">{#N/A,#N/A,FALSE,"1"}</definedName>
    <definedName function="false" hidden="true" name="wrn.pg10." vbProcedure="false">{#N/A,#N/A,FALSE,"10"}</definedName>
    <definedName function="false" hidden="true" name="wrn.pg100" vbProcedure="false">{#N/A,#N/A,FALSE,"8"}</definedName>
    <definedName function="false" hidden="true" name="wrn.pg11." vbProcedure="false">{#N/A,#N/A,FALSE,"11"}</definedName>
    <definedName function="false" hidden="true" name="wrn.pg12." vbProcedure="false">{#N/A,#N/A,FALSE,"12"}</definedName>
    <definedName function="false" hidden="true" name="wrn.pg13." vbProcedure="false">{#N/A,#N/A,FALSE,"13"}</definedName>
    <definedName function="false" hidden="true" name="wrn.pg14." vbProcedure="false">{#N/A,#N/A,FALSE,"14"}</definedName>
    <definedName function="false" hidden="true" name="wrn.pg15." vbProcedure="false">{#N/A,#N/A,FALSE,"15"}</definedName>
    <definedName function="false" hidden="true" name="wrn.pg16." vbProcedure="false">{#N/A,#N/A,FALSE,"16"}</definedName>
    <definedName function="false" hidden="true" name="wrn.pg17." vbProcedure="false">{#N/A,#N/A,FALSE,"17"}</definedName>
    <definedName function="false" hidden="true" name="wrn.pg2." vbProcedure="false">{#N/A,#N/A,FALSE,"2"}</definedName>
    <definedName function="false" hidden="true" name="wrn.pg20" vbProcedure="false">{#N/A,#N/A,FALSE,"4"}</definedName>
    <definedName function="false" hidden="true" name="wrn.pg3." vbProcedure="false">{#N/A,#N/A,FALSE,"3"}</definedName>
    <definedName function="false" hidden="true" name="wrn.pg4." vbProcedure="false">{#N/A,#N/A,FALSE,"4"}</definedName>
    <definedName function="false" hidden="true" name="wrn.pg5." vbProcedure="false">{#N/A,#N/A,FALSE,"5"}</definedName>
    <definedName function="false" hidden="true" name="wrn.pg6." vbProcedure="false">{#N/A,#N/A,FALSE,"6"}</definedName>
    <definedName function="false" hidden="true" name="wrn.pg7" vbProcedure="false">{#N/A,#N/A,FALSE,"6"}</definedName>
    <definedName function="false" hidden="true" name="wrn.pg7." vbProcedure="false">{#N/A,#N/A,FALSE,"7"}</definedName>
    <definedName function="false" hidden="true" name="wrn.pg8." vbProcedure="false">{#N/A,#N/A,FALSE,"8"}</definedName>
    <definedName function="false" hidden="true" name="wrn.pg9." vbProcedure="false">{#N/A,#N/A,FALSE,"9"}</definedName>
    <definedName function="false" hidden="true" name="wrn.Plandurchsprache._.97." vbProcedure="false">{#N/A,#N/A,TRUE,"Kosten97FZallein";#N/A,#N/A,TRUE,"Ko97EinzelFZ";#N/A,#N/A,TRUE,"UmsSumAnteilFZ";#N/A,#N/A,TRUE,"UmsatzEinzel";#N/A,#N/A,TRUE,"G&amp;V"}</definedName>
    <definedName function="false" hidden="true" name="wrn.PL_ALL." vbProcedure="false">{#N/A,"id_9000_y",FALSE,"PL";#N/A,"id_7007_y",FALSE,"PL"}</definedName>
    <definedName function="false" hidden="true" name="wrn.PMM_BSDDI." vbProcedure="false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function="false" hidden="true" name="wrn.PMM_PLQ." vbProcedure="false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function="false" hidden="true" name="wrn.pp97schedules." vbProcedure="false">{"plansummary",#N/A,FALSE,"PlanSummary";"sales",#N/A,FALSE,"Sales Rec";"productivity",#N/A,FALSE,"Productivity Rec";"capitalspending",#N/A,FALSE,"Capital Spending"}</definedName>
    <definedName function="false" hidden="true" name="wrn.Print._.All._.Schedules." vbProcedure="false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function="false" hidden="true" name="wrn.Print._.SchA." vbProcedure="false">{"SchA1",#N/A,FALSE,"Schedules";"SchA2",#N/A,FALSE,"Schedules"}</definedName>
    <definedName function="false" hidden="true" name="wrn.Print._.SchB." vbProcedure="false">{"SchB1",#N/A,FALSE,"Schedules";"SchB2",#N/A,FALSE,"Schedules"}</definedName>
    <definedName function="false" hidden="true" name="wrn.Print._.SchC." vbProcedure="false">{"SchC1",#N/A,FALSE,"Schedules";"SchC2",#N/A,FALSE,"Schedules"}</definedName>
    <definedName function="false" hidden="true" name="wrn.Print._.SchD." vbProcedure="false">{"SchD1",#N/A,FALSE,"Schedules";"SchD2",#N/A,FALSE,"Schedules"}</definedName>
    <definedName function="false" hidden="true" name="wrn.Print._.SchE." vbProcedure="false">{"SchE1",#N/A,FALSE,"Schedules";"SchE2",#N/A,FALSE,"Schedules"}</definedName>
    <definedName function="false" hidden="true" name="wrn.Print._.SchF." vbProcedure="false">{"SchF1",#N/A,FALSE,"Schedules";"SchF2",#N/A,FALSE,"Schedules"}</definedName>
    <definedName function="false" hidden="true" name="wrn.Print._.SchG." vbProcedure="false">{"SchG1",#N/A,FALSE,"Schedules";"SchG2",#N/A,FALSE,"Schedules"}</definedName>
    <definedName function="false" hidden="true" name="wrn.Print._.SchH." vbProcedure="false">{"SchH1",#N/A,FALSE,"Schedules";"SchH2",#N/A,FALSE,"Schedules"}</definedName>
    <definedName function="false" hidden="true" name="wrn.Print._.SchI." vbProcedure="false">{"SchI1",#N/A,FALSE,"Schedules";"SchI2",#N/A,FALSE,"Schedules"}</definedName>
    <definedName function="false" hidden="true" name="wrn.Print._.SchJ." vbProcedure="false">{"SchJ1",#N/A,FALSE,"Schedules";"SchJ2",#N/A,FALSE,"Schedules"}</definedName>
    <definedName function="false" hidden="true" name="wrn.Print._.SchK." vbProcedure="false">{"SchK1",#N/A,FALSE,"Schedules";"SchK2",#N/A,FALSE,"Schedules"}</definedName>
    <definedName function="false" hidden="true" name="wrn.Print._.SchL." vbProcedure="false">{"SchL1",#N/A,FALSE,"Schedules";"SchL2",#N/A,FALSE,"Schedules"}</definedName>
    <definedName function="false" hidden="true" name="wrn.Print._.SchM." vbProcedure="false">{"SchM1",#N/A,FALSE,"Schedules";"SchM2",#N/A,FALSE,"Schedules"}</definedName>
    <definedName function="false" hidden="true" name="wrn.Print._.SchN." vbProcedure="false">{"SchN1",#N/A,FALSE,"Schedules"}</definedName>
    <definedName function="false" hidden="true" name="wrn.Print._.SchO." vbProcedure="false">{"SchO1",#N/A,FALSE,"Schedules"}</definedName>
    <definedName function="false" hidden="true" name="wrn.Print._.Summary." vbProcedure="false">{"Summ1",#N/A,FALSE,"Summary"}</definedName>
    <definedName function="false" hidden="true" name="wrn.PrintAll." vbProcedure="false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function="false" hidden="true" name="WRN.PRODUCT" vbProcedure="false">{"Detail analysis",#N/A,FALSE,"Model";"Summary analysis",#N/A,FALSE,"Model";"OCPH analysis",#N/A,FALSE,"Model"}</definedName>
    <definedName function="false" hidden="true" name="wrn.Productivity." vbProcedure="false">{"Summary analysis",#N/A,FALSE,"Total";"OCPH analysis",#N/A,FALSE,"Total";"detail analysis",#N/A,FALSE,"Total"}</definedName>
    <definedName function="false" hidden="true" name="wrn.purchase._.register." vbProcedure="false">{#N/A,#N/A,TRUE,"RM-June"}</definedName>
    <definedName function="false" hidden="true" name="wrn.Quantity." vbProcedure="false">{#N/A,#N/A,FALSE,"MONTHLY "}</definedName>
    <definedName function="false" hidden="tru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true" name="wrn.ratios." vbProcedure="false">{"raatios",#N/A,FALSE,"A";"ratios",#N/A,FALSE,"B";"ratios",#N/A,FALSE,"C";"ratios",#N/A,FALSE,"D";"ratios",#N/A,FALSE,"F"}</definedName>
    <definedName function="false" hidden="true" name="wrn.report1." vbProcedure="false">{"page1",#N/A,FALSE,"Taean 1&amp;2";"page2",#N/A,FALSE,"Taean 1&amp;2"}</definedName>
    <definedName function="false" hidden="true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wrn.sales." vbProcedure="false">{"sales",#N/A,FALSE,"Sales";"sales existing",#N/A,FALSE,"Sales";"sales rd1",#N/A,FALSE,"Sales";"sales rd2",#N/A,FALSE,"Sales"}</definedName>
    <definedName function="false" hidden="true" name="wrn.scorecard._.rpt." vbProcedure="false">{"scorecard view",#N/A,FALSE,"Scorecard output"}</definedName>
    <definedName function="false" hidden="true" name="wrn.SHIPMENTS." vbProcedure="false">{#N/A,#N/A,FALSE,"JANLN2"}</definedName>
    <definedName function="false" hidden="true" name="wrn.Summary." vbProcedure="false">{#N/A,#N/A,TRUE,"KEY DATA";#N/A,#N/A,TRUE,"KEY DATA Base Case";#N/A,#N/A,TRUE,"JULY";#N/A,#N/A,TRUE,"AUG";#N/A,#N/A,TRUE,"SEPT";#N/A,#N/A,TRUE,"3Q"}</definedName>
    <definedName function="false" hidden="true" name="wrn.summary.." vbProcedure="false">{#N/A,#N/A,TRUE,"KEY DATA";#N/A,#N/A,TRUE,"KEY DATA Base Case";#N/A,#N/A,TRUE,"JULY";#N/A,#N/A,TRUE,"AUG";#N/A,#N/A,TRUE,"SEPT";#N/A,#N/A,TRUE,"3Q"}</definedName>
    <definedName function="false" hidden="true" name="wrn.totsch." vbProcedure="false">{"offequipsch",#N/A,FALSE,"GTC_Schedule";"onconstsch",#N/A,FALSE,"GTC_Schedule";"techsch",#N/A,FALSE,"GTC_Schedule";"totsch",#N/A,FALSE,"GTC_Schedule"}</definedName>
    <definedName function="false" hidden="true" name="wrn.TRAVELLING." vbProcedure="false">{#N/A,#N/A,FALSE,"Sheet3"}</definedName>
    <definedName function="false" hidden="true" name="wrn.UmsatzwertePlan1997." vbProcedure="false">{#N/A,#N/A,TRUE,"UmsSumAnteilFZ";#N/A,#N/A,TRUE,"UmsatzSumme";#N/A,#N/A,TRUE,"G&amp;V"}</definedName>
    <definedName function="false" hidden="true" name="wrn.usmed3." vbProcedure="false">{#N/A,#N/A,FALSE,"USMED 3";#N/A,#N/A,FALSE,"MARCHALLENGER 1";#N/A,#N/A,FALSE,"MARCHALLENGER 2";#N/A,#N/A,FALSE,"MARCHALLENGER 3";#N/A,#N/A,FALSE,"MARCHALLENGER 4"}</definedName>
    <definedName function="false" hidden="true" name="wrn.Variances1Q._.97." vbProcedure="false">{"pag1",#N/A,TRUE,"Graf1Q97";"pag2",#N/A,TRUE,"Graf1Q97";"pag3",#N/A,TRUE,"Graf1Q97";"pag4",#N/A,TRUE,"Graf1Q97";"pag5",#N/A,TRUE,"Graf1Q97";"pag6",#N/A,TRUE,"Graf1Q97"}</definedName>
    <definedName function="false" hidden="true" name="wrn.Weekly._.Scrap._.Report." vbProcedure="false">{#N/A,#N/A,TRUE,"GEM Total";#N/A,#N/A,TRUE,"Final Assembly";#N/A,#N/A,TRUE,"Cleaning";#N/A,#N/A,TRUE,"Schooping,Clearing";#N/A,#N/A,TRUE,"Winding"}</definedName>
    <definedName function="false" hidden="true" name="wrn.weekly._.scrap._.report..." vbProcedure="false">{#N/A,#N/A,TRUE,"GEM Total";#N/A,#N/A,TRUE,"Final Assembly";#N/A,#N/A,TRUE,"Cleaning";#N/A,#N/A,TRUE,"Schooping,Clearing";#N/A,#N/A,TRUE,"Winding"}</definedName>
    <definedName function="false" hidden="true" name="wrn.전부인쇄." vbProcedure="false">{#N/A,#N/A,FALSE,"단축1";#N/A,#N/A,FALSE,"단축2";#N/A,#N/A,FALSE,"단축3";#N/A,#N/A,FALSE,"장축";#N/A,#N/A,FALSE,"4WD"}</definedName>
    <definedName function="false" hidden="true" name="wrn1.FORM1." vbProcedure="false">{#N/A,#N/A,FALSE,"COMP"}</definedName>
    <definedName function="false" hidden="true" name="wrn1.summary" vbProcedure="false">{#N/A,#N/A,TRUE,"KEY DATA";#N/A,#N/A,TRUE,"KEY DATA Base Case";#N/A,#N/A,TRUE,"JULY";#N/A,#N/A,TRUE,"AUG";#N/A,#N/A,TRUE,"SEPT";#N/A,#N/A,TRUE,"3Q"}</definedName>
    <definedName function="false" hidden="true" name="wrn1.summary.." vbProcedure="false">{#N/A,#N/A,TRUE,"KEY DATA";#N/A,#N/A,TRUE,"KEY DATA Base Case";#N/A,#N/A,TRUE,"JULY";#N/A,#N/A,TRUE,"AUG";#N/A,#N/A,TRUE,"SEPT";#N/A,#N/A,TRUE,"3Q"}</definedName>
    <definedName function="false" hidden="true" name="wrn2.FORM1." vbProcedure="false">{#N/A,#N/A,FALSE,"COMP"}</definedName>
    <definedName function="false" hidden="true" name="wrn3.FORM1." vbProcedure="false">{#N/A,#N/A,FALSE,"COMP"}</definedName>
    <definedName function="false" hidden="true" name="wwqwq" vbProcedure="false">{#N/A,#N/A,FALSE,"COMP"}</definedName>
    <definedName function="false" hidden="true" name="wwwww" vbProcedure="false">{#N/A,#N/A,FALSE,"12"}</definedName>
    <definedName function="false" hidden="true" name="xa" vbProcedure="false">{#N/A,#N/A,FALSE,"Aging Summary";#N/A,#N/A,FALSE,"Ratio Analysis";#N/A,#N/A,FALSE,"Test 120 Day Accts";#N/A,#N/A,FALSE,"Tickmarks"}</definedName>
    <definedName function="false" hidden="true" name="xcxc" vbProcedure="false">{#N/A,#N/A,TRUE,"UmsatzSumme";#N/A,#N/A,TRUE,"UmsatzEinzel";#N/A,#N/A,TRUE,"UmsSumAnteilFZ"}</definedName>
    <definedName function="false" hidden="true" name="XRefActiveRow" vbProcedure="false">#REF!</definedName>
    <definedName function="false" hidden="true" name="XRefColumnsCount" vbProcedure="false">7</definedName>
    <definedName function="false" hidden="true" name="XRefCopy1" vbProcedure="false">#REF!</definedName>
    <definedName function="false" hidden="true" name="XRefCopy10" vbProcedure="false">#REF!</definedName>
    <definedName function="false" hidden="true" name="XRefCopy10Row" vbProcedure="false">#REF!</definedName>
    <definedName function="false" hidden="true" name="XRefCopy11" vbProcedure="false">#REF!</definedName>
    <definedName function="false" hidden="true" name="XRefCopy11Row" vbProcedure="false">#REF!</definedName>
    <definedName function="false" hidden="true" name="XRefCopy12" vbProcedure="false">#REF!</definedName>
    <definedName function="false" hidden="true" name="XRefCopy12Row" vbProcedure="false">#REF!</definedName>
    <definedName function="false" hidden="true" name="XRefCopy13" vbProcedure="false">#REF!</definedName>
    <definedName function="false" hidden="true" name="XRefCopy13Row" vbProcedure="false">#REF!</definedName>
    <definedName function="false" hidden="true" name="XRefCopy14" vbProcedure="false">#REF!</definedName>
    <definedName function="false" hidden="true" name="XRefCopy14Row" vbProcedure="false">#REF!</definedName>
    <definedName function="false" hidden="true" name="XRefCopy15" vbProcedure="false">#REF!</definedName>
    <definedName function="false" hidden="true" name="XRefCopy15Row" vbProcedure="false">#REF!</definedName>
    <definedName function="false" hidden="true" name="XRefCopy16" vbProcedure="false">#REF!</definedName>
    <definedName function="false" hidden="true" name="XRefCopy16Row" vbProcedure="false">#REF!</definedName>
    <definedName function="false" hidden="true" name="XRefCopy17" vbProcedure="false">#REF!</definedName>
    <definedName function="false" hidden="true" name="XRefCopy17Row" vbProcedure="false">#REF!</definedName>
    <definedName function="false" hidden="true" name="XRefCopy18" vbProcedure="false">#REF!</definedName>
    <definedName function="false" hidden="true" name="XRefCopy18Row" vbProcedure="false">#REF!</definedName>
    <definedName function="false" hidden="true" name="XRefCopy19" vbProcedure="false">#REF!</definedName>
    <definedName function="false" hidden="true" name="XRefCopy19Row" vbProcedure="false">#REF!</definedName>
    <definedName function="false" hidden="true" name="XRefCopy1Row" vbProcedure="false">#REF!</definedName>
    <definedName function="false" hidden="true" name="XRefCopy2" vbProcedure="false">#REF!</definedName>
    <definedName function="false" hidden="true" name="XRefCopy20" vbProcedure="false">#REF!</definedName>
    <definedName function="false" hidden="true" name="XRefCopy20Row" vbProcedure="false">#REF!</definedName>
    <definedName function="false" hidden="true" name="XRefCopy21" vbProcedure="false">#REF!</definedName>
    <definedName function="false" hidden="true" name="XRefCopy21Row" vbProcedure="false">#REF!</definedName>
    <definedName function="false" hidden="true" name="XRefCopy22" vbProcedure="false">#REF!</definedName>
    <definedName function="false" hidden="true" name="XRefCopy22Row" vbProcedure="false">#REF!</definedName>
    <definedName function="false" hidden="true" name="XRefCopy23" vbProcedure="false">#REF!</definedName>
    <definedName function="false" hidden="true" name="XRefCopy23Row" vbProcedure="false">#REF!</definedName>
    <definedName function="false" hidden="true" name="XRefCopy24" vbProcedure="false">#REF!</definedName>
    <definedName function="false" hidden="true" name="XRefCopy24Row" vbProcedure="false">#REF!</definedName>
    <definedName function="false" hidden="true" name="XRefCopy25" vbProcedure="false">#REF!</definedName>
    <definedName function="false" hidden="true" name="XRefCopy25Row" vbProcedure="false">#REF!</definedName>
    <definedName function="false" hidden="true" name="XRefCopy26" vbProcedure="false">#REF!</definedName>
    <definedName function="false" hidden="true" name="XRefCopy26Row" vbProcedure="false">#REF!</definedName>
    <definedName function="false" hidden="true" name="XRefCopy27" vbProcedure="false">#REF!</definedName>
    <definedName function="false" hidden="true" name="XRefCopy27Row" vbProcedure="false">#REF!</definedName>
    <definedName function="false" hidden="true" name="XRefCopy28" vbProcedure="false">#REF!</definedName>
    <definedName function="false" hidden="true" name="XRefCopy28Row" vbProcedure="false">#REF!</definedName>
    <definedName function="false" hidden="true" name="XRefCopy29" vbProcedure="false">#REF!</definedName>
    <definedName function="false" hidden="true" name="XRefCopy29Row" vbProcedure="false">#REF!</definedName>
    <definedName function="false" hidden="true" name="XRefCopy2Row" vbProcedure="false">#REF!</definedName>
    <definedName function="false" hidden="true" name="XRefCopy3" vbProcedure="false">#REF!</definedName>
    <definedName function="false" hidden="true" name="XRefCopy30" vbProcedure="false">#REF!</definedName>
    <definedName function="false" hidden="true" name="XRefCopy30Row" vbProcedure="false">#REF!</definedName>
    <definedName function="false" hidden="true" name="XRefCopy31" vbProcedure="false">#REF!</definedName>
    <definedName function="false" hidden="true" name="XRefCopy31Row" vbProcedure="false">#REF!</definedName>
    <definedName function="false" hidden="true" name="XRefCopy32" vbProcedure="false">#REF!</definedName>
    <definedName function="false" hidden="true" name="XRefCopy32Row" vbProcedure="false">#REF!</definedName>
    <definedName function="false" hidden="true" name="XRefCopy33" vbProcedure="false">#REF!</definedName>
    <definedName function="false" hidden="true" name="XRefCopy33Row" vbProcedure="false">#REF!</definedName>
    <definedName function="false" hidden="true" name="XRefCopy34" vbProcedure="false">#REF!</definedName>
    <definedName function="false" hidden="true" name="XRefCopy34Row" vbProcedure="false">#REF!</definedName>
    <definedName function="false" hidden="true" name="XRefCopy35" vbProcedure="false">#REF!</definedName>
    <definedName function="false" hidden="true" name="XRefCopy35Row" vbProcedure="false">#REF!</definedName>
    <definedName function="false" hidden="true" name="XRefCopy36" vbProcedure="false">#REF!</definedName>
    <definedName function="false" hidden="true" name="XRefCopy36Row" vbProcedure="false">#REF!</definedName>
    <definedName function="false" hidden="true" name="XRefCopy37" vbProcedure="false">#REF!</definedName>
    <definedName function="false" hidden="true" name="XRefCopy37Row" vbProcedure="false">#REF!</definedName>
    <definedName function="false" hidden="true" name="XRefCopy38" vbProcedure="false">#REF!</definedName>
    <definedName function="false" hidden="true" name="XRefCopy38Row" vbProcedure="false">#REF!</definedName>
    <definedName function="false" hidden="true" name="XRefCopy39" vbProcedure="false">#REF!</definedName>
    <definedName function="false" hidden="true" name="XRefCopy39Row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0" vbProcedure="false">#REF!</definedName>
    <definedName function="false" hidden="true" name="XRefCopy40Row" vbProcedure="false">#REF!</definedName>
    <definedName function="false" hidden="true" name="XRefCopy41" vbProcedure="false">#REF!</definedName>
    <definedName function="false" hidden="true" name="XRefCopy41Row" vbProcedure="false">#REF!</definedName>
    <definedName function="false" hidden="true" name="XRefCopy42" vbProcedure="false">#REF!</definedName>
    <definedName function="false" hidden="true" name="XRefCopy42Row" vbProcedure="false">#REF!</definedName>
    <definedName function="false" hidden="true" name="XRefCopy43" vbProcedure="false">#REF!</definedName>
    <definedName function="false" hidden="true" name="XRefCopy43Row" vbProcedure="false">#REF!</definedName>
    <definedName function="false" hidden="true" name="XRefCopy44" vbProcedure="false">#REF!</definedName>
    <definedName function="false" hidden="true" name="XRefCopy44Row" vbProcedure="false">#REF!</definedName>
    <definedName function="false" hidden="true" name="XRefCopy45" vbProcedure="false">#REF!</definedName>
    <definedName function="false" hidden="true" name="XRefCopy45Row" vbProcedure="false">#REF!</definedName>
    <definedName function="false" hidden="true" name="XRefCopy46" vbProcedure="false">#REF!</definedName>
    <definedName function="false" hidden="true" name="XRefCopy46Row" vbProcedure="false">#REF!</definedName>
    <definedName function="false" hidden="true" name="XRefCopy47" vbProcedure="false">#REF!</definedName>
    <definedName function="false" hidden="true" name="XRefCopy47Row" vbProcedure="false">#REF!</definedName>
    <definedName function="false" hidden="true" name="XRefCopy48" vbProcedure="false">#REF!</definedName>
    <definedName function="false" hidden="true" name="XRefCopy48Row" vbProcedure="false">#REF!</definedName>
    <definedName function="false" hidden="true" name="XRefCopy49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0" vbProcedure="false">#REF!</definedName>
    <definedName function="false" hidden="true" name="XRefCopy50Row" vbProcedure="false">#REF!</definedName>
    <definedName function="false" hidden="true" name="XRefCopy51" vbProcedure="false">#REF!</definedName>
    <definedName function="false" hidden="true" name="XRefCopy51Row" vbProcedure="false">#REF!</definedName>
    <definedName function="false" hidden="true" name="XRefCopy52" vbProcedure="false">#REF!</definedName>
    <definedName function="false" hidden="true" name="XRefCopy52Row" vbProcedure="false">#REF!</definedName>
    <definedName function="false" hidden="true" name="XRefCopy53" vbProcedure="false">#REF!</definedName>
    <definedName function="false" hidden="true" name="XRefCopy53Row" vbProcedure="false">#REF!</definedName>
    <definedName function="false" hidden="true" name="XRefCopy54" vbProcedure="false">#REF!</definedName>
    <definedName function="false" hidden="true" name="XRefCopy54Row" vbProcedure="false">#REF!</definedName>
    <definedName function="false" hidden="true" name="XRefCopy55" vbProcedure="false">#REF!</definedName>
    <definedName function="false" hidden="true" name="XRefCopy55Row" vbProcedure="false">#REF!</definedName>
    <definedName function="false" hidden="true" name="XRefCopy56" vbProcedure="false">#REF!</definedName>
    <definedName function="false" hidden="true" name="XRefCopy56Row" vbProcedure="false">#REF!</definedName>
    <definedName function="false" hidden="true" name="XRefCopy57" vbProcedure="false">#REF!</definedName>
    <definedName function="false" hidden="true" name="XRefCopy57Row" vbProcedure="false">#REF!</definedName>
    <definedName function="false" hidden="true" name="XRefCopy58" vbProcedure="false">#REF!</definedName>
    <definedName function="false" hidden="true" name="XRefCopy58Row" vbProcedure="false">#REF!</definedName>
    <definedName function="false" hidden="true" name="XRefCopy59" vbProcedure="false">#REF!</definedName>
    <definedName function="false" hidden="true" name="XRefCopy59Row" vbProcedure="false">#REF!</definedName>
    <definedName function="false" hidden="true" name="XRefCopy5Row" vbProcedure="false">#REF!</definedName>
    <definedName function="false" hidden="true" name="XRefCopy6" vbProcedure="false">#REF!</definedName>
    <definedName function="false" hidden="true" name="XRefCopy60" vbProcedure="false">#REF!</definedName>
    <definedName function="false" hidden="true" name="XRefCopy61" vbProcedure="false">#REF!</definedName>
    <definedName function="false" hidden="true" name="XRefCopy62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Row" vbProcedure="false">#REF!</definedName>
    <definedName function="false" hidden="true" name="XRefCopy9" vbProcedure="false">#REF!</definedName>
    <definedName function="false" hidden="true" name="XRefCopy9Row" vbProcedure="false">#REF!</definedName>
    <definedName function="false" hidden="true" name="XRefCopyRangeCount" vbProcedure="false">15</definedName>
    <definedName function="false" hidden="true" name="XRefPaste1" vbProcedure="false">#REF!</definedName>
    <definedName function="false" hidden="true" name="XRefPaste10" vbProcedure="false">#REF!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Row" vbProcedure="false">#REF!</definedName>
    <definedName function="false" hidden="true" name="XRefPaste12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Row" vbProcedure="false">#REF!</definedName>
    <definedName function="false" hidden="true" name="XRefPaste14" vbProcedure="false">#REF!</definedName>
    <definedName function="false" hidden="true" name="XRefPaste14Row" vbProcedure="false">#REF!</definedName>
    <definedName function="false" hidden="true" name="XRefPaste15" vbProcedure="false">#REF!</definedName>
    <definedName function="false" hidden="true" name="XRefPaste15Row" vbProcedure="false">#REF!</definedName>
    <definedName function="false" hidden="true" name="XRefPaste16" vbProcedure="false">#REF!</definedName>
    <definedName function="false" hidden="true" name="XRefPaste16Row" vbProcedure="false">#REF!</definedName>
    <definedName function="false" hidden="true" name="XRefPaste17" vbProcedure="false">#REF!</definedName>
    <definedName function="false" hidden="true" name="XRefPaste17Row" vbProcedure="false">#REF!</definedName>
    <definedName function="false" hidden="true" name="XRefPaste18" vbProcedure="false">#REF!</definedName>
    <definedName function="false" hidden="true" name="XRefPaste18Row" vbProcedure="false">#REF!</definedName>
    <definedName function="false" hidden="true" name="XRefPaste19" vbProcedure="false">#REF!</definedName>
    <definedName function="false" hidden="true" name="XRefPaste19Row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0" vbProcedure="false">#REF!</definedName>
    <definedName function="false" hidden="true" name="XRefPaste20Row" vbProcedure="false">#REF!</definedName>
    <definedName function="false" hidden="true" name="XRefPaste21" vbProcedure="false">#REF!</definedName>
    <definedName function="false" hidden="true" name="XRefPaste21Row" vbProcedure="false">#REF!</definedName>
    <definedName function="false" hidden="true" name="XRefPaste22" vbProcedure="false">#REF!</definedName>
    <definedName function="false" hidden="true" name="XRefPaste22Row" vbProcedure="false">#REF!</definedName>
    <definedName function="false" hidden="true" name="XRefPaste23" vbProcedure="false">#REF!</definedName>
    <definedName function="false" hidden="true" name="XRefPaste23Row" vbProcedure="false">#REF!</definedName>
    <definedName function="false" hidden="true" name="XRefPaste24" vbProcedure="false">#REF!</definedName>
    <definedName function="false" hidden="true" name="XRefPaste24Row" vbProcedure="false">#REF!</definedName>
    <definedName function="false" hidden="true" name="XRefPaste25" vbProcedure="false">#REF!</definedName>
    <definedName function="false" hidden="true" name="XRefPaste25Row" vbProcedure="false">#REF!</definedName>
    <definedName function="false" hidden="true" name="XRefPaste26" vbProcedure="false">#REF!</definedName>
    <definedName function="false" hidden="true" name="XRefPaste26Row" vbProcedure="false">#REF!</definedName>
    <definedName function="false" hidden="true" name="XRefPaste27" vbProcedure="false">#REF!</definedName>
    <definedName function="false" hidden="true" name="XRefPaste27Row" vbProcedure="false">#REF!</definedName>
    <definedName function="false" hidden="true" name="XRefPaste28" vbProcedure="false">#REF!</definedName>
    <definedName function="false" hidden="true" name="XRefPaste28Row" vbProcedure="false">#REF!</definedName>
    <definedName function="false" hidden="true" name="XRefPaste29" vbProcedure="false">#REF!</definedName>
    <definedName function="false" hidden="true" name="XRefPaste29Row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0" vbProcedure="false">#REF!</definedName>
    <definedName function="false" hidden="true" name="XRefPaste30Row" vbProcedure="false">#REF!</definedName>
    <definedName function="false" hidden="true" name="XRefPaste31" vbProcedure="false">#REF!</definedName>
    <definedName function="false" hidden="true" name="XRefPaste31Row" vbProcedure="false">#REF!</definedName>
    <definedName function="false" hidden="true" name="XRefPaste32" vbProcedure="false">#REF!</definedName>
    <definedName function="false" hidden="true" name="XRefPaste32Row" vbProcedure="false">#REF!</definedName>
    <definedName function="false" hidden="true" name="XRefPaste33" vbProcedure="false">#REF!</definedName>
    <definedName function="false" hidden="true" name="XRefPaste33Row" vbProcedure="false">#REF!</definedName>
    <definedName function="false" hidden="true" name="XRefPaste34" vbProcedure="false">#REF!</definedName>
    <definedName function="false" hidden="true" name="XRefPaste34Row" vbProcedure="false">#REF!</definedName>
    <definedName function="false" hidden="true" name="XRefPaste35" vbProcedure="false">#REF!</definedName>
    <definedName function="false" hidden="true" name="XRefPaste35Row" vbProcedure="false">#REF!</definedName>
    <definedName function="false" hidden="true" name="XRefPaste36" vbProcedure="false">#REF!</definedName>
    <definedName function="false" hidden="true" name="XRefPaste36Row" vbProcedure="false">#REF!</definedName>
    <definedName function="false" hidden="true" name="XRefPaste37" vbProcedure="false">#REF!</definedName>
    <definedName function="false" hidden="true" name="XRefPaste37Row" vbProcedure="false">#REF!</definedName>
    <definedName function="false" hidden="true" name="XRefPaste38" vbProcedure="false">#REF!</definedName>
    <definedName function="false" hidden="true" name="XRefPaste38Row" vbProcedure="false">#REF!</definedName>
    <definedName function="false" hidden="true" name="XRefPaste39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0" vbProcedure="false">#REF!</definedName>
    <definedName function="false" hidden="true" name="XRefPaste41" vbProcedure="false">#REF!</definedName>
    <definedName function="false" hidden="true" name="XRefPaste43" vbProcedure="false">#REF!</definedName>
    <definedName function="false" hidden="true" name="XRefPaste4Row" vbProcedure="false">#REF!</definedName>
    <definedName function="false" hidden="true" name="XRefPaste5" vbProcedure="false">#REF!</definedName>
    <definedName function="false" hidden="true" name="XRefPaste5Row" vbProcedure="false">#REF!</definedName>
    <definedName function="false" hidden="true" name="XRefPaste6" vbProcedure="false">#REF!</definedName>
    <definedName function="false" hidden="true" name="XRefPaste6Row" vbProcedure="false">#REF!</definedName>
    <definedName function="false" hidden="true" name="XRefPaste7" vbProcedure="false">#REF!</definedName>
    <definedName function="false" hidden="true" name="XRefPaste7Row" vbProcedure="false">#REF!</definedName>
    <definedName function="false" hidden="true" name="XRefPaste8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Row" vbProcedure="false">#REF!</definedName>
    <definedName function="false" hidden="true" name="XRefPasteRangeCount" vbProcedure="false">24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11" vbProcedure="false">#REF!</definedName>
    <definedName function="false" hidden="true" name="XREF_COLUMN_12" vbProcedure="false">#REF!</definedName>
    <definedName function="false" hidden="true" name="XREF_COLUMN_13" vbProcedure="false">#REF!</definedName>
    <definedName function="false" hidden="true" name="XREF_COLUMN_14" vbProcedure="false">#REF!</definedName>
    <definedName function="false" hidden="true" name="XREF_COLUMN_15" vbProcedure="false">#REF!</definedName>
    <definedName function="false" hidden="true" name="XREF_COLUMN_16" vbProcedure="false">#REF!</definedName>
    <definedName function="false" hidden="true" name="XREF_COLUMN_17" vbProcedure="false">#REF!</definedName>
    <definedName function="false" hidden="true" name="XREF_COLUMN_18" vbProcedure="false">#REF!</definedName>
    <definedName function="false" hidden="true" name="XREF_COLUMN_19" vbProcedure="false">#REF!</definedName>
    <definedName function="false" hidden="true" name="XREF_COLUMN_2" vbProcedure="false">#REF!</definedName>
    <definedName function="false" hidden="true" name="XREF_COLUMN_20" vbProcedure="false">#REF!</definedName>
    <definedName function="false" hidden="true" name="XREF_COLUMN_21" vbProcedure="false">#REF!</definedName>
    <definedName function="false" hidden="true" name="XREF_COLUMN_22" vbProcedure="false">#REF!</definedName>
    <definedName function="false" hidden="true" name="XREF_COLUMN_23" vbProcedure="false">#REF!</definedName>
    <definedName function="false" hidden="true" name="XREF_COLUMN_24" vbProcedure="false">#REF!</definedName>
    <definedName function="false" hidden="true" name="XREF_COLUMN_25" vbProcedure="false">#REF!</definedName>
    <definedName function="false" hidden="true" name="XREF_COLUMN_26" vbProcedure="false">#REF!</definedName>
    <definedName function="false" hidden="true" name="XREF_COLUMN_27" vbProcedure="false">#REF!</definedName>
    <definedName function="false" hidden="true" name="XREF_COLUMN_28" vbProcedure="false">#REF!</definedName>
    <definedName function="false" hidden="true" name="XREF_COLUMN_29" vbProcedure="false">#REF!</definedName>
    <definedName function="false" hidden="true" name="XREF_COLUMN_3" vbProcedure="false">#REF!</definedName>
    <definedName function="false" hidden="true" name="XREF_COLUMN_30" vbProcedure="false">#REF!</definedName>
    <definedName function="false" hidden="true" name="XREF_COLUMN_31" vbProcedure="false">#REF!</definedName>
    <definedName function="false" hidden="true" name="XREF_COLUMN_32" vbProcedure="false">#REF!</definedName>
    <definedName function="false" hidden="true" name="XREF_COLUMN_33" vbProcedure="false">#REF!</definedName>
    <definedName function="false" hidden="true" name="XREF_COLUMN_34" vbProcedure="false">#REF!</definedName>
    <definedName function="false" hidden="true" name="XREF_COLUMN_35" vbProcedure="false">#REF!</definedName>
    <definedName function="false" hidden="true" name="XREF_COLUMN_36" vbProcedure="false">#REF!</definedName>
    <definedName function="false" hidden="true" name="XREF_COLUMN_4" vbProcedure="false">#REF!</definedName>
    <definedName function="false" hidden="true" name="XREF_COLUMN_5" vbProcedure="false">#REF!</definedName>
    <definedName function="false" hidden="true" name="XREF_COLUMN_6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9" vbProcedure="false">#REF!</definedName>
    <definedName function="false" hidden="true" name="xsasa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TEST" vbProcedure="false">{#N/A,#N/A,FALSE,"JANLN2"}</definedName>
    <definedName function="false" hidden="true" name="xvx" vbProcedure="false">{#N/A,#N/A,FALSE,"3";#N/A,#N/A,FALSE,"5";#N/A,#N/A,FALSE,"6";#N/A,#N/A,FALSE,"8";#N/A,#N/A,FALSE,"10";#N/A,#N/A,FALSE,"13";#N/A,#N/A,FALSE,"14";#N/A,#N/A,FALSE,"15";#N/A,#N/A,FALSE,"16"}</definedName>
    <definedName function="false" hidden="true" name="xxv" vbProcedure="false">{#N/A,#N/A,FALSE,"3";#N/A,#N/A,FALSE,"5";#N/A,#N/A,FALSE,"6";#N/A,#N/A,FALSE,"8";#N/A,#N/A,FALSE,"10";#N/A,#N/A,FALSE,"13";#N/A,#N/A,FALSE,"14";#N/A,#N/A,FALSE,"15";#N/A,#N/A,FALSE,"16"}</definedName>
    <definedName function="false" hidden="true" name="xxxxx" vbProcedure="false">{"'Typical Costs Estimates'!$C$158:$H$161"}</definedName>
    <definedName function="false" hidden="true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xxxxx" vbProcedure="false">{#N/A,#N/A,TRUE,"GEM Total";#N/A,#N/A,TRUE,"Final Assembly";#N/A,#N/A,TRUE,"Cleaning";#N/A,#N/A,TRUE,"Schooping,Clearing";#N/A,#N/A,TRUE,"Winding"}</definedName>
    <definedName function="false" hidden="true" name="xxxxxxx" vbProcedure="false">{#N/A,#N/A,TRUE,"GEM Total";#N/A,#N/A,TRUE,"Final Assembly";#N/A,#N/A,TRUE,"Cleaning";#N/A,#N/A,TRUE,"Schooping,Clearing";#N/A,#N/A,TRUE,"Winding"}</definedName>
    <definedName function="false" hidden="true" name="xxxxxxxxxxxxxx" vbProcedure="false">{#N/A,#N/A,TRUE,"GEM Total";#N/A,#N/A,TRUE,"Final Assembly";#N/A,#N/A,TRUE,"Cleaning";#N/A,#N/A,TRUE,"Schooping,Clearing";#N/A,#N/A,TRUE,"Winding"}</definedName>
    <definedName function="false" hidden="true" name="xxxxxxxxxxxxxxxx" vbProcedure="false">{#N/A,#N/A,TRUE,"GEM Total";#N/A,#N/A,TRUE,"Final Assembly";#N/A,#N/A,TRUE,"Cleaning";#N/A,#N/A,TRUE,"Schooping,Clearing";#N/A,#N/A,TRUE,"Winding"}</definedName>
    <definedName function="false" hidden="true" name="yhtfhtrfjhn" vbProcedure="false">#REF!</definedName>
    <definedName function="false" hidden="true" name="yi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t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yti" vbProcedure="false">{#N/A,#N/A,FALSE,"3";#N/A,#N/A,FALSE,"5";#N/A,#N/A,FALSE,"6";#N/A,#N/A,FALSE,"8";#N/A,#N/A,FALSE,"10";#N/A,#N/A,FALSE,"13";#N/A,#N/A,FALSE,"14";#N/A,#N/A,FALSE,"15";#N/A,#N/A,FALSE,"16"}</definedName>
    <definedName function="false" hidden="true" name="ykhkhj" vbProcedure="false">{#N/A,#N/A,FALSE,"3";#N/A,#N/A,FALSE,"5";#N/A,#N/A,FALSE,"6";#N/A,#N/A,FALSE,"8";#N/A,#N/A,FALSE,"10";#N/A,#N/A,FALSE,"13";#N/A,#N/A,FALSE,"14";#N/A,#N/A,FALSE,"15";#N/A,#N/A,FALSE,"16"}</definedName>
    <definedName function="false" hidden="true" name="ysx" vbProcedure="false">#REF!</definedName>
    <definedName function="false" hidden="true" name="yti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uoo" vbProcedure="false">{#N/A,#N/A,FALSE,"3";#N/A,#N/A,FALSE,"5";#N/A,#N/A,FALSE,"6";#N/A,#N/A,FALSE,"8";#N/A,#N/A,FALSE,"10";#N/A,#N/A,FALSE,"13";#N/A,#N/A,FALSE,"14";#N/A,#N/A,FALSE,"15";#N/A,#N/A,FALSE,"16"}</definedName>
    <definedName function="false" hidden="true" name="zaed" vbProcedure="false">{#N/A,#N/A,FALSE,"Ventilation";#N/A,#N/A,FALSE,"Courbe1";#N/A,#N/A,FALSE,"Courbe2"}</definedName>
    <definedName function="false" hidden="true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zxz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zz.." vbProcedure="false">{#N/A,#N/A,TRUE,"GEM Total";#N/A,#N/A,TRUE,"Final Assembly";#N/A,#N/A,TRUE,"Cleaning";#N/A,#N/A,TRUE,"Schooping,Clearing";#N/A,#N/A,TRUE,"Winding"}</definedName>
    <definedName function="false" hidden="true" name="zz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_05F4FD85_78BF_4C07_8E5A_1B8AA1BAF4A4_.wvu.Cols" vbProcedure="false">#REF!</definedName>
    <definedName function="false" hidden="true" name="Z_05F4FD85_78BF_4C07_8E5A_1B8AA1BAF4A4_.wvu.FilterData" vbProcedure="false">#REF!</definedName>
    <definedName function="false" hidden="true" name="Z_05F4FD85_78BF_4C07_8E5A_1B8AA1BAF4A4_.wvu.PrintArea" vbProcedure="false">#REF!</definedName>
    <definedName function="false" hidden="true" name="Z_1567207B_D6F2_4A4F_A22F_762661042FAE_.wvu.PrintArea" vbProcedure="false">#REF!</definedName>
    <definedName function="false" hidden="true" name="Z_20CA9464_1EA5_4B7B_8734_F87A7690B6FA_.wvu.Cols" vbProcedure="false">#REF!</definedName>
    <definedName function="false" hidden="true" name="Z_20CA9464_1EA5_4B7B_8734_F87A7690B6FA_.wvu.FilterData" vbProcedure="false">#REF!</definedName>
    <definedName function="false" hidden="true" name="Z_37CA1147_34BB_4C62_91EF_A453038298B1_.wvu.FilterData" vbProcedure="false">#REF!</definedName>
    <definedName function="false" hidden="true" name="Z_37CA1147_34BB_4C62_91EF_A453038298B1_.wvu.PrintArea" vbProcedure="false">#REF!</definedName>
    <definedName function="false" hidden="true" name="Z_3D53C85A_1670_43A3_85FD_D83DBC1A5DDD_.wvu.Rows" vbProcedure="false">#REF!,#REF!,#REF!,#REF!,#REF!,#REF!,#REF!,#REF!,#REF!,#REF!,#REF!,#REF!,#REF!,#REF!,#REF!,#REF!,#REF!,#REF!,#REF!,#REF!,#REF!,#REF!,#REF!</definedName>
    <definedName function="false" hidden="true" name="Z_46643836_6218_4612_A19A_A73A8D1FDDD8_.wvu.PrintArea" vbProcedure="false">#REF!</definedName>
    <definedName function="false" hidden="true" name="Z_46643836_6218_4612_A19A_A73A8D1FDDD8_.wvu.Rows" vbProcedure="false">#REF!</definedName>
    <definedName function="false" hidden="true" name="Z_48284223_12A7_4EE9_B0E4_B9A89AC74F33_.wvu.Cols" vbProcedure="false">#REF!</definedName>
    <definedName function="false" hidden="true" name="Z_48284223_12A7_4EE9_B0E4_B9A89AC74F33_.wvu.FilterData" vbProcedure="false">#REF!</definedName>
    <definedName function="false" hidden="true" name="Z_48877919_4222_477F_B825_6B52F182C5EE_.wvu.Rows" vbProcedure="false">#REF!</definedName>
    <definedName function="false" hidden="true" name="Z_5602346D_EE3A_4FAA_AADB_D23E8602D7F9_.wvu.Cols" vbProcedure="false">#REF!,#REF!,#REF!,#REF!,#REF!,#REF!</definedName>
    <definedName function="false" hidden="true" name="Z_5602346D_EE3A_4FAA_AADB_D23E8602D7F9_.wvu.Rows" vbProcedure="false">#REF!</definedName>
    <definedName function="false" hidden="true" name="Z_56A4B98B_54F3_43B4_8BE0_1998C027F1B4_.wvu.Cols" vbProcedure="false">#REF!</definedName>
    <definedName function="false" hidden="true" name="Z_56A4B98B_54F3_43B4_8BE0_1998C027F1B4_.wvu.FilterData" vbProcedure="false">#REF!</definedName>
    <definedName function="false" hidden="true" name="Z_642DA10D_64FA_4358_B0DC_5DBF203593E7_.wvu.Cols" vbProcedure="false">#REF!,#REF!</definedName>
    <definedName function="false" hidden="true" name="Z_642DA10D_64FA_4358_B0DC_5DBF203593E7_.wvu.FilterData" vbProcedure="false">#REF!</definedName>
    <definedName function="false" hidden="true" name="Z_68B903B0_E98E_46D9_B8AC_F40334AD3811_.wvu.FilterData" vbProcedure="false">#REF!</definedName>
    <definedName function="false" hidden="true" name="Z_72433B6B_52A5_44EF_B66A_CDF264F3CA3B_.wvu.Cols" vbProcedure="false">#REF!</definedName>
    <definedName function="false" hidden="true" name="Z_72433B6B_52A5_44EF_B66A_CDF264F3CA3B_.wvu.PrintArea" vbProcedure="false">#REF!</definedName>
    <definedName function="false" hidden="true" name="Z_72433B6B_52A5_44EF_B66A_CDF264F3CA3B_.wvu.PrintTitles" vbProcedure="false">#REF!</definedName>
    <definedName function="false" hidden="true" name="Z_746852D3_BFD6_47E8_9DA9_56CF052FA174_.wvu.Rows" vbProcedure="false">#REF!</definedName>
    <definedName function="false" hidden="true" name="Z_7F5C00BE_B8A2_494E_9D68_FD543BCCC153_.wvu.FilterData" vbProcedure="false">#REF!</definedName>
    <definedName function="false" hidden="true" name="Z_7F5C00BE_B8A2_494E_9D68_FD543BCCC153_.wvu.PrintArea" vbProcedure="false">#REF!</definedName>
    <definedName function="false" hidden="true" name="Z_8F8B8CEA_5C23_422C_B1AD_05181AEFA8F5_.wvu.Cols" vbProcedure="false">#REF!</definedName>
    <definedName function="false" hidden="true" name="Z_8F8B8CEA_5C23_422C_B1AD_05181AEFA8F5_.wvu.FilterData" vbProcedure="false">#REF!</definedName>
    <definedName function="false" hidden="true" name="Z_8F8B8CEA_5C23_422C_B1AD_05181AEFA8F5_.wvu.PrintArea" vbProcedure="false">#REF!</definedName>
    <definedName function="false" hidden="true" name="Z_94331F79_2978_4D9C_A34D_0B28D57636AC_.wvu.Cols" vbProcedure="false">#REF!</definedName>
    <definedName function="false" hidden="true" name="Z_94331F79_2978_4D9C_A34D_0B28D57636AC_.wvu.FilterData" vbProcedure="false">#REF!</definedName>
    <definedName function="false" hidden="true" name="Z_B38843BF_DFDF_44FA_8E71_0A2E36B1AD6C_.wvu.Cols" vbProcedure="false">#REF!</definedName>
    <definedName function="false" hidden="true" name="Z_B38843BF_DFDF_44FA_8E71_0A2E36B1AD6C_.wvu.PrintArea" vbProcedure="false">#REF!</definedName>
    <definedName function="false" hidden="true" name="Z_B38843BF_DFDF_44FA_8E71_0A2E36B1AD6C_.wvu.Rows" vbProcedure="false">#REF!</definedName>
    <definedName function="false" hidden="true" name="Z_B58DAAE9_7602_47B2_9962_D9B410AF60F9_.wvu.Cols" vbProcedure="false">#REF!</definedName>
    <definedName function="false" hidden="true" name="Z_B58DAAE9_7602_47B2_9962_D9B410AF60F9_.wvu.FilterData" vbProcedure="false">#REF!</definedName>
    <definedName function="false" hidden="true" name="Z_C0B37B4C_3386_4542_9DCC_D004B914D214_.wvu.Cols" vbProcedure="false">#REF!</definedName>
    <definedName function="false" hidden="true" name="Z_C0B37B4C_3386_4542_9DCC_D004B914D214_.wvu.FilterData" vbProcedure="false">#REF!</definedName>
    <definedName function="false" hidden="true" name="Z_C0B37B4C_3386_4542_9DCC_D004B914D214_.wvu.PrintArea" vbProcedure="false">#REF!</definedName>
    <definedName function="false" hidden="true" name="Z_DC41D810_DAD8_11D2_A4E1_00105AF280E4_.wvu.Cols" vbProcedure="false">#REF!,#REF!,#REF!,#REF!,#REF!</definedName>
    <definedName function="false" hidden="true" name="Z_DC41D810_DAD8_11D2_A4E1_00105AF280E4_.wvu.PrintTitles" vbProcedure="false">#REF!</definedName>
    <definedName function="false" hidden="true" name="Z_DE54EB4E_7288_4CBC_B1F8_54C2468A83E6_.wvu.Cols" vbProcedure="false">#REF!,#REF!</definedName>
    <definedName function="false" hidden="true" name="Z_DE54EB4E_7288_4CBC_B1F8_54C2468A83E6_.wvu.PrintArea" vbProcedure="false">#REF!</definedName>
    <definedName function="false" hidden="true" name="Z_DE54EB4E_7288_4CBC_B1F8_54C2468A83E6_.wvu.Rows" vbProcedure="false">#REF!,#REF!,#REF!,#REF!</definedName>
    <definedName function="false" hidden="true" name="Z_EE726717_6F86_4902_92A9_5FC10CA897E6_.wvu.Cols" vbProcedure="false">#N/A</definedName>
    <definedName function="false" hidden="true" name="Z_EE726717_6F86_4902_92A9_5FC10CA897E6_.wvu.FilterData" vbProcedure="false">#N/A</definedName>
    <definedName function="false" hidden="true" name="Z_EE726717_6F86_4902_92A9_5FC10CA897E6_.wvu.PrintArea" vbProcedure="false">#N/A</definedName>
    <definedName function="false" hidden="true" name="Z_FCD948B3_B82B_4963_9638_A0A3297E3ACD_.wvu.Cols" vbProcedure="false">#REF!</definedName>
    <definedName function="false" hidden="true" name="Z_FCD948B3_B82B_4963_9638_A0A3297E3ACD_.wvu.FilterData" vbProcedure="false">#REF!</definedName>
    <definedName function="false" hidden="true" name="Z_FCD948B3_B82B_4963_9638_A0A3297E3ACD_.wvu.PrintArea" vbProcedure="false">#REF!</definedName>
    <definedName function="false" hidden="true" name="\\\" vbProcedure="false">{"raatios",#N/A,FALSE,"A";"ratios",#N/A,FALSE,"B";"ratios",#N/A,FALSE,"C";"ratios",#N/A,FALSE,"D";"ratios",#N/A,FALSE,"F"}</definedName>
    <definedName function="false" hidden="true" name="_108__123Graph_XCHART_4" vbProcedure="false">#REF!</definedName>
    <definedName function="false" hidden="true" name="_10__123Graph_BCHART_4" vbProcedure="false">#REF!</definedName>
    <definedName function="false" hidden="true" name="_10__123Graph_CChart_1A" vbProcedure="false">#REF!</definedName>
    <definedName function="false" hidden="true" name="_11__123Graph_DChart_1A" vbProcedure="false">#REF!</definedName>
    <definedName function="false" hidden="true" name="_123Graph_B" vbProcedure="false">#REF!</definedName>
    <definedName function="false" hidden="true" name="_123Graph_xchart5" vbProcedure="false">#REF!</definedName>
    <definedName function="false" hidden="true" name="_12__123Graph_BCHART_111" vbProcedure="false">#REF!</definedName>
    <definedName function="false" hidden="true" name="_12__123Graph_BCHART_3" vbProcedure="false">#REF!</definedName>
    <definedName function="false" hidden="true" name="_12__123Graph_EChart_1A" vbProcedure="false">#REF!</definedName>
    <definedName function="false" hidden="true" name="_12__123Graph_XCHART_4" vbProcedure="false">#REF!</definedName>
    <definedName function="false" hidden="true" name="_13__123Graph_BCHART_112" vbProcedure="false">#REF!</definedName>
    <definedName function="false" hidden="true" name="_13__123Graph_XChart_1A" vbProcedure="false">#REF!</definedName>
    <definedName function="false" hidden="true" name="_14__123Graph_BCHART_26" vbProcedure="false">#REF!</definedName>
    <definedName function="false" hidden="true" name="_14__0_S" vbProcedure="false">#REF!</definedName>
    <definedName function="false" hidden="true" name="_15__123Graph_BCHART_4" vbProcedure="false">#REF!</definedName>
    <definedName function="false" hidden="true" name="_15__0_S" vbProcedure="false">#REF!</definedName>
    <definedName function="false" hidden="true" name="_16__123Graph_ACHART_4" vbProcedure="false">#REF!</definedName>
    <definedName function="false" hidden="true" name="_18__123Graph_ACHART_4" vbProcedure="false">#REF!</definedName>
    <definedName function="false" hidden="true" name="_18__123Graph_XCHART_4" vbProcedure="false">#REF!</definedName>
    <definedName function="false" hidden="true" name="_19__123Graph_CCHART_111" vbProcedure="false">#REF!</definedName>
    <definedName function="false" hidden="true" name="_1ITAMEMC" vbProcedure="false">{#N/A,#N/A,FALSE,"USMED 3";#N/A,#N/A,FALSE,"MARCHALLENGER 1";#N/A,#N/A,FALSE,"MARCHALLENGER 2";#N/A,#N/A,FALSE,"MARCHALLENGER 3";#N/A,#N/A,FALSE,"MARCHALLENGER 4"}</definedName>
    <definedName function="false" hidden="true" name="_1_0_0_K" vbProcedure="false">#REF!</definedName>
    <definedName function="false" hidden="true" name="_1_0__123Grap" vbProcedure="false">#REF!</definedName>
    <definedName function="false" hidden="true" name="_1__123Graph_ACHART_4" vbProcedure="false">#REF!</definedName>
    <definedName function="false" hidden="true" name="_20__123Graph_CCHART_112" vbProcedure="false">#REF!</definedName>
    <definedName function="false" hidden="true" name="_21__123Graph_CCHART_26" vbProcedure="false">#REF!</definedName>
    <definedName function="false" hidden="true" name="_22__123Graph_CCHART_30" vbProcedure="false">#REF!</definedName>
    <definedName function="false" hidden="true" name="_25__123Graph_DCHART_112" vbProcedure="false">#REF!</definedName>
    <definedName function="false" hidden="true" name="_28__123Graph_XCHART_112" vbProcedure="false">#REF!</definedName>
    <definedName function="false" hidden="true" name="_2_0_0_S" vbProcedure="false">#REF!</definedName>
    <definedName function="false" hidden="true" name="_2__123Graph_ACHART_111" vbProcedure="false">#REF!</definedName>
    <definedName function="false" hidden="true" name="_2__123Graph_ACHART_4" vbProcedure="false">#REF!</definedName>
    <definedName function="false" hidden="true" name="_2__123Graph_BCHART_1" vbProcedure="false">#REF!</definedName>
    <definedName function="false" hidden="true" name="_31__123Graph_XCHART_30" vbProcedure="false">#REF!</definedName>
    <definedName function="false" hidden="true" name="_32__123Graph_BCHART_1" vbProcedure="false">#REF!</definedName>
    <definedName function="false" hidden="true" name="_36__123Graph_BCHART_1" vbProcedure="false">#REF!</definedName>
    <definedName function="false" hidden="true" name="_3__123Graph_ACHART_112" vbProcedure="false">#REF!</definedName>
    <definedName function="false" hidden="true" name="_3__123Graph_ACHART_4" vbProcedure="false">#REF!</definedName>
    <definedName function="false" hidden="true" name="_3__123Graph_BCHART_2" vbProcedure="false">#REF!</definedName>
    <definedName function="false" hidden="true" name="_48__123Graph_BCHART_2" vbProcedure="false">#REF!</definedName>
    <definedName function="false" hidden="true" name="_4__123Graph_BCHART_1" vbProcedure="false">#REF!</definedName>
    <definedName function="false" hidden="true" name="_4__123Graph_BCHART_3" vbProcedure="false">#REF!</definedName>
    <definedName function="false" hidden="true" name="_54__123Graph_BCHART_2" vbProcedure="false">#REF!</definedName>
    <definedName function="false" hidden="true" name="_5__123Graph_ACHART_26" vbProcedure="false">#REF!</definedName>
    <definedName function="false" hidden="true" name="_5__123Graph_BCHART_4" vbProcedure="false">#REF!</definedName>
    <definedName function="false" hidden="true" name="_64__123Graph_BCHART_3" vbProcedure="false">#REF!</definedName>
    <definedName function="false" hidden="true" name="_6__123Graph_BCHART_1" vbProcedure="false">#REF!</definedName>
    <definedName function="false" hidden="true" name="_6__123Graph_BCHART_2" vbProcedure="false">#REF!</definedName>
    <definedName function="false" hidden="true" name="_6__123Graph_XCHART_4" vbProcedure="false">#REF!</definedName>
    <definedName function="false" hidden="true" name="_72__123Graph_BCHART_3" vbProcedure="false">#REF!</definedName>
    <definedName function="false" hidden="true" name="_80__123Graph_BCHART_4" vbProcedure="false">#REF!</definedName>
    <definedName function="false" hidden="true" name="_8__123Graph_AChart_1A" vbProcedure="false">#REF!</definedName>
    <definedName function="false" hidden="true" name="_8__123Graph_ACHART_30" vbProcedure="false">#REF!</definedName>
    <definedName function="false" hidden="true" name="_8__123Graph_BCHART_3" vbProcedure="false">#REF!</definedName>
    <definedName function="false" hidden="true" name="_90__123Graph_BCHART_4" vbProcedure="false">#REF!</definedName>
    <definedName function="false" hidden="true" name="_96__123Graph_XCHART_4" vbProcedure="false">#REF!</definedName>
    <definedName function="false" hidden="true" name="_9__123Graph_BChart_1A" vbProcedure="false">#REF!</definedName>
    <definedName function="false" hidden="true" name="_9__123Graph_BCHART_2" vbProcedure="false">#REF!</definedName>
    <definedName function="false" hidden="true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name="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age1" vbProcedure="false">{"'Mach'!$A$1:$D$39"}</definedName>
    <definedName function="false" hidden="true" name="_BQ4.10" vbProcedure="false">#REF!</definedName>
    <definedName function="false" hidden="true" name="_BQ4.6" vbProcedure="false">#REF!</definedName>
    <definedName function="false" hidden="true" name="_BQ4.8" vbProcedure="false">#REF!</definedName>
    <definedName function="false" hidden="true" name="_BQ4.9" vbProcedure="false">#REF!</definedName>
    <definedName function="false" hidden="true" name="_chi9" vbProcedure="false">{#N/A,#N/A,FALSE,"USMED 3";#N/A,#N/A,FALSE,"MARCHALLENGER 1";#N/A,#N/A,FALSE,"MARCHALLENGER 2";#N/A,#N/A,FALSE,"MARCHALLENGER 3";#N/A,#N/A,FALSE,"MARCHALLENGER 4"}</definedName>
    <definedName function="false" hidden="true" name="_Dist_Bin" vbProcedure="false">#REF!</definedName>
    <definedName function="false" hidden="true" name="_Dist_Values" vbProcedure="false">#REF!</definedName>
    <definedName function="false" hidden="true" name="_E1" vbProcedure="false">{#N/A,#N/A,FALSE,"Graficos    ( 9 )"}</definedName>
    <definedName function="false" hidden="true" name="_E2" vbProcedure="false">{#N/A,#N/A,FALSE,"1321";#N/A,#N/A,FALSE,"1324";#N/A,#N/A,FALSE,"1333";#N/A,#N/A,FALSE,"1371"}</definedName>
    <definedName function="false" hidden="true" name="_fa1" vbProcedure="false">{"plansummary",#N/A,FALSE,"PlanSummary";"sales",#N/A,FALSE,"Sales Rec";"productivity",#N/A,FALSE,"Productivity Rec";"capitalspending",#N/A,FALSE,"Capital Spending"}</definedName>
    <definedName function="false" hidden="true" name="_fa2" vbProcedure="false">{"plansummary",#N/A,FALSE,"PlanSummary";"sales",#N/A,FALSE,"Sales Rec";"productivity",#N/A,FALSE,"Productivity Rec";"capitalspending",#N/A,FALSE,"Capital Spending"}</definedName>
    <definedName function="false" hidden="true" name="_fa3" vbProcedure="false">{"plansummary",#N/A,FALSE,"PlanSummary";"sales",#N/A,FALSE,"Sales Rec";"productivity",#N/A,FALSE,"Productivity Rec";"capitalspending",#N/A,FALSE,"Capital Spending"}</definedName>
    <definedName function="false" hidden="true" name="_Fill" vbProcedure="false">#REF!</definedName>
    <definedName function="false" hidden="true" name="_GSRATESR_1" vbProcedure="false">#REF!</definedName>
    <definedName function="false" hidden="true" name="_GSRATESR_2" vbProcedure="false">#REF!</definedName>
    <definedName function="false" hidden="true" name="_GSRATES_1" vbProcedure="false">"CT300001Latest          "</definedName>
    <definedName function="false" hidden="true" name="_GSRATES_2" vbProcedure="false">"CT30000120040521        "</definedName>
    <definedName function="false" hidden="true" name="_GSRATES_COUNT" vbProcedure="false">2</definedName>
    <definedName function="false" hidden="true" name="_Key1" vbProcedure="false">#REF!</definedName>
    <definedName function="false" hidden="true" name="_Key2" vbProcedure="false">#REF!</definedName>
    <definedName function="false" hidden="true" name="_LPS2" vbProcedure="false">{#N/A,#N/A,FALSE,"단축1";#N/A,#N/A,FALSE,"단축2";#N/A,#N/A,FALSE,"단축3";#N/A,#N/A,FALSE,"장축";#N/A,#N/A,FALSE,"4WD"}</definedName>
    <definedName function="false" hidden="true" name="_med7" vbProcedure="false">{#N/A,#N/A,FALSE,"USMED 3";#N/A,#N/A,FALSE,"MARCHALLENGER 1";#N/A,#N/A,FALSE,"MARCHALLENGER 2";#N/A,#N/A,FALSE,"MARCHALLENGER 3";#N/A,#N/A,FALSE,"MARCHALLENGER 4"}</definedName>
    <definedName function="false" hidden="true" name="_Mix1" vbProcedure="false">#REF!</definedName>
    <definedName function="false" hidden="true" name="_mor1" vbProcedure="false">#REF!</definedName>
    <definedName function="false" hidden="true" name="_msl3" vbProcedure="false">{#N/A,#N/A,FALSE,"USMED 3";#N/A,#N/A,FALSE,"MARCHALLENGER 1";#N/A,#N/A,FALSE,"MARCHALLENGER 2";#N/A,#N/A,FALSE,"MARCHALLENGER 3";#N/A,#N/A,FALSE,"MARCHALLENGER 4"}</definedName>
    <definedName function="false" hidden="true" name="_new2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3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4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5" vbProcedure="false">{#N/A,#N/A,FALSE,"3";#N/A,#N/A,FALSE,"5";#N/A,#N/A,FALSE,"6";#N/A,#N/A,FALSE,"8";#N/A,#N/A,FALSE,"10";#N/A,#N/A,FALSE,"13";#N/A,#N/A,FALSE,"14";#N/A,#N/A,FALSE,"15";#N/A,#N/A,FALSE,"16"}</definedName>
    <definedName function="false" hidden="true" name="_Order1" vbProcedure="false">255</definedName>
    <definedName function="false" hidden="true" name="_Order2" vbProcedure="false">255</definedName>
    <definedName function="false" hidden="true" name="_Parse_In" vbProcedure="false">#REF!</definedName>
    <definedName function="false" hidden="true" name="_Parse_Out" vbProcedure="false">#REF!</definedName>
    <definedName function="false" hidden="true" name="_R" vbProcedure="false">{#N/A,#N/A,FALSE,"USMED 3";#N/A,#N/A,FALSE,"MARCHALLENGER 1";#N/A,#N/A,FALSE,"MARCHALLENGER 2";#N/A,#N/A,FALSE,"MARCHALLENGER 3";#N/A,#N/A,FALSE,"MARCHALLENGER 4"}</definedName>
    <definedName function="false" hidden="true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Regression_Int" vbProcedure="false">1</definedName>
    <definedName function="false" hidden="true" name="_Regression_X" vbProcedure="false">#REF!</definedName>
    <definedName function="false" hidden="true" name="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sga" vbProcedure="false">#REF!</definedName>
    <definedName function="false" hidden="true" name="_sl3" vbProcedure="false">{#N/A,#N/A,FALSE,"USMED 3";#N/A,#N/A,FALSE,"MARCHALLENGER 1";#N/A,#N/A,FALSE,"MARCHALLENGER 2";#N/A,#N/A,FALSE,"MARCHALLENGER 3";#N/A,#N/A,FALSE,"MARCHALLENGER 4"}</definedName>
    <definedName function="false" hidden="true" name="_slm3" vbProcedure="false">{#N/A,#N/A,FALSE,"USMED 3";#N/A,#N/A,FALSE,"MARCHALLENGER 1";#N/A,#N/A,FALSE,"MARCHALLENGER 2";#N/A,#N/A,FALSE,"MARCHALLENGER 3";#N/A,#N/A,FALSE,"MARCHALLENGER 4"}</definedName>
    <definedName function="false" hidden="true" name="_Sort" vbProcedure="false">#REF!</definedName>
    <definedName function="false" hidden="true" name="_sorte" vbProcedure="false">#REF!</definedName>
    <definedName function="false" hidden="true" name="_SSK1" vbProcedure="false">{#N/A,#N/A,FALSE,"COMP"}</definedName>
    <definedName function="false" hidden="true" name="_T2" vbProcedure="false">{#N/A,#N/A,FALSE,"1321";#N/A,#N/A,FALSE,"1324";#N/A,#N/A,FALSE,"1333";#N/A,#N/A,FALSE,"1371"}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ft2" vbProcedure="false">{#N/A,#N/A,FALSE,"3";#N/A,#N/A,FALSE,"5";#N/A,#N/A,FALSE,"6";#N/A,#N/A,FALSE,"8";#N/A,#N/A,FALSE,"10";#N/A,#N/A,FALSE,"13";#N/A,#N/A,FALSE,"14";#N/A,#N/A,FALSE,"15";#N/A,#N/A,FALSE,"16"}</definedName>
    <definedName function="false" hidden="true" name="_UNDO31X31X_" vbProcedure="false">#REF!</definedName>
    <definedName function="false" hidden="true" name="_VOP3" vbProcedure="false">#REF!</definedName>
    <definedName function="false" hidden="true" name="_x2" vbProcedure="false">{#N/A,#N/A,FALSE,"3";#N/A,#N/A,FALSE,"5";#N/A,#N/A,FALSE,"6";#N/A,#N/A,FALSE,"8";#N/A,#N/A,FALSE,"10";#N/A,#N/A,FALSE,"13";#N/A,#N/A,FALSE,"14";#N/A,#N/A,FALSE,"15";#N/A,#N/A,FALSE,"16"}</definedName>
    <definedName function="false" hidden="true" name="_xlcn.GekoppeldeTabel_Tabel11" vbProcedure="false">#REF!</definedName>
    <definedName function="false" hidden="true" name="_xx1" vbProcedure="false">{"'Typical Costs Estimates'!$C$158:$H$161"}</definedName>
    <definedName function="false" hidden="true" name="__123Graph_A" vbProcedure="false">#REF!</definedName>
    <definedName function="false" hidden="true" name="__123Graph_AChart4" vbProcedure="false">#REF!</definedName>
    <definedName function="false" hidden="true" name="__123Graph_AChart5" vbProcedure="false">#REF!</definedName>
    <definedName function="false" hidden="true" name="__123Graph_AChart6" vbProcedure="false">#REF!</definedName>
    <definedName function="false" hidden="true" name="__123Graph_AChart7" vbProcedure="false">#REF!</definedName>
    <definedName function="false" hidden="true" name="__123Graph_ACurrent" vbProcedure="false">#REF!</definedName>
    <definedName function="false" hidden="true" name="__123Graph_ADOMSAL" vbProcedure="false">#REF!</definedName>
    <definedName function="false" hidden="true" name="__123Graph_AEXPSAL" vbProcedure="false">#REF!</definedName>
    <definedName function="false" hidden="true" name="__123Graph_AFINANZRECHNUNG" vbProcedure="false">#REF!</definedName>
    <definedName function="false" hidden="true" name="__123Graph_AGROSSEARN" vbProcedure="false">#REF!</definedName>
    <definedName function="false" hidden="true" name="__123Graph_ANETWORTH" vbProcedure="false">#REF!</definedName>
    <definedName function="false" hidden="true" name="__123Graph_AOUTPUT" vbProcedure="false">#REF!</definedName>
    <definedName function="false" hidden="true" name="__123Graph_APROFIT" vbProcedure="false">#REF!</definedName>
    <definedName function="false" hidden="true" name="__123Graph_B" vbProcedure="false">#REF!</definedName>
    <definedName function="false" hidden="true" name="__123Graph_BChart4" vbProcedure="false">#REF!</definedName>
    <definedName function="false" hidden="true" name="__123Graph_BChart5" vbProcedure="false">#REF!</definedName>
    <definedName function="false" hidden="true" name="__123Graph_BChart6" vbProcedure="false">#REF!</definedName>
    <definedName function="false" hidden="true" name="__123Graph_BChart7" vbProcedure="false">#REF!</definedName>
    <definedName function="false" hidden="true" name="__123Graph_BCurrent" vbProcedure="false">#REF!</definedName>
    <definedName function="false" hidden="true" name="__123Graph_BFINANZRECHNUNG" vbProcedure="false">#REF!</definedName>
    <definedName function="false" hidden="true" name="__123Graph_C" vbProcedure="false">#REF!</definedName>
    <definedName function="false" hidden="true" name="__123Graph_CChart1" vbProcedure="false">#REF!</definedName>
    <definedName function="false" hidden="true" name="__123Graph_CChart2" vbProcedure="false">#REF!</definedName>
    <definedName function="false" hidden="true" name="__123Graph_CChart3" vbProcedure="false">#REF!</definedName>
    <definedName function="false" hidden="true" name="__123Graph_CChart4" vbProcedure="false">#REF!</definedName>
    <definedName function="false" hidden="true" name="__123Graph_CChart5" vbProcedure="false">#REF!</definedName>
    <definedName function="false" hidden="true" name="__123Graph_CChart6" vbProcedure="false">#REF!</definedName>
    <definedName function="false" hidden="true" name="__123Graph_CChart7" vbProcedure="false">#REF!</definedName>
    <definedName function="false" hidden="true" name="__123Graph_CCurrent" vbProcedure="false">#REF!</definedName>
    <definedName function="false" hidden="true" name="__123Graph_CFINANZRECHNUNG" vbProcedure="false">#REF!</definedName>
    <definedName function="false" hidden="true" name="__123Graph_D" vbProcedure="false">#REF!</definedName>
    <definedName function="false" hidden="true" name="__123Graph_DChart1" vbProcedure="false">#REF!</definedName>
    <definedName function="false" hidden="true" name="__123Graph_DChart2" vbProcedure="false">#REF!</definedName>
    <definedName function="false" hidden="true" name="__123Graph_DChart3" vbProcedure="false">#REF!</definedName>
    <definedName function="false" hidden="true" name="__123Graph_DChart4" vbProcedure="false">#REF!</definedName>
    <definedName function="false" hidden="true" name="__123Graph_DChart5" vbProcedure="false">#REF!</definedName>
    <definedName function="false" hidden="true" name="__123Graph_DChart6" vbProcedure="false">#REF!</definedName>
    <definedName function="false" hidden="true" name="__123Graph_DChart7" vbProcedure="false">#REF!</definedName>
    <definedName function="false" hidden="true" name="__123Graph_DCurrent" vbProcedure="false">#REF!</definedName>
    <definedName function="false" hidden="true" name="__123Graph_DFINANZRECHNUNG" vbProcedure="false">#REF!</definedName>
    <definedName function="false" hidden="true" name="__123Graph_DOUTPUT" vbProcedure="false">#REF!</definedName>
    <definedName function="false" hidden="true" name="__123Graph_E" vbProcedure="false">#REF!</definedName>
    <definedName function="false" hidden="true" name="__123Graph_EChart4" vbProcedure="false">#REF!</definedName>
    <definedName function="false" hidden="true" name="__123Graph_EChart5" vbProcedure="false">#REF!</definedName>
    <definedName function="false" hidden="true" name="__123Graph_EChart6" vbProcedure="false">#REF!</definedName>
    <definedName function="false" hidden="true" name="__123Graph_EChart7" vbProcedure="false">#REF!</definedName>
    <definedName function="false" hidden="true" name="__123Graph_ECurrent" vbProcedure="false">#REF!</definedName>
    <definedName function="false" hidden="true" name="__123Graph_EOUTPUT" vbProcedure="false">#REF!</definedName>
    <definedName function="false" hidden="true" name="__123Graph_F" vbProcedure="false">#REF!</definedName>
    <definedName function="false" hidden="true" name="__123Graph_LBL_A" vbProcedure="false">#REF!</definedName>
    <definedName function="false" hidden="true" name="__123Graph_LBL_ADOMSAL" vbProcedure="false">#REF!</definedName>
    <definedName function="false" hidden="true" name="__123Graph_LBL_AEXPSAL" vbProcedure="false">#REF!</definedName>
    <definedName function="false" hidden="true" name="__123Graph_LBL_AGROSSEARN" vbProcedure="false">#REF!</definedName>
    <definedName function="false" hidden="true" name="__123Graph_LBL_ANETWORTH" vbProcedure="false">#REF!</definedName>
    <definedName function="false" hidden="true" name="__123Graph_LBL_AOUTPUT" vbProcedure="false">#REF!</definedName>
    <definedName function="false" hidden="true" name="__123Graph_LBL_APROFIT" vbProcedure="false">#REF!</definedName>
    <definedName function="false" hidden="true" name="__123Graph_LBL_B" vbProcedure="false">#REF!</definedName>
    <definedName function="false" hidden="true" name="__123Graph_LBL_C" vbProcedure="false">#REF!</definedName>
    <definedName function="false" hidden="true" name="__123Graph_LBL_D" vbProcedure="false">#REF!</definedName>
    <definedName function="false" hidden="true" name="__123Graph_LBL_DOUTPUT" vbProcedure="false">#REF!</definedName>
    <definedName function="false" hidden="true" name="__123Graph_LBL_E" vbProcedure="false">#REF!</definedName>
    <definedName function="false" hidden="true" name="__123Graph_X" vbProcedure="false">#REF!</definedName>
    <definedName function="false" hidden="true" name="__123Graph_XChart4" vbProcedure="false">#REF!</definedName>
    <definedName function="false" hidden="true" name="__123Graph_XChart5" vbProcedure="false">#REF!</definedName>
    <definedName function="false" hidden="true" name="__123Graph_XChart6" vbProcedure="false">#REF!</definedName>
    <definedName function="false" hidden="true" name="__123Graph_XChart7" vbProcedure="false">#REF!</definedName>
    <definedName function="false" hidden="true" name="__123Graph_XCurrent" vbProcedure="false">#REF!</definedName>
    <definedName function="false" hidden="true" name="__123Graph_XDOMSAL" vbProcedure="false">#REF!</definedName>
    <definedName function="false" hidden="true" name="__123Graph_XEXPSAL" vbProcedure="false">#REF!</definedName>
    <definedName function="false" hidden="true" name="__123Graph_XGROSSEARN" vbProcedure="false">#REF!</definedName>
    <definedName function="false" hidden="true" name="__123Graph_XIRG" vbProcedure="false">#REF!</definedName>
    <definedName function="false" hidden="true" name="__123Graph_XNETWORTH" vbProcedure="false">#REF!</definedName>
    <definedName function="false" hidden="true" name="__123Graph_XOUTPUT" vbProcedure="false">#REF!</definedName>
    <definedName function="false" hidden="true" name="__123Graph_XPROFIT" vbProcedure="false">#REF!</definedName>
    <definedName function="false" hidden="true" name="__chi9" vbProcedure="false">{#N/A,#N/A,FALSE,"USMED 3";#N/A,#N/A,FALSE,"MARCHALLENGER 1";#N/A,#N/A,FALSE,"MARCHALLENGER 2";#N/A,#N/A,FALSE,"MARCHALLENGER 3";#N/A,#N/A,FALSE,"MARCHALLENGER 4"}</definedName>
    <definedName function="false" hidden="true" name="__EdFJsKAA" vbProcedure="false">#REF!</definedName>
    <definedName function="false" hidden="true" name="__fa1" vbProcedure="false">{"plansummary",#N/A,FALSE,"PlanSummary";"sales",#N/A,FALSE,"Sales Rec";"productivity",#N/A,FALSE,"Productivity Rec";"capitalspending",#N/A,FALSE,"Capital Spending"}</definedName>
    <definedName function="false" hidden="true" name="__fa2" vbProcedure="false">{"plansummary",#N/A,FALSE,"PlanSummary";"sales",#N/A,FALSE,"Sales Rec";"productivity",#N/A,FALSE,"Productivity Rec";"capitalspending",#N/A,FALSE,"Capital Spending"}</definedName>
    <definedName function="false" hidden="true" name="__fa3" vbProcedure="false">{"plansummary",#N/A,FALSE,"PlanSummary";"sales",#N/A,FALSE,"Sales Rec";"productivity",#N/A,FALSE,"Productivity Rec";"capitalspending",#N/A,FALSE,"Capital Spending"}</definedName>
    <definedName function="false" hidden="true" name="__feb2" vbProcedure="false">{#N/A,#N/A,TRUE,"KEY DATA";#N/A,#N/A,TRUE,"KEY DATA Base Case";#N/A,#N/A,TRUE,"JULY";#N/A,#N/A,TRUE,"AUG";#N/A,#N/A,TRUE,"SEPT";#N/A,#N/A,TRUE,"3Q"}</definedName>
    <definedName function="false" hidden="true" name="__guv3" vbProcedure="false">{"K GuV o. Kommentar",#N/A,FALSE,"Kaufhof"}</definedName>
    <definedName function="false" hidden="true" name="__IntlFixup" vbProcedure="false">TRUE()</definedName>
    <definedName function="false" hidden="true" name="__IntlFixupTable" vbProcedure="false">#REF!</definedName>
    <definedName function="false" hidden="true" name="__Key2" vbProcedure="false">#REF!</definedName>
    <definedName function="false" hidden="true" name="__LPS2" vbProcedure="false">{#N/A,#N/A,FALSE,"단축1";#N/A,#N/A,FALSE,"단축2";#N/A,#N/A,FALSE,"단축3";#N/A,#N/A,FALSE,"장축";#N/A,#N/A,FALSE,"4WD"}</definedName>
    <definedName function="false" hidden="true" name="__med7" vbProcedure="false">{#N/A,#N/A,FALSE,"USMED 3";#N/A,#N/A,FALSE,"MARCHALLENGER 1";#N/A,#N/A,FALSE,"MARCHALLENGER 2";#N/A,#N/A,FALSE,"MARCHALLENGER 3";#N/A,#N/A,FALSE,"MARCHALLENGER 4"}</definedName>
    <definedName function="false" hidden="true" name="__Mix1" vbProcedure="false">#REF!</definedName>
    <definedName function="false" hidden="true" name="__msl3" vbProcedure="false">{#N/A,#N/A,FALSE,"USMED 3";#N/A,#N/A,FALSE,"MARCHALLENGER 1";#N/A,#N/A,FALSE,"MARCHALLENGER 2";#N/A,#N/A,FALSE,"MARCHALLENGER 3";#N/A,#N/A,FALSE,"MARCHALLENGER 4"}</definedName>
    <definedName function="false" hidden="true" name="__R" vbProcedure="false">{#N/A,#N/A,FALSE,"USMED 3";#N/A,#N/A,FALSE,"MARCHALLENGER 1";#N/A,#N/A,FALSE,"MARCHALLENGER 2";#N/A,#N/A,FALSE,"MARCHALLENGER 3";#N/A,#N/A,FALSE,"MARCHALLENGER 4"}</definedName>
    <definedName function="false" hidden="true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_sl3" vbProcedure="false">{#N/A,#N/A,FALSE,"USMED 3";#N/A,#N/A,FALSE,"MARCHALLENGER 1";#N/A,#N/A,FALSE,"MARCHALLENGER 2";#N/A,#N/A,FALSE,"MARCHALLENGER 3";#N/A,#N/A,FALSE,"MARCHALLENGER 4"}</definedName>
    <definedName function="false" hidden="true" name="__slm3" vbProcedure="false">{#N/A,#N/A,FALSE,"USMED 3";#N/A,#N/A,FALSE,"MARCHALLENGER 1";#N/A,#N/A,FALSE,"MARCHALLENGER 2";#N/A,#N/A,FALSE,"MARCHALLENGER 3";#N/A,#N/A,FALSE,"MARCHALLENGER 4"}</definedName>
    <definedName function="false" hidden="true" name="__SSK1" vbProcedure="false">{#N/A,#N/A,FALSE,"COMP"}</definedName>
    <definedName function="false" hidden="true" name="__VOP3" vbProcedure="false">#REF!</definedName>
    <definedName function="false" hidden="true" name="__xx1" vbProcedure="false">{"'Typical Costs Estimates'!$C$158:$H$161"}</definedName>
    <definedName function="false" hidden="true" name="___chi9" vbProcedure="false">{#N/A,#N/A,FALSE,"USMED 3";#N/A,#N/A,FALSE,"MARCHALLENGER 1";#N/A,#N/A,FALSE,"MARCHALLENGER 2";#N/A,#N/A,FALSE,"MARCHALLENGER 3";#N/A,#N/A,FALSE,"MARCHALLENGER 4"}</definedName>
    <definedName function="false" hidden="true" name="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guv3" vbProcedure="false">{"K GuV o. Kommentar",#N/A,FALSE,"Kaufhof"}</definedName>
    <definedName function="false" hidden="true" name="___Key2" vbProcedure="false">#REF!</definedName>
    <definedName function="false" hidden="true" name="___LPS2" vbProcedure="false">{#N/A,#N/A,FALSE,"단축1";#N/A,#N/A,FALSE,"단축2";#N/A,#N/A,FALSE,"단축3";#N/A,#N/A,FALSE,"장축";#N/A,#N/A,FALSE,"4WD"}</definedName>
    <definedName function="false" hidden="true" name="___med7" vbProcedure="false">{#N/A,#N/A,FALSE,"USMED 3";#N/A,#N/A,FALSE,"MARCHALLENGER 1";#N/A,#N/A,FALSE,"MARCHALLENGER 2";#N/A,#N/A,FALSE,"MARCHALLENGER 3";#N/A,#N/A,FALSE,"MARCHALLENGER 4"}</definedName>
    <definedName function="false" hidden="true" name="___msl3" vbProcedure="false">{#N/A,#N/A,FALSE,"USMED 3";#N/A,#N/A,FALSE,"MARCHALLENGER 1";#N/A,#N/A,FALSE,"MARCHALLENGER 2";#N/A,#N/A,FALSE,"MARCHALLENGER 3";#N/A,#N/A,FALSE,"MARCHALLENGER 4"}</definedName>
    <definedName function="false" hidden="true" name="___R" vbProcedure="false">{#N/A,#N/A,FALSE,"USMED 3";#N/A,#N/A,FALSE,"MARCHALLENGER 1";#N/A,#N/A,FALSE,"MARCHALLENGER 2";#N/A,#N/A,FALSE,"MARCHALLENGER 3";#N/A,#N/A,FALSE,"MARCHALLENGER 4"}</definedName>
    <definedName function="false" hidden="true" name="___sl3" vbProcedure="false">{#N/A,#N/A,FALSE,"USMED 3";#N/A,#N/A,FALSE,"MARCHALLENGER 1";#N/A,#N/A,FALSE,"MARCHALLENGER 2";#N/A,#N/A,FALSE,"MARCHALLENGER 3";#N/A,#N/A,FALSE,"MARCHALLENGER 4"}</definedName>
    <definedName function="false" hidden="true" name="___slm3" vbProcedure="false">{#N/A,#N/A,FALSE,"USMED 3";#N/A,#N/A,FALSE,"MARCHALLENGER 1";#N/A,#N/A,FALSE,"MARCHALLENGER 2";#N/A,#N/A,FALSE,"MARCHALLENGER 3";#N/A,#N/A,FALSE,"MARCHALLENGER 4"}</definedName>
    <definedName function="false" hidden="true" name="___SSK1" vbProcedure="false">{#N/A,#N/A,FALSE,"COMP"}</definedName>
    <definedName function="false" hidden="true" name="___VOP3" vbProcedure="false">#REF!</definedName>
    <definedName function="false" hidden="true" name="___xx1" vbProcedure="false">{"'Typical Costs Estimates'!$C$158:$H$161"}</definedName>
    <definedName function="false" hidden="true" name="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2" vbProcedure="false">{#N/A,#N/A,TRUE,"KEY DATA";#N/A,#N/A,TRUE,"KEY DATA Base Case";#N/A,#N/A,TRUE,"JULY";#N/A,#N/A,TRUE,"AUG";#N/A,#N/A,TRUE,"SEPT";#N/A,#N/A,TRUE,"3Q"}</definedName>
    <definedName function="false" hidden="true" name="____guv3" vbProcedure="false">{"K GuV o. Kommentar",#N/A,FALSE,"Kaufhof"}</definedName>
    <definedName function="false" hidden="true" name="____KEY2" vbProcedure="false">#REF!</definedName>
    <definedName function="false" hidden="true" name="____mor1" vbProcedure="false">#REF!</definedName>
    <definedName function="false" hidden="true" name="____SSK1" vbProcedure="false">{#N/A,#N/A,FALSE,"COMP"}</definedName>
    <definedName function="false" hidden="true" name="____VOP3" vbProcedure="false">#REF!</definedName>
    <definedName function="false" hidden="true" name="____xx1" vbProcedure="false">{"'Typical Costs Estimates'!$C$158:$H$161"}</definedName>
    <definedName function="false" hidden="true" name="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SSK1" vbProcedure="false">{#N/A,#N/A,FALSE,"COMP"}</definedName>
    <definedName function="false" hidden="true" name="_____VOP3" vbProcedure="false">#REF!</definedName>
    <definedName function="false" hidden="true" name="_____xx1" vbProcedure="false">{"'Typical Costs Estimates'!$C$158:$H$161"}</definedName>
    <definedName function="false" hidden="true" name="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guv3" vbProcedure="false">{"K GuV o. Kommentar",#N/A,FALSE,"Kaufhof"}</definedName>
    <definedName function="false" hidden="true" name="______VOP3" vbProcedure="false">#REF!</definedName>
    <definedName function="false" hidden="true" name="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guv3" vbProcedure="false">{"K GuV o. Kommentar",#N/A,FALSE,"Kaufhof"}</definedName>
    <definedName function="false" hidden="true" name="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ÐCompanyName" vbProcedure="false">#REF!</definedName>
    <definedName function="false" hidden="true" name="ÐYesNoDropdown" vbProcedure="false">#REF!</definedName>
    <definedName function="false" hidden="true" name="ㅈㅈㅈ" vbProcedure="false">{#N/A,#N/A,FALSE,"단축1";#N/A,#N/A,FALSE,"단축2";#N/A,#N/A,FALSE,"단축3";#N/A,#N/A,FALSE,"장축";#N/A,#N/A,FALSE,"4WD"}</definedName>
    <definedName function="false" hidden="true" name="固定" vbProcedure="false">#REF!</definedName>
    <definedName function="false" hidden="true" name="개발시험종합" vbProcedure="false">#REF!</definedName>
    <definedName function="false" hidden="true" name="보고" vbProcedure="false">{#N/A,#N/A,FALSE,"단축1";#N/A,#N/A,FALSE,"단축2";#N/A,#N/A,FALSE,"단축3";#N/A,#N/A,FALSE,"장축";#N/A,#N/A,FALSE,"4WD"}</definedName>
    <definedName function="false" hidden="true" name="셀리카" vbProcedure="false">#REF!</definedName>
    <definedName function="false" hidden="true" name="수정현금흐름표" vbProcedure="false">{#N/A,#N/A,TRUE,"Summary";#N/A,#N/A,TRUE,"IS";#N/A,#N/A,TRUE,"Adj";#N/A,#N/A,TRUE,"BS";#N/A,#N/A,TRUE,"CF";#N/A,#N/A,TRUE,"Debt";#N/A,#N/A,TRUE,"IRR"}</definedName>
    <definedName function="false" hidden="true" name="업체방문" vbProcedure="false">{#N/A,#N/A,FALSE,"단축1";#N/A,#N/A,FALSE,"단축2";#N/A,#N/A,FALSE,"단축3";#N/A,#N/A,FALSE,"장축";#N/A,#N/A,FALSE,"4WD"}</definedName>
    <definedName function="false" hidden="true" name="이란" vbProcedure="false">{#N/A,#N/A,FALSE,"단축1";#N/A,#N/A,FALSE,"단축2";#N/A,#N/A,FALSE,"단축3";#N/A,#N/A,FALSE,"장축";#N/A,#N/A,FALSE,"4WD"}</definedName>
    <definedName function="false" hidden="true" name="진출의사보유" vbProcedure="false">{#N/A,#N/A,FALSE,"단축1";#N/A,#N/A,FALSE,"단축2";#N/A,#N/A,FALSE,"단축3";#N/A,#N/A,FALSE,"장축";#N/A,#N/A,FALSE,"4WD"}</definedName>
    <definedName function="false" hidden="true" name="첨" vbProcedure="false">{#N/A,#N/A,FALSE,"단축1";#N/A,#N/A,FALSE,"단축2";#N/A,#N/A,FALSE,"단축3";#N/A,#N/A,FALSE,"장축";#N/A,#N/A,FALSE,"4WD"}</definedName>
    <definedName function="false" hidden="true" name="투자" vbProcedure="false">1</definedName>
    <definedName function="false" hidden="true" name="하늘" vbProcedure="false">{#N/A,#N/A,FALSE,"단축1";#N/A,#N/A,FALSE,"단축2";#N/A,#N/A,FALSE,"단축3";#N/A,#N/A,FALSE,"장축";#N/A,#N/A,FALSE,"4WD"}</definedName>
    <definedName function="false" hidden="true" name="ｋ" vbProcedure="false">#REF!</definedName>
    <definedName function="false" hidden="true" localSheetId="0" name="a." vbProcedure="false">{#N/A,#N/A,TRUE,"KEY DATA";#N/A,#N/A,TRUE,"KEY DATA Base Case";#N/A,#N/A,TRUE,"JULY";#N/A,#N/A,TRUE,"AUG";#N/A,#N/A,TRUE,"SEPT";#N/A,#N/A,TRUE,"3Q"}</definedName>
    <definedName function="false" hidden="true" localSheetId="0" name="A.." vbProcedure="false">{#N/A,#N/A,TRUE,"KEY DATA";#N/A,#N/A,TRUE,"KEY DATA Base Case";#N/A,#N/A,TRUE,"JULY";#N/A,#N/A,TRUE,"AUG";#N/A,#N/A,TRUE,"SEPT";#N/A,#N/A,TRUE,"3Q"}</definedName>
    <definedName function="false" hidden="true" localSheetId="0" name="aaa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aaa." vbProcedure="false">{#N/A,#N/A,TRUE,"KEY DATA";#N/A,#N/A,TRUE,"KEY DATA Base Case";#N/A,#N/A,TRUE,"JULY";#N/A,#N/A,TRUE,"AUG";#N/A,#N/A,TRUE,"SEPT";#N/A,#N/A,TRUE,"3Q"}</definedName>
    <definedName function="false" hidden="true" localSheetId="0" name="aaaaaaaaa.aaaa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AAAAAAAAAAAAAAAAAAAAAAAAAAAAAAAAAAAAA" vbProcedure="false">{#N/A,#N/A,FALSE,"USMED 3";#N/A,#N/A,FALSE,"MARCHALLENGER 1";#N/A,#N/A,FALSE,"MARCHALLENGER 2";#N/A,#N/A,FALSE,"MARCHALLENGER 3";#N/A,#N/A,FALSE,"MARCHALLENGER 4"}</definedName>
    <definedName function="false" hidden="true" localSheetId="0" name="aaaasdf" vbProcedure="false">{#N/A,#N/A,TRUE,"GEM Total";#N/A,#N/A,TRUE,"Final Assembly";#N/A,#N/A,TRUE,"Cleaning";#N/A,#N/A,TRUE,"Schooping,Clearing";#N/A,#N/A,TRUE,"Winding"}</definedName>
    <definedName function="false" hidden="true" localSheetId="0" name="aaaassss" vbProcedure="false">{#N/A,#N/A,TRUE,"GEM Total";#N/A,#N/A,TRUE,"Final Assembly";#N/A,#N/A,TRUE,"Cleaning";#N/A,#N/A,TRUE,"Schooping,Clearing";#N/A,#N/A,TRUE,"Winding"}</definedName>
    <definedName function="false" hidden="true" localSheetId="0" name="aab" vbProcedure="false">{"'Mach'!$A$1:$D$39"}</definedName>
    <definedName function="false" hidden="true" localSheetId="0" name="aasasasASasASasASasASasASAs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ASASD" vbProcedure="false">{#N/A,#N/A,TRUE,"Summary";#N/A,#N/A,TRUE,"IS";#N/A,#N/A,TRUE,"Adj";#N/A,#N/A,TRUE,"BS";#N/A,#N/A,TRUE,"CF";#N/A,#N/A,TRUE,"Debt";#N/A,#N/A,TRUE,"IRR"}</definedName>
    <definedName function="false" hidden="true" localSheetId="0" name="abc.doc" vbProcedure="false">{"'Income Statement'!$D$96:$E$101"}</definedName>
    <definedName function="false" hidden="true" localSheetId="0" name="actual" vbProcedure="false">{#N/A,#N/A,FALSE,"Cash Flows";#N/A,#N/A,FALSE,"Fixed Assets";#N/A,#N/A,FALSE,"Balance Sheet";#N/A,#N/A,FALSE,"P &amp; L"}</definedName>
    <definedName function="false" hidden="true" localSheetId="0" name="ad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dd" vbProcedure="false">{"Inputs",#N/A,FALSE,"Data Reduction";"Outputs",#N/A,FALSE,"Data Reduction";"Cycle Deck Comparison",#N/A,FALSE,"Data Reduction"}</definedName>
    <definedName function="false" hidden="true" localSheetId="0" name="additions" vbProcedure="false">{#N/A,#N/A,FALSE,"COMP"}</definedName>
    <definedName function="false" hidden="true" localSheetId="0" name="a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ge" vbProcedure="false">{#N/A,#N/A,FALSE,"Aging Summary";#N/A,#N/A,FALSE,"Ratio Analysis";#N/A,#N/A,FALSE,"Test 120 Day Accts";#N/A,#N/A,FALSE,"Tickmarks"}</definedName>
    <definedName function="false" hidden="true" localSheetId="0" name="Ahdhdhd" vbProcedure="false">{"Inputs",#N/A,FALSE,"Data Reduction";"Outputs",#N/A,FALSE,"Data Reduction";"Cycle Deck Comparison",#N/A,FALSE,"Data Reduction"}</definedName>
    <definedName function="false" hidden="true" localSheetId="0" name="ANNUITY" vbProcedure="false">{"'Typical Costs Estimates'!$C$158:$H$161"}</definedName>
    <definedName function="false" hidden="true" localSheetId="0" name="asa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sb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asbdfk" vbProcedure="false">{#N/A,#N/A,FALSE,"10"}</definedName>
    <definedName function="false" hidden="true" localSheetId="0" name="asdasdasd" vbProcedure="false">{#N/A,#N/A,FALSE,"COMP"}</definedName>
    <definedName function="false" hidden="true" localSheetId="0" name="asdf" vbProcedure="false">{#N/A,#N/A,FALSE,"CDA Plan"}</definedName>
    <definedName function="false" hidden="true" localSheetId="0" name="asdfg" vbProcedure="false">{#N/A,#N/A,TRUE,"KEY DATA";#N/A,#N/A,TRUE,"KEY DATA Base Case";#N/A,#N/A,TRUE,"JULY";#N/A,#N/A,TRUE,"AUG";#N/A,#N/A,TRUE,"SEPT";#N/A,#N/A,TRUE,"3Q"}</definedName>
    <definedName function="false" hidden="true" localSheetId="0" name="asfsdf" vbProcedure="false">{#N/A,#N/A,FALSE,"COMP"}</definedName>
    <definedName function="false" hidden="true" localSheetId="0" name="asf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shis" vbProcedure="false">{#N/A,#N/A,FALSE,"8"}</definedName>
    <definedName function="false" hidden="true" localSheetId="0" name="ashish" vbProcedure="false">{#N/A,#N/A,FALSE,"11"}</definedName>
    <definedName function="false" hidden="true" localSheetId="0" name="asset" vbProcedure="false">{"'Mach'!$A$1:$D$39"}</definedName>
    <definedName function="false" hidden="true" localSheetId="0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backup" vbProcedure="false">{#N/A,#N/A,TRUE,"KEY DATA";#N/A,#N/A,TRUE,"KEY DATA Base Case";#N/A,#N/A,TRUE,"JULY";#N/A,#N/A,TRUE,"AUG";#N/A,#N/A,TRUE,"SEPT";#N/A,#N/A,TRUE,"3Q"}</definedName>
    <definedName function="false" hidden="true" localSheetId="0" name="backup." vbProcedure="false">{#N/A,#N/A,TRUE,"KEY DATA";#N/A,#N/A,TRUE,"KEY DATA Base Case";#N/A,#N/A,TRUE,"JULY";#N/A,#N/A,TRUE,"AUG";#N/A,#N/A,TRUE,"SEPT";#N/A,#N/A,TRUE,"3Q"}</definedName>
    <definedName function="false" hidden="true" localSheetId="0" name="Bari" vbProcedure="false">{"inventory",#N/A,FALSE,"Inven. Turns 97 Rep";"sales",#N/A,FALSE,"Inven. Turns 97 Rep";"turns",#N/A,FALSE,"Inven. Turns 97 Rep";"days",#N/A,FALSE,"Inven. Turns 97 Rep"}</definedName>
    <definedName function="false" hidden="true" localSheetId="0" name="Bari." vbProcedure="false">{"Inventory",#N/A,TRUE,"Inven. Turns 1996";"sales",#N/A,TRUE,"Inven. Turns 1996";"Turns",#N/A,TRUE,"Inven. Turns 1996";"days",#N/A,TRUE,"Inven. Turns 1996"}</definedName>
    <definedName function="false" hidden="true" localSheetId="0" name="b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bcv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bdk" vbProcedure="false">{"Inputs",#N/A,FALSE,"Data Reduction";"Outputs",#N/A,FALSE,"Data Reduction";"Cycle Deck Comparison",#N/A,FALSE,"Data Reduction"}</definedName>
    <definedName function="false" hidden="true" localSheetId="0" name="bilan4" vbProcedure="false">{"K Bilanz o. Kommentar",#N/A,FALSE,"Kaufhof"}</definedName>
    <definedName function="false" hidden="true" localSheetId="0" name="BSDPL" vbProcedure="false">{#N/A,#N/A,FALSE,"CDA Plan"}</definedName>
    <definedName function="false" hidden="true" localSheetId="0" name="BWFINANCIALS" vbProcedure="false">{"'CQ1-4'!$B$1:$L$49"}</definedName>
    <definedName function="false" hidden="true" localSheetId="0" name="cancel" vbProcedure="false">{#N/A,#N/A,TRUE,"KEY DATA";#N/A,#N/A,TRUE,"KEY DATA Base Case";#N/A,#N/A,TRUE,"JULY";#N/A,#N/A,TRUE,"AUG";#N/A,#N/A,TRUE,"SEPT";#N/A,#N/A,TRUE,"3Q"}</definedName>
    <definedName function="false" hidden="true" localSheetId="0" name="cas" vbProcedure="false">{#N/A,#N/A,FALSE,"10"}</definedName>
    <definedName function="false" hidden="true" localSheetId="0" name="cashflow2" vbProcedure="false">{#N/A,#N/A,FALSE,"10"}</definedName>
    <definedName function="false" hidden="true" localSheetId="0" name="ce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cenva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CHECKING" vbProcedure="false">{#N/A,#N/A,TRUE,"Summary";#N/A,#N/A,TRUE,"IS";#N/A,#N/A,TRUE,"Adj";#N/A,#N/A,TRUE,"BS";#N/A,#N/A,TRUE,"CF";#N/A,#N/A,TRUE,"Debt";#N/A,#N/A,TRUE,"IRR"}</definedName>
    <definedName function="false" hidden="true" localSheetId="0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CHENNAI1" vbProcedure="false">{#N/A,#N/A,FALSE,"Aging Summary";#N/A,#N/A,FALSE,"Ratio Analysis";#N/A,#N/A,FALSE,"Test 120 Day Accts";#N/A,#N/A,FALSE,"Tickmarks"}</definedName>
    <definedName function="false" hidden="true" localSheetId="0" name="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Christine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ClubMed" vbProcedure="false">{"inventory",#N/A,FALSE,"Inven. Turns 97 Rep";"sales",#N/A,FALSE,"Inven. Turns 97 Rep";"turns",#N/A,FALSE,"Inven. Turns 97 Rep";"days",#N/A,FALSE,"Inven. Turns 97 Rep"}</definedName>
    <definedName function="false" hidden="true" localSheetId="0" name="COMM" vbProcedure="false">{"'Mach'!$A$1:$D$39"}</definedName>
    <definedName function="false" hidden="true" localSheetId="0" name="conflicr" vbProcedure="false">{#N/A,#N/A,TRUE,"GEM Total";#N/A,#N/A,TRUE,"Final Assembly";#N/A,#N/A,TRUE,"Cleaning";#N/A,#N/A,TRUE,"Schooping,Clearing";#N/A,#N/A,TRUE,"Winding"}</definedName>
    <definedName function="false" hidden="true" localSheetId="0" name="CONT02092000.4" vbProcedure="false">{#N/A,#N/A,FALSE,"1321";#N/A,#N/A,FALSE,"1324";#N/A,#N/A,FALSE,"1333";#N/A,#N/A,FALSE,"1371"}</definedName>
    <definedName function="false" hidden="true" localSheetId="0" name="cristina" vbProcedure="false">{"Inputs",#N/A,FALSE,"Data Reduction";"Outputs",#N/A,FALSE,"Data Reduction";"Cycle Deck Comparison",#N/A,FALSE,"Data Reduction"}</definedName>
    <definedName function="false" hidden="true" localSheetId="0" name="csfsfsf" vbProcedure="false">{#N/A,#N/A,FALSE,"Ventilation";#N/A,#N/A,FALSE,"Courbe1";#N/A,#N/A,FALSE,"Courbe2"}</definedName>
    <definedName function="false" hidden="true" localSheetId="0" name="dad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afvsf" vbProcedure="false">{"summary",#N/A,FALSE,"2000 vs 1999";"detail",#N/A,FALSE,"2000 vs 1999"}</definedName>
    <definedName function="false" hidden="true" localSheetId="0" name="dan" vbProcedure="false">{#N/A,#N/A,FALSE,"Aging Summary";#N/A,#N/A,FALSE,"Ratio Analysis";#N/A,#N/A,FALSE,"Test 120 Day Accts";#N/A,#N/A,FALSE,"Tickmarks"}</definedName>
    <definedName function="false" hidden="true" localSheetId="0" name="dasdasda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DA" vbProcedure="false">{"'Resins'!$B$1:$P$6","'Resins'!$B$1:$Q$85"}</definedName>
    <definedName function="false" hidden="true" localSheetId="0" name="ddddddd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e" vbProcedure="false">{#N/A,#N/A,TRUE,"KEY DATA";#N/A,#N/A,TRUE,"KEY DATA Base Case";#N/A,#N/A,TRUE,"JULY";#N/A,#N/A,TRUE,"AUG";#N/A,#N/A,TRUE,"SEPT";#N/A,#N/A,TRUE,"3Q"}</definedName>
    <definedName function="false" hidden="true" localSheetId="0" name="deftax04" vbProcedure="false">{#N/A,#N/A,FALSE,"12"}</definedName>
    <definedName function="false" hidden="true" localSheetId="0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delh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Delph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lt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localSheetId="0" name="DEPTION_GGN" vbProcedure="false">{#N/A,#N/A,FALSE,"Cash Flows";#N/A,#N/A,FALSE,"Fixed Assets";#N/A,#N/A,FALSE,"Balance Sheet";#N/A,#N/A,FALSE,"P &amp; L"}</definedName>
    <definedName function="false" hidden="true" localSheetId="0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df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ajsdfsfdasklsdLKLKKHKASFSD" vbProcedure="false">{#N/A,#N/A,FALSE,"USMED 3";#N/A,#N/A,FALSE,"MARCHALLENGER 1";#N/A,#N/A,FALSE,"MARCHALLENGER 2";#N/A,#N/A,FALSE,"MARCHALLENGER 3";#N/A,#N/A,FALSE,"MARCHALLENGER 4"}</definedName>
    <definedName function="false" hidden="true" localSheetId="0" name="df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dfhdfh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ir" vbProcedure="false">{#N/A,#N/A,FALSE,"COMP"}</definedName>
    <definedName function="false" hidden="true" localSheetId="0" name="djkdj" vbProcedure="false">{"Inputs",#N/A,FALSE,"Data Reduction";"Outputs",#N/A,FALSE,"Data Reduction";"Cycle Deck Comparison",#N/A,FALSE,"Data Reduction"}</definedName>
    <definedName function="false" hidden="true" localSheetId="0" name="DQ" vbProcedure="false">{"page1",#N/A,FALSE,"Taean 1&amp;2";"page2",#N/A,FALSE,"Taean 1&amp;2"}</definedName>
    <definedName function="false" hidden="true" localSheetId="0" name="Drainage" vbProcedure="false">{"'Typical Costs Estimates'!$C$158:$H$161"}</definedName>
    <definedName function="false" hidden="true" localSheetId="0" name="dr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s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sgsdgf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wadad" vbProcedure="false">{"'Mach'!$A$1:$D$39"}</definedName>
    <definedName function="false" hidden="true" localSheetId="0" name="E1.1" vbProcedure="false">{#N/A,#N/A,FALSE,"Graficos    ( 9 )"}</definedName>
    <definedName function="false" hidden="true" localSheetId="0" name="ecs" vbProcedure="false">{#N/A,#N/A,FALSE,"USMED 3";#N/A,#N/A,FALSE,"MARCHALLENGER 1";#N/A,#N/A,FALSE,"MARCHALLENGER 2";#N/A,#N/A,FALSE,"MARCHALLENGER 3";#N/A,#N/A,FALSE,"MARCHALLENGER 4"}</definedName>
    <definedName function="false" hidden="true" localSheetId="0" name="EDG" vbProcedure="false">{#N/A,#N/A,TRUE,"GEM Total";#N/A,#N/A,TRUE,"Final Assembly";#N/A,#N/A,TRUE,"Cleaning";#N/A,#N/A,TRUE,"Schooping,Clearing";#N/A,#N/A,TRUE,"Winding"}</definedName>
    <definedName function="false" hidden="true" localSheetId="0" name="EDGest" vbProcedure="false">{#N/A,#N/A,TRUE,"GEM Total";#N/A,#N/A,TRUE,"Final Assembly";#N/A,#N/A,TRUE,"Cleaning";#N/A,#N/A,TRUE,"Schooping,Clearing";#N/A,#N/A,TRUE,"Winding"}</definedName>
    <definedName function="false" hidden="true" localSheetId="0" name="e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eee" vbProcedure="false">{#N/A,#N/A,FALSE,"Aging Summary";#N/A,#N/A,FALSE,"Ratio Analysis";#N/A,#N/A,FALSE,"Test 120 Day Accts";#N/A,#N/A,FALSE,"Tickmarks"}</definedName>
    <definedName function="false" hidden="true" localSheetId="0" name="EFG" vbProcedure="false">{"'Mach'!$A$1:$D$39"}</definedName>
    <definedName function="false" hidden="true" localSheetId="0" name="ege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eg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gse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hegehh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lan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EMM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enc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er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sadfsdg" vbProcedure="false">{#N/A,#N/A,FALSE,"USMED 3";#N/A,#N/A,FALSE,"MARCHALLENGER 1";#N/A,#N/A,FALSE,"MARCHALLENGER 2";#N/A,#N/A,FALSE,"MARCHALLENGER 3";#N/A,#N/A,FALSE,"MARCHALLENGER 4"}</definedName>
    <definedName function="false" hidden="true" localSheetId="0" name="es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z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faasfa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afawf" vbProcedure="false">{"summary",#N/A,FALSE,"2000 vs 1999";"detail",#N/A,FALSE,"2000 vs 1999"}</definedName>
    <definedName function="false" hidden="true" localSheetId="0" name="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A_SCHEDULE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FDaFAF" vbProcedure="false">{"'Mach'!$A$1:$D$39"}</definedName>
    <definedName function="false" hidden="true" localSheetId="0" name="f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dfsf" vbProcedure="false">{#N/A,#N/A,TRUE,"KEY DATA";#N/A,#N/A,TRUE,"KEY DATA Base Case";#N/A,#N/A,TRUE,"JULY";#N/A,#N/A,TRUE,"AUG";#N/A,#N/A,TRUE,"SEPT";#N/A,#N/A,TRUE,"3Q"}</definedName>
    <definedName function="false" hidden="true" localSheetId="0" name="fd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dhg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gd" vbProcedure="false">{#N/A,#N/A,FALSE,"Ventilation";#N/A,#N/A,FALSE,"Courbe1";#N/A,#N/A,FALSE,"Courbe2"}</definedName>
    <definedName function="false" hidden="true" localSheetId="0" name="fgdsg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ghdfgdf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fh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gfh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ixedAssets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fkfkf" vbProcedure="false">{"'CQ1-4'!$B$1:$L$49"}</definedName>
    <definedName function="false" hidden="true" localSheetId="0" name="fORM" vbProcedure="false">{#N/A,#N/A,FALSE,"COMP"}</definedName>
    <definedName function="false" hidden="true" localSheetId="0" name="form1" vbProcedure="false">{#N/A,#N/A,FALSE,"COMP"}</definedName>
    <definedName function="false" hidden="true" localSheetId="0" name="FQSDF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franko" vbProcedure="false">{#N/A,#N/A,FALSE,"Kosten97Einzel";#N/A,#N/A,FALSE,"Kosten97FZ"}</definedName>
    <definedName function="false" hidden="true" localSheetId="0" name="frew" vbProcedure="false">{"CashPrint",#N/A,FALSE,"Cash"}</definedName>
    <definedName function="false" hidden="true" localSheetId="0" name="from" vbProcedure="false">{"'Typical Costs Estimates'!$C$158:$H$161"}</definedName>
    <definedName function="false" hidden="true" localSheetId="0" name="frs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dfs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f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fsf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DFA" vbProcedure="false">{#N/A,#N/A,FALSE,"COMP"}</definedName>
    <definedName function="false" hidden="true" localSheetId="0" name="gdfhgdh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dgdfgr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fdsgfd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ggggg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ghgjj" vbProcedure="false">{#N/A,#N/A,FALSE,"KPI-EMM-Graph";#N/A,#N/A,FALSE,"Cost Graph";#N/A,#N/A,FALSE,"Cash graph";#N/A,#N/A,FALSE,"Order Sales Graph"}</definedName>
    <definedName function="false" hidden="true" localSheetId="0" name="ghg" vbProcedure="false">{"'Typical Costs Estimates'!$C$158:$H$161"}</definedName>
    <definedName function="false" hidden="true" localSheetId="0" name="ghkg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h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hk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jygj" vbProcedure="false">{#N/A,#N/A,FALSE,"COMP"}</definedName>
    <definedName function="false" hidden="true" localSheetId="0" name="gkgfkghkff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ghk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h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jg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rat" vbProcedure="false">{#N/A,#N/A,FALSE,"COMP"}</definedName>
    <definedName function="false" hidden="true" localSheetId="0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0" name="gy" vbProcedure="false">{#N/A,#N/A,TRUE,"Summary";#N/A,#N/A,TRUE,"IS";#N/A,#N/A,TRUE,"Adj";#N/A,#N/A,TRUE,"BS";#N/A,#N/A,TRUE,"CF";#N/A,#N/A,TRUE,"Debt";#N/A,#N/A,TRUE,"IRR"}</definedName>
    <definedName function="false" hidden="true" localSheetId="0" name="hddfhfdh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d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dfh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fh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g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gjghj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fdhdf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hhhhh" vbProcedure="false">{#N/A,#N/A,FALSE,"Graficos    ( 9 )"}</definedName>
    <definedName function="false" hidden="true" localSheetId="0" name="hhjg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KJ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hjghj" vbProcedure="false">{"raatios",#N/A,FALSE,"A";"ratios",#N/A,FALSE,"B";"ratios",#N/A,FALSE,"C";"ratios",#N/A,FALSE,"D";"ratios",#N/A,FALSE,"F"}</definedName>
    <definedName function="false" hidden="true" localSheetId="0" name="hjghjghj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jh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hjhgk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l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TML_Control" vbProcedure="false">{"'Typical Costs Estimates'!$C$158:$H$161"}</definedName>
    <definedName function="false" hidden="true" localSheetId="0" name="HTML_Control2" vbProcedure="false">{"' calendrier 2000'!$A$1:$Q$38"}</definedName>
    <definedName function="false" hidden="true" localSheetId="0" name="iei" vbProcedure="false">{"Inputs",#N/A,FALSE,"Data Reduction";"Outputs",#N/A,FALSE,"Data Reduction";"Cycle Deck Comparison",#N/A,FALSE,"Data Reduction"}</definedName>
    <definedName function="false" hidden="true" localSheetId="0" name="ine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nsuranc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Inventory" vbProcedure="false">{"Summary analysis",#N/A,FALSE,"Total";"OCPH analysis",#N/A,FALSE,"Total";"detail analysis",#N/A,FALSE,"Total"}</definedName>
    <definedName function="false" hidden="true" localSheetId="0" name="Inventory1" vbProcedure="false">{"Summary analysis",#N/A,FALSE,"Total";"OCPH analysis",#N/A,FALSE,"Total";"detail analysis",#N/A,FALSE,"Total"}</definedName>
    <definedName function="false" hidden="true" localSheetId="0" name="inventory2" vbProcedure="false">{"Summary analysis",#N/A,FALSE,"Total";"OCPH analysis",#N/A,FALSE,"Total";"detail analysis",#N/A,FALSE,"Total"}</definedName>
    <definedName function="false" hidden="true" localSheetId="0" name="ioiu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op" vbProcedure="false">{#N/A,#N/A,TRUE,"Summary";#N/A,#N/A,TRUE,"IS";#N/A,#N/A,TRUE,"Adj";#N/A,#N/A,TRUE,"BS";#N/A,#N/A,TRUE,"CF";#N/A,#N/A,TRUE,"Debt";#N/A,#N/A,TRUE,"IRR"}</definedName>
    <definedName function="false" hidden="true" localSheetId="0" name="iouiuouio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tacma7" vbProcedure="false">{#N/A,#N/A,FALSE,"USMED 3";#N/A,#N/A,FALSE,"MARCHALLENGER 1";#N/A,#N/A,FALSE,"MARCHALLENGER 2";#N/A,#N/A,FALSE,"MARCHALLENGER 3";#N/A,#N/A,FALSE,"MARCHALLENGER 4"}</definedName>
    <definedName function="false" hidden="true" localSheetId="0" name="itaemc7" vbProcedure="false">{#N/A,#N/A,FALSE,"USMED 3";#N/A,#N/A,FALSE,"MARCHALLENGER 1";#N/A,#N/A,FALSE,"MARCHALLENGER 2";#N/A,#N/A,FALSE,"MARCHALLENGER 3";#N/A,#N/A,FALSE,"MARCHALLENGER 4"}</definedName>
    <definedName function="false" hidden="true" localSheetId="0" name="itaemc9" vbProcedure="false">{#N/A,#N/A,FALSE,"USMED 3";#N/A,#N/A,FALSE,"MARCHALLENGER 1";#N/A,#N/A,FALSE,"MARCHALLENGER 2";#N/A,#N/A,FALSE,"MARCHALLENGER 3";#N/A,#N/A,FALSE,"MARCHALLENGER 4"}</definedName>
    <definedName function="false" hidden="true" localSheetId="0" name="ITAMEMC0" vbProcedure="false">{#N/A,#N/A,FALSE,"USMED 3";#N/A,#N/A,FALSE,"MARCHALLENGER 1";#N/A,#N/A,FALSE,"MARCHALLENGER 2";#N/A,#N/A,FALSE,"MARCHALLENGER 3";#N/A,#N/A,FALSE,"MARCHALLENGER 4"}</definedName>
    <definedName function="false" hidden="true" localSheetId="0" name="iteamc6" vbProcedure="false">{#N/A,#N/A,FALSE,"USMED 3";#N/A,#N/A,FALSE,"MARCHALLENGER 1";#N/A,#N/A,FALSE,"MARCHALLENGER 2";#N/A,#N/A,FALSE,"MARCHALLENGER 3";#N/A,#N/A,FALSE,"MARCHALLENGER 4"}</definedName>
    <definedName function="false" hidden="true" localSheetId="0" name="iuoiu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iuouiouio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ui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uioui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yi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" vbProcedure="false">{#N/A,#N/A,FALSE,"USMED 3";#N/A,#N/A,FALSE,"MARCHALLENGER 1";#N/A,#N/A,FALSE,"MARCHALLENGER 2";#N/A,#N/A,FALSE,"MARCHALLENGER 3";#N/A,#N/A,FALSE,"MARCHALLENGER 4"}</definedName>
    <definedName function="false" hidden="true" localSheetId="0" name="jghjghj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ghjgyhj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fdnjkfd" vbProcedure="false">{#N/A,#N/A,TRUE,"Summary";#N/A,#N/A,TRUE,"IS";#N/A,#N/A,TRUE,"Adj";#N/A,#N/A,TRUE,"BS";#N/A,#N/A,TRUE,"CF";#N/A,#N/A,TRUE,"Debt";#N/A,#N/A,TRUE,"IRR"}</definedName>
    <definedName function="false" hidden="true" localSheetId="0" name="jh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jhg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JKJKJL" vbProcedure="false">{"'Mach'!$A$1:$D$39"}</definedName>
    <definedName function="false" hidden="true" localSheetId="0" name="jkl" vbProcedure="false">{"'Typical Costs Estimates'!$C$158:$H$161"}</definedName>
    <definedName function="false" hidden="true" localSheetId="0" name="jlh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k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yu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aren" vbProcedure="false">{"Summary analysis",#N/A,FALSE,"Total";"OCPH analysis",#N/A,FALSE,"Total";"detail analysis",#N/A,FALSE,"Total"}</definedName>
    <definedName function="false" hidden="true" localSheetId="0" name="kfgkg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gh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gh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ghkghk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gh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h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gg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jlj" vbProcedure="false">{"Summary analysis",#N/A,FALSE,"Total";"OCPH analysis",#N/A,FALSE,"Total";"detail analysis",#N/A,FALSE,"Total"}</definedName>
    <definedName function="false" hidden="true" localSheetId="0" name="KK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KUULSD" vbProcedure="false">{#N/A,#N/A,FALSE,"COMP"}</definedName>
    <definedName function="false" hidden="true" localSheetId="0" name="lalal" vbProcedure="false">{"receivables",#N/A,FALSE,"SII 99";"sales",#N/A,FALSE,"SII 99";"turns",#N/A,FALSE,"SII 99";"pastdue",#N/A,FALSE,"SII 99"}</definedName>
    <definedName function="false" hidden="true" localSheetId="0" name="lhjlhjl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ili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h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hlhjlhjlhjl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lhjlhjl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lj" vbProcedure="false">{"PARTE1",#N/A,FALSE,"Plan1"}</definedName>
    <definedName function="false" hidden="true" localSheetId="0" name="ljl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ps" vbProcedure="false">{#N/A,#N/A,FALSE,"단축1";#N/A,#N/A,FALSE,"단축2";#N/A,#N/A,FALSE,"단축3";#N/A,#N/A,FALSE,"장축";#N/A,#N/A,FALSE,"4WD"}</definedName>
    <definedName function="false" hidden="true" localSheetId="0" name="m.m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adhavi" vbProcedure="false">{"plansummary",#N/A,FALSE,"PlanSummary";"sales",#N/A,FALSE,"Sales Rec";"productivity",#N/A,FALSE,"Productivity Rec";"capitalspending",#N/A,FALSE,"Capital Spending"}</definedName>
    <definedName function="false" hidden="true" localSheetId="0" name="maerskseal3" vbProcedure="false">{#N/A,#N/A,FALSE,"USMED 3";#N/A,#N/A,FALSE,"MARCHALLENGER 1";#N/A,#N/A,FALSE,"MARCHALLENGER 2";#N/A,#N/A,FALSE,"MARCHALLENGER 3";#N/A,#N/A,FALSE,"MARCHALLENGER 4"}</definedName>
    <definedName function="false" hidden="true" localSheetId="0" name="maersksl3" vbProcedure="false">{#N/A,#N/A,FALSE,"USMED 3";#N/A,#N/A,FALSE,"MARCHALLENGER 1";#N/A,#N/A,FALSE,"MARCHALLENGER 2";#N/A,#N/A,FALSE,"MARCHALLENGER 3";#N/A,#N/A,FALSE,"MARCHALLENGER 4"}</definedName>
    <definedName function="false" hidden="true" localSheetId="0" name="maersl3" vbProcedure="false">{#N/A,#N/A,FALSE,"USMED 3";#N/A,#N/A,FALSE,"MARCHALLENGER 1";#N/A,#N/A,FALSE,"MARCHALLENGER 2";#N/A,#N/A,FALSE,"MARCHALLENGER 3";#N/A,#N/A,FALSE,"MARCHALLENGER 4"}</definedName>
    <definedName function="false" hidden="true" localSheetId="0" name="maerssl3" vbProcedure="false">{#N/A,#N/A,FALSE,"USMED 3";#N/A,#N/A,FALSE,"MARCHALLENGER 1";#N/A,#N/A,FALSE,"MARCHALLENGER 2";#N/A,#N/A,FALSE,"MARCHALLENGER 3";#N/A,#N/A,FALSE,"MARCHALLENGER 4"}</definedName>
    <definedName function="false" hidden="true" localSheetId="0" name="maesl3" vbProcedure="false">{#N/A,#N/A,FALSE,"USMED 3";#N/A,#N/A,FALSE,"MARCHALLENGER 1";#N/A,#N/A,FALSE,"MARCHALLENGER 2";#N/A,#N/A,FALSE,"MARCHALLENGER 3";#N/A,#N/A,FALSE,"MARCHALLENGER 4"}</definedName>
    <definedName function="false" hidden="true" localSheetId="0" name="mahantesh" vbProcedure="false">{"'Typical Costs Estimates'!$C$158:$H$161"}</definedName>
    <definedName function="false" hidden="true" localSheetId="0" name="mam" vbProcedure="false">{#N/A,#N/A,TRUE,"TOTALS";#N/A,#N/A,TRUE,"ROUTES"}</definedName>
    <definedName function="false" hidden="true" localSheetId="0" name="mamma" vbProcedure="false">{"inventory",#N/A,FALSE,"Inven. Turns 97 Rep";"sales",#N/A,FALSE,"Inven. Turns 97 Rep";"turns",#N/A,FALSE,"Inven. Turns 97 Rep";"days",#N/A,FALSE,"Inven. Turns 97 Rep"}</definedName>
    <definedName function="false" hidden="true" localSheetId="0" name="masl" vbProcedure="false">{#N/A,#N/A,FALSE,"USMED 3";#N/A,#N/A,FALSE,"MARCHALLENGER 1";#N/A,#N/A,FALSE,"MARCHALLENGER 2";#N/A,#N/A,FALSE,"MARCHALLENGER 3";#N/A,#N/A,FALSE,"MARCHALLENGER 4"}</definedName>
    <definedName function="false" hidden="true" localSheetId="0" name="mbm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bm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ichelle" vbProcedure="false">{"Summary analysis",#N/A,FALSE,"Total";"OCPH analysis",#N/A,FALSE,"Total";"detail analysis",#N/A,FALSE,"Total"}</definedName>
    <definedName function="false" hidden="true" localSheetId="0" name="Milano" vbProcedure="false">{#N/A,#N/A,FALSE,"Cipta-All";#N/A,#N/A,FALSE,"Individual"}</definedName>
    <definedName function="false" hidden="true" localSheetId="0" name="miscpy" vbProcedure="false">{"page1",#N/A,FALSE,"Taean 1&amp;2";"page2",#N/A,FALSE,"Taean 1&amp;2"}</definedName>
    <definedName function="false" hidden="true" localSheetId="0" name="ML" vbProcedure="false">{#N/A,#N/A,FALSE,"USMED 3";#N/A,#N/A,FALSE,"MARCHALLENGER 1";#N/A,#N/A,FALSE,"MARCHALLENGER 2";#N/A,#N/A,FALSE,"MARCHALLENGER 3";#N/A,#N/A,FALSE,"MARCHALLENGER 4"}</definedName>
    <definedName function="false" hidden="true" localSheetId="0" name="mnmn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ucwip" vbProcedure="false">{#N/A,#N/A,TRUE,"RM-June"}</definedName>
    <definedName function="false" hidden="true" localSheetId="0" name="navneet" vbProcedure="false">{"'Sheet3'!$A$1:$B$30"}</definedName>
    <definedName function="false" hidden="true" localSheetId="0" name="NDGNDN" vbProcedure="false">{"'Mach'!$A$1:$D$39"}</definedName>
    <definedName function="false" hidden="true" localSheetId="0" name="Newone" vbProcedure="false">{#N/A,#N/A,FALSE,"COMP"}</definedName>
    <definedName function="false" hidden="true" localSheetId="0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newt" vbProcedure="false">{#N/A,#N/A,TRUE,"Summary";#N/A,#N/A,TRUE,"IS";#N/A,#N/A,TRUE,"Adj";#N/A,#N/A,TRUE,"BS";#N/A,#N/A,TRUE,"CF";#N/A,#N/A,TRUE,"Debt";#N/A,#N/A,TRUE,"IRR"}</definedName>
    <definedName function="false" hidden="true" localSheetId="0" name="neww4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NHR" vbProcedure="false">{"raatios",#N/A,FALSE,"A";"ratios",#N/A,FALSE,"B";"ratios",#N/A,FALSE,"C";"ratios",#N/A,FALSE,"D";"ratios",#N/A,FALSE,"F"}</definedName>
    <definedName function="false" hidden="true" localSheetId="0" name="Nil" vbProcedure="false">{#N/A,#N/A,FALSE,"Aging Summary";#N/A,#N/A,FALSE,"Ratio Analysis";#N/A,#N/A,FALSE,"Test 120 Day Accts";#N/A,#N/A,FALSE,"Tickmarks"}</definedName>
    <definedName function="false" hidden="true" localSheetId="0" name="None" vbProcedure="false">{"Summary analysis",#N/A,FALSE,"Total";"OCPH analysis",#N/A,FALSE,"Total";"detail analysis",#N/A,FALSE,"Total"}</definedName>
    <definedName function="false" hidden="true" localSheetId="0" name="nour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NOURA1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k" vbProcedure="false">{#N/A,#N/A,TRUE,"KEY DATA";#N/A,#N/A,TRUE,"KEY DATA Base Case";#N/A,#N/A,TRUE,"JULY";#N/A,#N/A,TRUE,"AUG";#N/A,#N/A,TRUE,"SEPT";#N/A,#N/A,TRUE,"3Q"}</definedName>
    <definedName function="false" hidden="true" localSheetId="0" name="okkk" vbProcedure="false">{#N/A,#N/A,TRUE,"KEY DATA";#N/A,#N/A,TRUE,"KEY DATA Base Case";#N/A,#N/A,TRUE,"JULY";#N/A,#N/A,TRUE,"AUG";#N/A,#N/A,TRUE,"SEPT";#N/A,#N/A,TRUE,"3Q"}</definedName>
    <definedName function="false" hidden="true" localSheetId="0" name="open" vbProcedure="false">{"plansummary",#N/A,FALSE,"PlanSummary";"sales",#N/A,FALSE,"Sales Rec";"productivity",#N/A,FALSE,"Productivity Rec";"capitalspending",#N/A,FALSE,"Capital Spending"}</definedName>
    <definedName function="false" hidden="true" localSheetId="0" name="Opening" vbProcedure="false">{"plansummary",#N/A,FALSE,"PlanSummary";"sales",#N/A,FALSE,"Sales Rec";"productivity",#N/A,FALSE,"Productivity Rec";"capitalspending",#N/A,FALSE,"Capital Spending"}</definedName>
    <definedName function="false" hidden="true" localSheetId="0" name="opop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wnership" vbProcedure="false">{#N/A,#N/A,TRUE,"Summary";#N/A,#N/A,TRUE,"IS";#N/A,#N/A,TRUE,"Adj";#N/A,#N/A,TRUE,"BS";#N/A,#N/A,TRUE,"CF";#N/A,#N/A,TRUE,"Debt";#N/A,#N/A,TRUE,"IRR"}</definedName>
    <definedName function="false" hidden="true" localSheetId="0" name="P" vbProcedure="false">{#N/A,#N/A,FALSE,"USMED 3";#N/A,#N/A,FALSE,"MARCHALLENGER 1";#N/A,#N/A,FALSE,"MARCHALLENGER 2";#N/A,#N/A,FALSE,"MARCHALLENGER 3";#N/A,#N/A,FALSE,"MARCHALLENGER 4"}</definedName>
    <definedName function="false" hidden="true" localSheetId="0" name="PACKAGE3" vbProcedure="false">{#N/A,#N/A,FALSE,"단축1";#N/A,#N/A,FALSE,"단축2";#N/A,#N/A,FALSE,"단축3";#N/A,#N/A,FALSE,"장축";#N/A,#N/A,FALSE,"4WD"}</definedName>
    <definedName function="false" hidden="true" localSheetId="0" name="Parte1a." vbProcedure="false">{"PARTE1",#N/A,FALSE,"Plan1"}</definedName>
    <definedName function="false" hidden="true" localSheetId="0" name="Parte2" vbProcedure="false">{"PARTE1",#N/A,FALSE,"Plan1"}</definedName>
    <definedName function="false" hidden="true" localSheetId="0" name="pa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aul" vbProcedure="false">{#N/A,#N/A,TRUE,"GEM Total";#N/A,#N/A,TRUE,"Final Assembly";#N/A,#N/A,TRUE,"Cleaning";#N/A,#N/A,TRUE,"Schooping,Clearing";#N/A,#N/A,TRUE,"Winding"}</definedName>
    <definedName function="false" hidden="true" localSheetId="0" name="payal" vbProcedure="false">{"'Sheet3'!$A$1:$B$30"}</definedName>
    <definedName function="false" hidden="true" localSheetId="0" name="Payroll" vbProcedure="false">{"summary",#N/A,FALSE,"2000 vs 1999";"detail",#N/A,FALSE,"2000 vs 1999"}</definedName>
    <definedName function="false" hidden="true" localSheetId="0" name="pe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eps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ipe" vbProcedure="false">{"'Typical Costs Estimates'!$C$158:$H$161"}</definedName>
    <definedName function="false" hidden="true" localSheetId="0" name="pippo_" vbProcedure="false">{"receivables",#N/A,FALSE,"Receiv. Turns 3Q 98 Est";"sales",#N/A,FALSE,"Receiv. Turns 3Q 98 Est";"turns",#N/A,FALSE,"Receiv. Turns 3Q 98 Est";"pastdue",#N/A,FALSE,"Receiv. Turns 3Q 98 Est"}</definedName>
    <definedName function="false" hidden="true" localSheetId="0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rem" vbProcedure="false">{"Summary analysis",#N/A,FALSE,"Total";"OCPH analysis",#N/A,FALSE,"Total";"detail analysis",#N/A,FALSE,"Total"}</definedName>
    <definedName function="false" hidden="true" localSheetId="0" name="Provision2" vbProcedure="false">{"plansummary",#N/A,FALSE,"PlanSummary";"sales",#N/A,FALSE,"Sales Rec";"productivity",#N/A,FALSE,"Productivity Rec";"capitalspending",#N/A,FALSE,"Capital Spending"}</definedName>
    <definedName function="false" hidden="true" localSheetId="0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TDATA" vbProcedure="false">{"page1",#N/A,FALSE,"Taean 1&amp;2";"page2",#N/A,FALSE,"Taean 1&amp;2"}</definedName>
    <definedName function="false" hidden="true" localSheetId="0" name="puoipu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q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qsdf" vbProcedure="false">{#N/A,#N/A,FALSE,"Ventilation";#N/A,#N/A,FALSE,"Courbe1";#N/A,#N/A,FALSE,"Courbe2"}</definedName>
    <definedName function="false" hidden="true" localSheetId="0" name="qweq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qwqewq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rav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re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F" vbProcedure="false">{#N/A,#N/A,FALSE,"COMP"}</definedName>
    <definedName function="false" hidden="true" localSheetId="0" name="reger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move" vbProcedure="false">{#N/A,#N/A,TRUE,"KEY DATA";#N/A,#N/A,TRUE,"KEY DATA Base Case";#N/A,#N/A,TRUE,"JULY";#N/A,#N/A,TRUE,"AUG";#N/A,#N/A,TRUE,"SEPT";#N/A,#N/A,TRUE,"3Q"}</definedName>
    <definedName function="false" hidden="true" localSheetId="0" name="remove2" vbProcedure="false">{#N/A,#N/A,TRUE,"KEY DATA";#N/A,#N/A,TRUE,"KEY DATA Base Case";#N/A,#N/A,TRUE,"JULY";#N/A,#N/A,TRUE,"AUG";#N/A,#N/A,TRUE,"SEPT";#N/A,#N/A,TRUE,"3Q"}</definedName>
    <definedName function="false" hidden="true" localSheetId="0" name="rewqf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yre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hs" vbProcedure="false">{#N/A,#N/A,TRUE,"KEY DATA";#N/A,#N/A,TRUE,"KEY DATA Base Case";#N/A,#N/A,TRUE,"JULY";#N/A,#N/A,TRUE,"AUG";#N/A,#N/A,TRUE,"SEPT";#N/A,#N/A,TRUE,"3Q"}</definedName>
    <definedName function="false" hidden="true" localSheetId="0" name="roy" vbProcedure="false">{"Summary analysis",#N/A,FALSE,"Total";"OCPH analysis",#N/A,FALSE,"Total";"detail analysis",#N/A,FALSE,"Total"}</definedName>
    <definedName function="false" hidden="true" localSheetId="0" name="rqwrqwrq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r" vbProcedure="false">{"plansummary",#N/A,FALSE,"PlanSummary";"sales",#N/A,FALSE,"Sales Rec";"productivity",#N/A,FALSE,"Productivity Rec";"capitalspending",#N/A,FALSE,"Capital Spending"}</definedName>
    <definedName function="false" hidden="true" localSheetId="0" name="rtur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rtut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rtutr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tr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wqrqwr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y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yyr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3a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sa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sAS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urabh" vbProcedure="false">{"'Mach'!$A$1:$D$39"}</definedName>
    <definedName function="false" hidden="true" localSheetId="0" name="scasc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cedule" vbProcedure="false">{"'CQ1-4'!$B$1:$L$49"}</definedName>
    <definedName function="false" hidden="true" localSheetId="0" name="Schdule1" vbProcedure="false">{#N/A,#N/A,FALSE,"COMP"}</definedName>
    <definedName function="false" hidden="true" localSheetId="0" name="sched" vbProcedure="false">{"'CQ1-4'!$B$1:$L$49"}</definedName>
    <definedName function="false" hidden="true" localSheetId="0" name="schedu" vbProcedure="false">{"'CQ1-4'!$B$1:$L$49"}</definedName>
    <definedName function="false" hidden="true" localSheetId="0" name="schedule" vbProcedure="false">{#N/A,#N/A,FALSE,"COMP"}</definedName>
    <definedName function="false" hidden="true" localSheetId="0" name="scsd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fg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f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qsdfg" vbProcedure="false">{#N/A,#N/A,FALSE,"Ventilation";#N/A,#N/A,FALSE,"Courbe1";#N/A,#N/A,FALSE,"Courbe2"}</definedName>
    <definedName function="false" hidden="true" localSheetId="0" name="sds" vbProcedure="false">{"plansummary",#N/A,FALSE,"PlanSummary";"sales",#N/A,FALSE,"Sales Rec";"productivity",#N/A,FALSE,"Productivity Rec";"capitalspending",#N/A,FALSE,"Capital Spending"}</definedName>
    <definedName function="false" hidden="true" localSheetId="0" name="sdsa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ealand3" vbProcedure="false">{#N/A,#N/A,FALSE,"USMED 3";#N/A,#N/A,FALSE,"MARCHALLENGER 1";#N/A,#N/A,FALSE,"MARCHALLENGER 2";#N/A,#N/A,FALSE,"MARCHALLENGER 3";#N/A,#N/A,FALSE,"MARCHALLENGER 4"}</definedName>
    <definedName function="false" hidden="true" localSheetId="0" name="sf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fs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hankar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hiv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sky" vbProcedure="false">{"Summary analysis",#N/A,FALSE,"Total";"OCPH analysis",#N/A,FALSE,"Total";"detail analysis",#N/A,FALSE,"Total"}</definedName>
    <definedName function="false" hidden="true" localSheetId="0" name="slotcost21kts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srt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s" vbProcedure="false">{#N/A,#N/A,FALSE,"Cipta-All";#N/A,#N/A,FALSE,"Individual"}</definedName>
    <definedName function="false" hidden="true" localSheetId="0" name="ssdd" vbProcedure="false">{"'Typical Costs Estimates'!$C$158:$H$161"}</definedName>
    <definedName function="false" hidden="true" localSheetId="0" name="SSDP" vbProcedure="false">{#N/A,#N/A,FALSE,"Cipta-All";#N/A,#N/A,FALSE,"Individual"}</definedName>
    <definedName function="false" hidden="true" localSheetId="0" name="SSK" vbProcedure="false">{#N/A,#N/A,FALSE,"COMP"}</definedName>
    <definedName function="false" hidden="true" localSheetId="0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t" vbProcedure="false">{#N/A,#N/A,FALSE,"USMED 3";#N/A,#N/A,FALSE,"MARCHALLENGER 1";#N/A,#N/A,FALSE,"MARCHALLENGER 2";#N/A,#N/A,FALSE,"MARCHALLENGER 3";#N/A,#N/A,FALSE,"MARCHALLENGER 4"}</definedName>
    <definedName function="false" hidden="true" localSheetId="0" name="summaryty" vbProcedure="false">{#N/A,#N/A,TRUE,"KEY DATA";#N/A,#N/A,TRUE,"KEY DATA Base Case";#N/A,#N/A,TRUE,"JULY";#N/A,#N/A,TRUE,"AUG";#N/A,#N/A,TRUE,"SEPT";#N/A,#N/A,TRUE,"3Q"}</definedName>
    <definedName function="false" hidden="true" localSheetId="0" name="summaryty." vbProcedure="false">{#N/A,#N/A,TRUE,"KEY DATA";#N/A,#N/A,TRUE,"KEY DATA Base Case";#N/A,#N/A,TRUE,"JULY";#N/A,#N/A,TRUE,"AUG";#N/A,#N/A,TRUE,"SEPT";#N/A,#N/A,TRUE,"3Q"}</definedName>
    <definedName function="false" hidden="true" localSheetId="0" name="summmmmm" vbProcedure="false">{#N/A,#N/A,TRUE,"KEY DATA";#N/A,#N/A,TRUE,"KEY DATA Base Case";#N/A,#N/A,TRUE,"JULY";#N/A,#N/A,TRUE,"AUG";#N/A,#N/A,TRUE,"SEPT";#N/A,#N/A,TRUE,"3Q"}</definedName>
    <definedName function="false" hidden="true" localSheetId="0" name="Sushil" vbProcedure="false">{#N/A,#N/A,FALSE,"6"}</definedName>
    <definedName function="false" hidden="true" localSheetId="0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Tech" vbProcedure="false">{"Summary analysis",#N/A,FALSE,"Total";"OCPH analysis",#N/A,FALSE,"Total";"detail analysis",#N/A,FALSE,"Total"}</definedName>
    <definedName function="false" hidden="true" localSheetId="0" name="TELE" vbProcedure="false">{"'Mach'!$A$1:$D$39"}</definedName>
    <definedName function="false" hidden="true" localSheetId="0" name="temp." vbProcedure="false">{#N/A,#N/A,TRUE,"KEY DATA";#N/A,#N/A,TRUE,"KEY DATA Base Case";#N/A,#N/A,TRUE,"JULY";#N/A,#N/A,TRUE,"AUG";#N/A,#N/A,TRUE,"SEPT";#N/A,#N/A,TRUE,"3Q"}</definedName>
    <definedName function="false" hidden="true" localSheetId="0" name="temp12" vbProcedure="false">{#N/A,#N/A,TRUE,"KEY DATA";#N/A,#N/A,TRUE,"KEY DATA Base Case";#N/A,#N/A,TRUE,"JULY";#N/A,#N/A,TRUE,"AUG";#N/A,#N/A,TRUE,"SEPT";#N/A,#N/A,TRUE,"3Q"}</definedName>
    <definedName function="false" hidden="true" localSheetId="0" name="temp12." vbProcedure="false">{#N/A,#N/A,TRUE,"KEY DATA";#N/A,#N/A,TRUE,"KEY DATA Base Case";#N/A,#N/A,TRUE,"JULY";#N/A,#N/A,TRUE,"AUG";#N/A,#N/A,TRUE,"SEPT";#N/A,#N/A,TRUE,"3Q"}</definedName>
    <definedName function="false" hidden="true" localSheetId="0" name="tft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ftchristine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ony" vbProcedure="false">{"Summary analysis",#N/A,FALSE,"Total";"OCPH analysis",#N/A,FALSE,"Total";"detail analysis",#N/A,FALSE,"Total"}</definedName>
    <definedName function="false" hidden="true" localSheetId="0" name="tototo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rtur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tr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trtur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r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y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wregfas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y" vbProcedure="false">{"plansummary",#N/A,FALSE,"PlanSummary";"sales",#N/A,FALSE,"Sales Rec";"productivity",#N/A,FALSE,"Productivity Rec";"capitalspending",#N/A,FALSE,"Capital Spending"}</definedName>
    <definedName function="false" hidden="true" localSheetId="0" name="tyutyuty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luliuliu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u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u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nit_Risk" vbProcedure="false">{#N/A,#N/A,FALSE,"CDA Plan"}</definedName>
    <definedName function="false" hidden="true" localSheetId="0" name="usmed7" vbProcedure="false">{#N/A,#N/A,FALSE,"USMED 3";#N/A,#N/A,FALSE,"MARCHALLENGER 1";#N/A,#N/A,FALSE,"MARCHALLENGER 2";#N/A,#N/A,FALSE,"MARCHALLENGER 3";#N/A,#N/A,FALSE,"MARCHALLENGER 4"}</definedName>
    <definedName function="false" hidden="true" localSheetId="0" name="usmed9" vbProcedure="false">{#N/A,#N/A,FALSE,"USMED 3";#N/A,#N/A,FALSE,"MARCHALLENGER 1";#N/A,#N/A,FALSE,"MARCHALLENGER 2";#N/A,#N/A,FALSE,"MARCHALLENGER 3";#N/A,#N/A,FALSE,"MARCHALLENGER 4"}</definedName>
    <definedName function="false" hidden="true" localSheetId="0" name="uty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yikuyi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gl" vbProcedure="false">{"K GuV o. Kommentar",#N/A,FALSE,"Kaufhof"}</definedName>
    <definedName function="false" hidden="true" localSheetId="0" name="vinu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VISHWA" vbProcedure="false">{"'Mach'!$A$1:$D$39"}</definedName>
    <definedName function="false" hidden="true" localSheetId="0" name="vn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w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wn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nn" vbProcedure="false">{"AFR200_P1",#N/A,FALSE,"AFR200";"AFR200_P2",#N/A,FALSE,"AFR200";"AFR200_P3",#N/A,FALSE,"AFR200";"AFR200_P4",#N/A,FALSE,"AFR200";"AFR200_P5",#N/A,FALSE,"AFR200"}</definedName>
    <definedName function="false" hidden="true" localSheetId="0" name="wnnn" vbProcedure="false">{"AFR200_P1",#N/A,FALSE,"AFR200";"AFR200_P2",#N/A,FALSE,"AFR200";"AFR200_P3",#N/A,FALSE,"AFR200";"AFR200_P4",#N/A,FALSE,"AFR200";"AFR200_P5",#N/A,FALSE,"AFR200"}</definedName>
    <definedName function="false" hidden="true" localSheetId="0" name="wns" vbProcedure="false">{"AFR200_P1",#N/A,FALSE,"AFR200";"AFR200_P2",#N/A,FALSE,"AFR200";"AFR200_P3",#N/A,FALSE,"AFR200";"AFR200_P4",#N/A,FALSE,"AFR200";"AFR200_P5",#N/A,FALSE,"AFR200"}</definedName>
    <definedName function="false" hidden="true" localSheetId="0" name="worksheet" vbProcedure="false">{#N/A,#N/A,FALSE,"COMP"}</definedName>
    <definedName function="false" hidden="true" localSheetId="0" name="wqe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qewqeqw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" vbProcedure="false">{#N/A,#N/A,FALSE,"COMP"}</definedName>
    <definedName function="false" hidden="true" localSheetId="0" name="wreqwrwr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I" vbProcedure="false">{#N/A,#N/A,FALSE,"COMP"}</definedName>
    <definedName function="false" hidden="true" localSheetId="0" name="wrn" vbProcedure="false">{#N/A,#N/A,FALSE,"단축1";#N/A,#N/A,FALSE,"단축2";#N/A,#N/A,FALSE,"단축3";#N/A,#N/A,FALSE,"장축";#N/A,#N/A,FALSE,"4WD"}</definedName>
    <definedName function="false" hidden="true" localSheetId="0" name="wrn.01." vbProcedure="false">{#N/A,#N/A,FALSE,"1321";#N/A,#N/A,FALSE,"1324";#N/A,#N/A,FALSE,"1333";#N/A,#N/A,FALSE,"1371"}</definedName>
    <definedName function="false" hidden="true" localSheetId="0" name="wrn.3._.hojas." vbProcedure="false">{"DESVI1",#N/A,FALSE,"JULIO";"DESVI2",#N/A,FALSE,"JULIO";"DESVI3",#N/A,FALSE,"JULIO"}</definedName>
    <definedName function="false" hidden="true" localSheetId="0" name="wrn.Accounts._.3Q98._.Est." vbProcedure="false">{"receivables",#N/A,FALSE,"Receiv. Turns 3Q 98 Est";"sales",#N/A,FALSE,"Receiv. Turns 3Q 98 Est";"turns",#N/A,FALSE,"Receiv. Turns 3Q 98 Est";"pastdue",#N/A,FALSE,"Receiv. Turns 3Q 98 Est"}</definedName>
    <definedName function="false" hidden="true" localSheetId="0" name="wrn.Accounts._.SII._.99." vbProcedure="false">{"receivables",#N/A,FALSE,"SII 99";"sales",#N/A,FALSE,"SII 99";"turns",#N/A,FALSE,"SII 99";"pastdue",#N/A,FALSE,"SII 99"}</definedName>
    <definedName function="false" hidden="true" localSheetId="0" name="wrn.AFR200." vbProcedure="false">{"AFR200_P1",#N/A,FALSE,"AFR200";"AFR200_P2",#N/A,FALSE,"AFR200";"AFR200_P3",#N/A,FALSE,"AFR200";"AFR200_P4",#N/A,FALSE,"AFR200";"AFR200_P5",#N/A,FALSE,"AFR200"}</definedName>
    <definedName function="false" hidden="true" localSheetId="0" name="wrn.Aging._.and._.Trend._.Analysis." vbProcedure="false">{#N/A,#N/A,FALSE,"Aging Summary";#N/A,#N/A,FALSE,"Ratio Analysis";#N/A,#N/A,FALSE,"Test 120 Day Accts";#N/A,#N/A,FALSE,"Tickmarks"}</definedName>
    <definedName function="false" hidden="true" localSheetId="0" name="wrn.aim.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localSheetId="0" name="wrn.aim.2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localSheetId="0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0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0" name="wrn.All._.Units." vbProcedure="false">{"All Units",#N/A,FALSE,"Sheet1"}</definedName>
    <definedName function="false" hidden="true" localSheetId="0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wrn.backup." vbProcedure="false">{"financials",#N/A,FALSE,"BASIC";"interest",#N/A,FALSE,"BASIC";"leasing and financing",#N/A,FALSE,"BASIC";"returns back up",#N/A,FALSE,"BASIC"}</definedName>
    <definedName function="false" hidden="true" localSheetId="0" name="wrn.Balance._.Sheet._.Accounts." vbProcedure="false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function="false" hidden="true" localSheetId="0" name="wrn.Balance._.Sheet._.Rpts." vbProcedure="false">{"Mgmt Bonus (Bal Sht)",#N/A,FALSE,"Mgmt Bonus Accrual";"Profit Sharing (Bal Sht)",#N/A,FALSE,"Profit Sharing Accrual"}</definedName>
    <definedName function="false" hidden="true" localSheetId="0" name="wrn.bank._.model." vbProcedure="false">{"banks",#N/A,FALSE,"BASIC"}</definedName>
    <definedName function="false" hidden="true" localSheetId="0" name="wrn.Belgium_Total." vbProcedure="false">{"Belgium_Total",#N/A,FALSE,"Belg Wksheet"}</definedName>
    <definedName function="false" hidden="true" localSheetId="0" name="wrn.BelgSummary." vbProcedure="false">{"BelgSummary",#N/A,FALSE,"Belg Summary"}</definedName>
    <definedName function="false" hidden="true" localSheetId="0" name="wrn.Brief." vbProcedure="false">{#N/A,#N/A,TRUE,"Summary";#N/A,#N/A,TRUE,"Balance Sheet";#N/A,#N/A,TRUE,"P &amp; L";#N/A,#N/A,TRUE,"Fixed Assets";#N/A,#N/A,TRUE,"Cash Flows"}</definedName>
    <definedName function="false" hidden="true" localSheetId="0" name="wrn.BS_ALL." vbProcedure="false">{"BS","id_9000",FALSE,"BS";"BS","id_7007",FALSE,"BS"}</definedName>
    <definedName function="false" hidden="true" localSheetId="0" name="wrn.CALL._.SUCCESS._.RATE." vbProcedure="false">{#N/A,#N/A,TRUE,"TOTALS";#N/A,#N/A,TRUE,"ROUTES"}</definedName>
    <definedName function="false" hidden="true" localSheetId="0" name="wrn.Cash." vbProcedure="false">{"CashPrint",#N/A,FALSE,"Cash"}</definedName>
    <definedName function="false" hidden="true" localSheetId="0" name="wrn.CDA._.Plan._.Page." vbProcedure="false">{#N/A,#N/A,FALSE,"CDA Plan"}</definedName>
    <definedName function="false" hidden="true" localSheetId="0" name="wrn.Comptes95.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n.country." vbProcedure="false">{#N/A,#N/A,FALSE,"Operating income";#N/A,#N/A,FALSE,"Revenues";#N/A,#N/A,FALSE,"Alpha"}</definedName>
    <definedName function="false" hidden="true" localSheetId="0" name="wrn.Country._.Summary." vbProcedure="false">{"Summary",#N/A,FALSE,"Country Summary"}</definedName>
    <definedName function="false" hidden="true" localSheetId="0" name="wrn.Country._.Worksheet." vbProcedure="false">{"WkSheet",#N/A,FALSE,"Country Wksheet"}</definedName>
    <definedName function="false" hidden="true" localSheetId="0" name="wrn.Data._.Reduction." vbProcedure="false">{"Inputs",#N/A,FALSE,"Data Reduction";"Outputs",#N/A,FALSE,"Data Reduction";"Cycle Deck Comparison",#N/A,FALSE,"Data Reduction"}</definedName>
    <definedName function="false" hidden="true" localSheetId="0" name="wrn.Default._.Document._.for._.9351FB.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localSheetId="0" name="wrn.Depotübersicht." vbProcedure="false">{#N/A,#N/A,FALSE,"Tabelle1"}</definedName>
    <definedName function="false" hidden="true" localSheetId="0" name="wrn.Elaborate." vbProcedure="false">{#N/A,#N/A,FALSE,"Cash Flows";#N/A,#N/A,FALSE,"Fixed Assets";#N/A,#N/A,FALSE,"Balance Sheet";#N/A,#N/A,FALSE,"P &amp; L"}</definedName>
    <definedName function="false" hidden="true" localSheetId="0" name="wrn.Emg._.report." vbProcedure="false">{#N/A,#N/A,FALSE,"Emerging Mkt Fund"}</definedName>
    <definedName function="false" hidden="true" localSheetId="0" name="wrn.EMM._.detail._.edition.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wrn.falmex.xls.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wrn.falmexb.xls." vbProcedure="false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function="false" hidden="true" localSheetId="0" name="wrn.Financial._.Pkg." vbProcedure="false">{#N/A,#N/A,FALSE,"401K";"Goodwill (Financial)",#N/A,FALSE,"GOODWILL"}</definedName>
    <definedName function="false" hidden="true" localSheetId="0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localSheetId="0" name="wrn.grafico." vbProcedure="false">{#N/A,#N/A,FALSE,"Graficos    ( 9 )"}</definedName>
    <definedName function="false" hidden="true" localSheetId="0" name="wrn.Graph._.edition." vbProcedure="false">{#N/A,#N/A,FALSE,"KPI-EMM-Graph";#N/A,#N/A,FALSE,"Cost Graph";#N/A,#N/A,FALSE,"Cash graph";#N/A,#N/A,FALSE,"Order Sales Graph"}</definedName>
    <definedName function="false" hidden="true" localSheetId="0" name="wrn.impress." vbProcedure="false">{#N/A,#N/A,FALSE,"Ventilation";#N/A,#N/A,FALSE,"Courbe1";#N/A,#N/A,FALSE,"Courbe2"}</definedName>
    <definedName function="false" hidden="true" localSheetId="0" name="wrn.INDICADORES." vbProcedure="false">{"PARTE1",#N/A,FALSE,"Plan1"}</definedName>
    <definedName function="false" hidden="true" localSheetId="0" name="wrn.inventario._.97._.Act." vbProcedure="false">{"inventory",#N/A,FALSE,"Inven. Turns 97 Act";"sales",#N/A,FALSE,"Inven. Turns 97 Act";"turns",#N/A,FALSE,"Inven. Turns 97 Act";"days",#N/A,FALSE,"Inven. Turns 97 Act"}</definedName>
    <definedName function="false" hidden="true" localSheetId="0" name="wrn.inventario._.97._.OP." vbProcedure="false">{"inventory",#N/A,TRUE,"Inven. Turns 97 OP";"sales",#N/A,TRUE,"Inven. Turns 97 OP";"turns",#N/A,TRUE,"Inven. Turns 97 OP";"days",#N/A,TRUE,"Inven. Turns 97 OP"}</definedName>
    <definedName function="false" hidden="true" localSheetId="0" name="wrn.inventario._.97._.Rep." vbProcedure="false">{"inventory",#N/A,FALSE,"Inven. Turns 97 Rep";"sales",#N/A,FALSE,"Inven. Turns 97 Rep";"turns",#N/A,FALSE,"Inven. Turns 97 Rep";"days",#N/A,FALSE,"Inven. Turns 97 Rep"}</definedName>
    <definedName function="false" hidden="true" localSheetId="0" name="wrn.inventario96." vbProcedure="false">{"Inventory",#N/A,TRUE,"Inven. Turns 1996";"sales",#N/A,TRUE,"Inven. Turns 1996";"Turns",#N/A,TRUE,"Inven. Turns 1996";"days",#N/A,TRUE,"Inven. Turns 1996"}</definedName>
    <definedName function="false" hidden="true" localSheetId="0" name="wrn.Invoice._.Print." vbProcedure="false">{#N/A,#N/A,FALSE,"Invoices"}</definedName>
    <definedName function="false" hidden="true" localSheetId="0" name="wrn.K._.GuV._.o.._.Kommentar." vbProcedure="false">{"K GuV o. Kommentar",#N/A,FALSE,"Kaufhof"}</definedName>
    <definedName function="false" hidden="true" localSheetId="0" name="wrn.KBilanz._.o.._.Kommentar." vbProcedure="false">{"K Bilanz o. Kommentar",#N/A,FALSE,"Kaufhof"}</definedName>
    <definedName function="false" hidden="true" localSheetId="0" name="wrn.KESPCal." vbProcedure="false">{#N/A,#N/A,FALSE,"Cipta-All";#N/A,#N/A,FALSE,"Individual"}</definedName>
    <definedName function="false" hidden="true" localSheetId="0" name="wrn.KostenPlan1997." vbProcedure="false">{#N/A,#N/A,FALSE,"Kosten97FZallein";#N/A,#N/A,FALSE,"Ko97EinzelFZ"}</definedName>
    <definedName function="false" hidden="true" localSheetId="0" name="wrn.MARKF98FULL." vbProcedure="fals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wrn.MARKF98H." vbProcedure="fals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function="false" hidden="true" localSheetId="0" name="wrn.MARKF98P.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wrn.model." vbProcedure="false">{"basic",#N/A,FALSE,"BASIC"}</definedName>
    <definedName function="false" hidden="true" localSheetId="0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true" localSheetId="0" name="wrn.oldfleet.xls." vbProcedure="false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function="false" hidden="true" localSheetId="0" name="wrn.only" vbProcedure="false">{#N/A,#N/A,FALSE,"JANLN2"}</definedName>
    <definedName function="false" hidden="true" localSheetId="0" name="wrn.pg1." vbProcedure="false">{#N/A,#N/A,FALSE,"1"}</definedName>
    <definedName function="false" hidden="true" localSheetId="0" name="wrn.pg10." vbProcedure="false">{#N/A,#N/A,FALSE,"10"}</definedName>
    <definedName function="false" hidden="true" localSheetId="0" name="wrn.pg100" vbProcedure="false">{#N/A,#N/A,FALSE,"8"}</definedName>
    <definedName function="false" hidden="true" localSheetId="0" name="wrn.pg11." vbProcedure="false">{#N/A,#N/A,FALSE,"11"}</definedName>
    <definedName function="false" hidden="true" localSheetId="0" name="wrn.pg12." vbProcedure="false">{#N/A,#N/A,FALSE,"12"}</definedName>
    <definedName function="false" hidden="true" localSheetId="0" name="wrn.pg13." vbProcedure="false">{#N/A,#N/A,FALSE,"13"}</definedName>
    <definedName function="false" hidden="true" localSheetId="0" name="wrn.pg14." vbProcedure="false">{#N/A,#N/A,FALSE,"14"}</definedName>
    <definedName function="false" hidden="true" localSheetId="0" name="wrn.pg15." vbProcedure="false">{#N/A,#N/A,FALSE,"15"}</definedName>
    <definedName function="false" hidden="true" localSheetId="0" name="wrn.pg16." vbProcedure="false">{#N/A,#N/A,FALSE,"16"}</definedName>
    <definedName function="false" hidden="true" localSheetId="0" name="wrn.pg17." vbProcedure="false">{#N/A,#N/A,FALSE,"17"}</definedName>
    <definedName function="false" hidden="true" localSheetId="0" name="wrn.pg2." vbProcedure="false">{#N/A,#N/A,FALSE,"2"}</definedName>
    <definedName function="false" hidden="true" localSheetId="0" name="wrn.pg20" vbProcedure="false">{#N/A,#N/A,FALSE,"4"}</definedName>
    <definedName function="false" hidden="true" localSheetId="0" name="wrn.pg3." vbProcedure="false">{#N/A,#N/A,FALSE,"3"}</definedName>
    <definedName function="false" hidden="true" localSheetId="0" name="wrn.pg4." vbProcedure="false">{#N/A,#N/A,FALSE,"4"}</definedName>
    <definedName function="false" hidden="true" localSheetId="0" name="wrn.pg5." vbProcedure="false">{#N/A,#N/A,FALSE,"5"}</definedName>
    <definedName function="false" hidden="true" localSheetId="0" name="wrn.pg6." vbProcedure="false">{#N/A,#N/A,FALSE,"6"}</definedName>
    <definedName function="false" hidden="true" localSheetId="0" name="wrn.pg7" vbProcedure="false">{#N/A,#N/A,FALSE,"6"}</definedName>
    <definedName function="false" hidden="true" localSheetId="0" name="wrn.pg7." vbProcedure="false">{#N/A,#N/A,FALSE,"7"}</definedName>
    <definedName function="false" hidden="true" localSheetId="0" name="wrn.pg8." vbProcedure="false">{#N/A,#N/A,FALSE,"8"}</definedName>
    <definedName function="false" hidden="true" localSheetId="0" name="wrn.pg9." vbProcedure="false">{#N/A,#N/A,FALSE,"9"}</definedName>
    <definedName function="false" hidden="true" localSheetId="0" name="wrn.Plandurchsprache._.97." vbProcedure="false">{#N/A,#N/A,TRUE,"Kosten97FZallein";#N/A,#N/A,TRUE,"Ko97EinzelFZ";#N/A,#N/A,TRUE,"UmsSumAnteilFZ";#N/A,#N/A,TRUE,"UmsatzEinzel";#N/A,#N/A,TRUE,"G&amp;V"}</definedName>
    <definedName function="false" hidden="true" localSheetId="0" name="wrn.PL_ALL." vbProcedure="false">{#N/A,"id_9000_y",FALSE,"PL";#N/A,"id_7007_y",FALSE,"PL"}</definedName>
    <definedName function="false" hidden="true" localSheetId="0" name="wrn.PMM_BSDDI." vbProcedure="false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function="false" hidden="true" localSheetId="0" name="wrn.PMM_PLQ." vbProcedure="false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function="false" hidden="true" localSheetId="0" name="wrn.pp97schedules." vbProcedure="false">{"plansummary",#N/A,FALSE,"PlanSummary";"sales",#N/A,FALSE,"Sales Rec";"productivity",#N/A,FALSE,"Productivity Rec";"capitalspending",#N/A,FALSE,"Capital Spending"}</definedName>
    <definedName function="false" hidden="true" localSheetId="0" name="wrn.Print._.All._.Schedules." vbProcedure="false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function="false" hidden="true" localSheetId="0" name="wrn.Print._.SchA." vbProcedure="false">{"SchA1",#N/A,FALSE,"Schedules";"SchA2",#N/A,FALSE,"Schedules"}</definedName>
    <definedName function="false" hidden="true" localSheetId="0" name="wrn.Print._.SchB." vbProcedure="false">{"SchB1",#N/A,FALSE,"Schedules";"SchB2",#N/A,FALSE,"Schedules"}</definedName>
    <definedName function="false" hidden="true" localSheetId="0" name="wrn.Print._.SchC." vbProcedure="false">{"SchC1",#N/A,FALSE,"Schedules";"SchC2",#N/A,FALSE,"Schedules"}</definedName>
    <definedName function="false" hidden="true" localSheetId="0" name="wrn.Print._.SchD." vbProcedure="false">{"SchD1",#N/A,FALSE,"Schedules";"SchD2",#N/A,FALSE,"Schedules"}</definedName>
    <definedName function="false" hidden="true" localSheetId="0" name="wrn.Print._.SchE." vbProcedure="false">{"SchE1",#N/A,FALSE,"Schedules";"SchE2",#N/A,FALSE,"Schedules"}</definedName>
    <definedName function="false" hidden="true" localSheetId="0" name="wrn.Print._.SchF." vbProcedure="false">{"SchF1",#N/A,FALSE,"Schedules";"SchF2",#N/A,FALSE,"Schedules"}</definedName>
    <definedName function="false" hidden="true" localSheetId="0" name="wrn.Print._.SchG." vbProcedure="false">{"SchG1",#N/A,FALSE,"Schedules";"SchG2",#N/A,FALSE,"Schedules"}</definedName>
    <definedName function="false" hidden="true" localSheetId="0" name="wrn.Print._.SchH." vbProcedure="false">{"SchH1",#N/A,FALSE,"Schedules";"SchH2",#N/A,FALSE,"Schedules"}</definedName>
    <definedName function="false" hidden="true" localSheetId="0" name="wrn.Print._.SchI." vbProcedure="false">{"SchI1",#N/A,FALSE,"Schedules";"SchI2",#N/A,FALSE,"Schedules"}</definedName>
    <definedName function="false" hidden="true" localSheetId="0" name="wrn.Print._.SchJ." vbProcedure="false">{"SchJ1",#N/A,FALSE,"Schedules";"SchJ2",#N/A,FALSE,"Schedules"}</definedName>
    <definedName function="false" hidden="true" localSheetId="0" name="wrn.Print._.SchK." vbProcedure="false">{"SchK1",#N/A,FALSE,"Schedules";"SchK2",#N/A,FALSE,"Schedules"}</definedName>
    <definedName function="false" hidden="true" localSheetId="0" name="wrn.Print._.SchL." vbProcedure="false">{"SchL1",#N/A,FALSE,"Schedules";"SchL2",#N/A,FALSE,"Schedules"}</definedName>
    <definedName function="false" hidden="true" localSheetId="0" name="wrn.Print._.SchM." vbProcedure="false">{"SchM1",#N/A,FALSE,"Schedules";"SchM2",#N/A,FALSE,"Schedules"}</definedName>
    <definedName function="false" hidden="true" localSheetId="0" name="wrn.Print._.SchN." vbProcedure="false">{"SchN1",#N/A,FALSE,"Schedules"}</definedName>
    <definedName function="false" hidden="true" localSheetId="0" name="wrn.Print._.SchO." vbProcedure="false">{"SchO1",#N/A,FALSE,"Schedules"}</definedName>
    <definedName function="false" hidden="true" localSheetId="0" name="wrn.Print._.Summary." vbProcedure="false">{"Summ1",#N/A,FALSE,"Summary"}</definedName>
    <definedName function="false" hidden="true" localSheetId="0" name="wrn.PrintAll." vbProcedure="false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function="false" hidden="true" localSheetId="0" name="WRN.PRODUCT" vbProcedure="false">{"Detail analysis",#N/A,FALSE,"Model";"Summary analysis",#N/A,FALSE,"Model";"OCPH analysis",#N/A,FALSE,"Model"}</definedName>
    <definedName function="false" hidden="true" localSheetId="0" name="wrn.Productivity." vbProcedure="false">{"Summary analysis",#N/A,FALSE,"Total";"OCPH analysis",#N/A,FALSE,"Total";"detail analysis",#N/A,FALSE,"Total"}</definedName>
    <definedName function="false" hidden="true" localSheetId="0" name="wrn.purchase._.register." vbProcedure="false">{#N/A,#N/A,TRUE,"RM-June"}</definedName>
    <definedName function="false" hidden="true" localSheetId="0" name="wrn.Quantity." vbProcedure="false">{#N/A,#N/A,FALSE,"MONTHLY "}</definedName>
    <definedName function="false" hidden="true" localSheetId="0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true" localSheetId="0" name="wrn.ratios." vbProcedure="false">{"raatios",#N/A,FALSE,"A";"ratios",#N/A,FALSE,"B";"ratios",#N/A,FALSE,"C";"ratios",#N/A,FALSE,"D";"ratios",#N/A,FALSE,"F"}</definedName>
    <definedName function="false" hidden="true" localSheetId="0" name="wrn.report1." vbProcedure="false">{"page1",#N/A,FALSE,"Taean 1&amp;2";"page2",#N/A,FALSE,"Taean 1&amp;2"}</definedName>
    <definedName function="false" hidden="true" localSheetId="0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wrn.sales." vbProcedure="false">{"sales",#N/A,FALSE,"Sales";"sales existing",#N/A,FALSE,"Sales";"sales rd1",#N/A,FALSE,"Sales";"sales rd2",#N/A,FALSE,"Sales"}</definedName>
    <definedName function="false" hidden="true" localSheetId="0" name="wrn.scorecard._.rpt." vbProcedure="false">{"scorecard view",#N/A,FALSE,"Scorecard output"}</definedName>
    <definedName function="false" hidden="true" localSheetId="0" name="wrn.SHIPMENTS." vbProcedure="false">{#N/A,#N/A,FALSE,"JANLN2"}</definedName>
    <definedName function="false" hidden="true" localSheetId="0" name="wrn.Summary." vbProcedure="false">{#N/A,#N/A,TRUE,"KEY DATA";#N/A,#N/A,TRUE,"KEY DATA Base Case";#N/A,#N/A,TRUE,"JULY";#N/A,#N/A,TRUE,"AUG";#N/A,#N/A,TRUE,"SEPT";#N/A,#N/A,TRUE,"3Q"}</definedName>
    <definedName function="false" hidden="true" localSheetId="0" name="wrn.summary.." vbProcedure="false">{#N/A,#N/A,TRUE,"KEY DATA";#N/A,#N/A,TRUE,"KEY DATA Base Case";#N/A,#N/A,TRUE,"JULY";#N/A,#N/A,TRUE,"AUG";#N/A,#N/A,TRUE,"SEPT";#N/A,#N/A,TRUE,"3Q"}</definedName>
    <definedName function="false" hidden="true" localSheetId="0" name="wrn.totsch." vbProcedure="false">{"offequipsch",#N/A,FALSE,"GTC_Schedule";"onconstsch",#N/A,FALSE,"GTC_Schedule";"techsch",#N/A,FALSE,"GTC_Schedule";"totsch",#N/A,FALSE,"GTC_Schedule"}</definedName>
    <definedName function="false" hidden="true" localSheetId="0" name="wrn.TRAVELLING." vbProcedure="false">{#N/A,#N/A,FALSE,"Sheet3"}</definedName>
    <definedName function="false" hidden="true" localSheetId="0" name="wrn.UmsatzwertePlan1997." vbProcedure="false">{#N/A,#N/A,TRUE,"UmsSumAnteilFZ";#N/A,#N/A,TRUE,"UmsatzSumme";#N/A,#N/A,TRUE,"G&amp;V"}</definedName>
    <definedName function="false" hidden="true" localSheetId="0" name="wrn.usmed3." vbProcedure="false">{#N/A,#N/A,FALSE,"USMED 3";#N/A,#N/A,FALSE,"MARCHALLENGER 1";#N/A,#N/A,FALSE,"MARCHALLENGER 2";#N/A,#N/A,FALSE,"MARCHALLENGER 3";#N/A,#N/A,FALSE,"MARCHALLENGER 4"}</definedName>
    <definedName function="false" hidden="true" localSheetId="0" name="wrn.Variances1Q._.97." vbProcedure="false">{"pag1",#N/A,TRUE,"Graf1Q97";"pag2",#N/A,TRUE,"Graf1Q97";"pag3",#N/A,TRUE,"Graf1Q97";"pag4",#N/A,TRUE,"Graf1Q97";"pag5",#N/A,TRUE,"Graf1Q97";"pag6",#N/A,TRUE,"Graf1Q97"}</definedName>
    <definedName function="false" hidden="true" localSheetId="0" name="wrn.Weekly._.Scrap._.Report." vbProcedure="false">{#N/A,#N/A,TRUE,"GEM Total";#N/A,#N/A,TRUE,"Final Assembly";#N/A,#N/A,TRUE,"Cleaning";#N/A,#N/A,TRUE,"Schooping,Clearing";#N/A,#N/A,TRUE,"Winding"}</definedName>
    <definedName function="false" hidden="true" localSheetId="0" name="wrn.weekly._.scrap._.report..." vbProcedure="false">{#N/A,#N/A,TRUE,"GEM Total";#N/A,#N/A,TRUE,"Final Assembly";#N/A,#N/A,TRUE,"Cleaning";#N/A,#N/A,TRUE,"Schooping,Clearing";#N/A,#N/A,TRUE,"Winding"}</definedName>
    <definedName function="false" hidden="true" localSheetId="0" name="wrn.전부인쇄." vbProcedure="false">{#N/A,#N/A,FALSE,"단축1";#N/A,#N/A,FALSE,"단축2";#N/A,#N/A,FALSE,"단축3";#N/A,#N/A,FALSE,"장축";#N/A,#N/A,FALSE,"4WD"}</definedName>
    <definedName function="false" hidden="true" localSheetId="0" name="wrn1.FORM1." vbProcedure="false">{#N/A,#N/A,FALSE,"COMP"}</definedName>
    <definedName function="false" hidden="true" localSheetId="0" name="wrn1.summary" vbProcedure="false">{#N/A,#N/A,TRUE,"KEY DATA";#N/A,#N/A,TRUE,"KEY DATA Base Case";#N/A,#N/A,TRUE,"JULY";#N/A,#N/A,TRUE,"AUG";#N/A,#N/A,TRUE,"SEPT";#N/A,#N/A,TRUE,"3Q"}</definedName>
    <definedName function="false" hidden="true" localSheetId="0" name="wrn1.summary.." vbProcedure="false">{#N/A,#N/A,TRUE,"KEY DATA";#N/A,#N/A,TRUE,"KEY DATA Base Case";#N/A,#N/A,TRUE,"JULY";#N/A,#N/A,TRUE,"AUG";#N/A,#N/A,TRUE,"SEPT";#N/A,#N/A,TRUE,"3Q"}</definedName>
    <definedName function="false" hidden="true" localSheetId="0" name="wrn2.FORM1." vbProcedure="false">{#N/A,#N/A,FALSE,"COMP"}</definedName>
    <definedName function="false" hidden="true" localSheetId="0" name="wrn3.FORM1." vbProcedure="false">{#N/A,#N/A,FALSE,"COMP"}</definedName>
    <definedName function="false" hidden="true" localSheetId="0" name="wwqwq" vbProcedure="false">{#N/A,#N/A,FALSE,"COMP"}</definedName>
    <definedName function="false" hidden="true" localSheetId="0" name="wwwww" vbProcedure="false">{#N/A,#N/A,FALSE,"12"}</definedName>
    <definedName function="false" hidden="true" localSheetId="0" name="xa" vbProcedure="false">{#N/A,#N/A,FALSE,"Aging Summary";#N/A,#N/A,FALSE,"Ratio Analysis";#N/A,#N/A,FALSE,"Test 120 Day Accts";#N/A,#N/A,FALSE,"Tickmarks"}</definedName>
    <definedName function="false" hidden="true" localSheetId="0" name="xcxc" vbProcedure="false">{#N/A,#N/A,TRUE,"UmsatzSumme";#N/A,#N/A,TRUE,"UmsatzEinzel";#N/A,#N/A,TRUE,"UmsSumAnteilFZ"}</definedName>
    <definedName function="false" hidden="true" localSheetId="0" name="xsasa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XTEST" vbProcedure="false">{#N/A,#N/A,FALSE,"JANLN2"}</definedName>
    <definedName function="false" hidden="true" localSheetId="0" name="xvx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xxv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xxxxx" vbProcedure="false">{"'Typical Costs Estimates'!$C$158:$H$161"}</definedName>
    <definedName function="false" hidden="true" localSheetId="0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xxxxxx" vbProcedure="false">{#N/A,#N/A,TRUE,"GEM Total";#N/A,#N/A,TRUE,"Final Assembly";#N/A,#N/A,TRUE,"Cleaning";#N/A,#N/A,TRUE,"Schooping,Clearing";#N/A,#N/A,TRUE,"Winding"}</definedName>
    <definedName function="false" hidden="true" localSheetId="0" name="xxxxxxx" vbProcedure="false">{#N/A,#N/A,TRUE,"GEM Total";#N/A,#N/A,TRUE,"Final Assembly";#N/A,#N/A,TRUE,"Cleaning";#N/A,#N/A,TRUE,"Schooping,Clearing";#N/A,#N/A,TRUE,"Winding"}</definedName>
    <definedName function="false" hidden="true" localSheetId="0" name="xxxxxxxxxxxxxx" vbProcedure="false">{#N/A,#N/A,TRUE,"GEM Total";#N/A,#N/A,TRUE,"Final Assembly";#N/A,#N/A,TRUE,"Cleaning";#N/A,#N/A,TRUE,"Schooping,Clearing";#N/A,#N/A,TRUE,"Winding"}</definedName>
    <definedName function="false" hidden="true" localSheetId="0" name="xxxxxxxxxxxxxxxx" vbProcedure="false">{#N/A,#N/A,TRUE,"GEM Total";#N/A,#N/A,TRUE,"Final Assembly";#N/A,#N/A,TRUE,"Cleaning";#N/A,#N/A,TRUE,"Schooping,Clearing";#N/A,#N/A,TRUE,"Winding"}</definedName>
    <definedName function="false" hidden="true" localSheetId="0" name="yi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it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iyt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khk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ti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uo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zaed" vbProcedure="false">{#N/A,#N/A,FALSE,"Ventilation";#N/A,#N/A,FALSE,"Courbe1";#N/A,#N/A,FALSE,"Courbe2"}</definedName>
    <definedName function="false" hidden="true" localSheetId="0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zxz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zz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zzz.." vbProcedure="false">{#N/A,#N/A,TRUE,"GEM Total";#N/A,#N/A,TRUE,"Final Assembly";#N/A,#N/A,TRUE,"Cleaning";#N/A,#N/A,TRUE,"Schooping,Clearing";#N/A,#N/A,TRUE,"Winding"}</definedName>
    <definedName function="false" hidden="true" localSheetId="0" name="zzzz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\\\" vbProcedure="false">{"raatios",#N/A,FALSE,"A";"ratios",#N/A,FALSE,"B";"ratios",#N/A,FALSE,"C";"ratios",#N/A,FALSE,"D";"ratios",#N/A,FALSE,"F"}</definedName>
    <definedName function="false" hidden="true" localSheetId="0" name="_1ITAMEMC" vbProcedure="false">{#N/A,#N/A,FALSE,"USMED 3";#N/A,#N/A,FALSE,"MARCHALLENGER 1";#N/A,#N/A,FALSE,"MARCHALLENGER 2";#N/A,#N/A,FALSE,"MARCHALLENGER 3";#N/A,#N/A,FALSE,"MARCHALLENGER 4"}</definedName>
    <definedName function="false" hidden="true" localSheetId="0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localSheetId="0" name="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age1" vbProcedure="false">{"'Mach'!$A$1:$D$39"}</definedName>
    <definedName function="false" hidden="true" localSheetId="0" name="_chi9" vbProcedure="false">{#N/A,#N/A,FALSE,"USMED 3";#N/A,#N/A,FALSE,"MARCHALLENGER 1";#N/A,#N/A,FALSE,"MARCHALLENGER 2";#N/A,#N/A,FALSE,"MARCHALLENGER 3";#N/A,#N/A,FALSE,"MARCHALLENGER 4"}</definedName>
    <definedName function="false" hidden="true" localSheetId="0" name="_E1" vbProcedure="false">{#N/A,#N/A,FALSE,"Graficos    ( 9 )"}</definedName>
    <definedName function="false" hidden="true" localSheetId="0" name="_E2" vbProcedure="false">{#N/A,#N/A,FALSE,"1321";#N/A,#N/A,FALSE,"1324";#N/A,#N/A,FALSE,"1333";#N/A,#N/A,FALSE,"1371"}</definedName>
    <definedName function="false" hidden="true" localSheetId="0" name="_fa1" vbProcedure="false">{"plansummary",#N/A,FALSE,"PlanSummary";"sales",#N/A,FALSE,"Sales Rec";"productivity",#N/A,FALSE,"Productivity Rec";"capitalspending",#N/A,FALSE,"Capital Spending"}</definedName>
    <definedName function="false" hidden="true" localSheetId="0" name="_fa2" vbProcedure="false">{"plansummary",#N/A,FALSE,"PlanSummary";"sales",#N/A,FALSE,"Sales Rec";"productivity",#N/A,FALSE,"Productivity Rec";"capitalspending",#N/A,FALSE,"Capital Spending"}</definedName>
    <definedName function="false" hidden="true" localSheetId="0" name="_fa3" vbProcedure="false">{"plansummary",#N/A,FALSE,"PlanSummary";"sales",#N/A,FALSE,"Sales Rec";"productivity",#N/A,FALSE,"Productivity Rec";"capitalspending",#N/A,FALSE,"Capital Spending"}</definedName>
    <definedName function="false" hidden="true" localSheetId="0" name="_LPS2" vbProcedure="false">{#N/A,#N/A,FALSE,"단축1";#N/A,#N/A,FALSE,"단축2";#N/A,#N/A,FALSE,"단축3";#N/A,#N/A,FALSE,"장축";#N/A,#N/A,FALSE,"4WD"}</definedName>
    <definedName function="false" hidden="true" localSheetId="0" name="_med7" vbProcedure="false">{#N/A,#N/A,FALSE,"USMED 3";#N/A,#N/A,FALSE,"MARCHALLENGER 1";#N/A,#N/A,FALSE,"MARCHALLENGER 2";#N/A,#N/A,FALSE,"MARCHALLENGER 3";#N/A,#N/A,FALSE,"MARCHALLENGER 4"}</definedName>
    <definedName function="false" hidden="true" localSheetId="0" name="_msl3" vbProcedure="false">{#N/A,#N/A,FALSE,"USMED 3";#N/A,#N/A,FALSE,"MARCHALLENGER 1";#N/A,#N/A,FALSE,"MARCHALLENGER 2";#N/A,#N/A,FALSE,"MARCHALLENGER 3";#N/A,#N/A,FALSE,"MARCHALLENGER 4"}</definedName>
    <definedName function="false" hidden="true" localSheetId="0" name="_new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3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4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5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R" vbProcedure="false">{#N/A,#N/A,FALSE,"USMED 3";#N/A,#N/A,FALSE,"MARCHALLENGER 1";#N/A,#N/A,FALSE,"MARCHALLENGER 2";#N/A,#N/A,FALSE,"MARCHALLENGER 3";#N/A,#N/A,FALSE,"MARCHALLENGER 4"}</definedName>
    <definedName function="false" hidden="true" localSheetId="0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_sl3" vbProcedure="false">{#N/A,#N/A,FALSE,"USMED 3";#N/A,#N/A,FALSE,"MARCHALLENGER 1";#N/A,#N/A,FALSE,"MARCHALLENGER 2";#N/A,#N/A,FALSE,"MARCHALLENGER 3";#N/A,#N/A,FALSE,"MARCHALLENGER 4"}</definedName>
    <definedName function="false" hidden="true" localSheetId="0" name="_slm3" vbProcedure="false">{#N/A,#N/A,FALSE,"USMED 3";#N/A,#N/A,FALSE,"MARCHALLENGER 1";#N/A,#N/A,FALSE,"MARCHALLENGER 2";#N/A,#N/A,FALSE,"MARCHALLENGER 3";#N/A,#N/A,FALSE,"MARCHALLENGER 4"}</definedName>
    <definedName function="false" hidden="true" localSheetId="0" name="_SSK1" vbProcedure="false">{#N/A,#N/A,FALSE,"COMP"}</definedName>
    <definedName function="false" hidden="true" localSheetId="0" name="_T2" vbProcedure="false">{#N/A,#N/A,FALSE,"1321";#N/A,#N/A,FALSE,"1324";#N/A,#N/A,FALSE,"1333";#N/A,#N/A,FALSE,"1371"}</definedName>
    <definedName function="false" hidden="true" localSheetId="0" name="_tft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x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xx1" vbProcedure="false">{"'Typical Costs Estimates'!$C$158:$H$161"}</definedName>
    <definedName function="false" hidden="true" localSheetId="0" name="__chi9" vbProcedure="false">{#N/A,#N/A,FALSE,"USMED 3";#N/A,#N/A,FALSE,"MARCHALLENGER 1";#N/A,#N/A,FALSE,"MARCHALLENGER 2";#N/A,#N/A,FALSE,"MARCHALLENGER 3";#N/A,#N/A,FALSE,"MARCHALLENGER 4"}</definedName>
    <definedName function="false" hidden="true" localSheetId="0" name="__fa1" vbProcedure="false">{"plansummary",#N/A,FALSE,"PlanSummary";"sales",#N/A,FALSE,"Sales Rec";"productivity",#N/A,FALSE,"Productivity Rec";"capitalspending",#N/A,FALSE,"Capital Spending"}</definedName>
    <definedName function="false" hidden="true" localSheetId="0" name="__fa2" vbProcedure="false">{"plansummary",#N/A,FALSE,"PlanSummary";"sales",#N/A,FALSE,"Sales Rec";"productivity",#N/A,FALSE,"Productivity Rec";"capitalspending",#N/A,FALSE,"Capital Spending"}</definedName>
    <definedName function="false" hidden="true" localSheetId="0" name="__fa3" vbProcedure="false">{"plansummary",#N/A,FALSE,"PlanSummary";"sales",#N/A,FALSE,"Sales Rec";"productivity",#N/A,FALSE,"Productivity Rec";"capitalspending",#N/A,FALSE,"Capital Spending"}</definedName>
    <definedName function="false" hidden="true" localSheetId="0" name="__feb2" vbProcedure="false">{#N/A,#N/A,TRUE,"KEY DATA";#N/A,#N/A,TRUE,"KEY DATA Base Case";#N/A,#N/A,TRUE,"JULY";#N/A,#N/A,TRUE,"AUG";#N/A,#N/A,TRUE,"SEPT";#N/A,#N/A,TRUE,"3Q"}</definedName>
    <definedName function="false" hidden="true" localSheetId="0" name="__guv3" vbProcedure="false">{"K GuV o. Kommentar",#N/A,FALSE,"Kaufhof"}</definedName>
    <definedName function="false" hidden="true" localSheetId="0" name="__LPS2" vbProcedure="false">{#N/A,#N/A,FALSE,"단축1";#N/A,#N/A,FALSE,"단축2";#N/A,#N/A,FALSE,"단축3";#N/A,#N/A,FALSE,"장축";#N/A,#N/A,FALSE,"4WD"}</definedName>
    <definedName function="false" hidden="true" localSheetId="0" name="__med7" vbProcedure="false">{#N/A,#N/A,FALSE,"USMED 3";#N/A,#N/A,FALSE,"MARCHALLENGER 1";#N/A,#N/A,FALSE,"MARCHALLENGER 2";#N/A,#N/A,FALSE,"MARCHALLENGER 3";#N/A,#N/A,FALSE,"MARCHALLENGER 4"}</definedName>
    <definedName function="false" hidden="true" localSheetId="0" name="__msl3" vbProcedure="false">{#N/A,#N/A,FALSE,"USMED 3";#N/A,#N/A,FALSE,"MARCHALLENGER 1";#N/A,#N/A,FALSE,"MARCHALLENGER 2";#N/A,#N/A,FALSE,"MARCHALLENGER 3";#N/A,#N/A,FALSE,"MARCHALLENGER 4"}</definedName>
    <definedName function="false" hidden="true" localSheetId="0" name="__R" vbProcedure="false">{#N/A,#N/A,FALSE,"USMED 3";#N/A,#N/A,FALSE,"MARCHALLENGER 1";#N/A,#N/A,FALSE,"MARCHALLENGER 2";#N/A,#N/A,FALSE,"MARCHALLENGER 3";#N/A,#N/A,FALSE,"MARCHALLENGER 4"}</definedName>
    <definedName function="false" hidden="true" localSheetId="0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_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__sl3" vbProcedure="false">{#N/A,#N/A,FALSE,"USMED 3";#N/A,#N/A,FALSE,"MARCHALLENGER 1";#N/A,#N/A,FALSE,"MARCHALLENGER 2";#N/A,#N/A,FALSE,"MARCHALLENGER 3";#N/A,#N/A,FALSE,"MARCHALLENGER 4"}</definedName>
    <definedName function="false" hidden="true" localSheetId="0" name="__slm3" vbProcedure="false">{#N/A,#N/A,FALSE,"USMED 3";#N/A,#N/A,FALSE,"MARCHALLENGER 1";#N/A,#N/A,FALSE,"MARCHALLENGER 2";#N/A,#N/A,FALSE,"MARCHALLENGER 3";#N/A,#N/A,FALSE,"MARCHALLENGER 4"}</definedName>
    <definedName function="false" hidden="true" localSheetId="0" name="__SSK1" vbProcedure="false">{#N/A,#N/A,FALSE,"COMP"}</definedName>
    <definedName function="false" hidden="true" localSheetId="0" name="__xx1" vbProcedure="false">{"'Typical Costs Estimates'!$C$158:$H$161"}</definedName>
    <definedName function="false" hidden="true" localSheetId="0" name="___chi9" vbProcedure="false">{#N/A,#N/A,FALSE,"USMED 3";#N/A,#N/A,FALSE,"MARCHALLENGER 1";#N/A,#N/A,FALSE,"MARCHALLENGER 2";#N/A,#N/A,FALSE,"MARCHALLENGER 3";#N/A,#N/A,FALSE,"MARCHALLENGER 4"}</definedName>
    <definedName function="false" hidden="true" localSheetId="0" name="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guv3" vbProcedure="false">{"K GuV o. Kommentar",#N/A,FALSE,"Kaufhof"}</definedName>
    <definedName function="false" hidden="true" localSheetId="0" name="___LPS2" vbProcedure="false">{#N/A,#N/A,FALSE,"단축1";#N/A,#N/A,FALSE,"단축2";#N/A,#N/A,FALSE,"단축3";#N/A,#N/A,FALSE,"장축";#N/A,#N/A,FALSE,"4WD"}</definedName>
    <definedName function="false" hidden="true" localSheetId="0" name="___med7" vbProcedure="false">{#N/A,#N/A,FALSE,"USMED 3";#N/A,#N/A,FALSE,"MARCHALLENGER 1";#N/A,#N/A,FALSE,"MARCHALLENGER 2";#N/A,#N/A,FALSE,"MARCHALLENGER 3";#N/A,#N/A,FALSE,"MARCHALLENGER 4"}</definedName>
    <definedName function="false" hidden="true" localSheetId="0" name="___msl3" vbProcedure="false">{#N/A,#N/A,FALSE,"USMED 3";#N/A,#N/A,FALSE,"MARCHALLENGER 1";#N/A,#N/A,FALSE,"MARCHALLENGER 2";#N/A,#N/A,FALSE,"MARCHALLENGER 3";#N/A,#N/A,FALSE,"MARCHALLENGER 4"}</definedName>
    <definedName function="false" hidden="true" localSheetId="0" name="___R" vbProcedure="false">{#N/A,#N/A,FALSE,"USMED 3";#N/A,#N/A,FALSE,"MARCHALLENGER 1";#N/A,#N/A,FALSE,"MARCHALLENGER 2";#N/A,#N/A,FALSE,"MARCHALLENGER 3";#N/A,#N/A,FALSE,"MARCHALLENGER 4"}</definedName>
    <definedName function="false" hidden="true" localSheetId="0" name="___sl3" vbProcedure="false">{#N/A,#N/A,FALSE,"USMED 3";#N/A,#N/A,FALSE,"MARCHALLENGER 1";#N/A,#N/A,FALSE,"MARCHALLENGER 2";#N/A,#N/A,FALSE,"MARCHALLENGER 3";#N/A,#N/A,FALSE,"MARCHALLENGER 4"}</definedName>
    <definedName function="false" hidden="true" localSheetId="0" name="___slm3" vbProcedure="false">{#N/A,#N/A,FALSE,"USMED 3";#N/A,#N/A,FALSE,"MARCHALLENGER 1";#N/A,#N/A,FALSE,"MARCHALLENGER 2";#N/A,#N/A,FALSE,"MARCHALLENGER 3";#N/A,#N/A,FALSE,"MARCHALLENGER 4"}</definedName>
    <definedName function="false" hidden="true" localSheetId="0" name="___SSK1" vbProcedure="false">{#N/A,#N/A,FALSE,"COMP"}</definedName>
    <definedName function="false" hidden="true" localSheetId="0" name="___xx1" vbProcedure="false">{"'Typical Costs Estimates'!$C$158:$H$161"}</definedName>
    <definedName function="false" hidden="true" localSheetId="0" name="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2" vbProcedure="false">{#N/A,#N/A,TRUE,"KEY DATA";#N/A,#N/A,TRUE,"KEY DATA Base Case";#N/A,#N/A,TRUE,"JULY";#N/A,#N/A,TRUE,"AUG";#N/A,#N/A,TRUE,"SEPT";#N/A,#N/A,TRUE,"3Q"}</definedName>
    <definedName function="false" hidden="true" localSheetId="0" name="____guv3" vbProcedure="false">{"K GuV o. Kommentar",#N/A,FALSE,"Kaufhof"}</definedName>
    <definedName function="false" hidden="true" localSheetId="0" name="____SSK1" vbProcedure="false">{#N/A,#N/A,FALSE,"COMP"}</definedName>
    <definedName function="false" hidden="true" localSheetId="0" name="____xx1" vbProcedure="false">{"'Typical Costs Estimates'!$C$158:$H$161"}</definedName>
    <definedName function="false" hidden="true" localSheetId="0" name="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SSK1" vbProcedure="false">{#N/A,#N/A,FALSE,"COMP"}</definedName>
    <definedName function="false" hidden="true" localSheetId="0" name="_____xx1" vbProcedure="false">{"'Typical Costs Estimates'!$C$158:$H$161"}</definedName>
    <definedName function="false" hidden="true" localSheetId="0" name="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guv3" vbProcedure="false">{"K GuV o. Kommentar",#N/A,FALSE,"Kaufhof"}</definedName>
    <definedName function="false" hidden="true" localSheetId="0" name="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guv3" vbProcedure="false">{"K GuV o. Kommentar",#N/A,FALSE,"Kaufhof"}</definedName>
    <definedName function="false" hidden="true" localSheetId="0" name="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ㅈㅈㅈ" vbProcedure="false">{#N/A,#N/A,FALSE,"단축1";#N/A,#N/A,FALSE,"단축2";#N/A,#N/A,FALSE,"단축3";#N/A,#N/A,FALSE,"장축";#N/A,#N/A,FALSE,"4WD"}</definedName>
    <definedName function="false" hidden="true" localSheetId="0" name="보고" vbProcedure="false">{#N/A,#N/A,FALSE,"단축1";#N/A,#N/A,FALSE,"단축2";#N/A,#N/A,FALSE,"단축3";#N/A,#N/A,FALSE,"장축";#N/A,#N/A,FALSE,"4WD"}</definedName>
    <definedName function="false" hidden="true" localSheetId="0" name="수정현금흐름표" vbProcedure="false">{#N/A,#N/A,TRUE,"Summary";#N/A,#N/A,TRUE,"IS";#N/A,#N/A,TRUE,"Adj";#N/A,#N/A,TRUE,"BS";#N/A,#N/A,TRUE,"CF";#N/A,#N/A,TRUE,"Debt";#N/A,#N/A,TRUE,"IRR"}</definedName>
    <definedName function="false" hidden="true" localSheetId="0" name="업체방문" vbProcedure="false">{#N/A,#N/A,FALSE,"단축1";#N/A,#N/A,FALSE,"단축2";#N/A,#N/A,FALSE,"단축3";#N/A,#N/A,FALSE,"장축";#N/A,#N/A,FALSE,"4WD"}</definedName>
    <definedName function="false" hidden="true" localSheetId="0" name="이란" vbProcedure="false">{#N/A,#N/A,FALSE,"단축1";#N/A,#N/A,FALSE,"단축2";#N/A,#N/A,FALSE,"단축3";#N/A,#N/A,FALSE,"장축";#N/A,#N/A,FALSE,"4WD"}</definedName>
    <definedName function="false" hidden="true" localSheetId="0" name="진출의사보유" vbProcedure="false">{#N/A,#N/A,FALSE,"단축1";#N/A,#N/A,FALSE,"단축2";#N/A,#N/A,FALSE,"단축3";#N/A,#N/A,FALSE,"장축";#N/A,#N/A,FALSE,"4WD"}</definedName>
    <definedName function="false" hidden="true" localSheetId="0" name="첨" vbProcedure="false">{#N/A,#N/A,FALSE,"단축1";#N/A,#N/A,FALSE,"단축2";#N/A,#N/A,FALSE,"단축3";#N/A,#N/A,FALSE,"장축";#N/A,#N/A,FALSE,"4WD"}</definedName>
    <definedName function="false" hidden="true" localSheetId="0" name="하늘" vbProcedure="false">{#N/A,#N/A,FALSE,"단축1";#N/A,#N/A,FALSE,"단축2";#N/A,#N/A,FALSE,"단축3";#N/A,#N/A,FALSE,"장축";#N/A,#N/A,FALSE,"4WD"}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<sst xmlns="http://schemas.openxmlformats.org/spreadsheetml/2006/main" count="96" uniqueCount="53">
  <si>
    <t xml:space="preserve">Lease ROU Testing</t>
  </si>
  <si>
    <t xml:space="preserve">To verify the lease working of the sample selected</t>
  </si>
  <si>
    <t xml:space="preserve">Summary</t>
  </si>
  <si>
    <t xml:space="preserve">&lt;&lt; Link &gt;&gt;</t>
  </si>
  <si>
    <t xml:space="preserve">&lt;&lt; As per agreement &gt;&gt;</t>
  </si>
  <si>
    <t xml:space="preserve">Particulars</t>
  </si>
  <si>
    <t xml:space="preserve">Discount 
Rate</t>
  </si>
  <si>
    <t xml:space="preserve">Commencement 
Date</t>
  </si>
  <si>
    <t xml:space="preserve">Expiration 
Date</t>
  </si>
  <si>
    <t xml:space="preserve">Addition during
FY 2025-26</t>
  </si>
  <si>
    <t xml:space="preserve">Amortisation during 
FY 2025-26</t>
  </si>
  <si>
    <t xml:space="preserve">Closing 
Balance</t>
  </si>
  <si>
    <t xml:space="preserve">Interest</t>
  </si>
  <si>
    <t xml:space="preserve">Repayment</t>
  </si>
  <si>
    <t xml:space="preserve">ST</t>
  </si>
  <si>
    <t xml:space="preserve">LT</t>
  </si>
  <si>
    <t xml:space="preserve">As per Lease Report</t>
  </si>
  <si>
    <t xml:space="preserve">As per DHS Working</t>
  </si>
  <si>
    <t xml:space="preserve">Difference</t>
  </si>
  <si>
    <t xml:space="preserve">*Lease was started in FY 23-24. Hence, no addition during the year</t>
  </si>
  <si>
    <t xml:space="preserve">Monthly Rent</t>
  </si>
  <si>
    <t xml:space="preserve">Monthly discount rate</t>
  </si>
  <si>
    <t xml:space="preserve">No of Months</t>
  </si>
  <si>
    <t xml:space="preserve">&lt;&lt; Formula &gt;&gt;</t>
  </si>
  <si>
    <t xml:space="preserve">PV of rent payments</t>
  </si>
  <si>
    <t xml:space="preserve">Month</t>
  </si>
  <si>
    <t xml:space="preserve">Opening WDV</t>
  </si>
  <si>
    <t xml:space="preserve">Dep</t>
  </si>
  <si>
    <t xml:space="preserve">Closing WDV </t>
  </si>
  <si>
    <t xml:space="preserve">Opening Liability</t>
  </si>
  <si>
    <t xml:space="preserve">Closing Lease Liability</t>
  </si>
  <si>
    <t xml:space="preserve">Closing WDV</t>
  </si>
  <si>
    <t xml:space="preserve">Original Tranche (Sep-22 to Aug-25) - 12 quarterly payments in advance</t>
  </si>
  <si>
    <t xml:space="preserve">Quarterly Rent (In Advance)</t>
  </si>
  <si>
    <t xml:space="preserve">&lt;&lt; As per Payment Schedule &gt;&gt;</t>
  </si>
  <si>
    <t xml:space="preserve">Quarterly discount rate</t>
  </si>
  <si>
    <t xml:space="preserve">No of Quarterly Payments</t>
  </si>
  <si>
    <t xml:space="preserve">&lt;&lt; Per Payment Schedule: 89,964,849.48 / 7,497,070.79 = 12 &gt;&gt;</t>
  </si>
  <si>
    <t xml:space="preserve">PV of rent payments (Annuity Due)</t>
  </si>
  <si>
    <t xml:space="preserve">Renewal Tranche (Sep-25 to Dec-25) - lump sum paid in full at commencement</t>
  </si>
  <si>
    <t xml:space="preserve">Renewal Payment (Lump sum, paid in advance)</t>
  </si>
  <si>
    <t xml:space="preserve">&lt;&lt; As per Renewal Agreement / Accounting Event Summary &gt;&gt;</t>
  </si>
  <si>
    <t xml:space="preserve">No of months - Renewal Term</t>
  </si>
  <si>
    <t xml:space="preserve">&lt;&lt; As per Renewal Agreement (Sep, Oct, Nov, Dec-25) &gt;&gt;</t>
  </si>
  <si>
    <t xml:space="preserve">PV of Renewal Payment</t>
  </si>
  <si>
    <t xml:space="preserve">&lt;&lt; Paid in full at commencement - no further discounting required &gt;&gt;</t>
  </si>
  <si>
    <t xml:space="preserve">Right of Use Asset - Monthly Amortisation (Straight-line)</t>
  </si>
  <si>
    <t xml:space="preserve">Depreciation</t>
  </si>
  <si>
    <t xml:space="preserve">Jul'25 - Aug'25: No lease in force (original expired Jun-25, renewal commences Sep-25)</t>
  </si>
  <si>
    <t xml:space="preserve">Lease Liability - Original Tranche (Quarterly Roll-forward)</t>
  </si>
  <si>
    <t xml:space="preserve">Quarter</t>
  </si>
  <si>
    <t xml:space="preserve">Closing Liability</t>
  </si>
  <si>
    <t xml:space="preserve">Lease Liability - Renewal Tranche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</si>
</sst>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00_);_(* \(#,##0.0000\);_(* \-??_);_(@_)"/>
    <numFmt numFmtId="166" formatCode="m/d/yyyy"/>
    <numFmt numFmtId="167" formatCode="_(* #,##0_);_(* \(#,##0\);_(* \-??_);_(@_)"/>
    <numFmt numFmtId="168" formatCode="0.00%"/>
    <numFmt numFmtId="169" formatCode="d\-mmm\-yy"/>
    <numFmt numFmtId="170" formatCode="[$-409]d\-mmm\-yy;@"/>
    <numFmt numFmtId="171" formatCode="_(* #,##0.00_);_(* \(#,##0.00\);_(* \-??_);_(@_)"/>
    <numFmt numFmtId="172" formatCode="mmm/yyyy"/>
    <numFmt numFmtId="173" formatCode="0%"/>
    <numFmt numFmtId="174" formatCode="_ * #,##0.00_ ;_ * \-#,##0.00_ ;_ * \-??_ ;_ @_ "/>
    <numFmt numFmtId="175" formatCode="#,##0.00"/>
    <numFmt numFmtId="17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CFFCC"/>
      </patternFill>
    </fill>
    <fill>
      <patternFill patternType="solid">
        <fgColor theme="2" tint="-0.25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L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8046875" defaultRowHeight="12.75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6.2"/>
    <col collapsed="false" customWidth="true" hidden="false" outlineLevel="0" max="3" min="3" style="1" width="19.59"/>
    <col collapsed="false" customWidth="true" hidden="false" outlineLevel="0" max="4" min="4" style="1" width="19.2"/>
    <col collapsed="false" customWidth="true" hidden="false" outlineLevel="0" max="5" min="5" style="1" width="19.79"/>
    <col collapsed="false" customWidth="true" hidden="false" outlineLevel="0" max="6" min="6" style="1" width="16.79"/>
    <col collapsed="false" customWidth="true" hidden="false" outlineLevel="0" max="7" min="7" style="1" width="13.8"/>
    <col collapsed="false" customWidth="true" hidden="false" outlineLevel="0" max="8" min="8" style="1" width="17.4"/>
    <col collapsed="false" customWidth="true" hidden="false" outlineLevel="0" max="9" min="9" style="1" width="12.79"/>
    <col collapsed="false" customWidth="true" hidden="false" outlineLevel="0" max="10" min="10" style="1" width="13.8"/>
    <col collapsed="false" customWidth="true" hidden="false" outlineLevel="0" max="12" min="11" style="1" width="12.79"/>
    <col collapsed="false" customWidth="false" hidden="false" outlineLevel="0" max="16384" min="13" style="1" width="8.8"/>
  </cols>
  <sheetData>
    <row r="1" customFormat="false" ht="12.75" hidden="false" customHeight="true" outlineLevel="0" collapsed="false">
      <c r="A1" s="2"/>
    </row>
    <row r="2" customFormat="false" ht="12.75" hidden="false" customHeight="true" outlineLevel="0" collapsed="false">
      <c r="A2" s="2"/>
    </row>
    <row r="3" customFormat="false" ht="12.75" hidden="false" customHeight="true" outlineLevel="0" collapsed="false">
      <c r="A3" s="2"/>
    </row>
    <row r="4" customFormat="false" ht="12.75" hidden="false" customHeight="true" outlineLevel="0" collapsed="false">
      <c r="A4" s="2"/>
    </row>
    <row r="5" customFormat="false" ht="12.75" hidden="false" customHeight="true" outlineLevel="0" collapsed="false">
      <c r="A5" s="2"/>
    </row>
    <row r="6" customFormat="false" ht="12.75" hidden="false" customHeight="true" outlineLevel="0" collapsed="false">
      <c r="A6" s="2" t="s">
        <v>0</v>
      </c>
    </row>
    <row r="7" customFormat="false" ht="12.75" hidden="false" customHeight="true" outlineLevel="0" collapsed="false">
      <c r="A7" s="1" t="s">
        <v>1</v>
      </c>
    </row>
    <row r="10" customFormat="false" ht="12.75" hidden="false" customHeight="true" outlineLevel="0" collapsed="false">
      <c r="A10" s="2" t="s">
        <v>2</v>
      </c>
    </row>
    <row r="11" customFormat="false" ht="12.75" hidden="false" customHeight="true" outlineLevel="0" collapsed="false">
      <c r="B11" s="3" t="s">
        <v>3</v>
      </c>
      <c r="C11" s="3" t="s">
        <v>4</v>
      </c>
      <c r="D11" s="3" t="s">
        <v>4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</row>
    <row r="12" customFormat="false" ht="33.75" hidden="false" customHeight="true" outlineLevel="0" collapsed="false">
      <c r="A12" s="4" t="s">
        <v>5</v>
      </c>
      <c r="B12" s="5" t="s">
        <v>6</v>
      </c>
      <c r="C12" s="6" t="s">
        <v>7</v>
      </c>
      <c r="D12" s="6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11</v>
      </c>
      <c r="K12" s="7" t="s">
        <v>14</v>
      </c>
      <c r="L12" s="7" t="s">
        <v>15</v>
      </c>
    </row>
    <row r="13" customFormat="false" ht="12.75" hidden="false" customHeight="true" outlineLevel="0" collapsed="false">
      <c r="A13" s="8" t="s">
        <v>16</v>
      </c>
      <c r="B13" s="9" t="n">
        <v>0.051215</v>
      </c>
      <c r="C13" s="10" t="n">
        <v>44926</v>
      </c>
      <c r="D13" s="10" t="n">
        <v>46691</v>
      </c>
      <c r="E13" s="11" t="n">
        <v>0</v>
      </c>
      <c r="F13" s="11" t="n">
        <v>6558072.72</v>
      </c>
      <c r="G13" s="11" t="n">
        <v>10383615.08</v>
      </c>
      <c r="H13" s="11" t="n">
        <v>720542.53</v>
      </c>
      <c r="I13" s="11" t="n">
        <v>7279309.32</v>
      </c>
      <c r="J13" s="11" t="n">
        <v>11095180.96</v>
      </c>
      <c r="K13" s="11" t="n">
        <v>6902672.25</v>
      </c>
      <c r="L13" s="11" t="n">
        <v>4192508.51</v>
      </c>
    </row>
    <row r="14" customFormat="false" ht="12.75" hidden="false" customHeight="true" outlineLevel="0" collapsed="false">
      <c r="A14" s="8" t="s">
        <v>17</v>
      </c>
      <c r="B14" s="9" t="n">
        <v>0.051215</v>
      </c>
      <c r="C14" s="12" t="n">
        <v>44926</v>
      </c>
      <c r="D14" s="12" t="n">
        <v>46691</v>
      </c>
      <c r="E14" s="11" t="n">
        <v>0</v>
      </c>
      <c r="F14" s="11" t="n">
        <f aca="false">SUM(C52:C63)</f>
        <v>6436214.80185823</v>
      </c>
      <c r="G14" s="11" t="n">
        <f aca="false">D63</f>
        <v>9654322.20278729</v>
      </c>
      <c r="H14" s="11" t="n">
        <f aca="false">SUM(F52:F63)</f>
        <v>720542.529913571</v>
      </c>
      <c r="I14" s="11" t="n">
        <f aca="false">-SUM(G52:G63)</f>
        <v>7279309.32</v>
      </c>
      <c r="J14" s="11" t="n">
        <f aca="false">H63</f>
        <v>10488571.6605968</v>
      </c>
      <c r="K14" s="13" t="n">
        <f aca="false">H63-H76</f>
        <v>7493977.01258285</v>
      </c>
      <c r="L14" s="13" t="n">
        <f aca="false">J14-K14</f>
        <v>2994594.64801395</v>
      </c>
    </row>
    <row r="15" customFormat="false" ht="12.75" hidden="false" customHeight="true" outlineLevel="0" collapsed="false">
      <c r="A15" s="14" t="s">
        <v>18</v>
      </c>
      <c r="B15" s="15" t="n">
        <f aca="false">B13-B14</f>
        <v>0</v>
      </c>
      <c r="C15" s="13" t="n">
        <f aca="false">C13-C14</f>
        <v>0</v>
      </c>
      <c r="D15" s="13" t="n">
        <f aca="false">D13-D14</f>
        <v>0</v>
      </c>
      <c r="E15" s="13" t="n">
        <f aca="false">E13-E14</f>
        <v>0</v>
      </c>
      <c r="F15" s="13" t="n">
        <f aca="false">F13-F14</f>
        <v>121857.918141775</v>
      </c>
      <c r="G15" s="13" t="n">
        <f aca="false">G13-G14</f>
        <v>729292.877212709</v>
      </c>
      <c r="H15" s="13" t="n">
        <f aca="false">H13-H14</f>
        <v>8.64288304001093E-005</v>
      </c>
      <c r="I15" s="13" t="n">
        <f aca="false">I13-I14</f>
        <v>0</v>
      </c>
      <c r="J15" s="13" t="n">
        <f aca="false">J13-J14</f>
        <v>606609.299403202</v>
      </c>
      <c r="K15" s="13" t="n">
        <f aca="false">K13-K14</f>
        <v>-591304.762582852</v>
      </c>
      <c r="L15" s="13" t="n">
        <f aca="false">L13-L14</f>
        <v>1197913.86198605</v>
      </c>
    </row>
    <row r="16" customFormat="false" ht="12.75" hidden="false" customHeight="true" outlineLevel="0" collapsed="false">
      <c r="A16" s="2" t="s">
        <v>19</v>
      </c>
      <c r="D16" s="16"/>
      <c r="E16" s="16"/>
      <c r="F16" s="16"/>
    </row>
    <row r="18" customFormat="false" ht="12.75" hidden="false" customHeight="true" outlineLevel="0" collapsed="false">
      <c r="A18" s="2" t="s">
        <v>20</v>
      </c>
      <c r="B18" s="17" t="n">
        <v>606609.11</v>
      </c>
      <c r="C18" s="3" t="s">
        <v>4</v>
      </c>
      <c r="D18" s="18"/>
    </row>
    <row r="19" customFormat="false" ht="12.75" hidden="false" customHeight="true" outlineLevel="0" collapsed="false">
      <c r="A19" s="2" t="s">
        <v>21</v>
      </c>
      <c r="B19" s="19" t="n">
        <f aca="false">B14/12</f>
        <v>0.00426791666666667</v>
      </c>
      <c r="C19" s="3" t="s">
        <v>3</v>
      </c>
      <c r="D19" s="18"/>
    </row>
    <row r="20" customFormat="false" ht="12.75" hidden="false" customHeight="true" outlineLevel="0" collapsed="false">
      <c r="A20" s="2" t="s">
        <v>22</v>
      </c>
      <c r="B20" s="20" t="n">
        <f aca="false">ROUND(((D14-C14)/30.5),0)</f>
        <v>58</v>
      </c>
      <c r="C20" s="3" t="s">
        <v>23</v>
      </c>
    </row>
    <row r="21" customFormat="false" ht="12.75" hidden="false" customHeight="true" outlineLevel="0" collapsed="false">
      <c r="A21" s="2" t="s">
        <v>24</v>
      </c>
      <c r="B21" s="20" t="n">
        <f aca="false">-PV(B19,B20,B18)</f>
        <v>31108371.5423148</v>
      </c>
      <c r="C21" s="3" t="s">
        <v>23</v>
      </c>
    </row>
    <row r="23" customFormat="false" ht="12.75" hidden="false" customHeight="true" outlineLevel="0" collapsed="false">
      <c r="A23" s="4" t="s">
        <v>25</v>
      </c>
      <c r="B23" s="21" t="s">
        <v>26</v>
      </c>
      <c r="C23" s="21" t="s">
        <v>27</v>
      </c>
      <c r="D23" s="21" t="s">
        <v>28</v>
      </c>
      <c r="E23" s="21" t="s">
        <v>29</v>
      </c>
      <c r="F23" s="21" t="s">
        <v>12</v>
      </c>
      <c r="G23" s="21" t="s">
        <v>13</v>
      </c>
      <c r="H23" s="21" t="s">
        <v>30</v>
      </c>
    </row>
    <row r="24" customFormat="false" ht="12.75" hidden="false" customHeight="true" outlineLevel="0" collapsed="false">
      <c r="A24" s="22" t="n">
        <v>44896</v>
      </c>
      <c r="B24" s="13" t="n">
        <f aca="false">$B$21</f>
        <v>31108371.5423148</v>
      </c>
      <c r="C24" s="13" t="n">
        <f aca="false">$B$21/$B$20</f>
        <v>536351.233488185</v>
      </c>
      <c r="D24" s="13" t="n">
        <f aca="false">B24-C24</f>
        <v>30572020.3088266</v>
      </c>
      <c r="E24" s="13" t="n">
        <f aca="false">$B$21</f>
        <v>31108371.5423148</v>
      </c>
      <c r="F24" s="13" t="n">
        <f aca="false">E24*$B$19</f>
        <v>132767.937378304</v>
      </c>
      <c r="G24" s="13" t="n">
        <f aca="false">-$B$18</f>
        <v>-606609.11</v>
      </c>
      <c r="H24" s="13" t="n">
        <f aca="false">SUM(E24:G24)</f>
        <v>30634530.3696931</v>
      </c>
    </row>
    <row r="25" customFormat="false" ht="12.75" hidden="false" customHeight="true" outlineLevel="0" collapsed="false">
      <c r="A25" s="22" t="n">
        <v>44927</v>
      </c>
      <c r="B25" s="13" t="n">
        <f aca="false">D24</f>
        <v>30572020.3088266</v>
      </c>
      <c r="C25" s="13" t="n">
        <f aca="false">$B$21/$B$20</f>
        <v>536351.233488185</v>
      </c>
      <c r="D25" s="13" t="n">
        <f aca="false">B25-C25</f>
        <v>30035669.0753384</v>
      </c>
      <c r="E25" s="13" t="n">
        <f aca="false">H24</f>
        <v>30634530.3696931</v>
      </c>
      <c r="F25" s="13" t="n">
        <f aca="false">E25*$B$19</f>
        <v>130745.622740319</v>
      </c>
      <c r="G25" s="13" t="n">
        <f aca="false">-$B$18</f>
        <v>-606609.11</v>
      </c>
      <c r="H25" s="13" t="n">
        <f aca="false">SUM(E25:G25)</f>
        <v>30158666.8824334</v>
      </c>
    </row>
    <row r="26" customFormat="false" ht="12.75" hidden="false" customHeight="true" outlineLevel="0" collapsed="false">
      <c r="A26" s="22" t="n">
        <v>44958</v>
      </c>
      <c r="B26" s="13" t="n">
        <f aca="false">D25</f>
        <v>30035669.0753384</v>
      </c>
      <c r="C26" s="13" t="n">
        <f aca="false">$B$21/$B$20</f>
        <v>536351.233488185</v>
      </c>
      <c r="D26" s="13" t="n">
        <f aca="false">B26-C26</f>
        <v>29499317.8418502</v>
      </c>
      <c r="E26" s="13" t="n">
        <f aca="false">H25</f>
        <v>30158666.8824334</v>
      </c>
      <c r="F26" s="13" t="n">
        <f aca="false">E26*$B$19</f>
        <v>128714.677031985</v>
      </c>
      <c r="G26" s="13" t="n">
        <f aca="false">-$B$18</f>
        <v>-606609.11</v>
      </c>
      <c r="H26" s="13" t="n">
        <f aca="false">SUM(E26:G26)</f>
        <v>29680772.4494654</v>
      </c>
    </row>
    <row r="27" customFormat="false" ht="12.75" hidden="false" customHeight="true" outlineLevel="0" collapsed="false">
      <c r="A27" s="22" t="n">
        <v>44986</v>
      </c>
      <c r="B27" s="13" t="n">
        <f aca="false">D26</f>
        <v>29499317.8418502</v>
      </c>
      <c r="C27" s="13" t="n">
        <f aca="false">$B$21/$B$20</f>
        <v>536351.233488185</v>
      </c>
      <c r="D27" s="13" t="n">
        <f aca="false">B27-C27</f>
        <v>28962966.608362</v>
      </c>
      <c r="E27" s="13" t="n">
        <f aca="false">H26</f>
        <v>29680772.4494654</v>
      </c>
      <c r="F27" s="13" t="n">
        <f aca="false">E27*$B$19</f>
        <v>126675.063416614</v>
      </c>
      <c r="G27" s="13" t="n">
        <f aca="false">-$B$18</f>
        <v>-606609.11</v>
      </c>
      <c r="H27" s="13" t="n">
        <f aca="false">SUM(E27:G27)</f>
        <v>29200838.402882</v>
      </c>
    </row>
    <row r="28" customFormat="false" ht="12.75" hidden="false" customHeight="true" outlineLevel="0" collapsed="false">
      <c r="A28" s="22" t="n">
        <v>45017</v>
      </c>
      <c r="B28" s="13" t="n">
        <f aca="false">D27</f>
        <v>28962966.608362</v>
      </c>
      <c r="C28" s="13" t="n">
        <f aca="false">$B$21/$B$20</f>
        <v>536351.233488185</v>
      </c>
      <c r="D28" s="13" t="n">
        <f aca="false">B28-C28</f>
        <v>28426615.3748738</v>
      </c>
      <c r="E28" s="13" t="n">
        <f aca="false">H27</f>
        <v>29200838.402882</v>
      </c>
      <c r="F28" s="13" t="n">
        <f aca="false">E28*$B$19</f>
        <v>124626.7449003</v>
      </c>
      <c r="G28" s="13" t="n">
        <f aca="false">-$B$18</f>
        <v>-606609.11</v>
      </c>
      <c r="H28" s="13" t="n">
        <f aca="false">SUM(E28:G28)</f>
        <v>28718856.0377823</v>
      </c>
    </row>
    <row r="29" customFormat="false" ht="12.75" hidden="false" customHeight="true" outlineLevel="0" collapsed="false">
      <c r="A29" s="22" t="n">
        <v>45047</v>
      </c>
      <c r="B29" s="13" t="n">
        <f aca="false">D28</f>
        <v>28426615.3748738</v>
      </c>
      <c r="C29" s="13" t="n">
        <f aca="false">$B$21/$B$20</f>
        <v>536351.233488185</v>
      </c>
      <c r="D29" s="13" t="n">
        <f aca="false">B29-C29</f>
        <v>27890264.1413856</v>
      </c>
      <c r="E29" s="13" t="n">
        <f aca="false">H28</f>
        <v>28718856.0377823</v>
      </c>
      <c r="F29" s="13" t="n">
        <f aca="false">E29*$B$19</f>
        <v>122569.684331252</v>
      </c>
      <c r="G29" s="13" t="n">
        <f aca="false">-$B$18</f>
        <v>-606609.11</v>
      </c>
      <c r="H29" s="13" t="n">
        <f aca="false">SUM(E29:G29)</f>
        <v>28234816.6121135</v>
      </c>
    </row>
    <row r="30" customFormat="false" ht="12.75" hidden="false" customHeight="true" outlineLevel="0" collapsed="false">
      <c r="A30" s="22" t="n">
        <v>45078</v>
      </c>
      <c r="B30" s="13" t="n">
        <f aca="false">D29</f>
        <v>27890264.1413856</v>
      </c>
      <c r="C30" s="13" t="n">
        <f aca="false">$B$21/$B$20</f>
        <v>536351.233488185</v>
      </c>
      <c r="D30" s="13" t="n">
        <f aca="false">B30-C30</f>
        <v>27353912.9078974</v>
      </c>
      <c r="E30" s="13" t="n">
        <f aca="false">H29</f>
        <v>28234816.6121135</v>
      </c>
      <c r="F30" s="13" t="n">
        <f aca="false">E30*$B$19</f>
        <v>120503.844399116</v>
      </c>
      <c r="G30" s="13" t="n">
        <f aca="false">-$B$18</f>
        <v>-606609.11</v>
      </c>
      <c r="H30" s="13" t="n">
        <f aca="false">SUM(E30:G30)</f>
        <v>27748711.3465127</v>
      </c>
    </row>
    <row r="31" customFormat="false" ht="12.75" hidden="false" customHeight="true" outlineLevel="0" collapsed="false">
      <c r="A31" s="22" t="n">
        <v>45108</v>
      </c>
      <c r="B31" s="13" t="n">
        <f aca="false">D30</f>
        <v>27353912.9078974</v>
      </c>
      <c r="C31" s="13" t="n">
        <f aca="false">$B$21/$B$20</f>
        <v>536351.233488185</v>
      </c>
      <c r="D31" s="13" t="n">
        <f aca="false">B31-C31</f>
        <v>26817561.6744093</v>
      </c>
      <c r="E31" s="13" t="n">
        <f aca="false">H30</f>
        <v>27748711.3465127</v>
      </c>
      <c r="F31" s="13" t="n">
        <f aca="false">E31*$B$19</f>
        <v>118429.187634304</v>
      </c>
      <c r="G31" s="13" t="n">
        <f aca="false">-$B$18</f>
        <v>-606609.11</v>
      </c>
      <c r="H31" s="13" t="n">
        <f aca="false">SUM(E31:G31)</f>
        <v>27260531.424147</v>
      </c>
    </row>
    <row r="32" customFormat="false" ht="12.75" hidden="false" customHeight="true" outlineLevel="0" collapsed="false">
      <c r="A32" s="22" t="n">
        <v>45139</v>
      </c>
      <c r="B32" s="13" t="n">
        <f aca="false">D31</f>
        <v>26817561.6744093</v>
      </c>
      <c r="C32" s="13" t="n">
        <f aca="false">$B$21/$B$20</f>
        <v>536351.233488185</v>
      </c>
      <c r="D32" s="13" t="n">
        <f aca="false">B32-C32</f>
        <v>26281210.4409211</v>
      </c>
      <c r="E32" s="13" t="n">
        <f aca="false">H31</f>
        <v>27260531.424147</v>
      </c>
      <c r="F32" s="13" t="n">
        <f aca="false">E32*$B$19</f>
        <v>116345.676407307</v>
      </c>
      <c r="G32" s="13" t="n">
        <f aca="false">-$B$18</f>
        <v>-606609.11</v>
      </c>
      <c r="H32" s="13" t="n">
        <f aca="false">SUM(E32:G32)</f>
        <v>26770267.9905543</v>
      </c>
    </row>
    <row r="33" customFormat="false" ht="12.75" hidden="false" customHeight="true" outlineLevel="0" collapsed="false">
      <c r="A33" s="22" t="n">
        <v>45170</v>
      </c>
      <c r="B33" s="13" t="n">
        <f aca="false">D32</f>
        <v>26281210.4409211</v>
      </c>
      <c r="C33" s="13" t="n">
        <f aca="false">$B$21/$B$20</f>
        <v>536351.233488185</v>
      </c>
      <c r="D33" s="13" t="n">
        <f aca="false">B33-C33</f>
        <v>25744859.2074329</v>
      </c>
      <c r="E33" s="13" t="n">
        <f aca="false">H32</f>
        <v>26770267.9905543</v>
      </c>
      <c r="F33" s="13" t="n">
        <f aca="false">E33*$B$19</f>
        <v>114253.27292802</v>
      </c>
      <c r="G33" s="13" t="n">
        <f aca="false">-$B$18</f>
        <v>-606609.11</v>
      </c>
      <c r="H33" s="13" t="n">
        <f aca="false">SUM(E33:G33)</f>
        <v>26277912.1534823</v>
      </c>
    </row>
    <row r="34" customFormat="false" ht="12.75" hidden="false" customHeight="true" outlineLevel="0" collapsed="false">
      <c r="A34" s="22" t="n">
        <v>45200</v>
      </c>
      <c r="B34" s="13" t="n">
        <f aca="false">D33</f>
        <v>25744859.2074329</v>
      </c>
      <c r="C34" s="13" t="n">
        <f aca="false">$B$21/$B$20</f>
        <v>536351.233488185</v>
      </c>
      <c r="D34" s="13" t="n">
        <f aca="false">B34-C34</f>
        <v>25208507.9739447</v>
      </c>
      <c r="E34" s="13" t="n">
        <f aca="false">H33</f>
        <v>26277912.1534823</v>
      </c>
      <c r="F34" s="13" t="n">
        <f aca="false">E34*$B$19</f>
        <v>112151.93924505</v>
      </c>
      <c r="G34" s="13" t="n">
        <f aca="false">-$B$18</f>
        <v>-606609.11</v>
      </c>
      <c r="H34" s="13" t="n">
        <f aca="false">SUM(E34:G34)</f>
        <v>25783454.9827273</v>
      </c>
    </row>
    <row r="35" customFormat="false" ht="12.75" hidden="false" customHeight="true" outlineLevel="0" collapsed="false">
      <c r="A35" s="22" t="n">
        <v>45231</v>
      </c>
      <c r="B35" s="13" t="n">
        <f aca="false">D34</f>
        <v>25208507.9739447</v>
      </c>
      <c r="C35" s="13" t="n">
        <f aca="false">$B$21/$B$20</f>
        <v>536351.233488185</v>
      </c>
      <c r="D35" s="13" t="n">
        <f aca="false">B35-C35</f>
        <v>24672156.7404565</v>
      </c>
      <c r="E35" s="13" t="n">
        <f aca="false">H34</f>
        <v>25783454.9827273</v>
      </c>
      <c r="F35" s="13" t="n">
        <f aca="false">E35*$B$19</f>
        <v>110041.637245032</v>
      </c>
      <c r="G35" s="13" t="n">
        <f aca="false">-$B$18</f>
        <v>-606609.11</v>
      </c>
      <c r="H35" s="13" t="n">
        <f aca="false">SUM(E35:G35)</f>
        <v>25286887.5099724</v>
      </c>
    </row>
    <row r="36" customFormat="false" ht="12.75" hidden="false" customHeight="true" outlineLevel="0" collapsed="false">
      <c r="A36" s="22" t="n">
        <v>45261</v>
      </c>
      <c r="B36" s="13" t="n">
        <f aca="false">D35</f>
        <v>24672156.7404565</v>
      </c>
      <c r="C36" s="13" t="n">
        <f aca="false">$B$21/$B$20</f>
        <v>536351.233488185</v>
      </c>
      <c r="D36" s="13" t="n">
        <f aca="false">B36-C36</f>
        <v>24135805.5069683</v>
      </c>
      <c r="E36" s="13" t="n">
        <f aca="false">H35</f>
        <v>25286887.5099724</v>
      </c>
      <c r="F36" s="13" t="n">
        <f aca="false">E36*$B$19</f>
        <v>107922.328651936</v>
      </c>
      <c r="G36" s="13" t="n">
        <f aca="false">-$B$18</f>
        <v>-606609.11</v>
      </c>
      <c r="H36" s="13" t="n">
        <f aca="false">SUM(E36:G36)</f>
        <v>24788200.7286243</v>
      </c>
    </row>
    <row r="37" customFormat="false" ht="12.75" hidden="false" customHeight="true" outlineLevel="0" collapsed="false">
      <c r="A37" s="22" t="n">
        <v>45292</v>
      </c>
      <c r="B37" s="13" t="n">
        <f aca="false">D36</f>
        <v>24135805.5069683</v>
      </c>
      <c r="C37" s="13" t="n">
        <f aca="false">$B$21/$B$20</f>
        <v>536351.233488185</v>
      </c>
      <c r="D37" s="13" t="n">
        <f aca="false">B37-C37</f>
        <v>23599454.2734801</v>
      </c>
      <c r="E37" s="13" t="n">
        <f aca="false">H36</f>
        <v>24788200.7286243</v>
      </c>
      <c r="F37" s="13" t="n">
        <f aca="false">E37*$B$19</f>
        <v>105793.975026374</v>
      </c>
      <c r="G37" s="13" t="n">
        <f aca="false">-$B$18</f>
        <v>-606609.11</v>
      </c>
      <c r="H37" s="13" t="n">
        <f aca="false">SUM(E37:G37)</f>
        <v>24287385.5936507</v>
      </c>
    </row>
    <row r="38" customFormat="false" ht="12.75" hidden="false" customHeight="true" outlineLevel="0" collapsed="false">
      <c r="A38" s="22" t="n">
        <v>45323</v>
      </c>
      <c r="B38" s="13" t="n">
        <f aca="false">D37</f>
        <v>23599454.2734801</v>
      </c>
      <c r="C38" s="13" t="n">
        <f aca="false">$B$21/$B$20</f>
        <v>536351.233488185</v>
      </c>
      <c r="D38" s="13" t="n">
        <f aca="false">B38-C38</f>
        <v>23063103.0399919</v>
      </c>
      <c r="E38" s="13" t="n">
        <f aca="false">H37</f>
        <v>24287385.5936507</v>
      </c>
      <c r="F38" s="13" t="n">
        <f aca="false">E38*$B$19</f>
        <v>103656.537764902</v>
      </c>
      <c r="G38" s="13" t="n">
        <f aca="false">-$B$18</f>
        <v>-606609.11</v>
      </c>
      <c r="H38" s="13" t="n">
        <f aca="false">SUM(E38:G38)</f>
        <v>23784433.0214156</v>
      </c>
    </row>
    <row r="39" customFormat="false" ht="12.75" hidden="false" customHeight="true" outlineLevel="0" collapsed="false">
      <c r="A39" s="22" t="n">
        <v>45352</v>
      </c>
      <c r="B39" s="13" t="n">
        <f aca="false">D38</f>
        <v>23063103.0399919</v>
      </c>
      <c r="C39" s="13" t="n">
        <f aca="false">$B$21/$B$20</f>
        <v>536351.233488185</v>
      </c>
      <c r="D39" s="13" t="n">
        <f aca="false">B39-C39</f>
        <v>22526751.8065038</v>
      </c>
      <c r="E39" s="13" t="n">
        <f aca="false">H38</f>
        <v>23784433.0214156</v>
      </c>
      <c r="F39" s="13" t="n">
        <f aca="false">E39*$B$19</f>
        <v>101509.978099317</v>
      </c>
      <c r="G39" s="13" t="n">
        <f aca="false">-$B$18</f>
        <v>-606609.11</v>
      </c>
      <c r="H39" s="13" t="n">
        <f aca="false">SUM(E39:G39)</f>
        <v>23279333.8895149</v>
      </c>
    </row>
    <row r="40" customFormat="false" ht="12.75" hidden="false" customHeight="true" outlineLevel="0" collapsed="false">
      <c r="A40" s="22" t="n">
        <v>45383</v>
      </c>
      <c r="B40" s="13" t="n">
        <f aca="false">D39</f>
        <v>22526751.8065038</v>
      </c>
      <c r="C40" s="13" t="n">
        <f aca="false">$B$21/$B$20</f>
        <v>536351.233488185</v>
      </c>
      <c r="D40" s="13" t="n">
        <f aca="false">B40-C40</f>
        <v>21990400.5730156</v>
      </c>
      <c r="E40" s="13" t="n">
        <f aca="false">H39</f>
        <v>23279333.8895149</v>
      </c>
      <c r="F40" s="13" t="n">
        <f aca="false">E40*$B$19</f>
        <v>99354.2570959588</v>
      </c>
      <c r="G40" s="13" t="n">
        <f aca="false">-$B$18</f>
        <v>-606609.11</v>
      </c>
      <c r="H40" s="13" t="n">
        <f aca="false">SUM(E40:G40)</f>
        <v>22772079.0366109</v>
      </c>
    </row>
    <row r="41" customFormat="false" ht="12.75" hidden="false" customHeight="true" outlineLevel="0" collapsed="false">
      <c r="A41" s="22" t="n">
        <v>45413</v>
      </c>
      <c r="B41" s="13" t="n">
        <f aca="false">D40</f>
        <v>21990400.5730156</v>
      </c>
      <c r="C41" s="13" t="n">
        <f aca="false">$B$21/$B$20</f>
        <v>536351.233488185</v>
      </c>
      <c r="D41" s="13" t="n">
        <f aca="false">B41-C41</f>
        <v>21454049.3395274</v>
      </c>
      <c r="E41" s="13" t="n">
        <f aca="false">H40</f>
        <v>22772079.0366109</v>
      </c>
      <c r="F41" s="13" t="n">
        <f aca="false">E41*$B$19</f>
        <v>97189.3356550021</v>
      </c>
      <c r="G41" s="13" t="n">
        <f aca="false">-$B$18</f>
        <v>-606609.11</v>
      </c>
      <c r="H41" s="13" t="n">
        <f aca="false">SUM(E41:G41)</f>
        <v>22262659.2622659</v>
      </c>
    </row>
    <row r="42" customFormat="false" ht="12.75" hidden="false" customHeight="true" outlineLevel="0" collapsed="false">
      <c r="A42" s="22" t="n">
        <v>45444</v>
      </c>
      <c r="B42" s="13" t="n">
        <f aca="false">D41</f>
        <v>21454049.3395274</v>
      </c>
      <c r="C42" s="13" t="n">
        <f aca="false">$B$21/$B$20</f>
        <v>536351.233488185</v>
      </c>
      <c r="D42" s="13" t="n">
        <f aca="false">B42-C42</f>
        <v>20917698.1060392</v>
      </c>
      <c r="E42" s="13" t="n">
        <f aca="false">H41</f>
        <v>22262659.2622659</v>
      </c>
      <c r="F42" s="13" t="n">
        <f aca="false">E42*$B$19</f>
        <v>95015.1745097455</v>
      </c>
      <c r="G42" s="13" t="n">
        <f aca="false">-$B$18</f>
        <v>-606609.11</v>
      </c>
      <c r="H42" s="13" t="n">
        <f aca="false">SUM(E42:G42)</f>
        <v>21751065.3267756</v>
      </c>
    </row>
    <row r="43" customFormat="false" ht="12.75" hidden="false" customHeight="true" outlineLevel="0" collapsed="false">
      <c r="A43" s="22" t="n">
        <v>45474</v>
      </c>
      <c r="B43" s="13" t="n">
        <f aca="false">D42</f>
        <v>20917698.1060392</v>
      </c>
      <c r="C43" s="13" t="n">
        <f aca="false">$B$21/$B$20</f>
        <v>536351.233488185</v>
      </c>
      <c r="D43" s="13" t="n">
        <f aca="false">B43-C43</f>
        <v>20381346.872551</v>
      </c>
      <c r="E43" s="13" t="n">
        <f aca="false">H42</f>
        <v>21751065.3267756</v>
      </c>
      <c r="F43" s="13" t="n">
        <f aca="false">E43*$B$19</f>
        <v>92831.7342259011</v>
      </c>
      <c r="G43" s="13" t="n">
        <f aca="false">-$B$18</f>
        <v>-606609.11</v>
      </c>
      <c r="H43" s="13" t="n">
        <f aca="false">SUM(E43:G43)</f>
        <v>21237287.9510015</v>
      </c>
    </row>
    <row r="44" customFormat="false" ht="12.75" hidden="false" customHeight="true" outlineLevel="0" collapsed="false">
      <c r="A44" s="22" t="n">
        <v>45505</v>
      </c>
      <c r="B44" s="13" t="n">
        <f aca="false">D43</f>
        <v>20381346.872551</v>
      </c>
      <c r="C44" s="13" t="n">
        <f aca="false">$B$21/$B$20</f>
        <v>536351.233488185</v>
      </c>
      <c r="D44" s="13" t="n">
        <f aca="false">B44-C44</f>
        <v>19844995.6390628</v>
      </c>
      <c r="E44" s="13" t="n">
        <f aca="false">H43</f>
        <v>21237287.9510015</v>
      </c>
      <c r="F44" s="13" t="n">
        <f aca="false">E44*$B$19</f>
        <v>90638.9752008785</v>
      </c>
      <c r="G44" s="13" t="n">
        <f aca="false">-$B$18</f>
        <v>-606609.11</v>
      </c>
      <c r="H44" s="13" t="n">
        <f aca="false">SUM(E44:G44)</f>
        <v>20721317.8162024</v>
      </c>
    </row>
    <row r="45" customFormat="false" ht="12.75" hidden="false" customHeight="true" outlineLevel="0" collapsed="false">
      <c r="A45" s="22" t="n">
        <v>45536</v>
      </c>
      <c r="B45" s="13" t="n">
        <f aca="false">D44</f>
        <v>19844995.6390628</v>
      </c>
      <c r="C45" s="13" t="n">
        <f aca="false">$B$21/$B$20</f>
        <v>536351.233488185</v>
      </c>
      <c r="D45" s="13" t="n">
        <f aca="false">B45-C45</f>
        <v>19308644.4055746</v>
      </c>
      <c r="E45" s="13" t="n">
        <f aca="false">H44</f>
        <v>20721317.8162024</v>
      </c>
      <c r="F45" s="13" t="n">
        <f aca="false">E45*$B$19</f>
        <v>88436.8576630671</v>
      </c>
      <c r="G45" s="13" t="n">
        <f aca="false">-$B$18</f>
        <v>-606609.11</v>
      </c>
      <c r="H45" s="13" t="n">
        <f aca="false">SUM(E45:G45)</f>
        <v>20203145.5638655</v>
      </c>
    </row>
    <row r="46" customFormat="false" ht="12.75" hidden="false" customHeight="true" outlineLevel="0" collapsed="false">
      <c r="A46" s="22" t="n">
        <v>45566</v>
      </c>
      <c r="B46" s="13" t="n">
        <f aca="false">D45</f>
        <v>19308644.4055746</v>
      </c>
      <c r="C46" s="13" t="n">
        <f aca="false">$B$21/$B$20</f>
        <v>536351.233488185</v>
      </c>
      <c r="D46" s="13" t="n">
        <f aca="false">B46-C46</f>
        <v>18772293.1720864</v>
      </c>
      <c r="E46" s="13" t="n">
        <f aca="false">H45</f>
        <v>20203145.5638655</v>
      </c>
      <c r="F46" s="13" t="n">
        <f aca="false">E46*$B$19</f>
        <v>86225.3416711142</v>
      </c>
      <c r="G46" s="13" t="n">
        <f aca="false">-$B$18</f>
        <v>-606609.11</v>
      </c>
      <c r="H46" s="13" t="n">
        <f aca="false">SUM(E46:G46)</f>
        <v>19682761.7955366</v>
      </c>
    </row>
    <row r="47" customFormat="false" ht="12.75" hidden="false" customHeight="true" outlineLevel="0" collapsed="false">
      <c r="A47" s="22" t="n">
        <v>45597</v>
      </c>
      <c r="B47" s="13" t="n">
        <f aca="false">D46</f>
        <v>18772293.1720864</v>
      </c>
      <c r="C47" s="13" t="n">
        <f aca="false">$B$21/$B$20</f>
        <v>536351.233488185</v>
      </c>
      <c r="D47" s="13" t="n">
        <f aca="false">B47-C47</f>
        <v>18235941.9385983</v>
      </c>
      <c r="E47" s="13" t="n">
        <f aca="false">H46</f>
        <v>19682761.7955366</v>
      </c>
      <c r="F47" s="13" t="n">
        <f aca="false">E47*$B$19</f>
        <v>84004.3871132005</v>
      </c>
      <c r="G47" s="13" t="n">
        <f aca="false">-$B$18</f>
        <v>-606609.11</v>
      </c>
      <c r="H47" s="13" t="n">
        <f aca="false">SUM(E47:G47)</f>
        <v>19160157.0726498</v>
      </c>
    </row>
    <row r="48" customFormat="false" ht="12.75" hidden="false" customHeight="true" outlineLevel="0" collapsed="false">
      <c r="A48" s="22" t="n">
        <v>45627</v>
      </c>
      <c r="B48" s="13" t="n">
        <f aca="false">D47</f>
        <v>18235941.9385983</v>
      </c>
      <c r="C48" s="13" t="n">
        <f aca="false">$B$21/$B$20</f>
        <v>536351.233488185</v>
      </c>
      <c r="D48" s="13" t="n">
        <f aca="false">B48-C48</f>
        <v>17699590.7051101</v>
      </c>
      <c r="E48" s="13" t="n">
        <f aca="false">H47</f>
        <v>19160157.0726498</v>
      </c>
      <c r="F48" s="13" t="n">
        <f aca="false">E48*$B$19</f>
        <v>81773.9537063132</v>
      </c>
      <c r="G48" s="13" t="n">
        <f aca="false">-$B$18</f>
        <v>-606609.11</v>
      </c>
      <c r="H48" s="13" t="n">
        <f aca="false">SUM(E48:G48)</f>
        <v>18635321.9163561</v>
      </c>
    </row>
    <row r="49" customFormat="false" ht="12.75" hidden="false" customHeight="true" outlineLevel="0" collapsed="false">
      <c r="A49" s="22" t="n">
        <v>45658</v>
      </c>
      <c r="B49" s="13" t="n">
        <f aca="false">D48</f>
        <v>17699590.7051101</v>
      </c>
      <c r="C49" s="13" t="n">
        <f aca="false">$B$21/$B$20</f>
        <v>536351.233488185</v>
      </c>
      <c r="D49" s="13" t="n">
        <f aca="false">B49-C49</f>
        <v>17163239.4716219</v>
      </c>
      <c r="E49" s="13" t="n">
        <f aca="false">H48</f>
        <v>18635321.9163561</v>
      </c>
      <c r="F49" s="13" t="n">
        <f aca="false">E49*$B$19</f>
        <v>79534.0009955148</v>
      </c>
      <c r="G49" s="13" t="n">
        <f aca="false">-$B$18</f>
        <v>-606609.11</v>
      </c>
      <c r="H49" s="13" t="n">
        <f aca="false">SUM(E49:G49)</f>
        <v>18108246.8073516</v>
      </c>
    </row>
    <row r="50" customFormat="false" ht="12.75" hidden="false" customHeight="true" outlineLevel="0" collapsed="false">
      <c r="A50" s="22" t="n">
        <v>45689</v>
      </c>
      <c r="B50" s="13" t="n">
        <f aca="false">D49</f>
        <v>17163239.4716219</v>
      </c>
      <c r="C50" s="13" t="n">
        <f aca="false">$B$21/$B$20</f>
        <v>536351.233488185</v>
      </c>
      <c r="D50" s="13" t="n">
        <f aca="false">B50-C50</f>
        <v>16626888.2381337</v>
      </c>
      <c r="E50" s="13" t="n">
        <f aca="false">H49</f>
        <v>18108246.8073516</v>
      </c>
      <c r="F50" s="13" t="n">
        <f aca="false">E50*$B$19</f>
        <v>77284.4883532094</v>
      </c>
      <c r="G50" s="13" t="n">
        <f aca="false">-$B$18</f>
        <v>-606609.11</v>
      </c>
      <c r="H50" s="13" t="n">
        <f aca="false">SUM(E50:G50)</f>
        <v>17578922.1857048</v>
      </c>
    </row>
    <row r="51" customFormat="false" ht="12.75" hidden="false" customHeight="true" outlineLevel="0" collapsed="false">
      <c r="A51" s="22" t="n">
        <v>45717</v>
      </c>
      <c r="B51" s="13" t="n">
        <f aca="false">D50</f>
        <v>16626888.2381337</v>
      </c>
      <c r="C51" s="13" t="n">
        <f aca="false">$B$21/$B$20</f>
        <v>536351.233488185</v>
      </c>
      <c r="D51" s="13" t="n">
        <f aca="false">B51-C51</f>
        <v>16090537.0046455</v>
      </c>
      <c r="E51" s="13" t="n">
        <f aca="false">H50</f>
        <v>17578922.1857048</v>
      </c>
      <c r="F51" s="13" t="n">
        <f aca="false">E51*$B$19</f>
        <v>75025.374978406</v>
      </c>
      <c r="G51" s="13" t="n">
        <f aca="false">-$B$18</f>
        <v>-606609.11</v>
      </c>
      <c r="H51" s="13" t="n">
        <f aca="false">SUM(E51:G51)</f>
        <v>17047338.4506832</v>
      </c>
    </row>
    <row r="52" customFormat="false" ht="12.75" hidden="false" customHeight="true" outlineLevel="0" collapsed="false">
      <c r="A52" s="22" t="n">
        <v>45748</v>
      </c>
      <c r="B52" s="13" t="n">
        <f aca="false">D51</f>
        <v>16090537.0046455</v>
      </c>
      <c r="C52" s="13" t="n">
        <f aca="false">$B$21/$B$20</f>
        <v>536351.233488185</v>
      </c>
      <c r="D52" s="13" t="n">
        <f aca="false">B52-C52</f>
        <v>15554185.7711573</v>
      </c>
      <c r="E52" s="13" t="n">
        <f aca="false">H51</f>
        <v>17047338.4506832</v>
      </c>
      <c r="F52" s="13" t="n">
        <f aca="false">E52*$B$19</f>
        <v>72756.6198959784</v>
      </c>
      <c r="G52" s="13" t="n">
        <f aca="false">-$B$18</f>
        <v>-606609.11</v>
      </c>
      <c r="H52" s="13" t="n">
        <f aca="false">SUM(E52:G52)</f>
        <v>16513485.9605792</v>
      </c>
    </row>
    <row r="53" customFormat="false" ht="12.75" hidden="false" customHeight="true" outlineLevel="0" collapsed="false">
      <c r="A53" s="22" t="n">
        <v>45778</v>
      </c>
      <c r="B53" s="13" t="n">
        <f aca="false">D52</f>
        <v>15554185.7711573</v>
      </c>
      <c r="C53" s="13" t="n">
        <f aca="false">$B$21/$B$20</f>
        <v>536351.233488185</v>
      </c>
      <c r="D53" s="13" t="n">
        <f aca="false">B53-C53</f>
        <v>15017834.5376691</v>
      </c>
      <c r="E53" s="13" t="n">
        <f aca="false">H52</f>
        <v>16513485.9605792</v>
      </c>
      <c r="F53" s="13" t="n">
        <f aca="false">E53*$B$19</f>
        <v>70478.181955922</v>
      </c>
      <c r="G53" s="13" t="n">
        <f aca="false">-$B$18</f>
        <v>-606609.11</v>
      </c>
      <c r="H53" s="13" t="n">
        <f aca="false">SUM(E53:G53)</f>
        <v>15977355.0325351</v>
      </c>
    </row>
    <row r="54" customFormat="false" ht="12.75" hidden="false" customHeight="true" outlineLevel="0" collapsed="false">
      <c r="A54" s="22" t="n">
        <v>45809</v>
      </c>
      <c r="B54" s="13" t="n">
        <f aca="false">D53</f>
        <v>15017834.5376691</v>
      </c>
      <c r="C54" s="13" t="n">
        <f aca="false">$B$21/$B$20</f>
        <v>536351.233488185</v>
      </c>
      <c r="D54" s="13" t="n">
        <f aca="false">B54-C54</f>
        <v>14481483.304181</v>
      </c>
      <c r="E54" s="13" t="n">
        <f aca="false">H53</f>
        <v>15977355.0325351</v>
      </c>
      <c r="F54" s="13" t="n">
        <f aca="false">E54*$B$19</f>
        <v>68190.0198326072</v>
      </c>
      <c r="G54" s="13" t="n">
        <f aca="false">-$B$18</f>
        <v>-606609.11</v>
      </c>
      <c r="H54" s="13" t="n">
        <f aca="false">SUM(E54:G54)</f>
        <v>15438935.9423677</v>
      </c>
    </row>
    <row r="55" customFormat="false" ht="12.75" hidden="false" customHeight="true" outlineLevel="0" collapsed="false">
      <c r="A55" s="22" t="n">
        <v>45839</v>
      </c>
      <c r="B55" s="13" t="n">
        <f aca="false">D54</f>
        <v>14481483.304181</v>
      </c>
      <c r="C55" s="13" t="n">
        <f aca="false">$B$21/$B$20</f>
        <v>536351.233488185</v>
      </c>
      <c r="D55" s="13" t="n">
        <f aca="false">B55-C55</f>
        <v>13945132.0706928</v>
      </c>
      <c r="E55" s="13" t="n">
        <f aca="false">H54</f>
        <v>15438935.9423677</v>
      </c>
      <c r="F55" s="13" t="n">
        <f aca="false">E55*$B$19</f>
        <v>65892.0920240303</v>
      </c>
      <c r="G55" s="13" t="n">
        <f aca="false">-$B$18</f>
        <v>-606609.11</v>
      </c>
      <c r="H55" s="13" t="n">
        <f aca="false">SUM(E55:G55)</f>
        <v>14898218.9243918</v>
      </c>
    </row>
    <row r="56" customFormat="false" ht="12.75" hidden="false" customHeight="true" outlineLevel="0" collapsed="false">
      <c r="A56" s="22" t="n">
        <v>45870</v>
      </c>
      <c r="B56" s="13" t="n">
        <f aca="false">D55</f>
        <v>13945132.0706928</v>
      </c>
      <c r="C56" s="13" t="n">
        <f aca="false">$B$21/$B$20</f>
        <v>536351.233488185</v>
      </c>
      <c r="D56" s="13" t="n">
        <f aca="false">B56-C56</f>
        <v>13408780.8372046</v>
      </c>
      <c r="E56" s="13" t="n">
        <f aca="false">H55</f>
        <v>14898218.9243918</v>
      </c>
      <c r="F56" s="13" t="n">
        <f aca="false">E56*$B$19</f>
        <v>63584.3568510603</v>
      </c>
      <c r="G56" s="13" t="n">
        <f aca="false">-$B$18</f>
        <v>-606609.11</v>
      </c>
      <c r="H56" s="13" t="n">
        <f aca="false">SUM(E56:G56)</f>
        <v>14355194.1712428</v>
      </c>
    </row>
    <row r="57" customFormat="false" ht="12.75" hidden="false" customHeight="true" outlineLevel="0" collapsed="false">
      <c r="A57" s="22" t="n">
        <v>45901</v>
      </c>
      <c r="B57" s="13" t="n">
        <f aca="false">D56</f>
        <v>13408780.8372046</v>
      </c>
      <c r="C57" s="13" t="n">
        <f aca="false">$B$21/$B$20</f>
        <v>536351.233488185</v>
      </c>
      <c r="D57" s="13" t="n">
        <f aca="false">B57-C57</f>
        <v>12872429.6037164</v>
      </c>
      <c r="E57" s="13" t="n">
        <f aca="false">H56</f>
        <v>14355194.1712428</v>
      </c>
      <c r="F57" s="13" t="n">
        <f aca="false">E57*$B$19</f>
        <v>61266.7724566834</v>
      </c>
      <c r="G57" s="13" t="n">
        <f aca="false">-$B$18</f>
        <v>-606609.11</v>
      </c>
      <c r="H57" s="13" t="n">
        <f aca="false">SUM(E57:G57)</f>
        <v>13809851.8336995</v>
      </c>
    </row>
    <row r="58" customFormat="false" ht="12.75" hidden="false" customHeight="true" outlineLevel="0" collapsed="false">
      <c r="A58" s="22" t="n">
        <v>45931</v>
      </c>
      <c r="B58" s="13" t="n">
        <f aca="false">D57</f>
        <v>12872429.6037164</v>
      </c>
      <c r="C58" s="13" t="n">
        <f aca="false">$B$21/$B$20</f>
        <v>536351.233488185</v>
      </c>
      <c r="D58" s="13" t="n">
        <f aca="false">B58-C58</f>
        <v>12336078.3702282</v>
      </c>
      <c r="E58" s="13" t="n">
        <f aca="false">H57</f>
        <v>13809851.8336995</v>
      </c>
      <c r="F58" s="13" t="n">
        <f aca="false">E58*$B$19</f>
        <v>58939.2968052433</v>
      </c>
      <c r="G58" s="13" t="n">
        <f aca="false">-$B$18</f>
        <v>-606609.11</v>
      </c>
      <c r="H58" s="13" t="n">
        <f aca="false">SUM(E58:G58)</f>
        <v>13262182.0205047</v>
      </c>
    </row>
    <row r="59" customFormat="false" ht="12.75" hidden="false" customHeight="true" outlineLevel="0" collapsed="false">
      <c r="A59" s="22" t="n">
        <v>45962</v>
      </c>
      <c r="B59" s="13" t="n">
        <f aca="false">D58</f>
        <v>12336078.3702282</v>
      </c>
      <c r="C59" s="13" t="n">
        <f aca="false">$B$21/$B$20</f>
        <v>536351.233488185</v>
      </c>
      <c r="D59" s="13" t="n">
        <f aca="false">B59-C59</f>
        <v>11799727.13674</v>
      </c>
      <c r="E59" s="13" t="n">
        <f aca="false">H58</f>
        <v>13262182.0205047</v>
      </c>
      <c r="F59" s="13" t="n">
        <f aca="false">E59*$B$19</f>
        <v>56601.8876816792</v>
      </c>
      <c r="G59" s="13" t="n">
        <f aca="false">-$B$18</f>
        <v>-606609.11</v>
      </c>
      <c r="H59" s="13" t="n">
        <f aca="false">SUM(E59:G59)</f>
        <v>12712174.7981864</v>
      </c>
    </row>
    <row r="60" customFormat="false" ht="12.75" hidden="false" customHeight="true" outlineLevel="0" collapsed="false">
      <c r="A60" s="22" t="n">
        <v>45992</v>
      </c>
      <c r="B60" s="13" t="n">
        <f aca="false">D59</f>
        <v>11799727.13674</v>
      </c>
      <c r="C60" s="13" t="n">
        <f aca="false">$B$21/$B$20</f>
        <v>536351.233488185</v>
      </c>
      <c r="D60" s="13" t="n">
        <f aca="false">B60-C60</f>
        <v>11263375.9032518</v>
      </c>
      <c r="E60" s="13" t="n">
        <f aca="false">H59</f>
        <v>12712174.7981864</v>
      </c>
      <c r="F60" s="13" t="n">
        <f aca="false">E60*$B$19</f>
        <v>54254.5026907598</v>
      </c>
      <c r="G60" s="13" t="n">
        <f aca="false">-$B$18</f>
        <v>-606609.11</v>
      </c>
      <c r="H60" s="13" t="n">
        <f aca="false">SUM(E60:G60)</f>
        <v>12159820.1908772</v>
      </c>
    </row>
    <row r="61" customFormat="false" ht="12.75" hidden="false" customHeight="true" outlineLevel="0" collapsed="false">
      <c r="A61" s="22" t="n">
        <v>46023</v>
      </c>
      <c r="B61" s="13" t="n">
        <f aca="false">D60</f>
        <v>11263375.9032518</v>
      </c>
      <c r="C61" s="13" t="n">
        <f aca="false">$B$21/$B$20</f>
        <v>536351.233488185</v>
      </c>
      <c r="D61" s="13" t="n">
        <f aca="false">B61-C61</f>
        <v>10727024.6697637</v>
      </c>
      <c r="E61" s="13" t="n">
        <f aca="false">H60</f>
        <v>12159820.1908772</v>
      </c>
      <c r="F61" s="13" t="n">
        <f aca="false">E61*$B$19</f>
        <v>51897.0992563146</v>
      </c>
      <c r="G61" s="13" t="n">
        <f aca="false">-$B$18</f>
        <v>-606609.11</v>
      </c>
      <c r="H61" s="13" t="n">
        <f aca="false">SUM(E61:G61)</f>
        <v>11605108.1801335</v>
      </c>
    </row>
    <row r="62" customFormat="false" ht="12.75" hidden="false" customHeight="true" outlineLevel="0" collapsed="false">
      <c r="A62" s="22" t="n">
        <v>46054</v>
      </c>
      <c r="B62" s="13" t="n">
        <f aca="false">D61</f>
        <v>10727024.6697637</v>
      </c>
      <c r="C62" s="13" t="n">
        <f aca="false">$B$21/$B$20</f>
        <v>536351.233488185</v>
      </c>
      <c r="D62" s="13" t="n">
        <f aca="false">B62-C62</f>
        <v>10190673.4362755</v>
      </c>
      <c r="E62" s="13" t="n">
        <f aca="false">H61</f>
        <v>11605108.1801335</v>
      </c>
      <c r="F62" s="13" t="n">
        <f aca="false">E62*$B$19</f>
        <v>49529.6346204615</v>
      </c>
      <c r="G62" s="13" t="n">
        <f aca="false">-$B$18</f>
        <v>-606609.11</v>
      </c>
      <c r="H62" s="13" t="n">
        <f aca="false">SUM(E62:G62)</f>
        <v>11048028.704754</v>
      </c>
    </row>
    <row r="63" customFormat="false" ht="12.75" hidden="false" customHeight="true" outlineLevel="0" collapsed="false">
      <c r="A63" s="22" t="n">
        <v>46082</v>
      </c>
      <c r="B63" s="13" t="n">
        <f aca="false">D62</f>
        <v>10190673.4362755</v>
      </c>
      <c r="C63" s="13" t="n">
        <f aca="false">$B$21/$B$20</f>
        <v>536351.233488185</v>
      </c>
      <c r="D63" s="13" t="n">
        <f aca="false">B63-C63</f>
        <v>9654322.20278729</v>
      </c>
      <c r="E63" s="13" t="n">
        <f aca="false">H62</f>
        <v>11048028.704754</v>
      </c>
      <c r="F63" s="13" t="n">
        <f aca="false">E63*$B$19</f>
        <v>47152.0658428312</v>
      </c>
      <c r="G63" s="13" t="n">
        <f aca="false">-$B$18</f>
        <v>-606609.11</v>
      </c>
      <c r="H63" s="13" t="n">
        <f aca="false">SUM(E63:G63)</f>
        <v>10488571.6605968</v>
      </c>
    </row>
    <row r="64" customFormat="false" ht="12.75" hidden="false" customHeight="true" outlineLevel="0" collapsed="false">
      <c r="A64" s="22" t="n">
        <v>46113</v>
      </c>
      <c r="B64" s="13" t="n">
        <f aca="false">D63</f>
        <v>9654322.20278729</v>
      </c>
      <c r="C64" s="13" t="n">
        <f aca="false">$B$21/$B$20</f>
        <v>536351.233488185</v>
      </c>
      <c r="D64" s="13" t="n">
        <f aca="false">B64-C64</f>
        <v>9117970.96929911</v>
      </c>
      <c r="E64" s="13" t="n">
        <f aca="false">H63</f>
        <v>10488571.6605968</v>
      </c>
      <c r="F64" s="13" t="n">
        <f aca="false">E64*$B$19</f>
        <v>44764.3497997888</v>
      </c>
      <c r="G64" s="13" t="n">
        <f aca="false">-$B$18</f>
        <v>-606609.11</v>
      </c>
      <c r="H64" s="13" t="n">
        <f aca="false">SUM(E64:G64)</f>
        <v>9926726.90039659</v>
      </c>
    </row>
    <row r="65" customFormat="false" ht="12.75" hidden="false" customHeight="true" outlineLevel="0" collapsed="false">
      <c r="A65" s="22" t="n">
        <v>46143</v>
      </c>
      <c r="B65" s="13" t="n">
        <f aca="false">D64</f>
        <v>9117970.96929911</v>
      </c>
      <c r="C65" s="13" t="n">
        <f aca="false">$B$21/$B$20</f>
        <v>536351.233488185</v>
      </c>
      <c r="D65" s="13" t="n">
        <f aca="false">B65-C65</f>
        <v>8581619.73581092</v>
      </c>
      <c r="E65" s="13" t="n">
        <f aca="false">H64</f>
        <v>9926726.90039659</v>
      </c>
      <c r="F65" s="13" t="n">
        <f aca="false">E65*$B$19</f>
        <v>42366.4431836509</v>
      </c>
      <c r="G65" s="13" t="n">
        <f aca="false">-$B$18</f>
        <v>-606609.11</v>
      </c>
      <c r="H65" s="13" t="n">
        <f aca="false">SUM(E65:G65)</f>
        <v>9362484.23358024</v>
      </c>
    </row>
    <row r="66" customFormat="false" ht="12.75" hidden="false" customHeight="true" outlineLevel="0" collapsed="false">
      <c r="A66" s="22" t="n">
        <v>46174</v>
      </c>
      <c r="B66" s="13" t="n">
        <f aca="false">D65</f>
        <v>8581619.73581092</v>
      </c>
      <c r="C66" s="13" t="n">
        <f aca="false">$B$21/$B$20</f>
        <v>536351.233488185</v>
      </c>
      <c r="D66" s="13" t="n">
        <f aca="false">B66-C66</f>
        <v>8045268.50232274</v>
      </c>
      <c r="E66" s="13" t="n">
        <f aca="false">H65</f>
        <v>9362484.23358024</v>
      </c>
      <c r="F66" s="13" t="n">
        <f aca="false">E66*$B$19</f>
        <v>39958.302501901</v>
      </c>
      <c r="G66" s="13" t="n">
        <f aca="false">-$B$18</f>
        <v>-606609.11</v>
      </c>
      <c r="H66" s="13" t="n">
        <f aca="false">SUM(E66:G66)</f>
        <v>8795833.42608214</v>
      </c>
    </row>
    <row r="67" customFormat="false" ht="12.75" hidden="false" customHeight="true" outlineLevel="0" collapsed="false">
      <c r="A67" s="22" t="n">
        <v>46204</v>
      </c>
      <c r="B67" s="13" t="n">
        <f aca="false">D66</f>
        <v>8045268.50232274</v>
      </c>
      <c r="C67" s="13" t="n">
        <f aca="false">$B$21/$B$20</f>
        <v>536351.233488185</v>
      </c>
      <c r="D67" s="13" t="n">
        <f aca="false">B67-C67</f>
        <v>7508917.26883455</v>
      </c>
      <c r="E67" s="13" t="n">
        <f aca="false">H66</f>
        <v>8795833.42608214</v>
      </c>
      <c r="F67" s="13" t="n">
        <f aca="false">E67*$B$19</f>
        <v>37539.8840763997</v>
      </c>
      <c r="G67" s="13" t="n">
        <f aca="false">-$B$18</f>
        <v>-606609.11</v>
      </c>
      <c r="H67" s="13" t="n">
        <f aca="false">SUM(E67:G67)</f>
        <v>8226764.20015854</v>
      </c>
    </row>
    <row r="68" customFormat="false" ht="12.75" hidden="false" customHeight="true" outlineLevel="0" collapsed="false">
      <c r="A68" s="22" t="n">
        <v>46235</v>
      </c>
      <c r="B68" s="13" t="n">
        <f aca="false">D67</f>
        <v>7508917.26883455</v>
      </c>
      <c r="C68" s="13" t="n">
        <f aca="false">$B$21/$B$20</f>
        <v>536351.233488185</v>
      </c>
      <c r="D68" s="13" t="n">
        <f aca="false">B68-C68</f>
        <v>6972566.03534637</v>
      </c>
      <c r="E68" s="13" t="n">
        <f aca="false">H67</f>
        <v>8226764.20015854</v>
      </c>
      <c r="F68" s="13" t="n">
        <f aca="false">E68*$B$19</f>
        <v>35111.1440425933</v>
      </c>
      <c r="G68" s="13" t="n">
        <f aca="false">-$B$18</f>
        <v>-606609.11</v>
      </c>
      <c r="H68" s="13" t="n">
        <f aca="false">SUM(E68:G68)</f>
        <v>7655266.23420113</v>
      </c>
    </row>
    <row r="69" customFormat="false" ht="12.75" hidden="false" customHeight="true" outlineLevel="0" collapsed="false">
      <c r="A69" s="22" t="n">
        <v>46266</v>
      </c>
      <c r="B69" s="13" t="n">
        <f aca="false">D68</f>
        <v>6972566.03534637</v>
      </c>
      <c r="C69" s="13" t="n">
        <f aca="false">$B$21/$B$20</f>
        <v>536351.233488185</v>
      </c>
      <c r="D69" s="13" t="n">
        <f aca="false">B69-C69</f>
        <v>6436214.80185818</v>
      </c>
      <c r="E69" s="13" t="n">
        <f aca="false">H68</f>
        <v>7655266.23420113</v>
      </c>
      <c r="F69" s="13" t="n">
        <f aca="false">E69*$B$19</f>
        <v>32672.0383487176</v>
      </c>
      <c r="G69" s="13" t="n">
        <f aca="false">-$B$18</f>
        <v>-606609.11</v>
      </c>
      <c r="H69" s="13" t="n">
        <f aca="false">SUM(E69:G69)</f>
        <v>7081329.16254985</v>
      </c>
    </row>
    <row r="70" customFormat="false" ht="12.75" hidden="false" customHeight="true" outlineLevel="0" collapsed="false">
      <c r="A70" s="22" t="n">
        <v>46296</v>
      </c>
      <c r="B70" s="13" t="n">
        <f aca="false">D69</f>
        <v>6436214.80185818</v>
      </c>
      <c r="C70" s="13" t="n">
        <f aca="false">$B$21/$B$20</f>
        <v>536351.233488185</v>
      </c>
      <c r="D70" s="13" t="n">
        <f aca="false">B70-C70</f>
        <v>5899863.56836999</v>
      </c>
      <c r="E70" s="13" t="n">
        <f aca="false">H69</f>
        <v>7081329.16254985</v>
      </c>
      <c r="F70" s="13" t="n">
        <f aca="false">E70*$B$19</f>
        <v>30222.5227549992</v>
      </c>
      <c r="G70" s="13" t="n">
        <f aca="false">-$B$18</f>
        <v>-606609.11</v>
      </c>
      <c r="H70" s="13" t="n">
        <f aca="false">SUM(E70:G70)</f>
        <v>6504942.57530485</v>
      </c>
    </row>
    <row r="71" customFormat="false" ht="12.75" hidden="false" customHeight="true" outlineLevel="0" collapsed="false">
      <c r="A71" s="22" t="n">
        <v>46327</v>
      </c>
      <c r="B71" s="13" t="n">
        <f aca="false">D70</f>
        <v>5899863.56836999</v>
      </c>
      <c r="C71" s="13" t="n">
        <f aca="false">$B$21/$B$20</f>
        <v>536351.233488185</v>
      </c>
      <c r="D71" s="13" t="n">
        <f aca="false">B71-C71</f>
        <v>5363512.33488181</v>
      </c>
      <c r="E71" s="13" t="n">
        <f aca="false">H70</f>
        <v>6504942.57530485</v>
      </c>
      <c r="F71" s="13" t="n">
        <f aca="false">E71*$B$19</f>
        <v>27762.5528328532</v>
      </c>
      <c r="G71" s="13" t="n">
        <f aca="false">-$B$18</f>
        <v>-606609.11</v>
      </c>
      <c r="H71" s="13" t="n">
        <f aca="false">SUM(E71:G71)</f>
        <v>5926096.0181377</v>
      </c>
    </row>
    <row r="72" customFormat="false" ht="12.75" hidden="false" customHeight="true" outlineLevel="0" collapsed="false">
      <c r="A72" s="22" t="n">
        <v>46357</v>
      </c>
      <c r="B72" s="13" t="n">
        <f aca="false">D71</f>
        <v>5363512.33488181</v>
      </c>
      <c r="C72" s="13" t="n">
        <f aca="false">$B$21/$B$20</f>
        <v>536351.233488185</v>
      </c>
      <c r="D72" s="13" t="n">
        <f aca="false">B72-C72</f>
        <v>4827161.10139362</v>
      </c>
      <c r="E72" s="13" t="n">
        <f aca="false">H71</f>
        <v>5926096.0181377</v>
      </c>
      <c r="F72" s="13" t="n">
        <f aca="false">E72*$B$19</f>
        <v>25292.0839640769</v>
      </c>
      <c r="G72" s="13" t="n">
        <f aca="false">-$B$18</f>
        <v>-606609.11</v>
      </c>
      <c r="H72" s="13" t="n">
        <f aca="false">SUM(E72:G72)</f>
        <v>5344778.99210178</v>
      </c>
    </row>
    <row r="73" customFormat="false" ht="12.75" hidden="false" customHeight="true" outlineLevel="0" collapsed="false">
      <c r="A73" s="22" t="n">
        <v>46388</v>
      </c>
      <c r="B73" s="13" t="n">
        <f aca="false">D72</f>
        <v>4827161.10139362</v>
      </c>
      <c r="C73" s="13" t="n">
        <f aca="false">$B$21/$B$20</f>
        <v>536351.233488185</v>
      </c>
      <c r="D73" s="13" t="n">
        <f aca="false">B73-C73</f>
        <v>4290809.86790544</v>
      </c>
      <c r="E73" s="13" t="n">
        <f aca="false">H72</f>
        <v>5344778.99210178</v>
      </c>
      <c r="F73" s="13" t="n">
        <f aca="false">E73*$B$19</f>
        <v>22811.0713400411</v>
      </c>
      <c r="G73" s="13" t="n">
        <f aca="false">-$B$18</f>
        <v>-606609.11</v>
      </c>
      <c r="H73" s="13" t="n">
        <f aca="false">SUM(E73:G73)</f>
        <v>4760980.95344182</v>
      </c>
    </row>
    <row r="74" customFormat="false" ht="12.75" hidden="false" customHeight="true" outlineLevel="0" collapsed="false">
      <c r="A74" s="22" t="n">
        <v>46419</v>
      </c>
      <c r="B74" s="13" t="n">
        <f aca="false">D73</f>
        <v>4290809.86790544</v>
      </c>
      <c r="C74" s="13" t="n">
        <f aca="false">$B$21/$B$20</f>
        <v>536351.233488185</v>
      </c>
      <c r="D74" s="13" t="n">
        <f aca="false">B74-C74</f>
        <v>3754458.63441725</v>
      </c>
      <c r="E74" s="13" t="n">
        <f aca="false">H73</f>
        <v>4760980.95344182</v>
      </c>
      <c r="F74" s="13" t="n">
        <f aca="false">E74*$B$19</f>
        <v>20319.4699608769</v>
      </c>
      <c r="G74" s="13" t="n">
        <f aca="false">-$B$18</f>
        <v>-606609.11</v>
      </c>
      <c r="H74" s="13" t="n">
        <f aca="false">SUM(E74:G74)</f>
        <v>4174691.3134027</v>
      </c>
    </row>
    <row r="75" customFormat="false" ht="12.75" hidden="false" customHeight="true" outlineLevel="0" collapsed="false">
      <c r="A75" s="22" t="n">
        <v>46447</v>
      </c>
      <c r="B75" s="13" t="n">
        <f aca="false">D74</f>
        <v>3754458.63441725</v>
      </c>
      <c r="C75" s="13" t="n">
        <f aca="false">$B$21/$B$20</f>
        <v>536351.233488185</v>
      </c>
      <c r="D75" s="13" t="n">
        <f aca="false">B75-C75</f>
        <v>3218107.40092907</v>
      </c>
      <c r="E75" s="13" t="n">
        <f aca="false">H74</f>
        <v>4174691.3134027</v>
      </c>
      <c r="F75" s="13" t="n">
        <f aca="false">E75*$B$19</f>
        <v>17817.2346346599</v>
      </c>
      <c r="G75" s="13" t="n">
        <f aca="false">-$B$18</f>
        <v>-606609.11</v>
      </c>
      <c r="H75" s="13" t="n">
        <f aca="false">SUM(E75:G75)</f>
        <v>3585899.43803736</v>
      </c>
    </row>
    <row r="76" customFormat="false" ht="12.75" hidden="false" customHeight="true" outlineLevel="0" collapsed="false">
      <c r="A76" s="22" t="n">
        <v>46478</v>
      </c>
      <c r="B76" s="13" t="n">
        <f aca="false">D75</f>
        <v>3218107.40092907</v>
      </c>
      <c r="C76" s="13" t="n">
        <f aca="false">$B$21/$B$20</f>
        <v>536351.233488185</v>
      </c>
      <c r="D76" s="13" t="n">
        <f aca="false">B76-C76</f>
        <v>2681756.16744088</v>
      </c>
      <c r="E76" s="13" t="n">
        <f aca="false">H75</f>
        <v>3585899.43803736</v>
      </c>
      <c r="F76" s="13" t="n">
        <f aca="false">E76*$B$19</f>
        <v>15304.3199765903</v>
      </c>
      <c r="G76" s="13" t="n">
        <f aca="false">-$B$18</f>
        <v>-606609.11</v>
      </c>
      <c r="H76" s="13" t="n">
        <f aca="false">SUM(E76:G76)</f>
        <v>2994594.64801395</v>
      </c>
    </row>
    <row r="77" customFormat="false" ht="12.75" hidden="false" customHeight="true" outlineLevel="0" collapsed="false">
      <c r="A77" s="22" t="n">
        <v>46508</v>
      </c>
      <c r="B77" s="13" t="n">
        <f aca="false">D76</f>
        <v>2681756.16744088</v>
      </c>
      <c r="C77" s="13" t="n">
        <f aca="false">$B$21/$B$20</f>
        <v>536351.233488185</v>
      </c>
      <c r="D77" s="13" t="n">
        <f aca="false">B77-C77</f>
        <v>2145404.9339527</v>
      </c>
      <c r="E77" s="13" t="n">
        <f aca="false">H76</f>
        <v>2994594.64801395</v>
      </c>
      <c r="F77" s="13" t="n">
        <f aca="false">E77*$B$19</f>
        <v>12780.6804081695</v>
      </c>
      <c r="G77" s="13" t="n">
        <f aca="false">-$B$18</f>
        <v>-606609.11</v>
      </c>
      <c r="H77" s="13" t="n">
        <f aca="false">SUM(E77:G77)</f>
        <v>2400766.21842212</v>
      </c>
    </row>
    <row r="78" customFormat="false" ht="12.75" hidden="false" customHeight="true" outlineLevel="0" collapsed="false">
      <c r="A78" s="22" t="n">
        <v>46539</v>
      </c>
      <c r="B78" s="13" t="n">
        <f aca="false">D77</f>
        <v>2145404.9339527</v>
      </c>
      <c r="C78" s="13" t="n">
        <f aca="false">$B$21/$B$20</f>
        <v>536351.233488185</v>
      </c>
      <c r="D78" s="13" t="n">
        <f aca="false">B78-C78</f>
        <v>1609053.70046451</v>
      </c>
      <c r="E78" s="13" t="n">
        <f aca="false">H77</f>
        <v>2400766.21842212</v>
      </c>
      <c r="F78" s="13" t="n">
        <f aca="false">E78*$B$19</f>
        <v>10246.2701563741</v>
      </c>
      <c r="G78" s="13" t="n">
        <f aca="false">-$B$18</f>
        <v>-606609.11</v>
      </c>
      <c r="H78" s="13" t="n">
        <f aca="false">SUM(E78:G78)</f>
        <v>1804403.37857849</v>
      </c>
    </row>
    <row r="79" customFormat="false" ht="12.75" hidden="false" customHeight="true" outlineLevel="0" collapsed="false">
      <c r="A79" s="22" t="n">
        <v>46569</v>
      </c>
      <c r="B79" s="13" t="n">
        <f aca="false">D78</f>
        <v>1609053.70046451</v>
      </c>
      <c r="C79" s="13" t="n">
        <f aca="false">$B$21/$B$20</f>
        <v>536351.233488185</v>
      </c>
      <c r="D79" s="13" t="n">
        <f aca="false">B79-C79</f>
        <v>1072702.46697633</v>
      </c>
      <c r="E79" s="13" t="n">
        <f aca="false">H78</f>
        <v>1804403.37857849</v>
      </c>
      <c r="F79" s="13" t="n">
        <f aca="false">E79*$B$19</f>
        <v>7701.04325282479</v>
      </c>
      <c r="G79" s="13" t="n">
        <f aca="false">-$B$18</f>
        <v>-606609.11</v>
      </c>
      <c r="H79" s="13" t="n">
        <f aca="false">SUM(E79:G79)</f>
        <v>1205495.31183132</v>
      </c>
    </row>
    <row r="80" customFormat="false" ht="12.75" hidden="false" customHeight="true" outlineLevel="0" collapsed="false">
      <c r="A80" s="22" t="n">
        <v>46600</v>
      </c>
      <c r="B80" s="13" t="n">
        <f aca="false">D79</f>
        <v>1072702.46697633</v>
      </c>
      <c r="C80" s="13" t="n">
        <f aca="false">$B$21/$B$20</f>
        <v>536351.233488185</v>
      </c>
      <c r="D80" s="13" t="n">
        <f aca="false">B80-C80</f>
        <v>536351.233488141</v>
      </c>
      <c r="E80" s="13" t="n">
        <f aca="false">H79</f>
        <v>1205495.31183132</v>
      </c>
      <c r="F80" s="13" t="n">
        <f aca="false">E80*$B$19</f>
        <v>5144.9535329534</v>
      </c>
      <c r="G80" s="13" t="n">
        <f aca="false">-$B$18</f>
        <v>-606609.11</v>
      </c>
      <c r="H80" s="13" t="n">
        <f aca="false">SUM(E80:G80)</f>
        <v>604031.15536427</v>
      </c>
    </row>
    <row r="81" customFormat="false" ht="12.75" hidden="false" customHeight="true" outlineLevel="0" collapsed="false">
      <c r="A81" s="22" t="n">
        <v>46631</v>
      </c>
      <c r="B81" s="13" t="n">
        <f aca="false">D80</f>
        <v>536351.233488141</v>
      </c>
      <c r="C81" s="13" t="n">
        <f aca="false">$B$21/$B$20</f>
        <v>536351.233488185</v>
      </c>
      <c r="D81" s="13" t="n">
        <f aca="false">B81-C81</f>
        <v>-4.49363142251968E-008</v>
      </c>
      <c r="E81" s="13" t="n">
        <f aca="false">H80</f>
        <v>604031.15536427</v>
      </c>
      <c r="F81" s="13" t="n">
        <f aca="false">E81*$B$19</f>
        <v>2577.95463516509</v>
      </c>
      <c r="G81" s="13" t="n">
        <f aca="false">-$B$18</f>
        <v>-606609.11</v>
      </c>
      <c r="H81" s="13" t="n">
        <f aca="false">SUM(E81:G81)</f>
        <v>-5.65429218113422E-007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8.8046875" defaultRowHeight="12.75" zeroHeight="false" outlineLevelRow="0" outlineLevelCol="0"/>
  <cols>
    <col collapsed="false" customWidth="true" hidden="false" outlineLevel="0" max="1" min="1" style="1" width="26.5"/>
    <col collapsed="false" customWidth="true" hidden="false" outlineLevel="0" max="2" min="2" style="1" width="16.79"/>
    <col collapsed="false" customWidth="true" hidden="false" outlineLevel="0" max="4" min="3" style="1" width="19"/>
    <col collapsed="false" customWidth="true" hidden="false" outlineLevel="0" max="6" min="5" style="1" width="13.8"/>
    <col collapsed="false" customWidth="true" hidden="false" outlineLevel="0" max="7" min="7" style="1" width="14.79"/>
    <col collapsed="false" customWidth="true" hidden="false" outlineLevel="0" max="9" min="8" style="1" width="17.5"/>
    <col collapsed="false" customWidth="true" hidden="false" outlineLevel="0" max="11" min="10" style="1" width="11.5"/>
    <col collapsed="false" customWidth="true" hidden="false" outlineLevel="0" max="12" min="12" style="1" width="12.79"/>
    <col collapsed="false" customWidth="false" hidden="false" outlineLevel="0" max="13" min="13" style="1" width="8.8"/>
    <col collapsed="false" customWidth="true" hidden="false" outlineLevel="0" max="14" min="14" style="1" width="10.51"/>
    <col collapsed="false" customWidth="false" hidden="false" outlineLevel="0" max="16384" min="15" style="1" width="8.8"/>
  </cols>
  <sheetData>
    <row r="1" customFormat="false" ht="12.75" hidden="false" customHeight="true" outlineLevel="0" collapsed="false">
      <c r="A1" s="2"/>
    </row>
    <row r="2" customFormat="false" ht="12.75" hidden="false" customHeight="true" outlineLevel="0" collapsed="false">
      <c r="A2" s="2"/>
    </row>
    <row r="3" customFormat="false" ht="12.75" hidden="false" customHeight="true" outlineLevel="0" collapsed="false">
      <c r="A3" s="2"/>
    </row>
    <row r="6" customFormat="false" ht="12.75" hidden="false" customHeight="true" outlineLevel="0" collapsed="false">
      <c r="A6" s="2" t="s">
        <v>0</v>
      </c>
    </row>
    <row r="7" customFormat="false" ht="12.75" hidden="false" customHeight="true" outlineLevel="0" collapsed="false">
      <c r="A7" s="1" t="s">
        <v>1</v>
      </c>
    </row>
    <row r="9" customFormat="false" ht="14.25" hidden="false" customHeight="true" outlineLevel="0" collapsed="false"/>
    <row r="10" customFormat="false" ht="12.75" hidden="false" customHeight="true" outlineLevel="0" collapsed="false">
      <c r="A10" s="2" t="s">
        <v>2</v>
      </c>
    </row>
    <row r="11" customFormat="false" ht="12.75" hidden="false" customHeight="true" outlineLevel="0" collapsed="false">
      <c r="B11" s="3"/>
      <c r="C11" s="3"/>
      <c r="D11" s="3"/>
      <c r="E11" s="3"/>
      <c r="F11" s="3"/>
      <c r="G11" s="3"/>
      <c r="H11" s="3"/>
      <c r="I11" s="3"/>
      <c r="J11" s="3"/>
    </row>
    <row r="12" customFormat="false" ht="42.75" hidden="false" customHeight="true" outlineLevel="0" collapsed="false">
      <c r="A12" s="4" t="s">
        <v>5</v>
      </c>
      <c r="B12" s="5" t="s">
        <v>6</v>
      </c>
      <c r="C12" s="6" t="s">
        <v>7</v>
      </c>
      <c r="D12" s="6" t="s">
        <v>8</v>
      </c>
      <c r="E12" s="7" t="s">
        <v>9</v>
      </c>
      <c r="F12" s="7" t="s">
        <v>10</v>
      </c>
      <c r="G12" s="7" t="s">
        <v>31</v>
      </c>
      <c r="H12" s="7" t="s">
        <v>12</v>
      </c>
      <c r="I12" s="7" t="s">
        <v>13</v>
      </c>
      <c r="J12" s="7" t="s">
        <v>11</v>
      </c>
      <c r="K12" s="7" t="s">
        <v>14</v>
      </c>
      <c r="L12" s="7" t="s">
        <v>15</v>
      </c>
    </row>
    <row r="13" customFormat="false" ht="12.75" hidden="false" customHeight="true" outlineLevel="0" collapsed="false">
      <c r="A13" s="8" t="s">
        <v>16</v>
      </c>
      <c r="B13" s="9" t="n">
        <v>0.073532</v>
      </c>
      <c r="C13" s="10" t="n">
        <v>44805</v>
      </c>
      <c r="D13" s="10" t="n">
        <v>46022</v>
      </c>
      <c r="E13" s="11" t="n">
        <v>6063067.8</v>
      </c>
      <c r="F13" s="11" t="n">
        <v>11099215.04</v>
      </c>
      <c r="G13" s="11" t="n">
        <v>0</v>
      </c>
      <c r="H13" s="11" t="n">
        <v>91040.98</v>
      </c>
      <c r="I13" s="11" t="n">
        <v>13560138.59</v>
      </c>
      <c r="J13" s="11" t="n">
        <v>0</v>
      </c>
      <c r="K13" s="11" t="n">
        <v>0</v>
      </c>
      <c r="L13" s="11" t="n">
        <v>0</v>
      </c>
    </row>
    <row r="14" customFormat="false" ht="14.25" hidden="false" customHeight="true" outlineLevel="0" collapsed="false">
      <c r="A14" s="8" t="s">
        <v>17</v>
      </c>
      <c r="B14" s="23" t="n">
        <v>0.073532</v>
      </c>
      <c r="C14" s="12" t="n">
        <v>44805</v>
      </c>
      <c r="D14" s="12" t="n">
        <v>46022</v>
      </c>
      <c r="E14" s="11" t="n">
        <f aca="false">B26</f>
        <v>6063067.8</v>
      </c>
      <c r="F14" s="11" t="n">
        <f aca="false">SUM(C61:C63)+SUM(C65:C68)</f>
        <v>13258588.5686728</v>
      </c>
      <c r="G14" s="11" t="n">
        <f aca="false">D63+D68</f>
        <v>5.30853867530823E-008</v>
      </c>
      <c r="H14" s="11" t="n">
        <f aca="false">D84+SUM(D88:D91)</f>
        <v>3.08169052004814E-009</v>
      </c>
      <c r="I14" s="11" t="n">
        <f aca="false">-C84-SUM(C88:C91)</f>
        <v>13560138.59</v>
      </c>
      <c r="J14" s="11" t="n">
        <f aca="false">E84+E91</f>
        <v>1.70719753950834E-007</v>
      </c>
      <c r="K14" s="13" t="n">
        <f aca="false">J14</f>
        <v>1.70719753950834E-007</v>
      </c>
      <c r="L14" s="13" t="n">
        <f aca="false">J14-K14</f>
        <v>0</v>
      </c>
    </row>
    <row r="15" customFormat="false" ht="12.75" hidden="false" customHeight="true" outlineLevel="0" collapsed="false">
      <c r="A15" s="14" t="s">
        <v>18</v>
      </c>
      <c r="B15" s="9" t="n">
        <f aca="false">B13-B14</f>
        <v>0</v>
      </c>
      <c r="C15" s="24" t="n">
        <f aca="false">C13-C14</f>
        <v>0</v>
      </c>
      <c r="D15" s="24" t="n">
        <f aca="false">D13-D14</f>
        <v>0</v>
      </c>
      <c r="E15" s="13" t="n">
        <f aca="false">E13-E14</f>
        <v>0</v>
      </c>
      <c r="F15" s="13" t="n">
        <f aca="false">F13-F14</f>
        <v>-2159373.52867276</v>
      </c>
      <c r="G15" s="13" t="n">
        <f aca="false">G13-G14</f>
        <v>-5.30853867530823E-008</v>
      </c>
      <c r="H15" s="13" t="n">
        <f aca="false">H13-H14</f>
        <v>91040.9799999969</v>
      </c>
      <c r="I15" s="13" t="n">
        <f aca="false">I13-I14</f>
        <v>0</v>
      </c>
      <c r="J15" s="13" t="n">
        <f aca="false">J13-J14</f>
        <v>-1.70719753950834E-007</v>
      </c>
      <c r="K15" s="13" t="n">
        <f aca="false">K13-K14</f>
        <v>-1.70719753950834E-007</v>
      </c>
      <c r="L15" s="13" t="n">
        <f aca="false">L13-L14</f>
        <v>0</v>
      </c>
    </row>
    <row r="16" customFormat="false" ht="12.75" hidden="false" customHeight="true" outlineLevel="0" collapsed="false">
      <c r="B16" s="25"/>
      <c r="C16" s="18"/>
      <c r="E16" s="18"/>
      <c r="G16" s="18"/>
      <c r="H16" s="18"/>
    </row>
    <row r="17" customFormat="false" ht="12.75" hidden="false" customHeight="true" outlineLevel="0" collapsed="false">
      <c r="A17" s="2" t="s">
        <v>32</v>
      </c>
      <c r="B17" s="20"/>
      <c r="C17" s="3"/>
      <c r="E17" s="18"/>
      <c r="F17" s="18"/>
      <c r="G17" s="18"/>
      <c r="H17" s="18"/>
      <c r="I17" s="18"/>
      <c r="J17" s="18"/>
    </row>
    <row r="18" customFormat="false" ht="12.75" hidden="false" customHeight="true" outlineLevel="0" collapsed="false">
      <c r="A18" s="1" t="s">
        <v>33</v>
      </c>
      <c r="B18" s="20" t="n">
        <v>7497070.79</v>
      </c>
      <c r="C18" s="26" t="s">
        <v>34</v>
      </c>
      <c r="F18" s="27"/>
    </row>
    <row r="19" customFormat="false" ht="14.25" hidden="false" customHeight="true" outlineLevel="0" collapsed="false">
      <c r="A19" s="1" t="s">
        <v>35</v>
      </c>
      <c r="B19" s="19" t="n">
        <f aca="false">B14/4</f>
        <v>0.018383</v>
      </c>
      <c r="C19" s="26" t="s">
        <v>3</v>
      </c>
      <c r="E19" s="18"/>
      <c r="F19" s="28"/>
      <c r="G19" s="18"/>
    </row>
    <row r="20" customFormat="false" ht="14.25" hidden="false" customHeight="true" outlineLevel="0" collapsed="false">
      <c r="A20" s="1" t="s">
        <v>36</v>
      </c>
      <c r="B20" s="29" t="n">
        <v>12</v>
      </c>
      <c r="C20" s="26" t="s">
        <v>37</v>
      </c>
      <c r="D20" s="30"/>
      <c r="E20" s="18"/>
      <c r="F20" s="28"/>
    </row>
    <row r="21" customFormat="false" ht="12.75" hidden="false" customHeight="true" outlineLevel="0" collapsed="false">
      <c r="A21" s="1" t="s">
        <v>38</v>
      </c>
      <c r="B21" s="20" t="n">
        <f aca="false">-PV(B19,B20,B18,,1)</f>
        <v>81549235.3782913</v>
      </c>
      <c r="C21" s="26" t="s">
        <v>23</v>
      </c>
      <c r="E21" s="18"/>
    </row>
    <row r="22" customFormat="false" ht="12.75" hidden="false" customHeight="true" outlineLevel="0" collapsed="false">
      <c r="A22" s="2"/>
      <c r="B22" s="20"/>
      <c r="C22" s="3"/>
      <c r="E22" s="18"/>
    </row>
    <row r="23" customFormat="false" ht="12.75" hidden="false" customHeight="true" outlineLevel="0" collapsed="false">
      <c r="A23" s="2" t="s">
        <v>39</v>
      </c>
      <c r="B23" s="31"/>
      <c r="E23" s="32"/>
    </row>
    <row r="24" s="26" customFormat="true" ht="23.25" hidden="false" customHeight="true" outlineLevel="0" collapsed="false">
      <c r="A24" s="33" t="s">
        <v>40</v>
      </c>
      <c r="B24" s="20" t="n">
        <v>6063067.8</v>
      </c>
      <c r="C24" s="34" t="s">
        <v>41</v>
      </c>
      <c r="D24" s="21"/>
      <c r="E24" s="21"/>
      <c r="F24" s="21"/>
      <c r="G24" s="21"/>
      <c r="H24" s="21"/>
      <c r="I24" s="1"/>
      <c r="J24" s="1"/>
      <c r="K24" s="1"/>
      <c r="L24" s="1"/>
      <c r="M24" s="1"/>
      <c r="N24" s="1"/>
      <c r="O24" s="1"/>
    </row>
    <row r="25" customFormat="false" ht="12.75" hidden="false" customHeight="true" outlineLevel="0" collapsed="false">
      <c r="A25" s="22" t="s">
        <v>42</v>
      </c>
      <c r="B25" s="20" t="n">
        <v>4</v>
      </c>
      <c r="C25" s="13" t="s">
        <v>43</v>
      </c>
      <c r="D25" s="13"/>
      <c r="E25" s="13"/>
      <c r="F25" s="13"/>
      <c r="G25" s="13"/>
      <c r="H25" s="13"/>
    </row>
    <row r="26" customFormat="false" ht="12.75" hidden="false" customHeight="true" outlineLevel="0" collapsed="false">
      <c r="A26" s="22" t="s">
        <v>44</v>
      </c>
      <c r="B26" s="20" t="n">
        <f aca="false">B24</f>
        <v>6063067.8</v>
      </c>
      <c r="C26" s="13" t="s">
        <v>45</v>
      </c>
      <c r="D26" s="13"/>
      <c r="E26" s="13"/>
      <c r="F26" s="13"/>
      <c r="G26" s="13"/>
      <c r="H26" s="13"/>
    </row>
    <row r="27" customFormat="false" ht="12.75" hidden="false" customHeight="true" outlineLevel="0" collapsed="false">
      <c r="A27" s="22"/>
      <c r="B27" s="13"/>
      <c r="C27" s="13"/>
      <c r="D27" s="13"/>
      <c r="E27" s="13"/>
      <c r="F27" s="13"/>
      <c r="G27" s="13"/>
      <c r="H27" s="13"/>
    </row>
    <row r="28" customFormat="false" ht="12.75" hidden="false" customHeight="true" outlineLevel="0" collapsed="false">
      <c r="A28" s="4" t="s">
        <v>46</v>
      </c>
      <c r="B28" s="4"/>
      <c r="C28" s="4"/>
      <c r="D28" s="4"/>
      <c r="E28" s="13"/>
      <c r="F28" s="13"/>
      <c r="G28" s="13"/>
      <c r="H28" s="13"/>
    </row>
    <row r="29" customFormat="false" ht="12.75" hidden="false" customHeight="true" outlineLevel="0" collapsed="false">
      <c r="A29" s="4" t="s">
        <v>25</v>
      </c>
      <c r="B29" s="4" t="s">
        <v>26</v>
      </c>
      <c r="C29" s="4" t="s">
        <v>47</v>
      </c>
      <c r="D29" s="4" t="s">
        <v>31</v>
      </c>
      <c r="E29" s="13"/>
      <c r="F29" s="13"/>
      <c r="G29" s="13"/>
      <c r="H29" s="13"/>
    </row>
    <row r="30" customFormat="false" ht="12.75" hidden="false" customHeight="true" outlineLevel="0" collapsed="false">
      <c r="A30" s="35" t="n">
        <v>44805</v>
      </c>
      <c r="B30" s="20" t="n">
        <f aca="false">$B$21</f>
        <v>81549235.3782913</v>
      </c>
      <c r="C30" s="20" t="n">
        <f aca="false">$B$21/34</f>
        <v>2398506.92289092</v>
      </c>
      <c r="D30" s="20" t="n">
        <f aca="false">B30-C30</f>
        <v>79150728.4554004</v>
      </c>
      <c r="E30" s="13"/>
      <c r="F30" s="13"/>
      <c r="G30" s="13"/>
      <c r="H30" s="13"/>
    </row>
    <row r="31" customFormat="false" ht="12.75" hidden="false" customHeight="true" outlineLevel="0" collapsed="false">
      <c r="A31" s="35" t="n">
        <v>44835</v>
      </c>
      <c r="B31" s="20" t="n">
        <f aca="false">D30</f>
        <v>79150728.4554004</v>
      </c>
      <c r="C31" s="20" t="n">
        <f aca="false">$B$21/34</f>
        <v>2398506.92289092</v>
      </c>
      <c r="D31" s="20" t="n">
        <f aca="false">B31-C31</f>
        <v>76752221.5325094</v>
      </c>
      <c r="E31" s="13"/>
      <c r="F31" s="13"/>
      <c r="G31" s="13"/>
      <c r="H31" s="13"/>
    </row>
    <row r="32" customFormat="false" ht="12.75" hidden="false" customHeight="true" outlineLevel="0" collapsed="false">
      <c r="A32" s="35" t="n">
        <v>44866</v>
      </c>
      <c r="B32" s="20" t="n">
        <f aca="false">D31</f>
        <v>76752221.5325094</v>
      </c>
      <c r="C32" s="20" t="n">
        <f aca="false">$B$21/34</f>
        <v>2398506.92289092</v>
      </c>
      <c r="D32" s="20" t="n">
        <f aca="false">B32-C32</f>
        <v>74353714.6096185</v>
      </c>
      <c r="E32" s="13"/>
      <c r="F32" s="13"/>
      <c r="G32" s="13"/>
      <c r="H32" s="13"/>
    </row>
    <row r="33" customFormat="false" ht="12.75" hidden="false" customHeight="true" outlineLevel="0" collapsed="false">
      <c r="A33" s="35" t="n">
        <v>44896</v>
      </c>
      <c r="B33" s="20" t="n">
        <f aca="false">D32</f>
        <v>74353714.6096185</v>
      </c>
      <c r="C33" s="20" t="n">
        <f aca="false">$B$21/34</f>
        <v>2398506.92289092</v>
      </c>
      <c r="D33" s="20" t="n">
        <f aca="false">B33-C33</f>
        <v>71955207.6867276</v>
      </c>
      <c r="E33" s="13"/>
      <c r="F33" s="13"/>
      <c r="G33" s="13"/>
      <c r="H33" s="13"/>
    </row>
    <row r="34" customFormat="false" ht="12.75" hidden="false" customHeight="true" outlineLevel="0" collapsed="false">
      <c r="A34" s="35" t="n">
        <v>44927</v>
      </c>
      <c r="B34" s="20" t="n">
        <f aca="false">D33</f>
        <v>71955207.6867276</v>
      </c>
      <c r="C34" s="20" t="n">
        <f aca="false">$B$21/34</f>
        <v>2398506.92289092</v>
      </c>
      <c r="D34" s="20" t="n">
        <f aca="false">B34-C34</f>
        <v>69556700.7638367</v>
      </c>
      <c r="E34" s="13"/>
      <c r="F34" s="13"/>
      <c r="G34" s="13"/>
      <c r="H34" s="13"/>
    </row>
    <row r="35" customFormat="false" ht="12.75" hidden="false" customHeight="true" outlineLevel="0" collapsed="false">
      <c r="A35" s="35" t="n">
        <v>44958</v>
      </c>
      <c r="B35" s="20" t="n">
        <f aca="false">D34</f>
        <v>69556700.7638367</v>
      </c>
      <c r="C35" s="20" t="n">
        <f aca="false">$B$21/34</f>
        <v>2398506.92289092</v>
      </c>
      <c r="D35" s="20" t="n">
        <f aca="false">B35-C35</f>
        <v>67158193.8409458</v>
      </c>
    </row>
    <row r="36" customFormat="false" ht="12.75" hidden="false" customHeight="true" outlineLevel="0" collapsed="false">
      <c r="A36" s="35" t="n">
        <v>44986</v>
      </c>
      <c r="B36" s="20" t="n">
        <f aca="false">D35</f>
        <v>67158193.8409458</v>
      </c>
      <c r="C36" s="20" t="n">
        <f aca="false">$B$21/34</f>
        <v>2398506.92289092</v>
      </c>
      <c r="D36" s="20" t="n">
        <f aca="false">B36-C36</f>
        <v>64759686.9180549</v>
      </c>
    </row>
    <row r="37" customFormat="false" ht="12.75" hidden="false" customHeight="true" outlineLevel="0" collapsed="false">
      <c r="A37" s="35" t="n">
        <v>45017</v>
      </c>
      <c r="B37" s="20" t="n">
        <f aca="false">D36</f>
        <v>64759686.9180549</v>
      </c>
      <c r="C37" s="20" t="n">
        <f aca="false">$B$21/34</f>
        <v>2398506.92289092</v>
      </c>
      <c r="D37" s="20" t="n">
        <f aca="false">B37-C37</f>
        <v>62361179.9951639</v>
      </c>
    </row>
    <row r="38" customFormat="false" ht="12.75" hidden="false" customHeight="true" outlineLevel="0" collapsed="false">
      <c r="A38" s="35" t="n">
        <v>45047</v>
      </c>
      <c r="B38" s="20" t="n">
        <f aca="false">D37</f>
        <v>62361179.9951639</v>
      </c>
      <c r="C38" s="20" t="n">
        <f aca="false">$B$21/34</f>
        <v>2398506.92289092</v>
      </c>
      <c r="D38" s="20" t="n">
        <f aca="false">B38-C38</f>
        <v>59962673.072273</v>
      </c>
    </row>
    <row r="39" customFormat="false" ht="12.75" hidden="false" customHeight="true" outlineLevel="0" collapsed="false">
      <c r="A39" s="35" t="n">
        <v>45078</v>
      </c>
      <c r="B39" s="20" t="n">
        <f aca="false">D38</f>
        <v>59962673.072273</v>
      </c>
      <c r="C39" s="20" t="n">
        <f aca="false">$B$21/34</f>
        <v>2398506.92289092</v>
      </c>
      <c r="D39" s="20" t="n">
        <f aca="false">B39-C39</f>
        <v>57564166.1493821</v>
      </c>
    </row>
    <row r="40" customFormat="false" ht="12.75" hidden="false" customHeight="true" outlineLevel="0" collapsed="false">
      <c r="A40" s="35" t="n">
        <v>45108</v>
      </c>
      <c r="B40" s="20" t="n">
        <f aca="false">D39</f>
        <v>57564166.1493821</v>
      </c>
      <c r="C40" s="20" t="n">
        <f aca="false">$B$21/34</f>
        <v>2398506.92289092</v>
      </c>
      <c r="D40" s="20" t="n">
        <f aca="false">B40-C40</f>
        <v>55165659.2264912</v>
      </c>
    </row>
    <row r="41" customFormat="false" ht="12.75" hidden="false" customHeight="true" outlineLevel="0" collapsed="false">
      <c r="A41" s="35" t="n">
        <v>45139</v>
      </c>
      <c r="B41" s="20" t="n">
        <f aca="false">D40</f>
        <v>55165659.2264912</v>
      </c>
      <c r="C41" s="20" t="n">
        <f aca="false">$B$21/34</f>
        <v>2398506.92289092</v>
      </c>
      <c r="D41" s="20" t="n">
        <f aca="false">B41-C41</f>
        <v>52767152.3036003</v>
      </c>
    </row>
    <row r="42" customFormat="false" ht="12.75" hidden="false" customHeight="true" outlineLevel="0" collapsed="false">
      <c r="A42" s="35" t="n">
        <v>45170</v>
      </c>
      <c r="B42" s="20" t="n">
        <f aca="false">D41</f>
        <v>52767152.3036003</v>
      </c>
      <c r="C42" s="20" t="n">
        <f aca="false">$B$21/34</f>
        <v>2398506.92289092</v>
      </c>
      <c r="D42" s="20" t="n">
        <f aca="false">B42-C42</f>
        <v>50368645.3807094</v>
      </c>
    </row>
    <row r="43" customFormat="false" ht="12.75" hidden="false" customHeight="true" outlineLevel="0" collapsed="false">
      <c r="A43" s="35" t="n">
        <v>45200</v>
      </c>
      <c r="B43" s="20" t="n">
        <f aca="false">D42</f>
        <v>50368645.3807094</v>
      </c>
      <c r="C43" s="20" t="n">
        <f aca="false">$B$21/34</f>
        <v>2398506.92289092</v>
      </c>
      <c r="D43" s="20" t="n">
        <f aca="false">B43-C43</f>
        <v>47970138.4578184</v>
      </c>
    </row>
    <row r="44" customFormat="false" ht="12.75" hidden="false" customHeight="true" outlineLevel="0" collapsed="false">
      <c r="A44" s="35" t="n">
        <v>45231</v>
      </c>
      <c r="B44" s="20" t="n">
        <f aca="false">D43</f>
        <v>47970138.4578184</v>
      </c>
      <c r="C44" s="20" t="n">
        <f aca="false">$B$21/34</f>
        <v>2398506.92289092</v>
      </c>
      <c r="D44" s="20" t="n">
        <f aca="false">B44-C44</f>
        <v>45571631.5349275</v>
      </c>
    </row>
    <row r="45" customFormat="false" ht="12.75" hidden="false" customHeight="true" outlineLevel="0" collapsed="false">
      <c r="A45" s="35" t="n">
        <v>45261</v>
      </c>
      <c r="B45" s="20" t="n">
        <f aca="false">D44</f>
        <v>45571631.5349275</v>
      </c>
      <c r="C45" s="20" t="n">
        <f aca="false">$B$21/34</f>
        <v>2398506.92289092</v>
      </c>
      <c r="D45" s="20" t="n">
        <f aca="false">B45-C45</f>
        <v>43173124.6120366</v>
      </c>
    </row>
    <row r="46" customFormat="false" ht="12.75" hidden="false" customHeight="true" outlineLevel="0" collapsed="false">
      <c r="A46" s="35" t="n">
        <v>45292</v>
      </c>
      <c r="B46" s="20" t="n">
        <f aca="false">D45</f>
        <v>43173124.6120366</v>
      </c>
      <c r="C46" s="20" t="n">
        <f aca="false">$B$21/34</f>
        <v>2398506.92289092</v>
      </c>
      <c r="D46" s="20" t="n">
        <f aca="false">B46-C46</f>
        <v>40774617.6891457</v>
      </c>
    </row>
    <row r="47" customFormat="false" ht="12.75" hidden="false" customHeight="true" outlineLevel="0" collapsed="false">
      <c r="A47" s="35" t="n">
        <v>45323</v>
      </c>
      <c r="B47" s="20" t="n">
        <f aca="false">D46</f>
        <v>40774617.6891457</v>
      </c>
      <c r="C47" s="20" t="n">
        <f aca="false">$B$21/34</f>
        <v>2398506.92289092</v>
      </c>
      <c r="D47" s="20" t="n">
        <f aca="false">B47-C47</f>
        <v>38376110.7662548</v>
      </c>
    </row>
    <row r="48" customFormat="false" ht="12.75" hidden="false" customHeight="true" outlineLevel="0" collapsed="false">
      <c r="A48" s="35" t="n">
        <v>45352</v>
      </c>
      <c r="B48" s="20" t="n">
        <f aca="false">D47</f>
        <v>38376110.7662548</v>
      </c>
      <c r="C48" s="20" t="n">
        <f aca="false">$B$21/34</f>
        <v>2398506.92289092</v>
      </c>
      <c r="D48" s="20" t="n">
        <f aca="false">B48-C48</f>
        <v>35977603.8433639</v>
      </c>
    </row>
    <row r="49" customFormat="false" ht="12.75" hidden="false" customHeight="true" outlineLevel="0" collapsed="false">
      <c r="A49" s="35" t="n">
        <v>45383</v>
      </c>
      <c r="B49" s="20" t="n">
        <f aca="false">D48</f>
        <v>35977603.8433639</v>
      </c>
      <c r="C49" s="20" t="n">
        <f aca="false">$B$21/34</f>
        <v>2398506.92289092</v>
      </c>
      <c r="D49" s="20" t="n">
        <f aca="false">B49-C49</f>
        <v>33579096.9204729</v>
      </c>
    </row>
    <row r="50" customFormat="false" ht="12.75" hidden="false" customHeight="true" outlineLevel="0" collapsed="false">
      <c r="A50" s="35" t="n">
        <v>45413</v>
      </c>
      <c r="B50" s="20" t="n">
        <f aca="false">D49</f>
        <v>33579096.9204729</v>
      </c>
      <c r="C50" s="20" t="n">
        <f aca="false">$B$21/34</f>
        <v>2398506.92289092</v>
      </c>
      <c r="D50" s="20" t="n">
        <f aca="false">B50-C50</f>
        <v>31180589.997582</v>
      </c>
    </row>
    <row r="51" customFormat="false" ht="12.75" hidden="false" customHeight="true" outlineLevel="0" collapsed="false">
      <c r="A51" s="35" t="n">
        <v>45444</v>
      </c>
      <c r="B51" s="20" t="n">
        <f aca="false">D50</f>
        <v>31180589.997582</v>
      </c>
      <c r="C51" s="20" t="n">
        <f aca="false">$B$21/34</f>
        <v>2398506.92289092</v>
      </c>
      <c r="D51" s="20" t="n">
        <f aca="false">B51-C51</f>
        <v>28782083.0746911</v>
      </c>
    </row>
    <row r="52" customFormat="false" ht="12.75" hidden="false" customHeight="true" outlineLevel="0" collapsed="false">
      <c r="A52" s="35" t="n">
        <v>45474</v>
      </c>
      <c r="B52" s="20" t="n">
        <f aca="false">D51</f>
        <v>28782083.0746911</v>
      </c>
      <c r="C52" s="20" t="n">
        <f aca="false">$B$21/34</f>
        <v>2398506.92289092</v>
      </c>
      <c r="D52" s="20" t="n">
        <f aca="false">B52-C52</f>
        <v>26383576.1518002</v>
      </c>
    </row>
    <row r="53" customFormat="false" ht="12.75" hidden="false" customHeight="true" outlineLevel="0" collapsed="false">
      <c r="A53" s="35" t="n">
        <v>45505</v>
      </c>
      <c r="B53" s="20" t="n">
        <f aca="false">D52</f>
        <v>26383576.1518002</v>
      </c>
      <c r="C53" s="20" t="n">
        <f aca="false">$B$21/34</f>
        <v>2398506.92289092</v>
      </c>
      <c r="D53" s="20" t="n">
        <f aca="false">B53-C53</f>
        <v>23985069.2289093</v>
      </c>
    </row>
    <row r="54" customFormat="false" ht="12.75" hidden="false" customHeight="true" outlineLevel="0" collapsed="false">
      <c r="A54" s="35" t="n">
        <v>45536</v>
      </c>
      <c r="B54" s="20" t="n">
        <f aca="false">D53</f>
        <v>23985069.2289093</v>
      </c>
      <c r="C54" s="20" t="n">
        <f aca="false">$B$21/34</f>
        <v>2398506.92289092</v>
      </c>
      <c r="D54" s="20" t="n">
        <f aca="false">B54-C54</f>
        <v>21586562.3060183</v>
      </c>
    </row>
    <row r="55" customFormat="false" ht="12.75" hidden="false" customHeight="true" outlineLevel="0" collapsed="false">
      <c r="A55" s="35" t="n">
        <v>45566</v>
      </c>
      <c r="B55" s="20" t="n">
        <f aca="false">D54</f>
        <v>21586562.3060183</v>
      </c>
      <c r="C55" s="20" t="n">
        <f aca="false">$B$21/34</f>
        <v>2398506.92289092</v>
      </c>
      <c r="D55" s="20" t="n">
        <f aca="false">B55-C55</f>
        <v>19188055.3831274</v>
      </c>
    </row>
    <row r="56" customFormat="false" ht="12.75" hidden="false" customHeight="true" outlineLevel="0" collapsed="false">
      <c r="A56" s="35" t="n">
        <v>45597</v>
      </c>
      <c r="B56" s="20" t="n">
        <f aca="false">D55</f>
        <v>19188055.3831274</v>
      </c>
      <c r="C56" s="20" t="n">
        <f aca="false">$B$21/34</f>
        <v>2398506.92289092</v>
      </c>
      <c r="D56" s="20" t="n">
        <f aca="false">B56-C56</f>
        <v>16789548.4602365</v>
      </c>
    </row>
    <row r="57" customFormat="false" ht="12.75" hidden="false" customHeight="true" outlineLevel="0" collapsed="false">
      <c r="A57" s="35" t="n">
        <v>45627</v>
      </c>
      <c r="B57" s="20" t="n">
        <f aca="false">D56</f>
        <v>16789548.4602365</v>
      </c>
      <c r="C57" s="20" t="n">
        <f aca="false">$B$21/34</f>
        <v>2398506.92289092</v>
      </c>
      <c r="D57" s="20" t="n">
        <f aca="false">B57-C57</f>
        <v>14391041.5373456</v>
      </c>
    </row>
    <row r="58" customFormat="false" ht="12.75" hidden="false" customHeight="true" outlineLevel="0" collapsed="false">
      <c r="A58" s="35" t="n">
        <v>45658</v>
      </c>
      <c r="B58" s="20" t="n">
        <f aca="false">D57</f>
        <v>14391041.5373456</v>
      </c>
      <c r="C58" s="20" t="n">
        <f aca="false">$B$21/34</f>
        <v>2398506.92289092</v>
      </c>
      <c r="D58" s="20" t="n">
        <f aca="false">B58-C58</f>
        <v>11992534.6144547</v>
      </c>
    </row>
    <row r="59" customFormat="false" ht="12.75" hidden="false" customHeight="true" outlineLevel="0" collapsed="false">
      <c r="A59" s="35" t="n">
        <v>45689</v>
      </c>
      <c r="B59" s="20" t="n">
        <f aca="false">D58</f>
        <v>11992534.6144547</v>
      </c>
      <c r="C59" s="20" t="n">
        <f aca="false">$B$21/34</f>
        <v>2398506.92289092</v>
      </c>
      <c r="D59" s="20" t="n">
        <f aca="false">B59-C59</f>
        <v>9594027.69156373</v>
      </c>
    </row>
    <row r="60" customFormat="false" ht="12.75" hidden="false" customHeight="true" outlineLevel="0" collapsed="false">
      <c r="A60" s="35" t="n">
        <v>45717</v>
      </c>
      <c r="B60" s="20" t="n">
        <f aca="false">D59</f>
        <v>9594027.69156373</v>
      </c>
      <c r="C60" s="20" t="n">
        <f aca="false">$B$21/34</f>
        <v>2398506.92289092</v>
      </c>
      <c r="D60" s="20" t="n">
        <f aca="false">B60-C60</f>
        <v>7195520.76867281</v>
      </c>
    </row>
    <row r="61" customFormat="false" ht="12.75" hidden="false" customHeight="true" outlineLevel="0" collapsed="false">
      <c r="A61" s="35" t="n">
        <v>45748</v>
      </c>
      <c r="B61" s="20" t="n">
        <f aca="false">D60</f>
        <v>7195520.76867281</v>
      </c>
      <c r="C61" s="20" t="n">
        <f aca="false">$B$21/34</f>
        <v>2398506.92289092</v>
      </c>
      <c r="D61" s="20" t="n">
        <f aca="false">B61-C61</f>
        <v>4797013.84578189</v>
      </c>
    </row>
    <row r="62" customFormat="false" ht="12.75" hidden="false" customHeight="true" outlineLevel="0" collapsed="false">
      <c r="A62" s="35" t="n">
        <v>45778</v>
      </c>
      <c r="B62" s="20" t="n">
        <f aca="false">D61</f>
        <v>4797013.84578189</v>
      </c>
      <c r="C62" s="20" t="n">
        <f aca="false">$B$21/34</f>
        <v>2398506.92289092</v>
      </c>
      <c r="D62" s="20" t="n">
        <f aca="false">B62-C62</f>
        <v>2398506.92289097</v>
      </c>
    </row>
    <row r="63" customFormat="false" ht="12.75" hidden="false" customHeight="true" outlineLevel="0" collapsed="false">
      <c r="A63" s="35" t="n">
        <v>45809</v>
      </c>
      <c r="B63" s="20" t="n">
        <f aca="false">D62</f>
        <v>2398506.92289097</v>
      </c>
      <c r="C63" s="20" t="n">
        <f aca="false">$B$21/34</f>
        <v>2398506.92289092</v>
      </c>
      <c r="D63" s="20" t="n">
        <f aca="false">B63-C63</f>
        <v>5.30853867530823E-008</v>
      </c>
    </row>
    <row r="64" customFormat="false" ht="12.75" hidden="false" customHeight="true" outlineLevel="0" collapsed="false">
      <c r="A64" s="35" t="s">
        <v>48</v>
      </c>
      <c r="B64" s="20"/>
      <c r="C64" s="20"/>
      <c r="D64" s="20"/>
    </row>
    <row r="65" customFormat="false" ht="12.75" hidden="false" customHeight="true" outlineLevel="0" collapsed="false">
      <c r="A65" s="35" t="n">
        <v>45901</v>
      </c>
      <c r="B65" s="20" t="n">
        <f aca="false">$B$26</f>
        <v>6063067.8</v>
      </c>
      <c r="C65" s="20" t="n">
        <f aca="false">$B$26/$B$25</f>
        <v>1515766.95</v>
      </c>
      <c r="D65" s="20" t="n">
        <f aca="false">B65-C65</f>
        <v>4547300.85</v>
      </c>
    </row>
    <row r="66" customFormat="false" ht="12.75" hidden="false" customHeight="true" outlineLevel="0" collapsed="false">
      <c r="A66" s="35" t="n">
        <v>45931</v>
      </c>
      <c r="B66" s="20" t="n">
        <f aca="false">D65</f>
        <v>4547300.85</v>
      </c>
      <c r="C66" s="20" t="n">
        <f aca="false">$B$26/$B$25</f>
        <v>1515766.95</v>
      </c>
      <c r="D66" s="20" t="n">
        <f aca="false">B66-C66</f>
        <v>3031533.9</v>
      </c>
    </row>
    <row r="67" customFormat="false" ht="12.75" hidden="false" customHeight="true" outlineLevel="0" collapsed="false">
      <c r="A67" s="35" t="n">
        <v>45962</v>
      </c>
      <c r="B67" s="20" t="n">
        <f aca="false">D66</f>
        <v>3031533.9</v>
      </c>
      <c r="C67" s="20" t="n">
        <f aca="false">$B$26/$B$25</f>
        <v>1515766.95</v>
      </c>
      <c r="D67" s="20" t="n">
        <f aca="false">B67-C67</f>
        <v>1515766.95</v>
      </c>
    </row>
    <row r="68" customFormat="false" ht="12.75" hidden="false" customHeight="true" outlineLevel="0" collapsed="false">
      <c r="A68" s="35" t="n">
        <v>45992</v>
      </c>
      <c r="B68" s="20" t="n">
        <f aca="false">D67</f>
        <v>1515766.95</v>
      </c>
      <c r="C68" s="20" t="n">
        <f aca="false">$B$26/$B$25</f>
        <v>1515766.95</v>
      </c>
      <c r="D68" s="20" t="n">
        <f aca="false">B68-C68</f>
        <v>0</v>
      </c>
    </row>
    <row r="69" customFormat="false" ht="12.75" hidden="false" customHeight="true" outlineLevel="0" collapsed="false">
      <c r="A69" s="35"/>
      <c r="B69" s="20"/>
      <c r="C69" s="20"/>
      <c r="D69" s="20"/>
    </row>
    <row r="71" customFormat="false" ht="12.75" hidden="false" customHeight="true" outlineLevel="0" collapsed="false">
      <c r="A71" s="4" t="s">
        <v>49</v>
      </c>
      <c r="B71" s="4"/>
      <c r="C71" s="4"/>
      <c r="D71" s="4"/>
      <c r="E71" s="4"/>
    </row>
    <row r="72" customFormat="false" ht="12.75" hidden="false" customHeight="true" outlineLevel="0" collapsed="false">
      <c r="A72" s="4" t="s">
        <v>50</v>
      </c>
      <c r="B72" s="4" t="s">
        <v>29</v>
      </c>
      <c r="C72" s="4" t="s">
        <v>13</v>
      </c>
      <c r="D72" s="4" t="s">
        <v>12</v>
      </c>
      <c r="E72" s="4" t="s">
        <v>51</v>
      </c>
    </row>
    <row r="73" customFormat="false" ht="12.75" hidden="false" customHeight="true" outlineLevel="0" collapsed="false">
      <c r="A73" s="35" t="n">
        <v>44805</v>
      </c>
      <c r="B73" s="20" t="n">
        <f aca="false">$B$21</f>
        <v>81549235.3782913</v>
      </c>
      <c r="C73" s="20" t="n">
        <f aca="false">-$B$18</f>
        <v>-7497070.79</v>
      </c>
      <c r="D73" s="20" t="n">
        <f aca="false">(B73+C73)*$B$19</f>
        <v>1361300.94162656</v>
      </c>
      <c r="E73" s="20" t="n">
        <f aca="false">B73+C73+D73</f>
        <v>75413465.5299178</v>
      </c>
    </row>
    <row r="74" customFormat="false" ht="12.75" hidden="false" customHeight="true" outlineLevel="0" collapsed="false">
      <c r="A74" s="35" t="n">
        <v>44896</v>
      </c>
      <c r="B74" s="20" t="n">
        <f aca="false">E73</f>
        <v>75413465.5299178</v>
      </c>
      <c r="C74" s="20" t="n">
        <f aca="false">-$B$18</f>
        <v>-7497070.79</v>
      </c>
      <c r="D74" s="20" t="n">
        <f aca="false">(B74+C74)*$B$19</f>
        <v>1248507.08450391</v>
      </c>
      <c r="E74" s="20" t="n">
        <f aca="false">B74+C74+D74</f>
        <v>69164901.8244217</v>
      </c>
    </row>
    <row r="75" customFormat="false" ht="12.75" hidden="false" customHeight="true" outlineLevel="0" collapsed="false">
      <c r="A75" s="35" t="n">
        <v>44986</v>
      </c>
      <c r="B75" s="20" t="n">
        <f aca="false">E74</f>
        <v>69164901.8244217</v>
      </c>
      <c r="C75" s="20" t="n">
        <f aca="false">-$B$18</f>
        <v>-7497070.79</v>
      </c>
      <c r="D75" s="20" t="n">
        <f aca="false">(B75+C75)*$B$19</f>
        <v>1133639.73790577</v>
      </c>
      <c r="E75" s="20" t="n">
        <f aca="false">B75+C75+D75</f>
        <v>62801470.7723275</v>
      </c>
    </row>
    <row r="76" customFormat="false" ht="12.75" hidden="false" customHeight="true" outlineLevel="0" collapsed="false">
      <c r="A76" s="35" t="n">
        <v>45078</v>
      </c>
      <c r="B76" s="20" t="n">
        <f aca="false">E75</f>
        <v>62801470.7723275</v>
      </c>
      <c r="C76" s="20" t="n">
        <f aca="false">-$B$18</f>
        <v>-7497070.79</v>
      </c>
      <c r="D76" s="20" t="n">
        <f aca="false">(B76+C76)*$B$19</f>
        <v>1016660.78487513</v>
      </c>
      <c r="E76" s="20" t="n">
        <f aca="false">B76+C76+D76</f>
        <v>56321060.7672026</v>
      </c>
    </row>
    <row r="77" customFormat="false" ht="12.75" hidden="false" customHeight="true" outlineLevel="0" collapsed="false">
      <c r="A77" s="35" t="n">
        <v>45170</v>
      </c>
      <c r="B77" s="20" t="n">
        <f aca="false">E76</f>
        <v>56321060.7672026</v>
      </c>
      <c r="C77" s="20" t="n">
        <f aca="false">-$B$18</f>
        <v>-7497070.79</v>
      </c>
      <c r="D77" s="20" t="n">
        <f aca="false">(B77+C77)*$B$19</f>
        <v>897531.407750916</v>
      </c>
      <c r="E77" s="20" t="n">
        <f aca="false">B77+C77+D77</f>
        <v>49721521.3849535</v>
      </c>
    </row>
    <row r="78" customFormat="false" ht="12.75" hidden="false" customHeight="true" outlineLevel="0" collapsed="false">
      <c r="A78" s="35" t="n">
        <v>45261</v>
      </c>
      <c r="B78" s="20" t="n">
        <f aca="false">E77</f>
        <v>49721521.3849535</v>
      </c>
      <c r="C78" s="20" t="n">
        <f aca="false">-$B$18</f>
        <v>-7497070.79</v>
      </c>
      <c r="D78" s="20" t="n">
        <f aca="false">(B78+C78)*$B$19</f>
        <v>776212.075287031</v>
      </c>
      <c r="E78" s="20" t="n">
        <f aca="false">B78+C78+D78</f>
        <v>43000662.6702406</v>
      </c>
    </row>
    <row r="79" customFormat="false" ht="12.75" hidden="false" customHeight="true" outlineLevel="0" collapsed="false">
      <c r="A79" s="35" t="n">
        <v>45352</v>
      </c>
      <c r="B79" s="20" t="n">
        <f aca="false">E78</f>
        <v>43000662.6702406</v>
      </c>
      <c r="C79" s="20" t="n">
        <f aca="false">-$B$18</f>
        <v>-7497070.79</v>
      </c>
      <c r="D79" s="20" t="n">
        <f aca="false">(B79+C79)*$B$19</f>
        <v>652662.529534463</v>
      </c>
      <c r="E79" s="20" t="n">
        <f aca="false">B79+C79+D79</f>
        <v>36156254.409775</v>
      </c>
    </row>
    <row r="80" customFormat="false" ht="12.75" hidden="false" customHeight="true" outlineLevel="0" collapsed="false">
      <c r="A80" s="35" t="n">
        <v>45444</v>
      </c>
      <c r="B80" s="20" t="n">
        <f aca="false">E79</f>
        <v>36156254.409775</v>
      </c>
      <c r="C80" s="20" t="n">
        <f aca="false">-$B$18</f>
        <v>-7497070.79</v>
      </c>
      <c r="D80" s="20" t="n">
        <f aca="false">(B80+C80)*$B$19</f>
        <v>526841.772482325</v>
      </c>
      <c r="E80" s="20" t="n">
        <f aca="false">B80+C80+D80</f>
        <v>29186025.3922574</v>
      </c>
    </row>
    <row r="81" customFormat="false" ht="12.75" hidden="false" customHeight="true" outlineLevel="0" collapsed="false">
      <c r="A81" s="35" t="n">
        <v>45536</v>
      </c>
      <c r="B81" s="20" t="n">
        <f aca="false">E80</f>
        <v>29186025.3922574</v>
      </c>
      <c r="C81" s="20" t="n">
        <f aca="false">-$B$18</f>
        <v>-7497070.79</v>
      </c>
      <c r="D81" s="20" t="n">
        <f aca="false">(B81+C81)*$B$19</f>
        <v>398708.052453297</v>
      </c>
      <c r="E81" s="20" t="n">
        <f aca="false">B81+C81+D81</f>
        <v>22087662.6547107</v>
      </c>
    </row>
    <row r="82" customFormat="false" ht="12.75" hidden="false" customHeight="true" outlineLevel="0" collapsed="false">
      <c r="A82" s="35" t="n">
        <v>45627</v>
      </c>
      <c r="B82" s="20" t="n">
        <f aca="false">E81</f>
        <v>22087662.6547107</v>
      </c>
      <c r="C82" s="20" t="n">
        <f aca="false">-$B$18</f>
        <v>-7497070.79</v>
      </c>
      <c r="D82" s="20" t="n">
        <f aca="false">(B82+C82)*$B$19</f>
        <v>268218.850248976</v>
      </c>
      <c r="E82" s="20" t="n">
        <f aca="false">B82+C82+D82</f>
        <v>14858810.7149596</v>
      </c>
    </row>
    <row r="83" customFormat="false" ht="12.75" hidden="false" customHeight="true" outlineLevel="0" collapsed="false">
      <c r="A83" s="35" t="n">
        <v>45717</v>
      </c>
      <c r="B83" s="20" t="n">
        <f aca="false">E82</f>
        <v>14858810.7149596</v>
      </c>
      <c r="C83" s="20" t="n">
        <f aca="false">-$B$18</f>
        <v>-7497070.79</v>
      </c>
      <c r="D83" s="20" t="n">
        <f aca="false">(B83+C83)*$B$19</f>
        <v>135330.865040533</v>
      </c>
      <c r="E83" s="20" t="n">
        <f aca="false">B83+C83+D83</f>
        <v>7497070.79000017</v>
      </c>
    </row>
    <row r="84" customFormat="false" ht="12.75" hidden="false" customHeight="true" outlineLevel="0" collapsed="false">
      <c r="A84" s="35" t="n">
        <v>45809</v>
      </c>
      <c r="B84" s="20" t="n">
        <f aca="false">E83</f>
        <v>7497070.79000017</v>
      </c>
      <c r="C84" s="20" t="n">
        <f aca="false">-$B$18</f>
        <v>-7497070.79</v>
      </c>
      <c r="D84" s="20" t="n">
        <f aca="false">(B84+C84)*$B$19</f>
        <v>3.08169052004814E-009</v>
      </c>
      <c r="E84" s="20" t="n">
        <f aca="false">B84+C84+D84</f>
        <v>1.70719753950834E-007</v>
      </c>
    </row>
    <row r="86" customFormat="false" ht="12.75" hidden="false" customHeight="true" outlineLevel="0" collapsed="false">
      <c r="A86" s="4" t="s">
        <v>52</v>
      </c>
      <c r="B86" s="4"/>
      <c r="C86" s="4"/>
      <c r="D86" s="4"/>
      <c r="E86" s="4"/>
    </row>
    <row r="87" customFormat="false" ht="12.75" hidden="false" customHeight="true" outlineLevel="0" collapsed="false">
      <c r="A87" s="4" t="s">
        <v>50</v>
      </c>
      <c r="B87" s="4" t="s">
        <v>29</v>
      </c>
      <c r="C87" s="4" t="s">
        <v>13</v>
      </c>
      <c r="D87" s="4" t="s">
        <v>12</v>
      </c>
      <c r="E87" s="4" t="s">
        <v>51</v>
      </c>
    </row>
    <row r="88" customFormat="false" ht="12.75" hidden="false" customHeight="true" outlineLevel="0" collapsed="false">
      <c r="A88" s="35" t="n">
        <v>45901</v>
      </c>
      <c r="B88" s="20" t="n">
        <f aca="false">$B$26</f>
        <v>6063067.8</v>
      </c>
      <c r="C88" s="20" t="n">
        <f aca="false">-$B$26</f>
        <v>-6063067.8</v>
      </c>
      <c r="D88" s="20" t="n">
        <v>0</v>
      </c>
      <c r="E88" s="20" t="n">
        <f aca="false">B88+C88+D88</f>
        <v>0</v>
      </c>
    </row>
    <row r="89" customFormat="false" ht="12.75" hidden="false" customHeight="true" outlineLevel="0" collapsed="false">
      <c r="A89" s="35" t="n">
        <v>45931</v>
      </c>
      <c r="B89" s="20" t="n">
        <f aca="false">E88</f>
        <v>0</v>
      </c>
      <c r="C89" s="20" t="n">
        <v>0</v>
      </c>
      <c r="D89" s="20" t="n">
        <v>0</v>
      </c>
      <c r="E89" s="20" t="n">
        <f aca="false">B89+C89+D89</f>
        <v>0</v>
      </c>
    </row>
    <row r="90" customFormat="false" ht="12.75" hidden="false" customHeight="true" outlineLevel="0" collapsed="false">
      <c r="A90" s="35" t="n">
        <v>45962</v>
      </c>
      <c r="B90" s="20" t="n">
        <f aca="false">E89</f>
        <v>0</v>
      </c>
      <c r="C90" s="20" t="n">
        <v>0</v>
      </c>
      <c r="D90" s="20" t="n">
        <v>0</v>
      </c>
      <c r="E90" s="20" t="n">
        <f aca="false">B90+C90+D90</f>
        <v>0</v>
      </c>
    </row>
    <row r="91" customFormat="false" ht="12.75" hidden="false" customHeight="true" outlineLevel="0" collapsed="false">
      <c r="A91" s="35" t="n">
        <v>45992</v>
      </c>
      <c r="B91" s="20" t="n">
        <f aca="false">E90</f>
        <v>0</v>
      </c>
      <c r="C91" s="20" t="n">
        <v>0</v>
      </c>
      <c r="D91" s="20" t="n">
        <v>0</v>
      </c>
      <c r="E91" s="20" t="n">
        <f aca="false">B91+C91+D91</f>
        <v>0</v>
      </c>
    </row>
  </sheetData>
  <mergeCells count="3">
    <mergeCell ref="A28:D28"/>
    <mergeCell ref="A71:E71"/>
    <mergeCell ref="A86:E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2026-08-08T10:37:53Z</dcterms:created>
  <dc:creator>Sharma, Akshit</dc:creator>
  <dc:description/>
  <dc:language>en-US</dc:language>
  <cp:lastModifiedBy>Sharma, Akshit</cp:lastModifiedBy>
  <dcterms:modified xsi:type="dcterms:W3CDTF">2026-08-08T10:56:25Z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