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OD Summary" sheetId="1" state="visible" r:id="rId3"/>
  </sheets>
  <definedNames>
    <definedName function="false" hidden="true" localSheetId="0" name="_xlnm._FilterDatabase" vbProcedure="false">'TOD Summary'!$A$3:$I$33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<sst xmlns="http://schemas.openxmlformats.org/spreadsheetml/2006/main" count="229" uniqueCount="126">
  <si>
    <t xml:space="preserve">GE India Industrial Pvt. Ltd — Rates &amp; Taxes | TOD Summary Workpaper | FY 2025-26</t>
  </si>
  <si>
    <t xml:space="preserve">Account: AC_5210101550 — All Other SGA Costs-Tax-Other (STIRIN0113000074)   |   Company: LB_PRBX</t>
  </si>
  <si>
    <t xml:space="preserve">S.No.</t>
  </si>
  <si>
    <t xml:space="preserve">Fiscal Period</t>
  </si>
  <si>
    <t xml:space="preserve">JE Description</t>
  </si>
  <si>
    <t xml:space="preserve">Nature of
Transaction</t>
  </si>
  <si>
    <t xml:space="preserve">State</t>
  </si>
  <si>
    <t xml:space="preserve">Sheet
Ref</t>
  </si>
  <si>
    <t xml:space="preserve">INR Amount
(₹)</t>
  </si>
  <si>
    <t xml:space="preserve">What the Expense Represents
(Audit Summary)</t>
  </si>
  <si>
    <t xml:space="preserve">Audit Observation / Risk Flag</t>
  </si>
  <si>
    <t xml:space="preserve">Apr-25</t>
  </si>
  <si>
    <t xml:space="preserve">IBS booked time barred invoice to be w/off to P&amp;L</t>
  </si>
  <si>
    <t xml:space="preserve">ITC Write-off (Credit/Reversal)</t>
  </si>
  <si>
    <t xml:space="preserve">Multiple States</t>
  </si>
  <si>
    <t xml:space="preserve">Sheet 2</t>
  </si>
  <si>
    <t xml:space="preserve">GST Input Tax Credit (ITC) on purchase invoices booked in IBS (Invoice Booking System) had lapsed beyond the legally permissible claim window under Section 16(4) of the CGST Act. The ITC sitting in GST receivable accounts (CGST/SGST/IGST) was reversed and charged to P&amp;L. Underlying invoices are from vendors such as DHL Logistics, Manpowergroup Services India, RS Windtech Engineers, KP Energy OMS, Advanced Bolting Solutions, Royal Tech Training, Gigahertz Computing, AllSec Technologies, Jay Pee Roadways, etc. — covering freight, manpower, and engineering services. This is a net credit entry (₹-1.29 Cr), meaning earlier wrongly booked P&amp;L expense is now being reversed.</t>
  </si>
  <si>
    <t xml:space="preserve">Negative/credit entry — verify whether the original ITC write-off was correctly charged to P&amp;L in prior periods and this is a genuine reversal. Confirm no ITC has been double-reversed. Examine individual invoice-level detail in Sheet 2 for coverage and aging.</t>
  </si>
  <si>
    <t xml:space="preserve">Sep-25</t>
  </si>
  <si>
    <t xml:space="preserve">Payment of Demand under Appeal | Karnataka</t>
  </si>
  <si>
    <t xml:space="preserve">Pre-deposit for GST Appeal</t>
  </si>
  <si>
    <t xml:space="preserve">Karnataka</t>
  </si>
  <si>
    <t xml:space="preserve">Sheet 11</t>
  </si>
  <si>
    <t xml:space="preserve">GE India received Order-in-Original (OIO No. 80/JC3/B-East/2025 dated 21.02.2025) from CGST Bengaluru East Commissionerate for FY 2020-21, covering multiple issues: excess ITC claimed, wrong-head availment, RCM shortfall, time-barred credits, ineligible ITC u/s 17(5), excess 2A vs 3B availment, and non-filer suppliers. Total demand: ₹36.57 Cr. As a mandatory requirement to file an appeal under GST law, GE India paid 10% pre-deposit = ₹1,04,89,489 via Form GST APL-01 filed before the Appellate Authority. This amount is booked as expense but is contingently recoverable if the appeal succeeds.</t>
  </si>
  <si>
    <t xml:space="preserve">HIGH RISK — ₹1.05 Cr classified as P&amp;L expense; should be evaluated as a contingent asset (pre-deposit). Verify: (1) APL-01 filed and acknowledged on portal; (2) appeal is live; (3) assess probability of outcome. If appeal likely to succeed, misclassification of asset as expense could overstate OPEX. Demand order and CA certificate supporting GE's position obtained as supporting documents — review adequacy.</t>
  </si>
  <si>
    <t xml:space="preserve">Cash Utilization | Payment of Demand under Appeal | Madhya Pradesh</t>
  </si>
  <si>
    <t xml:space="preserve">Madhya Pradesh</t>
  </si>
  <si>
    <t xml:space="preserve">Sheet 9</t>
  </si>
  <si>
    <t xml:space="preserve">Mandatory 10% pre-deposit paid by GE India (via ITC cash utilisation) to file a GST appeal in Madhya Pradesh against a demand order. The DRC-01 show cause notice was issued for FY 2018-19, followed by Order u/s 73 (DRC-07) dated 24.04.2024. DRC-03 voluntary payment of ₹3,75,063 (IGST) was filed on 31.03.2025 via ITC credit ledger. GE India simultaneously filed Form GST SPL-02 under Section 128A (GST Amnesty Scheme) seeking waiver of interest (₹3,26,305) and penalty (₹75,013) — this amount (₹2.16L) is the cash portion of that payment against the MP matter. ARN: AD080325110621J.</t>
  </si>
  <si>
    <t xml:space="preserve">Verify DRC-03 payment challan and DRC-03A portal acknowledgement. Confirm SPL-02 amnesty application status — if waiver is granted, interest/penalty component need not be provided for. Amount is relatively small (₹2.16L) but classification as expense vs. pre-deposit asset should be consistent with accounting policy. Confirm whether ITC credit ledger utilisation was correctly recorded in ERP.</t>
  </si>
  <si>
    <t xml:space="preserve">Payment of Demand under Appeal | Gujarat</t>
  </si>
  <si>
    <t xml:space="preserve">Gujarat</t>
  </si>
  <si>
    <t xml:space="preserve">Sheet —</t>
  </si>
  <si>
    <t xml:space="preserve">Mandatory 10% pre-deposit paid by GE India (Gujarat GSTIN: 24AAACG4901D1ZA, Vadodara) to file a GST appeal against Order No. ZD2408250198090 dated 07.08.2025 passed by Asst. Commissioner, Ghatak-44, Vadodara for FY 2021-22. Issues in dispute: (1) Turnover difference between GSTR-3B/1 and GSTR-9; (2) Excess ITC u/s 16(4) from supplier Manoramaben Rajput; (3) Penalty u/s 125 for non-maintenance of records. Total disputed amount: CGST ₹14.22L + SGST ₹14.22L + interest ₹19.62L + penalty. Pre-deposit = ₹2,84,408 split across two batches — this entry is the Sep-25 batch portion (₹85,950).</t>
  </si>
  <si>
    <t xml:space="preserve">This is part of the Gujarat FY 2021-22 demand — cross-refer with Sheet 8 (Feb-26 entry of ₹2,84,408). Combined pre-deposit = ₹3.70L. Verify APL-01 portal acknowledgement (filed 12.12.2025 per Sheet 4/5 PDFs). Assess appeal outcome probability. Disputed CGST+SGST of ₹28.44L with interest is significant — provision assessment required.</t>
  </si>
  <si>
    <t xml:space="preserve">Cash Utilization | Payment of Demand under Appeal | Gujarat</t>
  </si>
  <si>
    <t xml:space="preserve">Minor cash utilisation entry related to the same Gujarat FY 2021-22 demand (Order ZD2408250198090). This represents the cash-component top-up of the pre-deposit payment, where the balance after ITC credit was paid in cash. Part of the same APL-01 appeal filing for Vadodara — see Sample #4 above for full background.</t>
  </si>
  <si>
    <t xml:space="preserve">Immaterial amount (₹3,985). Treat as part of the Gujarat pre-deposit package. Cross-reference with Sample #4 and Sheet 8.</t>
  </si>
  <si>
    <t xml:space="preserve">Time-barred ITC to be w/off</t>
  </si>
  <si>
    <t xml:space="preserve">ITC Write-off (Expense)</t>
  </si>
  <si>
    <t xml:space="preserve">Sheet 7</t>
  </si>
  <si>
    <t xml:space="preserve">GST ITC on 396 individual purchase invoices has become time-barred under Section 16(4) of the CGST Act — the 2-year window from the due date of the annual return (GSTR-9) has lapsed and the ITC can no longer be legally claimed. The invoices are predominantly from Classic Clearing &amp; Forwarding Pvt. Ltd. (a freight and logistics vendor) with individual ITC amounts ranging from ₹225 to ₹3,600 per invoice across CGST and SGST accounts. This batch was written off in the Sep-25 MJE. Entire Sheet 7 details all 396 invoices with Sub-remarks: 'time-barred ITC to be w/off' and Final remarks: 'time-barred ITC to be w/off'.</t>
  </si>
  <si>
    <t xml:space="preserve">Verify that the invoices genuinely fall outside the Section 16(4) window and are not covered by the Section 16(5)/16(6)(B) retrospective amendment. Assess whether any of these invoices overlap with the Section 16(5) category that the audit observations workbook (Sheet 3) identifies as now eligible (₹32.24L across Wind+DE division). If any are covered by 16(5), write-off would be erroneous and overstates expense.</t>
  </si>
  <si>
    <t xml:space="preserve">Voluntary payment | Gujarat</t>
  </si>
  <si>
    <t xml:space="preserve">Voluntary GST Payment</t>
  </si>
  <si>
    <t xml:space="preserve">Sheet 3</t>
  </si>
  <si>
    <t xml:space="preserve">GE India proactively identified a GST shortfall in Gujarat and made a voluntary payment of ₹15,96,012 to the Gujarat State GST authorities without waiting for a formal demand or show cause notice. The supporting document (Sheet 3) is an internal state-wise GST reconciliation table prepared by the tax team, with columns for Division, State, Period, IGST, CGST, SGST, Total, and Remarks — confirming the challan-backed payment. Nature: Voluntary compliance payment.</t>
  </si>
  <si>
    <t xml:space="preserve">Verify GST challan as primary evidence of payment. Confirm payment was correctly appropriated to the right GSTIN/period in Gujarat. Check whether this relates to any of the 15 audit observations in the Karnataka audit workbook (e.g., wrong-head or 2A vs 3B) that may have a Gujarat component. No demand or order exists — purely voluntary, so risk of double-payment or wrong head should be assessed.</t>
  </si>
  <si>
    <t xml:space="preserve">Voluntary payment | Rajasthan</t>
  </si>
  <si>
    <t xml:space="preserve">Voluntary GST Payment (DRC-03)</t>
  </si>
  <si>
    <t xml:space="preserve">Rajasthan</t>
  </si>
  <si>
    <t xml:space="preserve">Sheet 4</t>
  </si>
  <si>
    <t xml:space="preserve">Voluntary GST payment of ₹3,75,063 made by GE India to Rajasthan tax authorities (GSTIN: 08AAACG4901D1Z4, Jaipur) via Form GST DRC-03 filed 31.03.2025. Background: DRC-01 SCN was issued by Joint Commissioner Anop Chand Raigar, Circle-C, Jaipur I on 05.01.2024 for FY 2018-19 — GE had generated e-Waybills but filed nil GSTR returns for that period. DRC-07 Order followed on 24.04.2024 with total demand: IGST ₹3,75,063 + Interest ₹3,26,305 + Penalty ₹75,013 = ₹7,76,381. Tax paid via ITC credit ledger (ARN: AD080325110621J). GE simultaneously filed SPL-02 under GST Amnesty Scheme (Section 128A) seeking waiver of interest + penalty.</t>
  </si>
  <si>
    <t xml:space="preserve">Supporting documents confirmed: DRC-01 SCN, DRC-07 Order, DRC-03 payment, DRC-03A acknowledgement, and SPL-02 amnesty application — complete audit trail. Key risk: Interest (₹3.26L) and penalty (₹75K) waiver is pending under Amnesty Scheme — confirm whether SPL-02 has been approved. If waiver is denied, additional provision of ₹4.01L may be required. Tax amount (₹3.75L) is adequately evidenced.</t>
  </si>
  <si>
    <t xml:space="preserve">Voluntary payment | Karnataka | ADT 01 RCM</t>
  </si>
  <si>
    <t xml:space="preserve">Voluntary GST Payment (RCM)</t>
  </si>
  <si>
    <t xml:space="preserve">Sheet 10</t>
  </si>
  <si>
    <t xml:space="preserve">Voluntary payment of ₹94.17L made by GE India to Karnataka GST authorities specifically for the Audit 01 (ADT 01) observation relating to Reverse Charge Mechanism (RCM) liability. During the GST Audit for FY 2018-19 to 2022-23, the Karnataka department identified RCM liabilities on services received from various vendors (VRL Logistics, Raghubir Singh, Globe Ecologistics, India Infrastructure Publishing, etc.) where GE had not discharged GST under RCM. Wind division: ₹9.41L, DE division: balance. Payment is proactive before finalisation of audit assessment.</t>
  </si>
  <si>
    <t xml:space="preserve">This directly maps to the 'RCM-2A' and 'RCM-Int' tabs in the Karnataka audit workbook (Sheet 3). Verify: (1) challan evidencing payment; (2) whether the ₹94.17L matches the quantified RCM shortfall in the audit workbook; (3) whether RCM ITC has also been availed by GE (net cost could be nil for eligible services). Also cross-reference with Sample #13 (Feb-26 reversal of ₹(-)89.21L) — part of this may be reclassified as ITC receivable.</t>
  </si>
  <si>
    <t xml:space="preserve">Voluntary payment | Karnataka</t>
  </si>
  <si>
    <t xml:space="preserve">Sheet 5</t>
  </si>
  <si>
    <t xml:space="preserve">Voluntary GST payment of ₹86.49L to Karnataka tax authorities, part of the GST MJE batch for Apr-Jun 2025. This relates to the wrong-head availment observation from the Karnataka GST Audit (Audit 01) — GE had availed ITC under the wrong GST head (e.g., IGST instead of CGST+SGST), leading to an output liability. The total wrong-head ITC identified in the audit workbook (Sheet 3, 'Wrong Head Availment' tab) is ₹90.28L across vendors including RS Windtech Engineers, IBM India, SGS India, Nippon Express. The ₹86.49L reflects the net tax shortfall paid voluntarily before demand crystallisation.</t>
  </si>
  <si>
    <t xml:space="preserve">Cross-reference with Karnataka audit workbook 'Wrong Head Availment' tab (Sheet 3). Verify challan. Note: this entry is directly linked to the Feb-26 reversal entry in Sample #14 (₹-89.21L marked as 'reclassed from PL — ITC to be availed in Jul-26'). If ITC is to be reclaimed, this P&amp;L charge will ultimately net to nil — key classification issue for balance sheet vs P&amp;L presentation.</t>
  </si>
  <si>
    <t xml:space="preserve">Voluntary GST payment of ₹13.24L to Karnataka, forming part of the same Apr-Jun 2025 GST MJE batch as Sample #10. This relates to additional Karnataka GST audit observations — likely the 3B Non-filers category (₹6.09L from Shree Ganesh EPC, Shashikant Wayal invoices) and/or 2A vs 3B excess ITC amounts identified during audit. No separate sheet reference assigned — covered under the bulk Karnataka GST MJE supporting.</t>
  </si>
  <si>
    <t xml:space="preserve">No separate sheet reference in the sample file — confirm supporting documents are included in the Karnataka audit workbook (Sheet 3) or the GST MJE batch backup. Cross-reference with audit observations on non-filer ITC and 2A vs 3B mismatch.</t>
  </si>
  <si>
    <t xml:space="preserve">Voluntary payment | Karnataka | 52025</t>
  </si>
  <si>
    <t xml:space="preserve">Voluntary GST payment of ₹10.08L to Karnataka. The '52025' suffix in the JE description indicates this relates to fiscal period May 2025 (05/2025). Part of the same GST MJE batch (GST MJE Apr'25 to Jun'25). Relates to Karnataka audit observations for shorter-period shortfalls — likely from the Section 16(5) retrospective eligible ITC category (₹32.24L identified in audit workbook) or additional 2A vs 3B mismatch resolution.</t>
  </si>
  <si>
    <t xml:space="preserve">No separate sheet reference. Verify whether this payment aligns to a specific audit observation tab in Sheet 3. Confirm period reference (May-2025). Assess whether any portion of the payment is recoverable as ITC under Section 16(5) amendment.</t>
  </si>
  <si>
    <t xml:space="preserve">Voluntary GST payment of ₹7.39L to Karnataka for fiscal period May-2025. Part of the GST MJE Apr-Jun 2025 batch. Similar to Sample #12 — relates to Karnataka GST audit shortfalls for May period. Multiple smaller Karnataka entries in this batch collectively address the quantum of tax due identified across FY 2020-21 audit observations (non-filers, wrong head, 2A vs 3B, Section 17(5) blocked credits on hotel accommodation and medical expenses).</t>
  </si>
  <si>
    <t xml:space="preserve">No separate sheet reference. Treated as part of bulk Karnataka voluntary payment batch. Confirm supporting calculation in audit workbook.</t>
  </si>
  <si>
    <t xml:space="preserve">Voluntary payment | Andhra Pradesh</t>
  </si>
  <si>
    <t xml:space="preserve">Andhra Pradesh</t>
  </si>
  <si>
    <t xml:space="preserve">Voluntary GST payment of ₹6.97L to Andhra Pradesh GST authorities. This is part of the April-June 2025 batch of voluntary payments across multiple states. AP observations likely arise from the same systematic GST compliance review that identified shortfalls in Karnataka, Gujarat, Rajasthan — covering RCM liabilities, wrong-head issues, or Section 16(4) time-barred ITC on AP GSTIN invoices.</t>
  </si>
  <si>
    <t xml:space="preserve">No separate sheet reference. Confirm state-specific challan and relevant AP GSTIN. Identify whether this maps to a specific audit observation or internal reconciliation item.</t>
  </si>
  <si>
    <t xml:space="preserve">Voluntary GST payment of ₹5.86L to Karnataka — another entry in the Apr-Jun 2025 batch. Similar to Samples #10-#13, this forms part of the collective Karnataka GST audit settlement payments. The Karnataka audit workbook (Sheet 3) identifies 15 distinct audit observations and these multiple small-to-medium Karnataka entries collectively address the tax shortfall quantified across those observations.</t>
  </si>
  <si>
    <t xml:space="preserve">No separate sheet reference. Covered under the Karnataka audit workbook (Sheet 3). Confirm supporting challan exists.</t>
  </si>
  <si>
    <t xml:space="preserve">Voluntary GST payment of ₹3.79L to Karnataka. Part of Apr-Jun 2025 MJE batch. Relates to residual Karnataka GST audit shortfalls across one or more of the 15 audit observations — likely the interest on outward supply declarations (₹Interest OW Supply tab in audit workbook) or the Import CN irregularity (UL International GmbH credit note reducing IGST liability by ₹14.35L).</t>
  </si>
  <si>
    <t xml:space="preserve">No separate sheet reference. Confirm mapping to specific audit observation. Verify supporting documents.</t>
  </si>
  <si>
    <t xml:space="preserve">Voluntary payment | Andhra Pradesh | 52025</t>
  </si>
  <si>
    <t xml:space="preserve">Voluntary GST payment of ₹3.58L to Andhra Pradesh for fiscal period May-2025 (52025). Part of the same bulk GST MJE batch, addressing AP GST compliance shortfalls for the May-2025 period. Consistent with the multi-state voluntary payment programme being run by GE India's Indirect Tax team (Krishna Sharma, AVP Indirect Tax) across Karnataka, Gujarat, Rajasthan, and AP.</t>
  </si>
  <si>
    <t xml:space="preserve">No separate sheet reference. Confirm AP challan for May-2025 period. Assess whether any portion of the AP ITC had lapsed under Section 16(4).</t>
  </si>
  <si>
    <t xml:space="preserve">Voluntary GST payment of ₹2.77L to Andhra Pradesh for May-2025 period. Part of the same AP shortfall remediation as Sample #17. Represents a second line item within the same AP GST compliance catch-up exercise.</t>
  </si>
  <si>
    <t xml:space="preserve">No separate sheet reference. Immaterial individually. Confirm challan. Treat as part of AP voluntary payment package.</t>
  </si>
  <si>
    <t xml:space="preserve">Voluntary GST payment of ₹2.31L to Andhra Pradesh. No period suffix — covers a general AP GST shortfall (not period-specific 52025). Part of the Apr-Jun 2025 batch.</t>
  </si>
  <si>
    <t xml:space="preserve">No separate sheet reference. Confirm challan. Assess period coverage.</t>
  </si>
  <si>
    <t xml:space="preserve">Voluntary GST payment of ₹2.05L to Andhra Pradesh. Fourth AP entry in the batch. Together, the four AP entries (Samples 14, 17, 18, 19, 20) total ₹19.68L in AP voluntary GST payments across the Apr-Jun 2025 MJE cycle.</t>
  </si>
  <si>
    <t xml:space="preserve">No separate sheet reference. AP voluntary payments total ₹19.68L across 5 entries. Recommend obtaining consolidated AP challan summary.</t>
  </si>
  <si>
    <t xml:space="preserve">Voluntary GST payment of ₹1.79L to Karnataka for May-2025 period. Smaller residual entry in the Karnataka GST audit settlement batch for the May period. Likely represents interest or RCM shortfall for a specific division (Wind or DE) for May-2025.</t>
  </si>
  <si>
    <t xml:space="preserve">No separate sheet reference. Part of bulk Karnataka batch. Confirm challan.</t>
  </si>
  <si>
    <t xml:space="preserve">Voluntary payment | Rajasthan | 62025</t>
  </si>
  <si>
    <t xml:space="preserve">Voluntary GST payment of ₹1.47L to Rajasthan for fiscal period June-2025 (62025). Part of the Apr-Jun 2025 GST MJE batch, addressing Rajasthan GST shortfalls for the June period. Together with the larger Rajasthan entries (Sample #8 ₹3.75L and Sample #16 in Feb-26 ₹66.12L), this is part of GE India's Rajasthan GST compliance remediation programme.</t>
  </si>
  <si>
    <t xml:space="preserve">No separate sheet reference. Confirm Rajasthan challan for Jun-2025 period. Cross-reference with Feb-26 larger Rajasthan voluntary payment.</t>
  </si>
  <si>
    <t xml:space="preserve">Voluntary GST payment of ₹11,449 to Karnataka for May-2025 period. Very small residual entry — likely represents interest or a minor ITC adjustment for one specific invoice or period for the Wind/DE division in Karnataka.</t>
  </si>
  <si>
    <t xml:space="preserve">Immaterial amount (₹11,449). Part of bulk Karnataka batch. Confirm challan.</t>
  </si>
  <si>
    <t xml:space="preserve">Voluntary GST payment of ₹50 to Karnataka for May-2025 period. Negligible residual rounding entry — typically arises in GST computations where interest or penalty amounts are rounded to the nearest rupee and the residual paise is booked as a separate GL entry.</t>
  </si>
  <si>
    <t xml:space="preserve">De minimis — ₹50. No audit focus required. Confirm challan for completeness.</t>
  </si>
  <si>
    <t xml:space="preserve">Feb-26</t>
  </si>
  <si>
    <t xml:space="preserve">Being pre-deposit of INR 3 lacs for GJ 20-21 &amp; 21-22 written off to P&amp;L, now reclassed. Being INR 94 lacs payment under protest for KA audit RCM shortfall, being reclassed from P&amp;L</t>
  </si>
  <si>
    <t xml:space="preserve">Reclassification / Reversal</t>
  </si>
  <si>
    <t xml:space="preserve">Karnataka + Gujarat</t>
  </si>
  <si>
    <t xml:space="preserve">This is a compound reclassification entry in Feb-26 MJE doing two things simultaneously: (1) Reversing the earlier Karnataka RCM payment of ~₹94L from P&amp;L — because GE India is now availing this as ITC input tax credit in Jul-2026 (hence not a P&amp;L expense but a GST asset); and (2) Reclassifying the Gujarat pre-deposit of ₹3L for FY 2020-21 and 2021-22 from P&amp;L expense to a balance sheet receivable/pre-deposit account. Net debit to GL: ₹(-)97.87L (credit to P&amp;L = reduction of prior expense). The Final remarks say: 'ITC availed' and Sub-remarks say: 'availed in 07-2026'.</t>
  </si>
  <si>
    <t xml:space="preserve">CRITICAL — This entry directly reduces prior P&amp;L expense by ₹97.87L. Key audit tests: (1) Confirm GSTR-3B for Jul-2026 shows ITC claim for the ₹94L Karnataka RCM amount; (2) Verify Gujarat pre-deposit is now reflected as a recoverable on the balance sheet, not written off; (3) Ensure cut-off is correct — reclassification in Feb-26 for ITC to be availed Jul-26 means it crosses fiscal years; (4) Challenge whether the reversal is premature if ITC not yet confirmed as admissible.</t>
  </si>
  <si>
    <t xml:space="preserve">Being GUJ pre-deposit for FY 19-20 written off upon closure of matter under amnesty</t>
  </si>
  <si>
    <t xml:space="preserve">Pre-deposit Write-off (Amnesty Closure)</t>
  </si>
  <si>
    <t xml:space="preserve">Gujarat pre-deposit of ₹62.25L (paid earlier to contest a FY 2019-20 GST demand in Gujarat) is now being permanently written off to P&amp;L because the underlying GST matter has been settled/closed under the GST Amnesty Scheme (Section 128A). When a demand is resolved under amnesty, the pre-deposit (which was previously held on the balance sheet as a recoverable) is no longer recoverable — it stands appropriated against the demand — and must be expensed. This is the P&amp;L charge for that appropriation.</t>
  </si>
  <si>
    <t xml:space="preserve">Verify: (1) Amnesty scheme closure order/acknowledgement from Gujarat GST department confirming the FY 19-20 matter is closed; (2) Confirm the ₹62.25L was previously sitting on the balance sheet as a 'pre-deposit / deposit under protest' and is now correctly reclassified to expense; (3) Ensure no double-counting with other Gujarat entries; (4) Assess if there are any other open pre-deposits for Gujarat that should similarly be reviewed for write-off or recovery.</t>
  </si>
  <si>
    <t xml:space="preserve">Mar-26</t>
  </si>
  <si>
    <t xml:space="preserve">Voluntary payment | Karnataka | audit 01 (wrong head issue)</t>
  </si>
  <si>
    <t xml:space="preserve">Voluntary GST Payment Reversal</t>
  </si>
  <si>
    <t xml:space="preserve">This is a reversal/credit entry of ₹(-89.21L) relating to the Karnataka Audit 01 wrong-head ITC issue. GE India had earlier paid ₹86.49L (Sample #10, Sep-25) for wrong-head availment identified in the Karnataka GST audit. Subsequently (in Feb/Mar-26 MJE), it was determined that the amount is actually eligible as ITC under the correct head — hence the P&amp;L expense is reversed and the amount is reclassified to the GST Input Tax Credit receivable account. This mirrors the logic of the Feb-26 reclassification entry (Sample #25) — both are reclaiming amounts from P&amp;L back to GST asset accounts.</t>
  </si>
  <si>
    <t xml:space="preserve">HIGH IMPORTANCE — Verify: (1) GSTR-3B showing the corrected ITC claim under the right head (CGST/SGST instead of IGST or vice versa) has been filed; (2) Department has accepted the correction or the appeal/rectification is in process; (3) The reversal amount (₹89.21L) ties to the original wrong-head identification in the audit workbook Sheet 3 (Wrong Head Availment total ₹90.28L); (4) Cut-off — reversal is in Mar-26, ITC claim may be in Jul-26 per remarks — ensure inter-period consistency.</t>
  </si>
  <si>
    <t xml:space="preserve">Sheet 6</t>
  </si>
  <si>
    <t xml:space="preserve">Large voluntary GST payment of ₹66.12L to Rajasthan tax authorities in the Feb-26 MJE cycle. This represents GE India's largest single voluntary payment in this sample and relates to Rajasthan GSTIN (08AAACG4901D1Z4). This is separate from the smaller Apr-25 Rajasthan DRC-03 payment (Sample #8 — ₹3.75L which was an SCN-linked payment). This Feb-26 payment is characterised as 'voluntary' and covers multiple periods/issues in Rajasthan — potentially RCM shortfalls, wrong-head availment, or 2A vs 3B mismatches identified in GE India's multi-state GST compliance review.</t>
  </si>
  <si>
    <t xml:space="preserve">Largest voluntary payment in the sample by value (₹66.12L). Key audit focus: (1) Obtain supporting documents from Sheet 6 (which contains the backup); (2) Confirm whether this links to any active demand or SCN, or is purely proactive; (3) Verify challan and period of applicability; (4) If linked to multiple periods, assess whether any portion should be provisioned rather than expensed; (5) Assess recoverability as ITC if payment was on eligible input services.</t>
  </si>
  <si>
    <t xml:space="preserve">Second batch of time-barred ITC write-off of ₹44.32L, recorded in the Feb-26 MJE cycle (same Sheet 7 as Sample #6). This covers an additional set of purchase invoices (beyond the 396 in the Sep-25 batch) for which the Section 16(4) ITC claim window has lapsed by Feb-26. The invoices are from a similar vendor mix — freight, logistics, and engineering service providers — where GE India identified that ITC had not been claimed within the time limit.</t>
  </si>
  <si>
    <t xml:space="preserve">Same risk considerations as Sample #6: (1) Verify no overlap with Section 16(5) retrospective eligibility; (2) Confirm write-off computation is complete and covers all time-barred ITC; (3) Check whether any invoices relate to the Karnataka/AP/Rajasthan vendors identified in the audit observations workbook; (4) Assess if there are further time-barred ITC items not yet written off that require provisioning.</t>
  </si>
  <si>
    <t xml:space="preserve">Sheet 8</t>
  </si>
  <si>
    <t xml:space="preserve">Voluntary pre-deposit payment of ₹2,84,408 by GE India (Gujarat GSTIN: 24AAACG4901D1ZA) to file a GST appeal against Order No. ZD2408250198090 dated 07.08.2025 for FY 2021-22. This is the Feb-26 MJE recording of the same Gujarat pre-deposit (APL-01 acknowledged 12.12.2025) that was split between two batches. Issues: turnover difference GSTR-3B vs GSTR-9, excess ITC u/s 16(4) from Manoramaben Rajput, and penalty u/s 125. Combined with the Sep-25 portion (Samples #4 and #5: ₹85,950 + ₹3,985 = ₹89,935), total Gujarat pre-deposit = ₹3,74,343.</t>
  </si>
  <si>
    <t xml:space="preserve">Verify: (1) APL-01 portal acknowledgement filed 12.12.2025 is the primary supporting; (2) Ensure the total pre-deposit of ~₹3.74L is consistently reflected (across Sep-25 and Feb-26 batches); (3) Appeal outcome assessment — Gujarat FY 2021-22 demand is for CGST+SGST ₹28.44L + interest ₹19.62L; if appeal fails, additional provision of ₹45L+ required; (4) The Manoramaben Rajput 16(4) ITC issue is a common GST dispute — check if Section 16(5) retrospective amendment covers this.</t>
  </si>
  <si>
    <t xml:space="preserve">TOTAL (Sample Population)</t>
  </si>
  <si>
    <t xml:space="preserve">Legend — Colour Coding by Transaction Nature</t>
  </si>
  <si>
    <t xml:space="preserve">Voluntary GST Payment / DRC-03 / RCM</t>
  </si>
  <si>
    <t xml:space="preserve">ITC Write-off (Expense — time-barred)</t>
  </si>
  <si>
    <t xml:space="preserve">ITC Write-off (Credit/Reversal — net benefit)</t>
  </si>
  <si>
    <t xml:space="preserve">Reclassification / Reversal / Wrong-head</t>
  </si>
  <si>
    <t xml:space="preserve">Pre-deposit Write-off (Amnesty Scheme closure)</t>
  </si>
</sst>
</file>

<file path=xl/styles.xml><?xml version="1.0" encoding="utf-8"?>
<styleSheet xmlns="http://schemas.openxmlformats.org/spreadsheetml/2006/main">
  <numFmts count="2">
    <numFmt numFmtId="164" formatCode="General"/>
    <numFmt numFmtId="165" formatCode="#,##0.00;\(#,##0.00\)"/>
  </numFmts>
  <fonts count="17">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i val="true"/>
      <sz val="9"/>
      <color rgb="FFFFFFFF"/>
      <name val="Arial"/>
      <family val="0"/>
      <charset val="1"/>
    </font>
    <font>
      <b val="true"/>
      <sz val="9"/>
      <color rgb="FFFFFFFF"/>
      <name val="Arial"/>
      <family val="0"/>
      <charset val="1"/>
    </font>
    <font>
      <b val="true"/>
      <sz val="9"/>
      <color rgb="FF1F3864"/>
      <name val="Arial"/>
      <family val="0"/>
      <charset val="1"/>
    </font>
    <font>
      <sz val="9"/>
      <color rgb="FF000000"/>
      <name val="Arial"/>
      <family val="0"/>
      <charset val="1"/>
    </font>
    <font>
      <b val="true"/>
      <sz val="9"/>
      <color rgb="FF2E74B5"/>
      <name val="Arial"/>
      <family val="0"/>
      <charset val="1"/>
    </font>
    <font>
      <b val="true"/>
      <sz val="9"/>
      <color rgb="FFC00000"/>
      <name val="Arial"/>
      <family val="0"/>
      <charset val="1"/>
    </font>
    <font>
      <sz val="9"/>
      <color rgb="FF375623"/>
      <name val="Arial"/>
      <family val="0"/>
      <charset val="1"/>
    </font>
    <font>
      <sz val="9"/>
      <color rgb="FFC00000"/>
      <name val="Arial"/>
      <family val="0"/>
      <charset val="1"/>
    </font>
    <font>
      <sz val="9"/>
      <color rgb="FF833C00"/>
      <name val="Arial"/>
      <family val="0"/>
      <charset val="1"/>
    </font>
    <font>
      <b val="true"/>
      <sz val="10"/>
      <color rgb="FF1F3864"/>
      <name val="Arial"/>
      <family val="0"/>
      <charset val="1"/>
    </font>
    <font>
      <b val="true"/>
      <sz val="9"/>
      <name val="Arial"/>
      <family val="0"/>
      <charset val="1"/>
    </font>
    <font>
      <sz val="8"/>
      <name val="Arial"/>
      <family val="0"/>
      <charset val="1"/>
    </font>
  </fonts>
  <fills count="11">
    <fill>
      <patternFill patternType="none"/>
    </fill>
    <fill>
      <patternFill patternType="gray125"/>
    </fill>
    <fill>
      <patternFill patternType="solid">
        <fgColor rgb="FF1F3864"/>
        <bgColor rgb="FF333399"/>
      </patternFill>
    </fill>
    <fill>
      <patternFill patternType="solid">
        <fgColor rgb="FF2E74B5"/>
        <bgColor rgb="FF0066CC"/>
      </patternFill>
    </fill>
    <fill>
      <patternFill patternType="solid">
        <fgColor rgb="FFFFF2CC"/>
        <bgColor rgb="FFFDE8D8"/>
      </patternFill>
    </fill>
    <fill>
      <patternFill patternType="solid">
        <fgColor rgb="FFDDEBF7"/>
        <bgColor rgb="FFEDE7F6"/>
      </patternFill>
    </fill>
    <fill>
      <patternFill patternType="solid">
        <fgColor rgb="FFFCE4D6"/>
        <bgColor rgb="FFFDE8D8"/>
      </patternFill>
    </fill>
    <fill>
      <patternFill patternType="solid">
        <fgColor rgb="FFE2EFDA"/>
        <bgColor rgb="FFDDEBF7"/>
      </patternFill>
    </fill>
    <fill>
      <patternFill patternType="solid">
        <fgColor rgb="FFEDE7F6"/>
        <bgColor rgb="FFDDEBF7"/>
      </patternFill>
    </fill>
    <fill>
      <patternFill patternType="solid">
        <fgColor rgb="FFFDE8D8"/>
        <bgColor rgb="FFFCE4D6"/>
      </patternFill>
    </fill>
    <fill>
      <patternFill patternType="solid">
        <fgColor rgb="FFF4B942"/>
        <bgColor rgb="FFFF9900"/>
      </patternFill>
    </fill>
  </fills>
  <borders count="4">
    <border diagonalUp="false" diagonalDown="false">
      <left/>
      <right/>
      <top/>
      <bottom/>
      <diagonal/>
    </border>
    <border diagonalUp="false" diagonalDown="false">
      <left style="medium">
        <color rgb="FF1F3864"/>
      </left>
      <right/>
      <top style="medium">
        <color rgb="FF1F3864"/>
      </top>
      <bottom style="medium">
        <color rgb="FF1F3864"/>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medium">
        <color rgb="FF1F3864"/>
      </left>
      <right style="medium">
        <color rgb="FF1F3864"/>
      </right>
      <top style="medium">
        <color rgb="FF1F3864"/>
      </top>
      <bottom style="medium">
        <color rgb="FF1F386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2" borderId="2" xfId="0" applyFont="true" applyBorder="true" applyAlignment="true" applyProtection="false">
      <alignment horizontal="center" vertical="center" textRotation="0" wrapText="true" indent="0" shrinkToFit="false"/>
      <protection locked="true" hidden="false"/>
    </xf>
    <xf numFmtId="164" fontId="7" fillId="4" borderId="2"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tru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5" fontId="10" fillId="4" borderId="2" xfId="0" applyFont="true" applyBorder="true" applyAlignment="true" applyProtection="false">
      <alignment horizontal="right" vertical="center" textRotation="0" wrapText="true" indent="0" shrinkToFit="false"/>
      <protection locked="true" hidden="false"/>
    </xf>
    <xf numFmtId="164" fontId="11" fillId="4" borderId="2" xfId="0" applyFont="true" applyBorder="true" applyAlignment="true" applyProtection="false">
      <alignment horizontal="left" vertical="center" textRotation="0" wrapText="true" indent="0" shrinkToFit="false"/>
      <protection locked="true" hidden="false"/>
    </xf>
    <xf numFmtId="164" fontId="7" fillId="5" borderId="2"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center" vertical="center" textRotation="0" wrapText="true" indent="0" shrinkToFit="false"/>
      <protection locked="true" hidden="false"/>
    </xf>
    <xf numFmtId="164" fontId="8" fillId="5" borderId="2" xfId="0" applyFont="true" applyBorder="true" applyAlignment="true" applyProtection="false">
      <alignment horizontal="left" vertical="center" textRotation="0" wrapText="true" indent="0" shrinkToFit="false"/>
      <protection locked="true" hidden="false"/>
    </xf>
    <xf numFmtId="164" fontId="9" fillId="5" borderId="2" xfId="0" applyFont="true" applyBorder="true" applyAlignment="true" applyProtection="false">
      <alignment horizontal="center" vertical="center" textRotation="0" wrapText="true" indent="0" shrinkToFit="false"/>
      <protection locked="true" hidden="false"/>
    </xf>
    <xf numFmtId="165" fontId="7" fillId="5" borderId="2" xfId="0" applyFont="true" applyBorder="true" applyAlignment="true" applyProtection="false">
      <alignment horizontal="right" vertical="center" textRotation="0" wrapText="tru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xf numFmtId="164" fontId="11" fillId="5" borderId="2" xfId="0" applyFont="true" applyBorder="true" applyAlignment="true" applyProtection="false">
      <alignment horizontal="left" vertical="center" textRotation="0" wrapText="true" indent="0" shrinkToFit="false"/>
      <protection locked="true" hidden="false"/>
    </xf>
    <xf numFmtId="164" fontId="7" fillId="6" borderId="2" xfId="0" applyFont="true" applyBorder="true" applyAlignment="true" applyProtection="false">
      <alignment horizontal="center" vertical="center" textRotation="0" wrapText="true" indent="0" shrinkToFit="false"/>
      <protection locked="true" hidden="false"/>
    </xf>
    <xf numFmtId="164" fontId="8" fillId="6" borderId="2" xfId="0" applyFont="true" applyBorder="true" applyAlignment="true" applyProtection="false">
      <alignment horizontal="center" vertical="center" textRotation="0" wrapText="true" indent="0" shrinkToFit="false"/>
      <protection locked="true" hidden="false"/>
    </xf>
    <xf numFmtId="164" fontId="8" fillId="6" borderId="2" xfId="0" applyFont="true" applyBorder="true" applyAlignment="true" applyProtection="false">
      <alignment horizontal="left" vertical="center" textRotation="0" wrapText="true" indent="0" shrinkToFit="false"/>
      <protection locked="true" hidden="false"/>
    </xf>
    <xf numFmtId="164" fontId="9" fillId="6" borderId="2" xfId="0" applyFont="true" applyBorder="true" applyAlignment="true" applyProtection="false">
      <alignment horizontal="center" vertical="center" textRotation="0" wrapText="true" indent="0" shrinkToFit="false"/>
      <protection locked="true" hidden="false"/>
    </xf>
    <xf numFmtId="165" fontId="7" fillId="6" borderId="2" xfId="0" applyFont="true" applyBorder="true" applyAlignment="true" applyProtection="false">
      <alignment horizontal="right" vertical="center" textRotation="0" wrapText="true" indent="0" shrinkToFit="false"/>
      <protection locked="true" hidden="false"/>
    </xf>
    <xf numFmtId="164" fontId="11" fillId="6" borderId="2" xfId="0" applyFont="true" applyBorder="true" applyAlignment="true" applyProtection="false">
      <alignment horizontal="left" vertical="center" textRotation="0" wrapText="true" indent="0" shrinkToFit="false"/>
      <protection locked="true" hidden="false"/>
    </xf>
    <xf numFmtId="164" fontId="7" fillId="7" borderId="2" xfId="0" applyFont="true" applyBorder="true" applyAlignment="true" applyProtection="false">
      <alignment horizontal="center" vertical="center" textRotation="0" wrapText="true" indent="0" shrinkToFit="false"/>
      <protection locked="true" hidden="false"/>
    </xf>
    <xf numFmtId="164" fontId="8" fillId="7" borderId="2" xfId="0" applyFont="true" applyBorder="true" applyAlignment="true" applyProtection="false">
      <alignment horizontal="center" vertical="center" textRotation="0" wrapText="true" indent="0" shrinkToFit="false"/>
      <protection locked="true" hidden="false"/>
    </xf>
    <xf numFmtId="164" fontId="8" fillId="7" borderId="2" xfId="0" applyFont="true" applyBorder="true" applyAlignment="true" applyProtection="false">
      <alignment horizontal="left" vertical="center" textRotation="0" wrapText="true" indent="0" shrinkToFit="false"/>
      <protection locked="true" hidden="false"/>
    </xf>
    <xf numFmtId="164" fontId="9" fillId="7" borderId="2" xfId="0" applyFont="true" applyBorder="true" applyAlignment="true" applyProtection="false">
      <alignment horizontal="center" vertical="center" textRotation="0" wrapText="true" indent="0" shrinkToFit="false"/>
      <protection locked="true" hidden="false"/>
    </xf>
    <xf numFmtId="165" fontId="7" fillId="7" borderId="2" xfId="0" applyFont="true" applyBorder="true" applyAlignment="true" applyProtection="false">
      <alignment horizontal="right" vertical="center" textRotation="0" wrapText="true" indent="0" shrinkToFit="false"/>
      <protection locked="true" hidden="false"/>
    </xf>
    <xf numFmtId="164" fontId="11" fillId="7" borderId="2" xfId="0" applyFont="true" applyBorder="true" applyAlignment="true" applyProtection="false">
      <alignment horizontal="left" vertical="center" textRotation="0" wrapText="true" indent="0" shrinkToFit="false"/>
      <protection locked="true" hidden="false"/>
    </xf>
    <xf numFmtId="164" fontId="7" fillId="8" borderId="2" xfId="0" applyFont="true" applyBorder="true" applyAlignment="true" applyProtection="false">
      <alignment horizontal="center" vertical="center" textRotation="0" wrapText="true" indent="0" shrinkToFit="false"/>
      <protection locked="true" hidden="false"/>
    </xf>
    <xf numFmtId="164" fontId="8" fillId="8" borderId="2" xfId="0" applyFont="true" applyBorder="true" applyAlignment="true" applyProtection="false">
      <alignment horizontal="center" vertical="center" textRotation="0" wrapText="true" indent="0" shrinkToFit="false"/>
      <protection locked="true" hidden="false"/>
    </xf>
    <xf numFmtId="164" fontId="8" fillId="8" borderId="2" xfId="0" applyFont="true" applyBorder="true" applyAlignment="true" applyProtection="false">
      <alignment horizontal="left" vertical="center" textRotation="0" wrapText="true" indent="0" shrinkToFit="false"/>
      <protection locked="true" hidden="false"/>
    </xf>
    <xf numFmtId="164" fontId="9" fillId="8" borderId="2" xfId="0" applyFont="true" applyBorder="true" applyAlignment="true" applyProtection="false">
      <alignment horizontal="center" vertical="center" textRotation="0" wrapText="true" indent="0" shrinkToFit="false"/>
      <protection locked="true" hidden="false"/>
    </xf>
    <xf numFmtId="165" fontId="10" fillId="8" borderId="2" xfId="0" applyFont="true" applyBorder="true" applyAlignment="true" applyProtection="false">
      <alignment horizontal="right" vertical="center" textRotation="0" wrapText="true" indent="0" shrinkToFit="false"/>
      <protection locked="true" hidden="false"/>
    </xf>
    <xf numFmtId="164" fontId="13" fillId="8" borderId="2" xfId="0" applyFont="true" applyBorder="true" applyAlignment="true" applyProtection="false">
      <alignment horizontal="left" vertical="center" textRotation="0" wrapText="true" indent="0" shrinkToFit="false"/>
      <protection locked="true" hidden="false"/>
    </xf>
    <xf numFmtId="164" fontId="7" fillId="9" borderId="2" xfId="0" applyFont="true" applyBorder="true" applyAlignment="true" applyProtection="false">
      <alignment horizontal="center" vertical="center" textRotation="0" wrapText="true" indent="0" shrinkToFit="false"/>
      <protection locked="true" hidden="false"/>
    </xf>
    <xf numFmtId="164" fontId="8" fillId="9" borderId="2" xfId="0" applyFont="true" applyBorder="true" applyAlignment="true" applyProtection="false">
      <alignment horizontal="center" vertical="center" textRotation="0" wrapText="true" indent="0" shrinkToFit="false"/>
      <protection locked="true" hidden="false"/>
    </xf>
    <xf numFmtId="164" fontId="8" fillId="9" borderId="2" xfId="0" applyFont="true" applyBorder="true" applyAlignment="true" applyProtection="false">
      <alignment horizontal="left" vertical="center" textRotation="0" wrapText="true" indent="0" shrinkToFit="false"/>
      <protection locked="true" hidden="false"/>
    </xf>
    <xf numFmtId="164" fontId="9" fillId="9" borderId="2" xfId="0" applyFont="true" applyBorder="true" applyAlignment="true" applyProtection="false">
      <alignment horizontal="center" vertical="center" textRotation="0" wrapText="true" indent="0" shrinkToFit="false"/>
      <protection locked="true" hidden="false"/>
    </xf>
    <xf numFmtId="165" fontId="7" fillId="9" borderId="2" xfId="0" applyFont="true" applyBorder="true" applyAlignment="true" applyProtection="false">
      <alignment horizontal="right" vertical="center" textRotation="0" wrapText="true" indent="0" shrinkToFit="false"/>
      <protection locked="true" hidden="false"/>
    </xf>
    <xf numFmtId="164" fontId="11" fillId="9" borderId="2" xfId="0" applyFont="true" applyBorder="true" applyAlignment="true" applyProtection="false">
      <alignment horizontal="left" vertical="center" textRotation="0" wrapText="true" indent="0" shrinkToFit="false"/>
      <protection locked="true" hidden="false"/>
    </xf>
    <xf numFmtId="164" fontId="12" fillId="8" borderId="2" xfId="0" applyFont="true" applyBorder="true" applyAlignment="true" applyProtection="false">
      <alignment horizontal="left" vertical="center" textRotation="0" wrapText="true" indent="0" shrinkToFit="false"/>
      <protection locked="true" hidden="false"/>
    </xf>
    <xf numFmtId="164" fontId="14" fillId="10" borderId="1" xfId="0" applyFont="true" applyBorder="true" applyAlignment="true" applyProtection="false">
      <alignment horizontal="center" vertical="center" textRotation="0" wrapText="false" indent="0" shrinkToFit="false"/>
      <protection locked="true" hidden="false"/>
    </xf>
    <xf numFmtId="165" fontId="14" fillId="10" borderId="3" xfId="0" applyFont="true" applyBorder="true" applyAlignment="true" applyProtection="false">
      <alignment horizontal="right" vertical="center" textRotation="0" wrapText="false" indent="0" shrinkToFit="false"/>
      <protection locked="true" hidden="false"/>
    </xf>
    <xf numFmtId="164" fontId="0" fillId="10" borderId="3" xfId="0" applyFont="fals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7" borderId="2" xfId="0" applyFont="true" applyBorder="true" applyAlignment="true" applyProtection="false">
      <alignment horizontal="general" vertical="center" textRotation="0" wrapText="false" indent="0" shrinkToFit="false"/>
      <protection locked="true" hidden="false"/>
    </xf>
    <xf numFmtId="164" fontId="16" fillId="5" borderId="2" xfId="0" applyFont="true" applyBorder="true" applyAlignment="true" applyProtection="false">
      <alignment horizontal="general" vertical="center" textRotation="0" wrapText="false" indent="0" shrinkToFit="false"/>
      <protection locked="true" hidden="false"/>
    </xf>
    <xf numFmtId="164" fontId="16" fillId="6" borderId="2" xfId="0" applyFont="true" applyBorder="true" applyAlignment="true" applyProtection="false">
      <alignment horizontal="general" vertical="center" textRotation="0" wrapText="false" indent="0" shrinkToFit="false"/>
      <protection locked="true" hidden="false"/>
    </xf>
    <xf numFmtId="164" fontId="16" fillId="4" borderId="2" xfId="0" applyFont="true" applyBorder="true" applyAlignment="true" applyProtection="false">
      <alignment horizontal="general" vertical="center" textRotation="0" wrapText="false" indent="0" shrinkToFit="false"/>
      <protection locked="true" hidden="false"/>
    </xf>
    <xf numFmtId="164" fontId="16" fillId="8" borderId="2" xfId="0" applyFont="true" applyBorder="true" applyAlignment="true" applyProtection="false">
      <alignment horizontal="general" vertical="center" textRotation="0" wrapText="false" indent="0" shrinkToFit="false"/>
      <protection locked="true" hidden="false"/>
    </xf>
    <xf numFmtId="164" fontId="16" fillId="9" borderId="2"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7F6"/>
          <bgColor rgb="FF000000"/>
        </patternFill>
      </fill>
    </dxf>
    <dxf>
      <fill>
        <patternFill patternType="solid">
          <fgColor rgb="FFFCE4D6"/>
          <bgColor rgb="FF000000"/>
        </patternFill>
      </fill>
    </dxf>
    <dxf>
      <fill>
        <patternFill patternType="solid">
          <fgColor rgb="FFFDE8D8"/>
          <bgColor rgb="FF000000"/>
        </patternFill>
      </fill>
    </dxf>
    <dxf>
      <fill>
        <patternFill patternType="solid">
          <fgColor rgb="FFFFF2CC"/>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2E74B5"/>
          <bgColor rgb="FF000000"/>
        </patternFill>
      </fill>
    </dxf>
    <dxf>
      <fill>
        <patternFill patternType="solid">
          <fgColor rgb="FFC00000"/>
          <bgColor rgb="FF000000"/>
        </patternFill>
      </fill>
    </dxf>
    <dxf>
      <fill>
        <patternFill patternType="solid">
          <fgColor rgb="FF375623"/>
          <bgColor rgb="FF000000"/>
        </patternFill>
      </fill>
    </dxf>
    <dxf>
      <fill>
        <patternFill patternType="solid">
          <fgColor rgb="FF833C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7F6"/>
      <rgbColor rgb="FFE2EFDA"/>
      <rgbColor rgb="FFFDE8D8"/>
      <rgbColor rgb="FF99CCFF"/>
      <rgbColor rgb="FFFF99CC"/>
      <rgbColor rgb="FFCC99FF"/>
      <rgbColor rgb="FFFCE4D6"/>
      <rgbColor rgb="FF2E74B5"/>
      <rgbColor rgb="FF33CCCC"/>
      <rgbColor rgb="FF99CC00"/>
      <rgbColor rgb="FFF4B942"/>
      <rgbColor rgb="FFFF9900"/>
      <rgbColor rgb="FFFF6600"/>
      <rgbColor rgb="FF666699"/>
      <rgbColor rgb="FF969696"/>
      <rgbColor rgb="FF1F3864"/>
      <rgbColor rgb="FF339966"/>
      <rgbColor rgb="FF003300"/>
      <rgbColor rgb="FF333300"/>
      <rgbColor rgb="FF833C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3"/>
    <col collapsed="false" customWidth="true" hidden="false" outlineLevel="0" max="3" min="3" style="0" width="40"/>
    <col collapsed="false" customWidth="true" hidden="false" outlineLevel="0" max="4" min="4" style="0" width="22"/>
    <col collapsed="false" customWidth="true" hidden="false" outlineLevel="0" max="5" min="5" style="0" width="14"/>
    <col collapsed="false" customWidth="true" hidden="false" outlineLevel="0" max="6" min="6" style="0" width="8"/>
    <col collapsed="false" customWidth="true" hidden="false" outlineLevel="0" max="7" min="7" style="0" width="18"/>
    <col collapsed="false" customWidth="true" hidden="false" outlineLevel="0" max="8" min="8" style="0" width="70"/>
    <col collapsed="false" customWidth="true" hidden="false" outlineLevel="0" max="9" min="9" style="0" width="45"/>
  </cols>
  <sheetData>
    <row r="1" customFormat="false" ht="30" hidden="false" customHeight="true" outlineLevel="0" collapsed="false">
      <c r="A1" s="1" t="s">
        <v>0</v>
      </c>
      <c r="B1" s="1"/>
      <c r="C1" s="1"/>
      <c r="D1" s="1"/>
      <c r="E1" s="1"/>
      <c r="F1" s="1"/>
      <c r="G1" s="1"/>
      <c r="H1" s="1"/>
      <c r="I1" s="1"/>
    </row>
    <row r="2" customFormat="false" ht="18" hidden="false" customHeight="true" outlineLevel="0" collapsed="false">
      <c r="A2" s="2" t="s">
        <v>1</v>
      </c>
      <c r="B2" s="2"/>
      <c r="C2" s="2"/>
      <c r="D2" s="2"/>
      <c r="E2" s="2"/>
      <c r="F2" s="2"/>
      <c r="G2" s="2"/>
      <c r="H2" s="2"/>
      <c r="I2" s="2"/>
    </row>
    <row r="3" customFormat="false" ht="36" hidden="false" customHeight="true" outlineLevel="0" collapsed="false">
      <c r="A3" s="3" t="s">
        <v>2</v>
      </c>
      <c r="B3" s="3" t="s">
        <v>3</v>
      </c>
      <c r="C3" s="3" t="s">
        <v>4</v>
      </c>
      <c r="D3" s="3" t="s">
        <v>5</v>
      </c>
      <c r="E3" s="3" t="s">
        <v>6</v>
      </c>
      <c r="F3" s="3" t="s">
        <v>7</v>
      </c>
      <c r="G3" s="3" t="s">
        <v>8</v>
      </c>
      <c r="H3" s="3" t="s">
        <v>9</v>
      </c>
      <c r="I3" s="3" t="s">
        <v>10</v>
      </c>
    </row>
    <row r="4" customFormat="false" ht="79.5" hidden="false" customHeight="true" outlineLevel="0" collapsed="false">
      <c r="A4" s="4" t="n">
        <v>1</v>
      </c>
      <c r="B4" s="5" t="s">
        <v>11</v>
      </c>
      <c r="C4" s="6" t="s">
        <v>12</v>
      </c>
      <c r="D4" s="7" t="s">
        <v>13</v>
      </c>
      <c r="E4" s="5" t="s">
        <v>14</v>
      </c>
      <c r="F4" s="5" t="s">
        <v>15</v>
      </c>
      <c r="G4" s="8" t="n">
        <v>-12908141.99</v>
      </c>
      <c r="H4" s="6" t="s">
        <v>16</v>
      </c>
      <c r="I4" s="9" t="s">
        <v>17</v>
      </c>
    </row>
    <row r="5" customFormat="false" ht="79.5" hidden="false" customHeight="true" outlineLevel="0" collapsed="false">
      <c r="A5" s="10" t="n">
        <v>2</v>
      </c>
      <c r="B5" s="11" t="s">
        <v>18</v>
      </c>
      <c r="C5" s="12" t="s">
        <v>19</v>
      </c>
      <c r="D5" s="13" t="s">
        <v>20</v>
      </c>
      <c r="E5" s="11" t="s">
        <v>21</v>
      </c>
      <c r="F5" s="11" t="s">
        <v>22</v>
      </c>
      <c r="G5" s="14" t="n">
        <v>10489489.2</v>
      </c>
      <c r="H5" s="12" t="s">
        <v>23</v>
      </c>
      <c r="I5" s="15" t="s">
        <v>24</v>
      </c>
    </row>
    <row r="6" customFormat="false" ht="79.5" hidden="false" customHeight="true" outlineLevel="0" collapsed="false">
      <c r="A6" s="10" t="n">
        <v>3</v>
      </c>
      <c r="B6" s="11" t="s">
        <v>18</v>
      </c>
      <c r="C6" s="12" t="s">
        <v>25</v>
      </c>
      <c r="D6" s="13" t="s">
        <v>20</v>
      </c>
      <c r="E6" s="11" t="s">
        <v>26</v>
      </c>
      <c r="F6" s="11" t="s">
        <v>27</v>
      </c>
      <c r="G6" s="14" t="n">
        <v>215638</v>
      </c>
      <c r="H6" s="12" t="s">
        <v>28</v>
      </c>
      <c r="I6" s="16" t="s">
        <v>29</v>
      </c>
    </row>
    <row r="7" customFormat="false" ht="79.5" hidden="false" customHeight="true" outlineLevel="0" collapsed="false">
      <c r="A7" s="10" t="n">
        <v>4</v>
      </c>
      <c r="B7" s="11" t="s">
        <v>18</v>
      </c>
      <c r="C7" s="12" t="s">
        <v>30</v>
      </c>
      <c r="D7" s="13" t="s">
        <v>20</v>
      </c>
      <c r="E7" s="11" t="s">
        <v>31</v>
      </c>
      <c r="F7" s="11" t="s">
        <v>32</v>
      </c>
      <c r="G7" s="14" t="n">
        <v>85950</v>
      </c>
      <c r="H7" s="12" t="s">
        <v>33</v>
      </c>
      <c r="I7" s="16" t="s">
        <v>34</v>
      </c>
    </row>
    <row r="8" customFormat="false" ht="79.5" hidden="false" customHeight="true" outlineLevel="0" collapsed="false">
      <c r="A8" s="10" t="n">
        <v>5</v>
      </c>
      <c r="B8" s="11" t="s">
        <v>18</v>
      </c>
      <c r="C8" s="12" t="s">
        <v>35</v>
      </c>
      <c r="D8" s="13" t="s">
        <v>20</v>
      </c>
      <c r="E8" s="11" t="s">
        <v>31</v>
      </c>
      <c r="F8" s="11" t="s">
        <v>32</v>
      </c>
      <c r="G8" s="14" t="n">
        <v>3985</v>
      </c>
      <c r="H8" s="12" t="s">
        <v>36</v>
      </c>
      <c r="I8" s="16" t="s">
        <v>37</v>
      </c>
    </row>
    <row r="9" customFormat="false" ht="79.5" hidden="false" customHeight="true" outlineLevel="0" collapsed="false">
      <c r="A9" s="17" t="n">
        <v>6</v>
      </c>
      <c r="B9" s="18" t="s">
        <v>18</v>
      </c>
      <c r="C9" s="19" t="s">
        <v>38</v>
      </c>
      <c r="D9" s="20" t="s">
        <v>39</v>
      </c>
      <c r="E9" s="18" t="s">
        <v>14</v>
      </c>
      <c r="F9" s="18" t="s">
        <v>40</v>
      </c>
      <c r="G9" s="21" t="n">
        <v>7073568.16</v>
      </c>
      <c r="H9" s="19" t="s">
        <v>41</v>
      </c>
      <c r="I9" s="22" t="s">
        <v>42</v>
      </c>
    </row>
    <row r="10" customFormat="false" ht="79.5" hidden="false" customHeight="true" outlineLevel="0" collapsed="false">
      <c r="A10" s="23" t="n">
        <v>7</v>
      </c>
      <c r="B10" s="24" t="s">
        <v>11</v>
      </c>
      <c r="C10" s="25" t="s">
        <v>43</v>
      </c>
      <c r="D10" s="26" t="s">
        <v>44</v>
      </c>
      <c r="E10" s="24" t="s">
        <v>31</v>
      </c>
      <c r="F10" s="24" t="s">
        <v>45</v>
      </c>
      <c r="G10" s="27" t="n">
        <v>1596012</v>
      </c>
      <c r="H10" s="25" t="s">
        <v>46</v>
      </c>
      <c r="I10" s="28" t="s">
        <v>47</v>
      </c>
    </row>
    <row r="11" customFormat="false" ht="79.5" hidden="false" customHeight="true" outlineLevel="0" collapsed="false">
      <c r="A11" s="23" t="n">
        <v>8</v>
      </c>
      <c r="B11" s="24" t="s">
        <v>11</v>
      </c>
      <c r="C11" s="25" t="s">
        <v>48</v>
      </c>
      <c r="D11" s="26" t="s">
        <v>49</v>
      </c>
      <c r="E11" s="24" t="s">
        <v>50</v>
      </c>
      <c r="F11" s="24" t="s">
        <v>51</v>
      </c>
      <c r="G11" s="27" t="n">
        <v>375063</v>
      </c>
      <c r="H11" s="25" t="s">
        <v>52</v>
      </c>
      <c r="I11" s="28" t="s">
        <v>53</v>
      </c>
    </row>
    <row r="12" customFormat="false" ht="79.5" hidden="false" customHeight="true" outlineLevel="0" collapsed="false">
      <c r="A12" s="23" t="n">
        <v>9</v>
      </c>
      <c r="B12" s="24" t="s">
        <v>18</v>
      </c>
      <c r="C12" s="25" t="s">
        <v>54</v>
      </c>
      <c r="D12" s="26" t="s">
        <v>55</v>
      </c>
      <c r="E12" s="24" t="s">
        <v>21</v>
      </c>
      <c r="F12" s="24" t="s">
        <v>56</v>
      </c>
      <c r="G12" s="27" t="n">
        <v>9416910.47</v>
      </c>
      <c r="H12" s="25" t="s">
        <v>57</v>
      </c>
      <c r="I12" s="28" t="s">
        <v>58</v>
      </c>
    </row>
    <row r="13" customFormat="false" ht="79.5" hidden="false" customHeight="true" outlineLevel="0" collapsed="false">
      <c r="A13" s="23" t="n">
        <v>10</v>
      </c>
      <c r="B13" s="24" t="s">
        <v>18</v>
      </c>
      <c r="C13" s="25" t="s">
        <v>59</v>
      </c>
      <c r="D13" s="26" t="s">
        <v>44</v>
      </c>
      <c r="E13" s="24" t="s">
        <v>21</v>
      </c>
      <c r="F13" s="24" t="s">
        <v>60</v>
      </c>
      <c r="G13" s="27" t="n">
        <v>8649406.34</v>
      </c>
      <c r="H13" s="25" t="s">
        <v>61</v>
      </c>
      <c r="I13" s="28" t="s">
        <v>62</v>
      </c>
    </row>
    <row r="14" customFormat="false" ht="79.5" hidden="false" customHeight="true" outlineLevel="0" collapsed="false">
      <c r="A14" s="23" t="n">
        <v>11</v>
      </c>
      <c r="B14" s="24" t="s">
        <v>18</v>
      </c>
      <c r="C14" s="25" t="s">
        <v>59</v>
      </c>
      <c r="D14" s="26" t="s">
        <v>44</v>
      </c>
      <c r="E14" s="24" t="s">
        <v>21</v>
      </c>
      <c r="F14" s="24" t="s">
        <v>32</v>
      </c>
      <c r="G14" s="27" t="n">
        <v>1323901.56</v>
      </c>
      <c r="H14" s="25" t="s">
        <v>63</v>
      </c>
      <c r="I14" s="28" t="s">
        <v>64</v>
      </c>
    </row>
    <row r="15" customFormat="false" ht="79.5" hidden="false" customHeight="true" outlineLevel="0" collapsed="false">
      <c r="A15" s="23" t="n">
        <v>12</v>
      </c>
      <c r="B15" s="24" t="s">
        <v>18</v>
      </c>
      <c r="C15" s="25" t="s">
        <v>65</v>
      </c>
      <c r="D15" s="26" t="s">
        <v>44</v>
      </c>
      <c r="E15" s="24" t="s">
        <v>21</v>
      </c>
      <c r="F15" s="24" t="s">
        <v>32</v>
      </c>
      <c r="G15" s="27" t="n">
        <v>1008000</v>
      </c>
      <c r="H15" s="25" t="s">
        <v>66</v>
      </c>
      <c r="I15" s="28" t="s">
        <v>67</v>
      </c>
    </row>
    <row r="16" customFormat="false" ht="79.5" hidden="false" customHeight="true" outlineLevel="0" collapsed="false">
      <c r="A16" s="23" t="n">
        <v>13</v>
      </c>
      <c r="B16" s="24" t="s">
        <v>18</v>
      </c>
      <c r="C16" s="25" t="s">
        <v>65</v>
      </c>
      <c r="D16" s="26" t="s">
        <v>44</v>
      </c>
      <c r="E16" s="24" t="s">
        <v>21</v>
      </c>
      <c r="F16" s="24" t="s">
        <v>32</v>
      </c>
      <c r="G16" s="27" t="n">
        <v>738671.9</v>
      </c>
      <c r="H16" s="25" t="s">
        <v>68</v>
      </c>
      <c r="I16" s="28" t="s">
        <v>69</v>
      </c>
    </row>
    <row r="17" customFormat="false" ht="79.5" hidden="false" customHeight="true" outlineLevel="0" collapsed="false">
      <c r="A17" s="23" t="n">
        <v>14</v>
      </c>
      <c r="B17" s="24" t="s">
        <v>18</v>
      </c>
      <c r="C17" s="25" t="s">
        <v>70</v>
      </c>
      <c r="D17" s="26" t="s">
        <v>44</v>
      </c>
      <c r="E17" s="24" t="s">
        <v>71</v>
      </c>
      <c r="F17" s="24" t="s">
        <v>32</v>
      </c>
      <c r="G17" s="27" t="n">
        <v>696829</v>
      </c>
      <c r="H17" s="25" t="s">
        <v>72</v>
      </c>
      <c r="I17" s="28" t="s">
        <v>73</v>
      </c>
    </row>
    <row r="18" customFormat="false" ht="79.5" hidden="false" customHeight="true" outlineLevel="0" collapsed="false">
      <c r="A18" s="23" t="n">
        <v>15</v>
      </c>
      <c r="B18" s="24" t="s">
        <v>18</v>
      </c>
      <c r="C18" s="25" t="s">
        <v>59</v>
      </c>
      <c r="D18" s="26" t="s">
        <v>44</v>
      </c>
      <c r="E18" s="24" t="s">
        <v>21</v>
      </c>
      <c r="F18" s="24" t="s">
        <v>32</v>
      </c>
      <c r="G18" s="27" t="n">
        <v>585774.24</v>
      </c>
      <c r="H18" s="25" t="s">
        <v>74</v>
      </c>
      <c r="I18" s="28" t="s">
        <v>75</v>
      </c>
    </row>
    <row r="19" customFormat="false" ht="79.5" hidden="false" customHeight="true" outlineLevel="0" collapsed="false">
      <c r="A19" s="23" t="n">
        <v>16</v>
      </c>
      <c r="B19" s="24" t="s">
        <v>18</v>
      </c>
      <c r="C19" s="25" t="s">
        <v>59</v>
      </c>
      <c r="D19" s="26" t="s">
        <v>44</v>
      </c>
      <c r="E19" s="24" t="s">
        <v>21</v>
      </c>
      <c r="F19" s="24" t="s">
        <v>32</v>
      </c>
      <c r="G19" s="27" t="n">
        <v>378673.08</v>
      </c>
      <c r="H19" s="25" t="s">
        <v>76</v>
      </c>
      <c r="I19" s="28" t="s">
        <v>77</v>
      </c>
    </row>
    <row r="20" customFormat="false" ht="79.5" hidden="false" customHeight="true" outlineLevel="0" collapsed="false">
      <c r="A20" s="23" t="n">
        <v>17</v>
      </c>
      <c r="B20" s="24" t="s">
        <v>18</v>
      </c>
      <c r="C20" s="25" t="s">
        <v>78</v>
      </c>
      <c r="D20" s="26" t="s">
        <v>44</v>
      </c>
      <c r="E20" s="24" t="s">
        <v>71</v>
      </c>
      <c r="F20" s="24" t="s">
        <v>32</v>
      </c>
      <c r="G20" s="27" t="n">
        <v>357552</v>
      </c>
      <c r="H20" s="25" t="s">
        <v>79</v>
      </c>
      <c r="I20" s="28" t="s">
        <v>80</v>
      </c>
    </row>
    <row r="21" customFormat="false" ht="79.5" hidden="false" customHeight="true" outlineLevel="0" collapsed="false">
      <c r="A21" s="23" t="n">
        <v>18</v>
      </c>
      <c r="B21" s="24" t="s">
        <v>18</v>
      </c>
      <c r="C21" s="25" t="s">
        <v>78</v>
      </c>
      <c r="D21" s="26" t="s">
        <v>44</v>
      </c>
      <c r="E21" s="24" t="s">
        <v>71</v>
      </c>
      <c r="F21" s="24" t="s">
        <v>32</v>
      </c>
      <c r="G21" s="27" t="n">
        <v>277204</v>
      </c>
      <c r="H21" s="25" t="s">
        <v>81</v>
      </c>
      <c r="I21" s="28" t="s">
        <v>82</v>
      </c>
    </row>
    <row r="22" customFormat="false" ht="79.5" hidden="false" customHeight="true" outlineLevel="0" collapsed="false">
      <c r="A22" s="23" t="n">
        <v>19</v>
      </c>
      <c r="B22" s="24" t="s">
        <v>18</v>
      </c>
      <c r="C22" s="25" t="s">
        <v>70</v>
      </c>
      <c r="D22" s="26" t="s">
        <v>44</v>
      </c>
      <c r="E22" s="24" t="s">
        <v>71</v>
      </c>
      <c r="F22" s="24" t="s">
        <v>32</v>
      </c>
      <c r="G22" s="27" t="n">
        <v>230969</v>
      </c>
      <c r="H22" s="25" t="s">
        <v>83</v>
      </c>
      <c r="I22" s="28" t="s">
        <v>84</v>
      </c>
    </row>
    <row r="23" customFormat="false" ht="79.5" hidden="false" customHeight="true" outlineLevel="0" collapsed="false">
      <c r="A23" s="23" t="n">
        <v>20</v>
      </c>
      <c r="B23" s="24" t="s">
        <v>18</v>
      </c>
      <c r="C23" s="25" t="s">
        <v>70</v>
      </c>
      <c r="D23" s="26" t="s">
        <v>44</v>
      </c>
      <c r="E23" s="24" t="s">
        <v>71</v>
      </c>
      <c r="F23" s="24" t="s">
        <v>32</v>
      </c>
      <c r="G23" s="27" t="n">
        <v>205044</v>
      </c>
      <c r="H23" s="25" t="s">
        <v>85</v>
      </c>
      <c r="I23" s="28" t="s">
        <v>86</v>
      </c>
    </row>
    <row r="24" customFormat="false" ht="79.5" hidden="false" customHeight="true" outlineLevel="0" collapsed="false">
      <c r="A24" s="23" t="n">
        <v>21</v>
      </c>
      <c r="B24" s="24" t="s">
        <v>18</v>
      </c>
      <c r="C24" s="25" t="s">
        <v>65</v>
      </c>
      <c r="D24" s="26" t="s">
        <v>44</v>
      </c>
      <c r="E24" s="24" t="s">
        <v>21</v>
      </c>
      <c r="F24" s="24" t="s">
        <v>32</v>
      </c>
      <c r="G24" s="27" t="n">
        <v>178874</v>
      </c>
      <c r="H24" s="25" t="s">
        <v>87</v>
      </c>
      <c r="I24" s="28" t="s">
        <v>88</v>
      </c>
    </row>
    <row r="25" customFormat="false" ht="79.5" hidden="false" customHeight="true" outlineLevel="0" collapsed="false">
      <c r="A25" s="23" t="n">
        <v>22</v>
      </c>
      <c r="B25" s="24" t="s">
        <v>18</v>
      </c>
      <c r="C25" s="25" t="s">
        <v>89</v>
      </c>
      <c r="D25" s="26" t="s">
        <v>44</v>
      </c>
      <c r="E25" s="24" t="s">
        <v>50</v>
      </c>
      <c r="F25" s="24" t="s">
        <v>32</v>
      </c>
      <c r="G25" s="27" t="n">
        <v>147024</v>
      </c>
      <c r="H25" s="25" t="s">
        <v>90</v>
      </c>
      <c r="I25" s="28" t="s">
        <v>91</v>
      </c>
    </row>
    <row r="26" customFormat="false" ht="79.5" hidden="false" customHeight="true" outlineLevel="0" collapsed="false">
      <c r="A26" s="23" t="n">
        <v>23</v>
      </c>
      <c r="B26" s="24" t="s">
        <v>18</v>
      </c>
      <c r="C26" s="25" t="s">
        <v>65</v>
      </c>
      <c r="D26" s="26" t="s">
        <v>44</v>
      </c>
      <c r="E26" s="24" t="s">
        <v>21</v>
      </c>
      <c r="F26" s="24" t="s">
        <v>32</v>
      </c>
      <c r="G26" s="27" t="n">
        <v>11448.68</v>
      </c>
      <c r="H26" s="25" t="s">
        <v>92</v>
      </c>
      <c r="I26" s="28" t="s">
        <v>93</v>
      </c>
    </row>
    <row r="27" customFormat="false" ht="79.5" hidden="false" customHeight="true" outlineLevel="0" collapsed="false">
      <c r="A27" s="23" t="n">
        <v>24</v>
      </c>
      <c r="B27" s="24" t="s">
        <v>18</v>
      </c>
      <c r="C27" s="25" t="s">
        <v>65</v>
      </c>
      <c r="D27" s="26" t="s">
        <v>44</v>
      </c>
      <c r="E27" s="24" t="s">
        <v>21</v>
      </c>
      <c r="F27" s="24" t="s">
        <v>32</v>
      </c>
      <c r="G27" s="27" t="n">
        <v>50</v>
      </c>
      <c r="H27" s="25" t="s">
        <v>94</v>
      </c>
      <c r="I27" s="28" t="s">
        <v>95</v>
      </c>
    </row>
    <row r="28" customFormat="false" ht="79.5" hidden="false" customHeight="true" outlineLevel="0" collapsed="false">
      <c r="A28" s="29" t="n">
        <v>25</v>
      </c>
      <c r="B28" s="30" t="s">
        <v>96</v>
      </c>
      <c r="C28" s="31" t="s">
        <v>97</v>
      </c>
      <c r="D28" s="32" t="s">
        <v>98</v>
      </c>
      <c r="E28" s="30" t="s">
        <v>99</v>
      </c>
      <c r="F28" s="30" t="s">
        <v>56</v>
      </c>
      <c r="G28" s="33" t="n">
        <v>-9787268</v>
      </c>
      <c r="H28" s="31" t="s">
        <v>100</v>
      </c>
      <c r="I28" s="34" t="s">
        <v>101</v>
      </c>
    </row>
    <row r="29" customFormat="false" ht="79.5" hidden="false" customHeight="true" outlineLevel="0" collapsed="false">
      <c r="A29" s="35" t="n">
        <v>26</v>
      </c>
      <c r="B29" s="36" t="s">
        <v>96</v>
      </c>
      <c r="C29" s="37" t="s">
        <v>102</v>
      </c>
      <c r="D29" s="38" t="s">
        <v>103</v>
      </c>
      <c r="E29" s="36" t="s">
        <v>31</v>
      </c>
      <c r="F29" s="36" t="s">
        <v>32</v>
      </c>
      <c r="G29" s="39" t="n">
        <v>6224564</v>
      </c>
      <c r="H29" s="37" t="s">
        <v>104</v>
      </c>
      <c r="I29" s="40" t="s">
        <v>105</v>
      </c>
    </row>
    <row r="30" customFormat="false" ht="79.5" hidden="false" customHeight="true" outlineLevel="0" collapsed="false">
      <c r="A30" s="29" t="n">
        <v>27</v>
      </c>
      <c r="B30" s="30" t="s">
        <v>106</v>
      </c>
      <c r="C30" s="31" t="s">
        <v>107</v>
      </c>
      <c r="D30" s="32" t="s">
        <v>108</v>
      </c>
      <c r="E30" s="30" t="s">
        <v>21</v>
      </c>
      <c r="F30" s="30" t="s">
        <v>60</v>
      </c>
      <c r="G30" s="33" t="n">
        <v>-8920716.37</v>
      </c>
      <c r="H30" s="31" t="s">
        <v>109</v>
      </c>
      <c r="I30" s="41" t="s">
        <v>110</v>
      </c>
    </row>
    <row r="31" customFormat="false" ht="79.5" hidden="false" customHeight="true" outlineLevel="0" collapsed="false">
      <c r="A31" s="23" t="n">
        <v>28</v>
      </c>
      <c r="B31" s="24" t="s">
        <v>106</v>
      </c>
      <c r="C31" s="25" t="s">
        <v>48</v>
      </c>
      <c r="D31" s="26" t="s">
        <v>44</v>
      </c>
      <c r="E31" s="24" t="s">
        <v>50</v>
      </c>
      <c r="F31" s="24" t="s">
        <v>111</v>
      </c>
      <c r="G31" s="27" t="n">
        <v>6612140.81</v>
      </c>
      <c r="H31" s="25" t="s">
        <v>112</v>
      </c>
      <c r="I31" s="28" t="s">
        <v>113</v>
      </c>
    </row>
    <row r="32" customFormat="false" ht="79.5" hidden="false" customHeight="true" outlineLevel="0" collapsed="false">
      <c r="A32" s="17" t="n">
        <v>29</v>
      </c>
      <c r="B32" s="18" t="s">
        <v>106</v>
      </c>
      <c r="C32" s="19" t="s">
        <v>38</v>
      </c>
      <c r="D32" s="20" t="s">
        <v>39</v>
      </c>
      <c r="E32" s="18" t="s">
        <v>14</v>
      </c>
      <c r="F32" s="18" t="s">
        <v>40</v>
      </c>
      <c r="G32" s="21" t="n">
        <v>4431597.59</v>
      </c>
      <c r="H32" s="19" t="s">
        <v>114</v>
      </c>
      <c r="I32" s="22" t="s">
        <v>115</v>
      </c>
    </row>
    <row r="33" customFormat="false" ht="79.5" hidden="false" customHeight="true" outlineLevel="0" collapsed="false">
      <c r="A33" s="10" t="n">
        <v>30</v>
      </c>
      <c r="B33" s="11" t="s">
        <v>106</v>
      </c>
      <c r="C33" s="12" t="s">
        <v>30</v>
      </c>
      <c r="D33" s="13" t="s">
        <v>20</v>
      </c>
      <c r="E33" s="11" t="s">
        <v>31</v>
      </c>
      <c r="F33" s="11" t="s">
        <v>116</v>
      </c>
      <c r="G33" s="14" t="n">
        <v>284408</v>
      </c>
      <c r="H33" s="12" t="s">
        <v>117</v>
      </c>
      <c r="I33" s="16" t="s">
        <v>118</v>
      </c>
    </row>
    <row r="34" customFormat="false" ht="21.75" hidden="false" customHeight="true" outlineLevel="0" collapsed="false">
      <c r="A34" s="42" t="s">
        <v>119</v>
      </c>
      <c r="B34" s="42"/>
      <c r="C34" s="42"/>
      <c r="D34" s="42"/>
      <c r="E34" s="42"/>
      <c r="F34" s="42"/>
      <c r="G34" s="43" t="n">
        <f aca="false">SUM(G4:G33)</f>
        <v>29982621.67</v>
      </c>
      <c r="H34" s="44"/>
      <c r="I34" s="44"/>
    </row>
    <row r="36" customFormat="false" ht="15" hidden="false" customHeight="false" outlineLevel="0" collapsed="false">
      <c r="A36" s="45" t="s">
        <v>120</v>
      </c>
    </row>
    <row r="37" customFormat="false" ht="15" hidden="false" customHeight="true" outlineLevel="0" collapsed="false">
      <c r="A37" s="46" t="s">
        <v>121</v>
      </c>
    </row>
    <row r="38" customFormat="false" ht="15" hidden="false" customHeight="true" outlineLevel="0" collapsed="false">
      <c r="A38" s="47" t="s">
        <v>20</v>
      </c>
    </row>
    <row r="39" customFormat="false" ht="15" hidden="false" customHeight="true" outlineLevel="0" collapsed="false">
      <c r="A39" s="48" t="s">
        <v>122</v>
      </c>
    </row>
    <row r="40" customFormat="false" ht="15" hidden="false" customHeight="true" outlineLevel="0" collapsed="false">
      <c r="A40" s="49" t="s">
        <v>123</v>
      </c>
    </row>
    <row r="41" customFormat="false" ht="15" hidden="false" customHeight="true" outlineLevel="0" collapsed="false">
      <c r="A41" s="50" t="s">
        <v>124</v>
      </c>
    </row>
    <row r="42" customFormat="false" ht="15" hidden="false" customHeight="true" outlineLevel="0" collapsed="false">
      <c r="A42" s="51" t="s">
        <v>125</v>
      </c>
    </row>
  </sheetData>
  <autoFilter ref="A3:I33"/>
  <mergeCells count="3">
    <mergeCell ref="A1:I1"/>
    <mergeCell ref="A2:I2"/>
    <mergeCell ref="A34:F3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2026-06-30T01:56:42Z</dcterms:created>
  <dc:creator>openpyxl</dc:creator>
  <dc:description/>
  <dc:language>en-US</dc:language>
  <cp:lastModifiedBy/>
  <dcterms:modified xsi:type="dcterms:W3CDTF">2026-06-30T01:56:42Z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